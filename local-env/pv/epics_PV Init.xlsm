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2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3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drawings/drawing4.xml" ContentType="application/vnd.openxmlformats-officedocument.drawing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drawings/drawing5.xml" ContentType="application/vnd.openxmlformats-officedocument.drawing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drawings/drawing6.xml" ContentType="application/vnd.openxmlformats-officedocument.drawing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git\pal_ts\app_evx1.4\local-env\pv\"/>
    </mc:Choice>
  </mc:AlternateContent>
  <bookViews>
    <workbookView xWindow="0" yWindow="0" windowWidth="50472" windowHeight="24528" tabRatio="424" activeTab="5"/>
  </bookViews>
  <sheets>
    <sheet name="org" sheetId="1" r:id="rId1"/>
    <sheet name="EVS001" sheetId="11" r:id="rId2"/>
    <sheet name="EVG001" sheetId="21" r:id="rId3"/>
    <sheet name="EVR001" sheetId="22" r:id="rId4"/>
    <sheet name="EVR002" sheetId="24" r:id="rId5"/>
    <sheet name="EVR003" sheetId="25" r:id="rId6"/>
    <sheet name="EVF001" sheetId="23" r:id="rId7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057" i="25" l="1"/>
  <c r="A2056" i="25"/>
  <c r="A2055" i="25"/>
  <c r="A2054" i="25"/>
  <c r="A2053" i="25"/>
  <c r="A2052" i="25"/>
  <c r="A2051" i="25"/>
  <c r="A2050" i="25"/>
  <c r="A2049" i="25"/>
  <c r="A2048" i="25"/>
  <c r="A2047" i="25"/>
  <c r="A2046" i="25"/>
  <c r="A2045" i="25"/>
  <c r="A2044" i="25"/>
  <c r="A2043" i="25"/>
  <c r="A2042" i="25"/>
  <c r="R2041" i="25"/>
  <c r="P2041" i="25"/>
  <c r="A2041" i="25"/>
  <c r="R2040" i="25"/>
  <c r="P2040" i="25"/>
  <c r="A2040" i="25"/>
  <c r="R2039" i="25"/>
  <c r="P2039" i="25"/>
  <c r="A2039" i="25"/>
  <c r="R2038" i="25"/>
  <c r="P2038" i="25"/>
  <c r="A2038" i="25"/>
  <c r="R2037" i="25"/>
  <c r="P2037" i="25"/>
  <c r="A2037" i="25"/>
  <c r="R2036" i="25"/>
  <c r="P2036" i="25"/>
  <c r="A2036" i="25"/>
  <c r="R2035" i="25"/>
  <c r="P2035" i="25"/>
  <c r="A2035" i="25"/>
  <c r="R2034" i="25"/>
  <c r="P2034" i="25"/>
  <c r="A2034" i="25"/>
  <c r="R2033" i="25"/>
  <c r="P2033" i="25"/>
  <c r="A2033" i="25"/>
  <c r="R2032" i="25"/>
  <c r="P2032" i="25"/>
  <c r="A2032" i="25"/>
  <c r="R2031" i="25"/>
  <c r="P2031" i="25"/>
  <c r="A2031" i="25"/>
  <c r="R2030" i="25"/>
  <c r="P2030" i="25"/>
  <c r="A2030" i="25"/>
  <c r="R2029" i="25"/>
  <c r="P2029" i="25"/>
  <c r="A2029" i="25"/>
  <c r="R2028" i="25"/>
  <c r="P2028" i="25"/>
  <c r="A2028" i="25"/>
  <c r="R2027" i="25"/>
  <c r="P2027" i="25"/>
  <c r="A2027" i="25"/>
  <c r="R2026" i="25"/>
  <c r="P2026" i="25"/>
  <c r="A2026" i="25"/>
  <c r="R2025" i="25"/>
  <c r="P2025" i="25"/>
  <c r="A2025" i="25"/>
  <c r="R2024" i="25"/>
  <c r="P2024" i="25"/>
  <c r="A2024" i="25"/>
  <c r="R2023" i="25"/>
  <c r="P2023" i="25"/>
  <c r="A2023" i="25"/>
  <c r="R2022" i="25"/>
  <c r="P2022" i="25"/>
  <c r="A2022" i="25"/>
  <c r="R2021" i="25"/>
  <c r="P2021" i="25"/>
  <c r="A2021" i="25"/>
  <c r="R2020" i="25"/>
  <c r="P2020" i="25"/>
  <c r="A2020" i="25"/>
  <c r="R2019" i="25"/>
  <c r="P2019" i="25"/>
  <c r="A2019" i="25"/>
  <c r="R2018" i="25"/>
  <c r="P2018" i="25"/>
  <c r="A2018" i="25"/>
  <c r="R2017" i="25"/>
  <c r="P2017" i="25"/>
  <c r="A2017" i="25"/>
  <c r="R2016" i="25"/>
  <c r="P2016" i="25"/>
  <c r="A2016" i="25"/>
  <c r="R2015" i="25"/>
  <c r="P2015" i="25"/>
  <c r="A2015" i="25"/>
  <c r="R2014" i="25"/>
  <c r="P2014" i="25"/>
  <c r="A2014" i="25"/>
  <c r="R2013" i="25"/>
  <c r="P2013" i="25"/>
  <c r="A2013" i="25"/>
  <c r="R2012" i="25"/>
  <c r="P2012" i="25"/>
  <c r="A2012" i="25"/>
  <c r="R2011" i="25"/>
  <c r="P2011" i="25"/>
  <c r="A2011" i="25"/>
  <c r="R2010" i="25"/>
  <c r="P2010" i="25"/>
  <c r="A2010" i="25"/>
  <c r="R2009" i="25"/>
  <c r="P2009" i="25"/>
  <c r="A2009" i="25"/>
  <c r="R2008" i="25"/>
  <c r="P2008" i="25"/>
  <c r="A2008" i="25"/>
  <c r="R2007" i="25"/>
  <c r="P2007" i="25"/>
  <c r="A2007" i="25"/>
  <c r="R2006" i="25"/>
  <c r="P2006" i="25"/>
  <c r="A2006" i="25"/>
  <c r="R2005" i="25"/>
  <c r="P2005" i="25"/>
  <c r="A2005" i="25"/>
  <c r="R2004" i="25"/>
  <c r="P2004" i="25"/>
  <c r="A2004" i="25"/>
  <c r="R2003" i="25"/>
  <c r="P2003" i="25"/>
  <c r="A2003" i="25"/>
  <c r="R2002" i="25"/>
  <c r="P2002" i="25"/>
  <c r="A2002" i="25"/>
  <c r="R2001" i="25"/>
  <c r="P2001" i="25"/>
  <c r="A2001" i="25"/>
  <c r="R2000" i="25"/>
  <c r="P2000" i="25"/>
  <c r="A2000" i="25"/>
  <c r="R1999" i="25"/>
  <c r="P1999" i="25"/>
  <c r="A1999" i="25"/>
  <c r="R1998" i="25"/>
  <c r="P1998" i="25"/>
  <c r="A1998" i="25"/>
  <c r="R1997" i="25"/>
  <c r="P1997" i="25"/>
  <c r="A1997" i="25"/>
  <c r="R1996" i="25"/>
  <c r="P1996" i="25"/>
  <c r="A1996" i="25"/>
  <c r="R1995" i="25"/>
  <c r="P1995" i="25"/>
  <c r="A1995" i="25"/>
  <c r="R1994" i="25"/>
  <c r="P1994" i="25"/>
  <c r="A1994" i="25"/>
  <c r="R1993" i="25"/>
  <c r="P1993" i="25"/>
  <c r="A1993" i="25"/>
  <c r="R1992" i="25"/>
  <c r="P1992" i="25"/>
  <c r="A1992" i="25"/>
  <c r="R1991" i="25"/>
  <c r="P1991" i="25"/>
  <c r="A1991" i="25"/>
  <c r="R1990" i="25"/>
  <c r="P1990" i="25"/>
  <c r="A1990" i="25"/>
  <c r="R1989" i="25"/>
  <c r="P1989" i="25"/>
  <c r="A1989" i="25"/>
  <c r="R1988" i="25"/>
  <c r="P1988" i="25"/>
  <c r="A1988" i="25"/>
  <c r="R1987" i="25"/>
  <c r="P1987" i="25"/>
  <c r="A1987" i="25"/>
  <c r="R1986" i="25"/>
  <c r="P1986" i="25"/>
  <c r="A1986" i="25"/>
  <c r="R1985" i="25"/>
  <c r="P1985" i="25"/>
  <c r="A1985" i="25"/>
  <c r="R1984" i="25"/>
  <c r="P1984" i="25"/>
  <c r="A1984" i="25"/>
  <c r="R1983" i="25"/>
  <c r="P1983" i="25"/>
  <c r="A1983" i="25"/>
  <c r="R1982" i="25"/>
  <c r="P1982" i="25"/>
  <c r="A1982" i="25"/>
  <c r="R1981" i="25"/>
  <c r="P1981" i="25"/>
  <c r="A1981" i="25"/>
  <c r="R1980" i="25"/>
  <c r="P1980" i="25"/>
  <c r="A1980" i="25"/>
  <c r="R1979" i="25"/>
  <c r="P1979" i="25"/>
  <c r="A1979" i="25"/>
  <c r="R1978" i="25"/>
  <c r="P1978" i="25"/>
  <c r="A1978" i="25"/>
  <c r="R1977" i="25"/>
  <c r="P1977" i="25"/>
  <c r="A1977" i="25"/>
  <c r="R1976" i="25"/>
  <c r="P1976" i="25"/>
  <c r="A1976" i="25"/>
  <c r="R1975" i="25"/>
  <c r="P1975" i="25"/>
  <c r="A1975" i="25"/>
  <c r="R1974" i="25"/>
  <c r="P1974" i="25"/>
  <c r="A1974" i="25"/>
  <c r="R1973" i="25"/>
  <c r="P1973" i="25"/>
  <c r="A1973" i="25"/>
  <c r="R1972" i="25"/>
  <c r="P1972" i="25"/>
  <c r="A1972" i="25"/>
  <c r="R1971" i="25"/>
  <c r="P1971" i="25"/>
  <c r="A1971" i="25"/>
  <c r="R1970" i="25"/>
  <c r="P1970" i="25"/>
  <c r="A1970" i="25"/>
  <c r="R1969" i="25"/>
  <c r="P1969" i="25"/>
  <c r="A1969" i="25"/>
  <c r="R1968" i="25"/>
  <c r="P1968" i="25"/>
  <c r="A1968" i="25"/>
  <c r="R1967" i="25"/>
  <c r="P1967" i="25"/>
  <c r="A1967" i="25"/>
  <c r="R1966" i="25"/>
  <c r="P1966" i="25"/>
  <c r="A1966" i="25"/>
  <c r="R1965" i="25"/>
  <c r="P1965" i="25"/>
  <c r="A1965" i="25"/>
  <c r="R1964" i="25"/>
  <c r="P1964" i="25"/>
  <c r="A1964" i="25"/>
  <c r="R1963" i="25"/>
  <c r="P1963" i="25"/>
  <c r="A1963" i="25"/>
  <c r="R1962" i="25"/>
  <c r="P1962" i="25"/>
  <c r="A1962" i="25"/>
  <c r="R1961" i="25"/>
  <c r="P1961" i="25"/>
  <c r="A1961" i="25"/>
  <c r="R1960" i="25"/>
  <c r="P1960" i="25"/>
  <c r="A1960" i="25"/>
  <c r="R1959" i="25"/>
  <c r="P1959" i="25"/>
  <c r="A1959" i="25"/>
  <c r="R1958" i="25"/>
  <c r="P1958" i="25"/>
  <c r="A1958" i="25"/>
  <c r="R1957" i="25"/>
  <c r="P1957" i="25"/>
  <c r="A1957" i="25"/>
  <c r="R1956" i="25"/>
  <c r="P1956" i="25"/>
  <c r="A1956" i="25"/>
  <c r="R1955" i="25"/>
  <c r="P1955" i="25"/>
  <c r="A1955" i="25"/>
  <c r="R1954" i="25"/>
  <c r="P1954" i="25"/>
  <c r="A1954" i="25"/>
  <c r="R1953" i="25"/>
  <c r="P1953" i="25"/>
  <c r="A1953" i="25"/>
  <c r="R1952" i="25"/>
  <c r="P1952" i="25"/>
  <c r="A1952" i="25"/>
  <c r="R1951" i="25"/>
  <c r="P1951" i="25"/>
  <c r="A1951" i="25"/>
  <c r="R1950" i="25"/>
  <c r="P1950" i="25"/>
  <c r="A1950" i="25"/>
  <c r="R1949" i="25"/>
  <c r="P1949" i="25"/>
  <c r="A1949" i="25"/>
  <c r="R1948" i="25"/>
  <c r="P1948" i="25"/>
  <c r="A1948" i="25"/>
  <c r="R1947" i="25"/>
  <c r="P1947" i="25"/>
  <c r="A1947" i="25"/>
  <c r="R1946" i="25"/>
  <c r="P1946" i="25"/>
  <c r="A1946" i="25"/>
  <c r="R1945" i="25"/>
  <c r="P1945" i="25"/>
  <c r="A1945" i="25"/>
  <c r="R1944" i="25"/>
  <c r="P1944" i="25"/>
  <c r="A1944" i="25"/>
  <c r="R1943" i="25"/>
  <c r="P1943" i="25"/>
  <c r="A1943" i="25"/>
  <c r="R1942" i="25"/>
  <c r="P1942" i="25"/>
  <c r="A1942" i="25"/>
  <c r="R1941" i="25"/>
  <c r="P1941" i="25"/>
  <c r="A1941" i="25"/>
  <c r="R1940" i="25"/>
  <c r="P1940" i="25"/>
  <c r="A1940" i="25"/>
  <c r="R1939" i="25"/>
  <c r="P1939" i="25"/>
  <c r="A1939" i="25"/>
  <c r="R1938" i="25"/>
  <c r="P1938" i="25"/>
  <c r="A1938" i="25"/>
  <c r="R1937" i="25"/>
  <c r="P1937" i="25"/>
  <c r="A1937" i="25"/>
  <c r="R1936" i="25"/>
  <c r="P1936" i="25"/>
  <c r="A1936" i="25"/>
  <c r="R1935" i="25"/>
  <c r="P1935" i="25"/>
  <c r="A1935" i="25"/>
  <c r="R1934" i="25"/>
  <c r="P1934" i="25"/>
  <c r="A1934" i="25"/>
  <c r="R1933" i="25"/>
  <c r="P1933" i="25"/>
  <c r="A1933" i="25"/>
  <c r="R1932" i="25"/>
  <c r="P1932" i="25"/>
  <c r="A1932" i="25"/>
  <c r="R1931" i="25"/>
  <c r="P1931" i="25"/>
  <c r="A1931" i="25"/>
  <c r="R1930" i="25"/>
  <c r="P1930" i="25"/>
  <c r="A1930" i="25"/>
  <c r="R1929" i="25"/>
  <c r="P1929" i="25"/>
  <c r="A1929" i="25"/>
  <c r="R1928" i="25"/>
  <c r="P1928" i="25"/>
  <c r="A1928" i="25"/>
  <c r="R1927" i="25"/>
  <c r="P1927" i="25"/>
  <c r="A1927" i="25"/>
  <c r="R1926" i="25"/>
  <c r="P1926" i="25"/>
  <c r="A1926" i="25"/>
  <c r="R1925" i="25"/>
  <c r="P1925" i="25"/>
  <c r="A1925" i="25"/>
  <c r="R1924" i="25"/>
  <c r="P1924" i="25"/>
  <c r="A1924" i="25"/>
  <c r="R1923" i="25"/>
  <c r="P1923" i="25"/>
  <c r="A1923" i="25"/>
  <c r="R1922" i="25"/>
  <c r="P1922" i="25"/>
  <c r="A1922" i="25"/>
  <c r="R1921" i="25"/>
  <c r="P1921" i="25"/>
  <c r="A1921" i="25"/>
  <c r="R1920" i="25"/>
  <c r="P1920" i="25"/>
  <c r="A1920" i="25"/>
  <c r="R1919" i="25"/>
  <c r="P1919" i="25"/>
  <c r="A1919" i="25"/>
  <c r="R1918" i="25"/>
  <c r="P1918" i="25"/>
  <c r="A1918" i="25"/>
  <c r="R1917" i="25"/>
  <c r="P1917" i="25"/>
  <c r="A1917" i="25"/>
  <c r="R1916" i="25"/>
  <c r="P1916" i="25"/>
  <c r="A1916" i="25"/>
  <c r="R1915" i="25"/>
  <c r="P1915" i="25"/>
  <c r="A1915" i="25"/>
  <c r="R1914" i="25"/>
  <c r="P1914" i="25"/>
  <c r="A1914" i="25"/>
  <c r="R1913" i="25"/>
  <c r="P1913" i="25"/>
  <c r="A1913" i="25"/>
  <c r="R1912" i="25"/>
  <c r="P1912" i="25"/>
  <c r="A1912" i="25"/>
  <c r="R1911" i="25"/>
  <c r="P1911" i="25"/>
  <c r="A1911" i="25"/>
  <c r="R1910" i="25"/>
  <c r="P1910" i="25"/>
  <c r="A1910" i="25"/>
  <c r="R1909" i="25"/>
  <c r="P1909" i="25"/>
  <c r="A1909" i="25"/>
  <c r="R1908" i="25"/>
  <c r="P1908" i="25"/>
  <c r="A1908" i="25"/>
  <c r="R1907" i="25"/>
  <c r="P1907" i="25"/>
  <c r="A1907" i="25"/>
  <c r="R1906" i="25"/>
  <c r="P1906" i="25"/>
  <c r="A1906" i="25"/>
  <c r="R1905" i="25"/>
  <c r="P1905" i="25"/>
  <c r="A1905" i="25"/>
  <c r="R1904" i="25"/>
  <c r="P1904" i="25"/>
  <c r="A1904" i="25"/>
  <c r="R1903" i="25"/>
  <c r="P1903" i="25"/>
  <c r="A1903" i="25"/>
  <c r="R1902" i="25"/>
  <c r="P1902" i="25"/>
  <c r="A1902" i="25"/>
  <c r="R1901" i="25"/>
  <c r="P1901" i="25"/>
  <c r="A1901" i="25"/>
  <c r="R1900" i="25"/>
  <c r="P1900" i="25"/>
  <c r="A1900" i="25"/>
  <c r="R1899" i="25"/>
  <c r="P1899" i="25"/>
  <c r="A1899" i="25"/>
  <c r="R1898" i="25"/>
  <c r="P1898" i="25"/>
  <c r="A1898" i="25"/>
  <c r="R1897" i="25"/>
  <c r="P1897" i="25"/>
  <c r="A1897" i="25"/>
  <c r="R1896" i="25"/>
  <c r="P1896" i="25"/>
  <c r="A1896" i="25"/>
  <c r="R1895" i="25"/>
  <c r="P1895" i="25"/>
  <c r="A1895" i="25"/>
  <c r="R1894" i="25"/>
  <c r="P1894" i="25"/>
  <c r="A1894" i="25"/>
  <c r="R1893" i="25"/>
  <c r="P1893" i="25"/>
  <c r="A1893" i="25"/>
  <c r="R1892" i="25"/>
  <c r="P1892" i="25"/>
  <c r="A1892" i="25"/>
  <c r="R1891" i="25"/>
  <c r="P1891" i="25"/>
  <c r="A1891" i="25"/>
  <c r="R1890" i="25"/>
  <c r="P1890" i="25"/>
  <c r="A1890" i="25"/>
  <c r="R1889" i="25"/>
  <c r="P1889" i="25"/>
  <c r="A1889" i="25"/>
  <c r="R1888" i="25"/>
  <c r="P1888" i="25"/>
  <c r="A1888" i="25"/>
  <c r="R1887" i="25"/>
  <c r="P1887" i="25"/>
  <c r="A1887" i="25"/>
  <c r="R1886" i="25"/>
  <c r="P1886" i="25"/>
  <c r="A1886" i="25"/>
  <c r="R1885" i="25"/>
  <c r="P1885" i="25"/>
  <c r="A1885" i="25"/>
  <c r="R1884" i="25"/>
  <c r="P1884" i="25"/>
  <c r="A1884" i="25"/>
  <c r="R1883" i="25"/>
  <c r="P1883" i="25"/>
  <c r="A1883" i="25"/>
  <c r="R1882" i="25"/>
  <c r="P1882" i="25"/>
  <c r="A1882" i="25"/>
  <c r="R1881" i="25"/>
  <c r="P1881" i="25"/>
  <c r="A1881" i="25"/>
  <c r="R1880" i="25"/>
  <c r="P1880" i="25"/>
  <c r="A1880" i="25"/>
  <c r="R1879" i="25"/>
  <c r="P1879" i="25"/>
  <c r="A1879" i="25"/>
  <c r="R1878" i="25"/>
  <c r="P1878" i="25"/>
  <c r="A1878" i="25"/>
  <c r="R1877" i="25"/>
  <c r="P1877" i="25"/>
  <c r="A1877" i="25"/>
  <c r="R1876" i="25"/>
  <c r="P1876" i="25"/>
  <c r="A1876" i="25"/>
  <c r="R1875" i="25"/>
  <c r="P1875" i="25"/>
  <c r="A1875" i="25"/>
  <c r="R1874" i="25"/>
  <c r="P1874" i="25"/>
  <c r="A1874" i="25"/>
  <c r="R1873" i="25"/>
  <c r="P1873" i="25"/>
  <c r="A1873" i="25"/>
  <c r="R1872" i="25"/>
  <c r="P1872" i="25"/>
  <c r="A1872" i="25"/>
  <c r="R1871" i="25"/>
  <c r="P1871" i="25"/>
  <c r="A1871" i="25"/>
  <c r="R1870" i="25"/>
  <c r="P1870" i="25"/>
  <c r="A1870" i="25"/>
  <c r="R1869" i="25"/>
  <c r="P1869" i="25"/>
  <c r="A1869" i="25"/>
  <c r="R1868" i="25"/>
  <c r="P1868" i="25"/>
  <c r="A1868" i="25"/>
  <c r="R1867" i="25"/>
  <c r="P1867" i="25"/>
  <c r="A1867" i="25"/>
  <c r="R1866" i="25"/>
  <c r="P1866" i="25"/>
  <c r="A1866" i="25"/>
  <c r="R1865" i="25"/>
  <c r="P1865" i="25"/>
  <c r="A1865" i="25"/>
  <c r="R1864" i="25"/>
  <c r="P1864" i="25"/>
  <c r="A1864" i="25"/>
  <c r="R1863" i="25"/>
  <c r="P1863" i="25"/>
  <c r="A1863" i="25"/>
  <c r="R1862" i="25"/>
  <c r="P1862" i="25"/>
  <c r="A1862" i="25"/>
  <c r="R1861" i="25"/>
  <c r="P1861" i="25"/>
  <c r="A1861" i="25"/>
  <c r="R1860" i="25"/>
  <c r="P1860" i="25"/>
  <c r="A1860" i="25"/>
  <c r="R1859" i="25"/>
  <c r="P1859" i="25"/>
  <c r="A1859" i="25"/>
  <c r="R1858" i="25"/>
  <c r="P1858" i="25"/>
  <c r="A1858" i="25"/>
  <c r="R1857" i="25"/>
  <c r="P1857" i="25"/>
  <c r="A1857" i="25"/>
  <c r="R1856" i="25"/>
  <c r="P1856" i="25"/>
  <c r="A1856" i="25"/>
  <c r="R1855" i="25"/>
  <c r="P1855" i="25"/>
  <c r="A1855" i="25"/>
  <c r="R1854" i="25"/>
  <c r="P1854" i="25"/>
  <c r="A1854" i="25"/>
  <c r="R1853" i="25"/>
  <c r="P1853" i="25"/>
  <c r="A1853" i="25"/>
  <c r="R1852" i="25"/>
  <c r="P1852" i="25"/>
  <c r="A1852" i="25"/>
  <c r="R1851" i="25"/>
  <c r="P1851" i="25"/>
  <c r="A1851" i="25"/>
  <c r="R1850" i="25"/>
  <c r="P1850" i="25"/>
  <c r="A1850" i="25"/>
  <c r="R1849" i="25"/>
  <c r="P1849" i="25"/>
  <c r="A1849" i="25"/>
  <c r="R1848" i="25"/>
  <c r="P1848" i="25"/>
  <c r="A1848" i="25"/>
  <c r="R1847" i="25"/>
  <c r="P1847" i="25"/>
  <c r="A1847" i="25"/>
  <c r="R1846" i="25"/>
  <c r="P1846" i="25"/>
  <c r="A1846" i="25"/>
  <c r="R1845" i="25"/>
  <c r="P1845" i="25"/>
  <c r="A1845" i="25"/>
  <c r="R1844" i="25"/>
  <c r="P1844" i="25"/>
  <c r="A1844" i="25"/>
  <c r="R1843" i="25"/>
  <c r="P1843" i="25"/>
  <c r="A1843" i="25"/>
  <c r="R1842" i="25"/>
  <c r="P1842" i="25"/>
  <c r="A1842" i="25"/>
  <c r="R1841" i="25"/>
  <c r="P1841" i="25"/>
  <c r="A1841" i="25"/>
  <c r="R1840" i="25"/>
  <c r="P1840" i="25"/>
  <c r="A1840" i="25"/>
  <c r="R1839" i="25"/>
  <c r="P1839" i="25"/>
  <c r="A1839" i="25"/>
  <c r="R1838" i="25"/>
  <c r="P1838" i="25"/>
  <c r="A1838" i="25"/>
  <c r="R1837" i="25"/>
  <c r="P1837" i="25"/>
  <c r="A1837" i="25"/>
  <c r="R1836" i="25"/>
  <c r="P1836" i="25"/>
  <c r="A1836" i="25"/>
  <c r="R1835" i="25"/>
  <c r="P1835" i="25"/>
  <c r="A1835" i="25"/>
  <c r="R1834" i="25"/>
  <c r="P1834" i="25"/>
  <c r="A1834" i="25"/>
  <c r="R1833" i="25"/>
  <c r="P1833" i="25"/>
  <c r="A1833" i="25"/>
  <c r="R1832" i="25"/>
  <c r="P1832" i="25"/>
  <c r="A1832" i="25"/>
  <c r="R1831" i="25"/>
  <c r="P1831" i="25"/>
  <c r="A1831" i="25"/>
  <c r="R1830" i="25"/>
  <c r="P1830" i="25"/>
  <c r="A1830" i="25"/>
  <c r="R1829" i="25"/>
  <c r="P1829" i="25"/>
  <c r="A1829" i="25"/>
  <c r="R1828" i="25"/>
  <c r="P1828" i="25"/>
  <c r="A1828" i="25"/>
  <c r="R1827" i="25"/>
  <c r="P1827" i="25"/>
  <c r="A1827" i="25"/>
  <c r="R1826" i="25"/>
  <c r="P1826" i="25"/>
  <c r="A1826" i="25"/>
  <c r="R1825" i="25"/>
  <c r="P1825" i="25"/>
  <c r="A1825" i="25"/>
  <c r="R1824" i="25"/>
  <c r="P1824" i="25"/>
  <c r="A1824" i="25"/>
  <c r="R1823" i="25"/>
  <c r="P1823" i="25"/>
  <c r="A1823" i="25"/>
  <c r="R1822" i="25"/>
  <c r="P1822" i="25"/>
  <c r="A1822" i="25"/>
  <c r="R1821" i="25"/>
  <c r="P1821" i="25"/>
  <c r="A1821" i="25"/>
  <c r="R1820" i="25"/>
  <c r="P1820" i="25"/>
  <c r="A1820" i="25"/>
  <c r="R1819" i="25"/>
  <c r="P1819" i="25"/>
  <c r="A1819" i="25"/>
  <c r="R1818" i="25"/>
  <c r="P1818" i="25"/>
  <c r="A1818" i="25"/>
  <c r="R1817" i="25"/>
  <c r="P1817" i="25"/>
  <c r="A1817" i="25"/>
  <c r="R1816" i="25"/>
  <c r="P1816" i="25"/>
  <c r="A1816" i="25"/>
  <c r="R1815" i="25"/>
  <c r="P1815" i="25"/>
  <c r="A1815" i="25"/>
  <c r="R1814" i="25"/>
  <c r="P1814" i="25"/>
  <c r="A1814" i="25"/>
  <c r="R1813" i="25"/>
  <c r="P1813" i="25"/>
  <c r="A1813" i="25"/>
  <c r="R1812" i="25"/>
  <c r="P1812" i="25"/>
  <c r="A1812" i="25"/>
  <c r="R1811" i="25"/>
  <c r="P1811" i="25"/>
  <c r="A1811" i="25"/>
  <c r="R1810" i="25"/>
  <c r="P1810" i="25"/>
  <c r="A1810" i="25"/>
  <c r="R1809" i="25"/>
  <c r="P1809" i="25"/>
  <c r="A1809" i="25"/>
  <c r="R1808" i="25"/>
  <c r="P1808" i="25"/>
  <c r="A1808" i="25"/>
  <c r="R1807" i="25"/>
  <c r="P1807" i="25"/>
  <c r="A1807" i="25"/>
  <c r="R1806" i="25"/>
  <c r="P1806" i="25"/>
  <c r="A1806" i="25"/>
  <c r="R1805" i="25"/>
  <c r="P1805" i="25"/>
  <c r="A1805" i="25"/>
  <c r="R1804" i="25"/>
  <c r="P1804" i="25"/>
  <c r="A1804" i="25"/>
  <c r="R1803" i="25"/>
  <c r="P1803" i="25"/>
  <c r="A1803" i="25"/>
  <c r="R1802" i="25"/>
  <c r="P1802" i="25"/>
  <c r="A1802" i="25"/>
  <c r="R1801" i="25"/>
  <c r="P1801" i="25"/>
  <c r="A1801" i="25"/>
  <c r="R1800" i="25"/>
  <c r="P1800" i="25"/>
  <c r="A1800" i="25"/>
  <c r="R1799" i="25"/>
  <c r="P1799" i="25"/>
  <c r="A1799" i="25"/>
  <c r="R1798" i="25"/>
  <c r="P1798" i="25"/>
  <c r="A1798" i="25"/>
  <c r="R1797" i="25"/>
  <c r="P1797" i="25"/>
  <c r="A1797" i="25"/>
  <c r="R1796" i="25"/>
  <c r="P1796" i="25"/>
  <c r="A1796" i="25"/>
  <c r="R1795" i="25"/>
  <c r="P1795" i="25"/>
  <c r="A1795" i="25"/>
  <c r="R1794" i="25"/>
  <c r="P1794" i="25"/>
  <c r="A1794" i="25"/>
  <c r="R1793" i="25"/>
  <c r="P1793" i="25"/>
  <c r="A1793" i="25"/>
  <c r="R1792" i="25"/>
  <c r="P1792" i="25"/>
  <c r="A1792" i="25"/>
  <c r="R1791" i="25"/>
  <c r="P1791" i="25"/>
  <c r="A1791" i="25"/>
  <c r="R1790" i="25"/>
  <c r="P1790" i="25"/>
  <c r="A1790" i="25"/>
  <c r="R1789" i="25"/>
  <c r="P1789" i="25"/>
  <c r="A1789" i="25"/>
  <c r="R1788" i="25"/>
  <c r="P1788" i="25"/>
  <c r="A1788" i="25"/>
  <c r="R1787" i="25"/>
  <c r="P1787" i="25"/>
  <c r="A1787" i="25"/>
  <c r="R1786" i="25"/>
  <c r="P1786" i="25"/>
  <c r="A1786" i="25"/>
  <c r="R1785" i="25"/>
  <c r="P1785" i="25"/>
  <c r="A1785" i="25"/>
  <c r="R1784" i="25"/>
  <c r="P1784" i="25"/>
  <c r="A1784" i="25"/>
  <c r="R1783" i="25"/>
  <c r="P1783" i="25"/>
  <c r="A1783" i="25"/>
  <c r="R1782" i="25"/>
  <c r="P1782" i="25"/>
  <c r="A1782" i="25"/>
  <c r="R1781" i="25"/>
  <c r="P1781" i="25"/>
  <c r="A1781" i="25"/>
  <c r="R1780" i="25"/>
  <c r="P1780" i="25"/>
  <c r="A1780" i="25"/>
  <c r="R1779" i="25"/>
  <c r="P1779" i="25"/>
  <c r="A1779" i="25"/>
  <c r="R1778" i="25"/>
  <c r="P1778" i="25"/>
  <c r="A1778" i="25"/>
  <c r="R1777" i="25"/>
  <c r="P1777" i="25"/>
  <c r="A1777" i="25"/>
  <c r="R1776" i="25"/>
  <c r="P1776" i="25"/>
  <c r="A1776" i="25"/>
  <c r="R1775" i="25"/>
  <c r="P1775" i="25"/>
  <c r="A1775" i="25"/>
  <c r="R1774" i="25"/>
  <c r="P1774" i="25"/>
  <c r="A1774" i="25"/>
  <c r="R1773" i="25"/>
  <c r="P1773" i="25"/>
  <c r="A1773" i="25"/>
  <c r="R1772" i="25"/>
  <c r="P1772" i="25"/>
  <c r="A1772" i="25"/>
  <c r="R1771" i="25"/>
  <c r="P1771" i="25"/>
  <c r="A1771" i="25"/>
  <c r="R1770" i="25"/>
  <c r="P1770" i="25"/>
  <c r="A1770" i="25"/>
  <c r="R1769" i="25"/>
  <c r="P1769" i="25"/>
  <c r="A1769" i="25"/>
  <c r="R1768" i="25"/>
  <c r="P1768" i="25"/>
  <c r="A1768" i="25"/>
  <c r="R1767" i="25"/>
  <c r="P1767" i="25"/>
  <c r="A1767" i="25"/>
  <c r="R1766" i="25"/>
  <c r="P1766" i="25"/>
  <c r="A1766" i="25"/>
  <c r="R1765" i="25"/>
  <c r="P1765" i="25"/>
  <c r="A1765" i="25"/>
  <c r="R1764" i="25"/>
  <c r="P1764" i="25"/>
  <c r="A1764" i="25"/>
  <c r="R1763" i="25"/>
  <c r="P1763" i="25"/>
  <c r="A1763" i="25"/>
  <c r="R1762" i="25"/>
  <c r="P1762" i="25"/>
  <c r="A1762" i="25"/>
  <c r="R1761" i="25"/>
  <c r="P1761" i="25"/>
  <c r="A1761" i="25"/>
  <c r="R1760" i="25"/>
  <c r="P1760" i="25"/>
  <c r="A1760" i="25"/>
  <c r="R1759" i="25"/>
  <c r="P1759" i="25"/>
  <c r="A1759" i="25"/>
  <c r="R1758" i="25"/>
  <c r="P1758" i="25"/>
  <c r="A1758" i="25"/>
  <c r="R1757" i="25"/>
  <c r="P1757" i="25"/>
  <c r="A1757" i="25"/>
  <c r="R1756" i="25"/>
  <c r="P1756" i="25"/>
  <c r="A1756" i="25"/>
  <c r="R1755" i="25"/>
  <c r="P1755" i="25"/>
  <c r="A1755" i="25"/>
  <c r="R1754" i="25"/>
  <c r="P1754" i="25"/>
  <c r="A1754" i="25"/>
  <c r="R1753" i="25"/>
  <c r="P1753" i="25"/>
  <c r="A1753" i="25"/>
  <c r="R1752" i="25"/>
  <c r="P1752" i="25"/>
  <c r="A1752" i="25"/>
  <c r="R1751" i="25"/>
  <c r="P1751" i="25"/>
  <c r="A1751" i="25"/>
  <c r="R1750" i="25"/>
  <c r="P1750" i="25"/>
  <c r="A1750" i="25"/>
  <c r="R1749" i="25"/>
  <c r="P1749" i="25"/>
  <c r="A1749" i="25"/>
  <c r="R1748" i="25"/>
  <c r="P1748" i="25"/>
  <c r="A1748" i="25"/>
  <c r="R1747" i="25"/>
  <c r="P1747" i="25"/>
  <c r="A1747" i="25"/>
  <c r="R1746" i="25"/>
  <c r="P1746" i="25"/>
  <c r="A1746" i="25"/>
  <c r="R1745" i="25"/>
  <c r="P1745" i="25"/>
  <c r="A1745" i="25"/>
  <c r="R1744" i="25"/>
  <c r="P1744" i="25"/>
  <c r="A1744" i="25"/>
  <c r="R1743" i="25"/>
  <c r="P1743" i="25"/>
  <c r="A1743" i="25"/>
  <c r="R1742" i="25"/>
  <c r="P1742" i="25"/>
  <c r="A1742" i="25"/>
  <c r="R1741" i="25"/>
  <c r="P1741" i="25"/>
  <c r="A1741" i="25"/>
  <c r="R1740" i="25"/>
  <c r="P1740" i="25"/>
  <c r="A1740" i="25"/>
  <c r="R1739" i="25"/>
  <c r="P1739" i="25"/>
  <c r="A1739" i="25"/>
  <c r="R1738" i="25"/>
  <c r="P1738" i="25"/>
  <c r="A1738" i="25"/>
  <c r="R1737" i="25"/>
  <c r="P1737" i="25"/>
  <c r="A1737" i="25"/>
  <c r="R1736" i="25"/>
  <c r="P1736" i="25"/>
  <c r="A1736" i="25"/>
  <c r="R1735" i="25"/>
  <c r="P1735" i="25"/>
  <c r="A1735" i="25"/>
  <c r="R1734" i="25"/>
  <c r="P1734" i="25"/>
  <c r="A1734" i="25"/>
  <c r="R1733" i="25"/>
  <c r="P1733" i="25"/>
  <c r="A1733" i="25"/>
  <c r="R1732" i="25"/>
  <c r="P1732" i="25"/>
  <c r="A1732" i="25"/>
  <c r="R1731" i="25"/>
  <c r="P1731" i="25"/>
  <c r="A1731" i="25"/>
  <c r="R1730" i="25"/>
  <c r="P1730" i="25"/>
  <c r="A1730" i="25"/>
  <c r="R1729" i="25"/>
  <c r="P1729" i="25"/>
  <c r="A1729" i="25"/>
  <c r="R1728" i="25"/>
  <c r="P1728" i="25"/>
  <c r="A1728" i="25"/>
  <c r="R1727" i="25"/>
  <c r="P1727" i="25"/>
  <c r="A1727" i="25"/>
  <c r="R1726" i="25"/>
  <c r="P1726" i="25"/>
  <c r="A1726" i="25"/>
  <c r="R1725" i="25"/>
  <c r="P1725" i="25"/>
  <c r="A1725" i="25"/>
  <c r="R1724" i="25"/>
  <c r="P1724" i="25"/>
  <c r="A1724" i="25"/>
  <c r="R1723" i="25"/>
  <c r="P1723" i="25"/>
  <c r="A1723" i="25"/>
  <c r="R1722" i="25"/>
  <c r="P1722" i="25"/>
  <c r="A1722" i="25"/>
  <c r="R1721" i="25"/>
  <c r="P1721" i="25"/>
  <c r="A1721" i="25"/>
  <c r="R1720" i="25"/>
  <c r="P1720" i="25"/>
  <c r="A1720" i="25"/>
  <c r="R1719" i="25"/>
  <c r="P1719" i="25"/>
  <c r="A1719" i="25"/>
  <c r="R1718" i="25"/>
  <c r="P1718" i="25"/>
  <c r="A1718" i="25"/>
  <c r="R1717" i="25"/>
  <c r="P1717" i="25"/>
  <c r="A1717" i="25"/>
  <c r="R1716" i="25"/>
  <c r="P1716" i="25"/>
  <c r="A1716" i="25"/>
  <c r="R1715" i="25"/>
  <c r="P1715" i="25"/>
  <c r="A1715" i="25"/>
  <c r="R1714" i="25"/>
  <c r="P1714" i="25"/>
  <c r="A1714" i="25"/>
  <c r="R1713" i="25"/>
  <c r="P1713" i="25"/>
  <c r="A1713" i="25"/>
  <c r="R1712" i="25"/>
  <c r="P1712" i="25"/>
  <c r="A1712" i="25"/>
  <c r="R1711" i="25"/>
  <c r="P1711" i="25"/>
  <c r="A1711" i="25"/>
  <c r="R1710" i="25"/>
  <c r="P1710" i="25"/>
  <c r="A1710" i="25"/>
  <c r="R1709" i="25"/>
  <c r="P1709" i="25"/>
  <c r="A1709" i="25"/>
  <c r="R1708" i="25"/>
  <c r="P1708" i="25"/>
  <c r="A1708" i="25"/>
  <c r="R1707" i="25"/>
  <c r="P1707" i="25"/>
  <c r="A1707" i="25"/>
  <c r="R1706" i="25"/>
  <c r="P1706" i="25"/>
  <c r="A1706" i="25"/>
  <c r="R1705" i="25"/>
  <c r="P1705" i="25"/>
  <c r="A1705" i="25"/>
  <c r="R1704" i="25"/>
  <c r="P1704" i="25"/>
  <c r="A1704" i="25"/>
  <c r="R1703" i="25"/>
  <c r="P1703" i="25"/>
  <c r="A1703" i="25"/>
  <c r="R1702" i="25"/>
  <c r="P1702" i="25"/>
  <c r="A1702" i="25"/>
  <c r="R1701" i="25"/>
  <c r="P1701" i="25"/>
  <c r="A1701" i="25"/>
  <c r="R1700" i="25"/>
  <c r="P1700" i="25"/>
  <c r="A1700" i="25"/>
  <c r="R1699" i="25"/>
  <c r="P1699" i="25"/>
  <c r="A1699" i="25"/>
  <c r="R1698" i="25"/>
  <c r="P1698" i="25"/>
  <c r="A1698" i="25"/>
  <c r="R1697" i="25"/>
  <c r="P1697" i="25"/>
  <c r="A1697" i="25"/>
  <c r="R1696" i="25"/>
  <c r="P1696" i="25"/>
  <c r="A1696" i="25"/>
  <c r="R1695" i="25"/>
  <c r="P1695" i="25"/>
  <c r="A1695" i="25"/>
  <c r="R1694" i="25"/>
  <c r="P1694" i="25"/>
  <c r="A1694" i="25"/>
  <c r="R1693" i="25"/>
  <c r="P1693" i="25"/>
  <c r="A1693" i="25"/>
  <c r="R1692" i="25"/>
  <c r="P1692" i="25"/>
  <c r="A1692" i="25"/>
  <c r="R1691" i="25"/>
  <c r="P1691" i="25"/>
  <c r="A1691" i="25"/>
  <c r="R1690" i="25"/>
  <c r="P1690" i="25"/>
  <c r="A1690" i="25"/>
  <c r="R1689" i="25"/>
  <c r="P1689" i="25"/>
  <c r="A1689" i="25"/>
  <c r="R1688" i="25"/>
  <c r="P1688" i="25"/>
  <c r="A1688" i="25"/>
  <c r="R1687" i="25"/>
  <c r="P1687" i="25"/>
  <c r="A1687" i="25"/>
  <c r="R1686" i="25"/>
  <c r="P1686" i="25"/>
  <c r="A1686" i="25"/>
  <c r="R1685" i="25"/>
  <c r="P1685" i="25"/>
  <c r="A1685" i="25"/>
  <c r="R1684" i="25"/>
  <c r="P1684" i="25"/>
  <c r="A1684" i="25"/>
  <c r="R1683" i="25"/>
  <c r="P1683" i="25"/>
  <c r="A1683" i="25"/>
  <c r="R1682" i="25"/>
  <c r="P1682" i="25"/>
  <c r="A1682" i="25"/>
  <c r="R1681" i="25"/>
  <c r="P1681" i="25"/>
  <c r="A1681" i="25"/>
  <c r="R1680" i="25"/>
  <c r="P1680" i="25"/>
  <c r="A1680" i="25"/>
  <c r="R1679" i="25"/>
  <c r="P1679" i="25"/>
  <c r="A1679" i="25"/>
  <c r="R1678" i="25"/>
  <c r="P1678" i="25"/>
  <c r="A1678" i="25"/>
  <c r="R1677" i="25"/>
  <c r="P1677" i="25"/>
  <c r="A1677" i="25"/>
  <c r="R1676" i="25"/>
  <c r="P1676" i="25"/>
  <c r="A1676" i="25"/>
  <c r="R1675" i="25"/>
  <c r="P1675" i="25"/>
  <c r="A1675" i="25"/>
  <c r="R1674" i="25"/>
  <c r="P1674" i="25"/>
  <c r="A1674" i="25"/>
  <c r="R1673" i="25"/>
  <c r="P1673" i="25"/>
  <c r="A1673" i="25"/>
  <c r="R1672" i="25"/>
  <c r="P1672" i="25"/>
  <c r="A1672" i="25"/>
  <c r="R1671" i="25"/>
  <c r="P1671" i="25"/>
  <c r="A1671" i="25"/>
  <c r="R1670" i="25"/>
  <c r="P1670" i="25"/>
  <c r="A1670" i="25"/>
  <c r="R1669" i="25"/>
  <c r="P1669" i="25"/>
  <c r="A1669" i="25"/>
  <c r="R1668" i="25"/>
  <c r="P1668" i="25"/>
  <c r="A1668" i="25"/>
  <c r="R1667" i="25"/>
  <c r="P1667" i="25"/>
  <c r="A1667" i="25"/>
  <c r="R1666" i="25"/>
  <c r="P1666" i="25"/>
  <c r="A1666" i="25"/>
  <c r="R1665" i="25"/>
  <c r="P1665" i="25"/>
  <c r="A1665" i="25"/>
  <c r="R1664" i="25"/>
  <c r="P1664" i="25"/>
  <c r="A1664" i="25"/>
  <c r="R1663" i="25"/>
  <c r="P1663" i="25"/>
  <c r="A1663" i="25"/>
  <c r="R1662" i="25"/>
  <c r="P1662" i="25"/>
  <c r="A1662" i="25"/>
  <c r="R1661" i="25"/>
  <c r="P1661" i="25"/>
  <c r="A1661" i="25"/>
  <c r="R1660" i="25"/>
  <c r="P1660" i="25"/>
  <c r="A1660" i="25"/>
  <c r="R1659" i="25"/>
  <c r="P1659" i="25"/>
  <c r="A1659" i="25"/>
  <c r="R1658" i="25"/>
  <c r="P1658" i="25"/>
  <c r="A1658" i="25"/>
  <c r="R1657" i="25"/>
  <c r="P1657" i="25"/>
  <c r="A1657" i="25"/>
  <c r="R1656" i="25"/>
  <c r="P1656" i="25"/>
  <c r="A1656" i="25"/>
  <c r="R1655" i="25"/>
  <c r="P1655" i="25"/>
  <c r="A1655" i="25"/>
  <c r="R1654" i="25"/>
  <c r="P1654" i="25"/>
  <c r="A1654" i="25"/>
  <c r="R1653" i="25"/>
  <c r="P1653" i="25"/>
  <c r="A1653" i="25"/>
  <c r="R1652" i="25"/>
  <c r="P1652" i="25"/>
  <c r="A1652" i="25"/>
  <c r="R1651" i="25"/>
  <c r="P1651" i="25"/>
  <c r="A1651" i="25"/>
  <c r="R1650" i="25"/>
  <c r="P1650" i="25"/>
  <c r="A1650" i="25"/>
  <c r="R1649" i="25"/>
  <c r="P1649" i="25"/>
  <c r="A1649" i="25"/>
  <c r="R1648" i="25"/>
  <c r="P1648" i="25"/>
  <c r="A1648" i="25"/>
  <c r="R1647" i="25"/>
  <c r="P1647" i="25"/>
  <c r="A1647" i="25"/>
  <c r="R1646" i="25"/>
  <c r="P1646" i="25"/>
  <c r="A1646" i="25"/>
  <c r="R1645" i="25"/>
  <c r="P1645" i="25"/>
  <c r="A1645" i="25"/>
  <c r="R1644" i="25"/>
  <c r="P1644" i="25"/>
  <c r="A1644" i="25"/>
  <c r="R1643" i="25"/>
  <c r="P1643" i="25"/>
  <c r="A1643" i="25"/>
  <c r="R1642" i="25"/>
  <c r="P1642" i="25"/>
  <c r="A1642" i="25"/>
  <c r="R1641" i="25"/>
  <c r="P1641" i="25"/>
  <c r="A1641" i="25"/>
  <c r="R1640" i="25"/>
  <c r="P1640" i="25"/>
  <c r="A1640" i="25"/>
  <c r="R1639" i="25"/>
  <c r="P1639" i="25"/>
  <c r="A1639" i="25"/>
  <c r="R1638" i="25"/>
  <c r="P1638" i="25"/>
  <c r="A1638" i="25"/>
  <c r="R1637" i="25"/>
  <c r="P1637" i="25"/>
  <c r="A1637" i="25"/>
  <c r="R1636" i="25"/>
  <c r="P1636" i="25"/>
  <c r="A1636" i="25"/>
  <c r="R1635" i="25"/>
  <c r="P1635" i="25"/>
  <c r="A1635" i="25"/>
  <c r="R1634" i="25"/>
  <c r="P1634" i="25"/>
  <c r="A1634" i="25"/>
  <c r="R1633" i="25"/>
  <c r="P1633" i="25"/>
  <c r="A1633" i="25"/>
  <c r="R1632" i="25"/>
  <c r="P1632" i="25"/>
  <c r="A1632" i="25"/>
  <c r="R1631" i="25"/>
  <c r="P1631" i="25"/>
  <c r="A1631" i="25"/>
  <c r="R1630" i="25"/>
  <c r="P1630" i="25"/>
  <c r="A1630" i="25"/>
  <c r="R1629" i="25"/>
  <c r="P1629" i="25"/>
  <c r="A1629" i="25"/>
  <c r="R1628" i="25"/>
  <c r="P1628" i="25"/>
  <c r="A1628" i="25"/>
  <c r="R1627" i="25"/>
  <c r="P1627" i="25"/>
  <c r="A1627" i="25"/>
  <c r="R1626" i="25"/>
  <c r="P1626" i="25"/>
  <c r="A1626" i="25"/>
  <c r="R1625" i="25"/>
  <c r="P1625" i="25"/>
  <c r="A1625" i="25"/>
  <c r="R1624" i="25"/>
  <c r="P1624" i="25"/>
  <c r="A1624" i="25"/>
  <c r="R1623" i="25"/>
  <c r="P1623" i="25"/>
  <c r="A1623" i="25"/>
  <c r="R1622" i="25"/>
  <c r="P1622" i="25"/>
  <c r="A1622" i="25"/>
  <c r="R1621" i="25"/>
  <c r="P1621" i="25"/>
  <c r="A1621" i="25"/>
  <c r="R1620" i="25"/>
  <c r="P1620" i="25"/>
  <c r="A1620" i="25"/>
  <c r="R1619" i="25"/>
  <c r="P1619" i="25"/>
  <c r="A1619" i="25"/>
  <c r="R1618" i="25"/>
  <c r="P1618" i="25"/>
  <c r="A1618" i="25"/>
  <c r="R1617" i="25"/>
  <c r="P1617" i="25"/>
  <c r="A1617" i="25"/>
  <c r="R1616" i="25"/>
  <c r="P1616" i="25"/>
  <c r="A1616" i="25"/>
  <c r="R1615" i="25"/>
  <c r="P1615" i="25"/>
  <c r="A1615" i="25"/>
  <c r="R1614" i="25"/>
  <c r="P1614" i="25"/>
  <c r="A1614" i="25"/>
  <c r="R1613" i="25"/>
  <c r="P1613" i="25"/>
  <c r="A1613" i="25"/>
  <c r="R1612" i="25"/>
  <c r="P1612" i="25"/>
  <c r="A1612" i="25"/>
  <c r="R1611" i="25"/>
  <c r="P1611" i="25"/>
  <c r="A1611" i="25"/>
  <c r="R1610" i="25"/>
  <c r="P1610" i="25"/>
  <c r="A1610" i="25"/>
  <c r="R1609" i="25"/>
  <c r="P1609" i="25"/>
  <c r="A1609" i="25"/>
  <c r="R1608" i="25"/>
  <c r="P1608" i="25"/>
  <c r="A1608" i="25"/>
  <c r="R1607" i="25"/>
  <c r="P1607" i="25"/>
  <c r="A1607" i="25"/>
  <c r="R1606" i="25"/>
  <c r="P1606" i="25"/>
  <c r="A1606" i="25"/>
  <c r="R1605" i="25"/>
  <c r="P1605" i="25"/>
  <c r="A1605" i="25"/>
  <c r="R1604" i="25"/>
  <c r="P1604" i="25"/>
  <c r="A1604" i="25"/>
  <c r="R1603" i="25"/>
  <c r="P1603" i="25"/>
  <c r="A1603" i="25"/>
  <c r="R1602" i="25"/>
  <c r="P1602" i="25"/>
  <c r="A1602" i="25"/>
  <c r="R1601" i="25"/>
  <c r="P1601" i="25"/>
  <c r="A1601" i="25"/>
  <c r="R1600" i="25"/>
  <c r="P1600" i="25"/>
  <c r="A1600" i="25"/>
  <c r="R1599" i="25"/>
  <c r="P1599" i="25"/>
  <c r="A1599" i="25"/>
  <c r="R1598" i="25"/>
  <c r="P1598" i="25"/>
  <c r="A1598" i="25"/>
  <c r="R1597" i="25"/>
  <c r="P1597" i="25"/>
  <c r="A1597" i="25"/>
  <c r="R1596" i="25"/>
  <c r="P1596" i="25"/>
  <c r="A1596" i="25"/>
  <c r="R1595" i="25"/>
  <c r="P1595" i="25"/>
  <c r="A1595" i="25"/>
  <c r="R1594" i="25"/>
  <c r="P1594" i="25"/>
  <c r="A1594" i="25"/>
  <c r="R1593" i="25"/>
  <c r="P1593" i="25"/>
  <c r="A1593" i="25"/>
  <c r="R1592" i="25"/>
  <c r="P1592" i="25"/>
  <c r="A1592" i="25"/>
  <c r="R1591" i="25"/>
  <c r="P1591" i="25"/>
  <c r="A1591" i="25"/>
  <c r="R1590" i="25"/>
  <c r="P1590" i="25"/>
  <c r="A1590" i="25"/>
  <c r="R1589" i="25"/>
  <c r="P1589" i="25"/>
  <c r="A1589" i="25"/>
  <c r="R1588" i="25"/>
  <c r="P1588" i="25"/>
  <c r="A1588" i="25"/>
  <c r="R1587" i="25"/>
  <c r="P1587" i="25"/>
  <c r="A1587" i="25"/>
  <c r="R1586" i="25"/>
  <c r="P1586" i="25"/>
  <c r="A1586" i="25"/>
  <c r="R1585" i="25"/>
  <c r="P1585" i="25"/>
  <c r="A1585" i="25"/>
  <c r="R1584" i="25"/>
  <c r="P1584" i="25"/>
  <c r="A1584" i="25"/>
  <c r="R1583" i="25"/>
  <c r="P1583" i="25"/>
  <c r="A1583" i="25"/>
  <c r="R1582" i="25"/>
  <c r="P1582" i="25"/>
  <c r="A1582" i="25"/>
  <c r="R1581" i="25"/>
  <c r="P1581" i="25"/>
  <c r="A1581" i="25"/>
  <c r="R1580" i="25"/>
  <c r="P1580" i="25"/>
  <c r="A1580" i="25"/>
  <c r="R1579" i="25"/>
  <c r="P1579" i="25"/>
  <c r="A1579" i="25"/>
  <c r="R1578" i="25"/>
  <c r="P1578" i="25"/>
  <c r="A1578" i="25"/>
  <c r="R1577" i="25"/>
  <c r="P1577" i="25"/>
  <c r="A1577" i="25"/>
  <c r="R1576" i="25"/>
  <c r="P1576" i="25"/>
  <c r="A1576" i="25"/>
  <c r="R1575" i="25"/>
  <c r="P1575" i="25"/>
  <c r="A1575" i="25"/>
  <c r="R1574" i="25"/>
  <c r="P1574" i="25"/>
  <c r="A1574" i="25"/>
  <c r="R1573" i="25"/>
  <c r="P1573" i="25"/>
  <c r="A1573" i="25"/>
  <c r="R1572" i="25"/>
  <c r="P1572" i="25"/>
  <c r="A1572" i="25"/>
  <c r="R1571" i="25"/>
  <c r="P1571" i="25"/>
  <c r="A1571" i="25"/>
  <c r="R1570" i="25"/>
  <c r="P1570" i="25"/>
  <c r="A1570" i="25"/>
  <c r="R1569" i="25"/>
  <c r="P1569" i="25"/>
  <c r="A1569" i="25"/>
  <c r="R1568" i="25"/>
  <c r="P1568" i="25"/>
  <c r="A1568" i="25"/>
  <c r="R1567" i="25"/>
  <c r="P1567" i="25"/>
  <c r="A1567" i="25"/>
  <c r="R1566" i="25"/>
  <c r="P1566" i="25"/>
  <c r="A1566" i="25"/>
  <c r="R1565" i="25"/>
  <c r="P1565" i="25"/>
  <c r="A1565" i="25"/>
  <c r="R1564" i="25"/>
  <c r="P1564" i="25"/>
  <c r="A1564" i="25"/>
  <c r="R1563" i="25"/>
  <c r="P1563" i="25"/>
  <c r="A1563" i="25"/>
  <c r="R1562" i="25"/>
  <c r="P1562" i="25"/>
  <c r="A1562" i="25"/>
  <c r="R1561" i="25"/>
  <c r="P1561" i="25"/>
  <c r="A1561" i="25"/>
  <c r="R1560" i="25"/>
  <c r="P1560" i="25"/>
  <c r="A1560" i="25"/>
  <c r="R1559" i="25"/>
  <c r="P1559" i="25"/>
  <c r="A1559" i="25"/>
  <c r="R1558" i="25"/>
  <c r="P1558" i="25"/>
  <c r="A1558" i="25"/>
  <c r="R1557" i="25"/>
  <c r="P1557" i="25"/>
  <c r="A1557" i="25"/>
  <c r="R1556" i="25"/>
  <c r="P1556" i="25"/>
  <c r="A1556" i="25"/>
  <c r="R1555" i="25"/>
  <c r="P1555" i="25"/>
  <c r="A1555" i="25"/>
  <c r="R1554" i="25"/>
  <c r="P1554" i="25"/>
  <c r="A1554" i="25"/>
  <c r="R1553" i="25"/>
  <c r="P1553" i="25"/>
  <c r="A1553" i="25"/>
  <c r="R1552" i="25"/>
  <c r="P1552" i="25"/>
  <c r="A1552" i="25"/>
  <c r="R1551" i="25"/>
  <c r="P1551" i="25"/>
  <c r="A1551" i="25"/>
  <c r="R1550" i="25"/>
  <c r="P1550" i="25"/>
  <c r="A1550" i="25"/>
  <c r="R1549" i="25"/>
  <c r="P1549" i="25"/>
  <c r="A1549" i="25"/>
  <c r="R1548" i="25"/>
  <c r="P1548" i="25"/>
  <c r="A1548" i="25"/>
  <c r="R1547" i="25"/>
  <c r="P1547" i="25"/>
  <c r="A1547" i="25"/>
  <c r="R1546" i="25"/>
  <c r="P1546" i="25"/>
  <c r="A1546" i="25"/>
  <c r="R1545" i="25"/>
  <c r="P1545" i="25"/>
  <c r="A1545" i="25"/>
  <c r="R1544" i="25"/>
  <c r="P1544" i="25"/>
  <c r="A1544" i="25"/>
  <c r="R1543" i="25"/>
  <c r="P1543" i="25"/>
  <c r="A1543" i="25"/>
  <c r="R1542" i="25"/>
  <c r="P1542" i="25"/>
  <c r="A1542" i="25"/>
  <c r="R1541" i="25"/>
  <c r="P1541" i="25"/>
  <c r="A1541" i="25"/>
  <c r="R1540" i="25"/>
  <c r="P1540" i="25"/>
  <c r="A1540" i="25"/>
  <c r="R1539" i="25"/>
  <c r="P1539" i="25"/>
  <c r="A1539" i="25"/>
  <c r="R1538" i="25"/>
  <c r="P1538" i="25"/>
  <c r="A1538" i="25"/>
  <c r="R1537" i="25"/>
  <c r="P1537" i="25"/>
  <c r="A1537" i="25"/>
  <c r="R1536" i="25"/>
  <c r="P1536" i="25"/>
  <c r="A1536" i="25"/>
  <c r="R1535" i="25"/>
  <c r="P1535" i="25"/>
  <c r="A1535" i="25"/>
  <c r="R1534" i="25"/>
  <c r="P1534" i="25"/>
  <c r="A1534" i="25"/>
  <c r="R1533" i="25"/>
  <c r="P1533" i="25"/>
  <c r="A1533" i="25"/>
  <c r="R1532" i="25"/>
  <c r="P1532" i="25"/>
  <c r="A1532" i="25"/>
  <c r="R1531" i="25"/>
  <c r="P1531" i="25"/>
  <c r="A1531" i="25"/>
  <c r="R1530" i="25"/>
  <c r="P1530" i="25"/>
  <c r="A1530" i="25"/>
  <c r="R1529" i="25"/>
  <c r="P1529" i="25"/>
  <c r="A1529" i="25"/>
  <c r="R1528" i="25"/>
  <c r="P1528" i="25"/>
  <c r="A1528" i="25"/>
  <c r="R1527" i="25"/>
  <c r="P1527" i="25"/>
  <c r="A1527" i="25"/>
  <c r="R1526" i="25"/>
  <c r="P1526" i="25"/>
  <c r="A1526" i="25"/>
  <c r="R1525" i="25"/>
  <c r="P1525" i="25"/>
  <c r="A1525" i="25"/>
  <c r="R1524" i="25"/>
  <c r="P1524" i="25"/>
  <c r="A1524" i="25"/>
  <c r="R1523" i="25"/>
  <c r="P1523" i="25"/>
  <c r="A1523" i="25"/>
  <c r="R1522" i="25"/>
  <c r="P1522" i="25"/>
  <c r="A1522" i="25"/>
  <c r="R1521" i="25"/>
  <c r="P1521" i="25"/>
  <c r="A1521" i="25"/>
  <c r="R1520" i="25"/>
  <c r="P1520" i="25"/>
  <c r="A1520" i="25"/>
  <c r="R1519" i="25"/>
  <c r="P1519" i="25"/>
  <c r="A1519" i="25"/>
  <c r="R1518" i="25"/>
  <c r="P1518" i="25"/>
  <c r="A1518" i="25"/>
  <c r="R1517" i="25"/>
  <c r="P1517" i="25"/>
  <c r="A1517" i="25"/>
  <c r="R1516" i="25"/>
  <c r="P1516" i="25"/>
  <c r="A1516" i="25"/>
  <c r="R1515" i="25"/>
  <c r="P1515" i="25"/>
  <c r="A1515" i="25"/>
  <c r="R1514" i="25"/>
  <c r="P1514" i="25"/>
  <c r="A1514" i="25"/>
  <c r="R1513" i="25"/>
  <c r="P1513" i="25"/>
  <c r="A1513" i="25"/>
  <c r="R1512" i="25"/>
  <c r="P1512" i="25"/>
  <c r="A1512" i="25"/>
  <c r="R1511" i="25"/>
  <c r="P1511" i="25"/>
  <c r="A1511" i="25"/>
  <c r="R1510" i="25"/>
  <c r="P1510" i="25"/>
  <c r="A1510" i="25"/>
  <c r="R1509" i="25"/>
  <c r="P1509" i="25"/>
  <c r="A1509" i="25"/>
  <c r="R1508" i="25"/>
  <c r="P1508" i="25"/>
  <c r="A1508" i="25"/>
  <c r="R1507" i="25"/>
  <c r="P1507" i="25"/>
  <c r="A1507" i="25"/>
  <c r="R1506" i="25"/>
  <c r="P1506" i="25"/>
  <c r="A1506" i="25"/>
  <c r="R1505" i="25"/>
  <c r="P1505" i="25"/>
  <c r="A1505" i="25"/>
  <c r="R1504" i="25"/>
  <c r="P1504" i="25"/>
  <c r="A1504" i="25"/>
  <c r="R1503" i="25"/>
  <c r="P1503" i="25"/>
  <c r="A1503" i="25"/>
  <c r="R1502" i="25"/>
  <c r="P1502" i="25"/>
  <c r="A1502" i="25"/>
  <c r="R1501" i="25"/>
  <c r="P1501" i="25"/>
  <c r="A1501" i="25"/>
  <c r="R1500" i="25"/>
  <c r="P1500" i="25"/>
  <c r="A1500" i="25"/>
  <c r="R1499" i="25"/>
  <c r="P1499" i="25"/>
  <c r="A1499" i="25"/>
  <c r="R1498" i="25"/>
  <c r="P1498" i="25"/>
  <c r="A1498" i="25"/>
  <c r="R1497" i="25"/>
  <c r="P1497" i="25"/>
  <c r="A1497" i="25"/>
  <c r="R1496" i="25"/>
  <c r="P1496" i="25"/>
  <c r="A1496" i="25"/>
  <c r="R1495" i="25"/>
  <c r="P1495" i="25"/>
  <c r="A1495" i="25"/>
  <c r="R1494" i="25"/>
  <c r="P1494" i="25"/>
  <c r="A1494" i="25"/>
  <c r="R1493" i="25"/>
  <c r="P1493" i="25"/>
  <c r="A1493" i="25"/>
  <c r="R1492" i="25"/>
  <c r="P1492" i="25"/>
  <c r="A1492" i="25"/>
  <c r="R1491" i="25"/>
  <c r="P1491" i="25"/>
  <c r="A1491" i="25"/>
  <c r="R1490" i="25"/>
  <c r="P1490" i="25"/>
  <c r="A1490" i="25"/>
  <c r="R1489" i="25"/>
  <c r="P1489" i="25"/>
  <c r="A1489" i="25"/>
  <c r="R1488" i="25"/>
  <c r="P1488" i="25"/>
  <c r="A1488" i="25"/>
  <c r="R1487" i="25"/>
  <c r="P1487" i="25"/>
  <c r="A1487" i="25"/>
  <c r="R1486" i="25"/>
  <c r="P1486" i="25"/>
  <c r="A1486" i="25"/>
  <c r="R1485" i="25"/>
  <c r="P1485" i="25"/>
  <c r="A1485" i="25"/>
  <c r="R1484" i="25"/>
  <c r="P1484" i="25"/>
  <c r="A1484" i="25"/>
  <c r="R1483" i="25"/>
  <c r="P1483" i="25"/>
  <c r="A1483" i="25"/>
  <c r="R1482" i="25"/>
  <c r="P1482" i="25"/>
  <c r="A1482" i="25"/>
  <c r="R1481" i="25"/>
  <c r="P1481" i="25"/>
  <c r="A1481" i="25"/>
  <c r="R1480" i="25"/>
  <c r="P1480" i="25"/>
  <c r="A1480" i="25"/>
  <c r="R1479" i="25"/>
  <c r="P1479" i="25"/>
  <c r="A1479" i="25"/>
  <c r="R1478" i="25"/>
  <c r="P1478" i="25"/>
  <c r="A1478" i="25"/>
  <c r="R1477" i="25"/>
  <c r="P1477" i="25"/>
  <c r="A1477" i="25"/>
  <c r="R1476" i="25"/>
  <c r="P1476" i="25"/>
  <c r="A1476" i="25"/>
  <c r="R1475" i="25"/>
  <c r="P1475" i="25"/>
  <c r="A1475" i="25"/>
  <c r="R1474" i="25"/>
  <c r="P1474" i="25"/>
  <c r="A1474" i="25"/>
  <c r="R1473" i="25"/>
  <c r="P1473" i="25"/>
  <c r="A1473" i="25"/>
  <c r="R1472" i="25"/>
  <c r="P1472" i="25"/>
  <c r="A1472" i="25"/>
  <c r="R1471" i="25"/>
  <c r="P1471" i="25"/>
  <c r="A1471" i="25"/>
  <c r="R1470" i="25"/>
  <c r="P1470" i="25"/>
  <c r="A1470" i="25"/>
  <c r="R1469" i="25"/>
  <c r="P1469" i="25"/>
  <c r="A1469" i="25"/>
  <c r="R1468" i="25"/>
  <c r="P1468" i="25"/>
  <c r="A1468" i="25"/>
  <c r="R1467" i="25"/>
  <c r="P1467" i="25"/>
  <c r="A1467" i="25"/>
  <c r="R1466" i="25"/>
  <c r="P1466" i="25"/>
  <c r="A1466" i="25"/>
  <c r="R1465" i="25"/>
  <c r="P1465" i="25"/>
  <c r="A1465" i="25"/>
  <c r="R1464" i="25"/>
  <c r="P1464" i="25"/>
  <c r="A1464" i="25"/>
  <c r="R1463" i="25"/>
  <c r="P1463" i="25"/>
  <c r="A1463" i="25"/>
  <c r="R1462" i="25"/>
  <c r="P1462" i="25"/>
  <c r="A1462" i="25"/>
  <c r="R1461" i="25"/>
  <c r="P1461" i="25"/>
  <c r="A1461" i="25"/>
  <c r="R1460" i="25"/>
  <c r="P1460" i="25"/>
  <c r="A1460" i="25"/>
  <c r="R1459" i="25"/>
  <c r="P1459" i="25"/>
  <c r="A1459" i="25"/>
  <c r="R1458" i="25"/>
  <c r="P1458" i="25"/>
  <c r="A1458" i="25"/>
  <c r="R1457" i="25"/>
  <c r="P1457" i="25"/>
  <c r="A1457" i="25"/>
  <c r="R1456" i="25"/>
  <c r="P1456" i="25"/>
  <c r="A1456" i="25"/>
  <c r="R1455" i="25"/>
  <c r="P1455" i="25"/>
  <c r="A1455" i="25"/>
  <c r="R1454" i="25"/>
  <c r="P1454" i="25"/>
  <c r="A1454" i="25"/>
  <c r="R1453" i="25"/>
  <c r="P1453" i="25"/>
  <c r="A1453" i="25"/>
  <c r="R1452" i="25"/>
  <c r="P1452" i="25"/>
  <c r="A1452" i="25"/>
  <c r="R1451" i="25"/>
  <c r="P1451" i="25"/>
  <c r="A1451" i="25"/>
  <c r="R1450" i="25"/>
  <c r="P1450" i="25"/>
  <c r="A1450" i="25"/>
  <c r="R1449" i="25"/>
  <c r="P1449" i="25"/>
  <c r="A1449" i="25"/>
  <c r="R1448" i="25"/>
  <c r="P1448" i="25"/>
  <c r="A1448" i="25"/>
  <c r="R1447" i="25"/>
  <c r="P1447" i="25"/>
  <c r="A1447" i="25"/>
  <c r="R1446" i="25"/>
  <c r="P1446" i="25"/>
  <c r="A1446" i="25"/>
  <c r="R1445" i="25"/>
  <c r="P1445" i="25"/>
  <c r="A1445" i="25"/>
  <c r="R1444" i="25"/>
  <c r="P1444" i="25"/>
  <c r="A1444" i="25"/>
  <c r="R1443" i="25"/>
  <c r="P1443" i="25"/>
  <c r="A1443" i="25"/>
  <c r="R1442" i="25"/>
  <c r="P1442" i="25"/>
  <c r="A1442" i="25"/>
  <c r="R1441" i="25"/>
  <c r="P1441" i="25"/>
  <c r="A1441" i="25"/>
  <c r="R1440" i="25"/>
  <c r="P1440" i="25"/>
  <c r="A1440" i="25"/>
  <c r="R1439" i="25"/>
  <c r="P1439" i="25"/>
  <c r="A1439" i="25"/>
  <c r="R1438" i="25"/>
  <c r="P1438" i="25"/>
  <c r="A1438" i="25"/>
  <c r="R1437" i="25"/>
  <c r="P1437" i="25"/>
  <c r="A1437" i="25"/>
  <c r="R1436" i="25"/>
  <c r="P1436" i="25"/>
  <c r="A1436" i="25"/>
  <c r="R1435" i="25"/>
  <c r="P1435" i="25"/>
  <c r="A1435" i="25"/>
  <c r="R1434" i="25"/>
  <c r="P1434" i="25"/>
  <c r="A1434" i="25"/>
  <c r="R1433" i="25"/>
  <c r="P1433" i="25"/>
  <c r="A1433" i="25"/>
  <c r="R1432" i="25"/>
  <c r="P1432" i="25"/>
  <c r="A1432" i="25"/>
  <c r="R1431" i="25"/>
  <c r="P1431" i="25"/>
  <c r="A1431" i="25"/>
  <c r="R1430" i="25"/>
  <c r="P1430" i="25"/>
  <c r="A1430" i="25"/>
  <c r="R1429" i="25"/>
  <c r="P1429" i="25"/>
  <c r="A1429" i="25"/>
  <c r="R1428" i="25"/>
  <c r="P1428" i="25"/>
  <c r="A1428" i="25"/>
  <c r="R1427" i="25"/>
  <c r="P1427" i="25"/>
  <c r="A1427" i="25"/>
  <c r="R1426" i="25"/>
  <c r="P1426" i="25"/>
  <c r="A1426" i="25"/>
  <c r="R1425" i="25"/>
  <c r="P1425" i="25"/>
  <c r="A1425" i="25"/>
  <c r="R1424" i="25"/>
  <c r="P1424" i="25"/>
  <c r="A1424" i="25"/>
  <c r="R1423" i="25"/>
  <c r="P1423" i="25"/>
  <c r="A1423" i="25"/>
  <c r="R1422" i="25"/>
  <c r="P1422" i="25"/>
  <c r="A1422" i="25"/>
  <c r="R1421" i="25"/>
  <c r="P1421" i="25"/>
  <c r="A1421" i="25"/>
  <c r="R1420" i="25"/>
  <c r="P1420" i="25"/>
  <c r="A1420" i="25"/>
  <c r="R1419" i="25"/>
  <c r="P1419" i="25"/>
  <c r="A1419" i="25"/>
  <c r="R1418" i="25"/>
  <c r="P1418" i="25"/>
  <c r="A1418" i="25"/>
  <c r="R1417" i="25"/>
  <c r="P1417" i="25"/>
  <c r="A1417" i="25"/>
  <c r="R1416" i="25"/>
  <c r="P1416" i="25"/>
  <c r="A1416" i="25"/>
  <c r="R1415" i="25"/>
  <c r="P1415" i="25"/>
  <c r="A1415" i="25"/>
  <c r="R1414" i="25"/>
  <c r="P1414" i="25"/>
  <c r="A1414" i="25"/>
  <c r="R1413" i="25"/>
  <c r="P1413" i="25"/>
  <c r="A1413" i="25"/>
  <c r="R1412" i="25"/>
  <c r="P1412" i="25"/>
  <c r="A1412" i="25"/>
  <c r="R1411" i="25"/>
  <c r="P1411" i="25"/>
  <c r="A1411" i="25"/>
  <c r="R1410" i="25"/>
  <c r="P1410" i="25"/>
  <c r="A1410" i="25"/>
  <c r="R1409" i="25"/>
  <c r="P1409" i="25"/>
  <c r="A1409" i="25"/>
  <c r="R1408" i="25"/>
  <c r="P1408" i="25"/>
  <c r="A1408" i="25"/>
  <c r="R1407" i="25"/>
  <c r="P1407" i="25"/>
  <c r="A1407" i="25"/>
  <c r="R1406" i="25"/>
  <c r="P1406" i="25"/>
  <c r="A1406" i="25"/>
  <c r="R1405" i="25"/>
  <c r="P1405" i="25"/>
  <c r="A1405" i="25"/>
  <c r="R1404" i="25"/>
  <c r="P1404" i="25"/>
  <c r="A1404" i="25"/>
  <c r="R1403" i="25"/>
  <c r="P1403" i="25"/>
  <c r="A1403" i="25"/>
  <c r="R1402" i="25"/>
  <c r="P1402" i="25"/>
  <c r="A1402" i="25"/>
  <c r="R1401" i="25"/>
  <c r="P1401" i="25"/>
  <c r="A1401" i="25"/>
  <c r="R1400" i="25"/>
  <c r="P1400" i="25"/>
  <c r="A1400" i="25"/>
  <c r="R1399" i="25"/>
  <c r="P1399" i="25"/>
  <c r="A1399" i="25"/>
  <c r="R1398" i="25"/>
  <c r="P1398" i="25"/>
  <c r="A1398" i="25"/>
  <c r="R1397" i="25"/>
  <c r="P1397" i="25"/>
  <c r="A1397" i="25"/>
  <c r="R1396" i="25"/>
  <c r="P1396" i="25"/>
  <c r="A1396" i="25"/>
  <c r="R1395" i="25"/>
  <c r="P1395" i="25"/>
  <c r="A1395" i="25"/>
  <c r="R1394" i="25"/>
  <c r="P1394" i="25"/>
  <c r="A1394" i="25"/>
  <c r="R1393" i="25"/>
  <c r="P1393" i="25"/>
  <c r="A1393" i="25"/>
  <c r="R1392" i="25"/>
  <c r="P1392" i="25"/>
  <c r="A1392" i="25"/>
  <c r="R1391" i="25"/>
  <c r="P1391" i="25"/>
  <c r="A1391" i="25"/>
  <c r="R1390" i="25"/>
  <c r="P1390" i="25"/>
  <c r="A1390" i="25"/>
  <c r="R1389" i="25"/>
  <c r="P1389" i="25"/>
  <c r="A1389" i="25"/>
  <c r="R1388" i="25"/>
  <c r="P1388" i="25"/>
  <c r="A1388" i="25"/>
  <c r="R1387" i="25"/>
  <c r="P1387" i="25"/>
  <c r="A1387" i="25"/>
  <c r="R1386" i="25"/>
  <c r="P1386" i="25"/>
  <c r="A1386" i="25"/>
  <c r="R1385" i="25"/>
  <c r="P1385" i="25"/>
  <c r="A1385" i="25"/>
  <c r="R1384" i="25"/>
  <c r="P1384" i="25"/>
  <c r="A1384" i="25"/>
  <c r="R1383" i="25"/>
  <c r="P1383" i="25"/>
  <c r="A1383" i="25"/>
  <c r="R1382" i="25"/>
  <c r="P1382" i="25"/>
  <c r="A1382" i="25"/>
  <c r="R1381" i="25"/>
  <c r="P1381" i="25"/>
  <c r="A1381" i="25"/>
  <c r="R1380" i="25"/>
  <c r="P1380" i="25"/>
  <c r="A1380" i="25"/>
  <c r="R1379" i="25"/>
  <c r="P1379" i="25"/>
  <c r="A1379" i="25"/>
  <c r="R1378" i="25"/>
  <c r="P1378" i="25"/>
  <c r="A1378" i="25"/>
  <c r="R1377" i="25"/>
  <c r="P1377" i="25"/>
  <c r="A1377" i="25"/>
  <c r="R1376" i="25"/>
  <c r="P1376" i="25"/>
  <c r="A1376" i="25"/>
  <c r="R1375" i="25"/>
  <c r="P1375" i="25"/>
  <c r="A1375" i="25"/>
  <c r="R1374" i="25"/>
  <c r="P1374" i="25"/>
  <c r="A1374" i="25"/>
  <c r="R1373" i="25"/>
  <c r="P1373" i="25"/>
  <c r="A1373" i="25"/>
  <c r="R1372" i="25"/>
  <c r="P1372" i="25"/>
  <c r="A1372" i="25"/>
  <c r="R1371" i="25"/>
  <c r="P1371" i="25"/>
  <c r="A1371" i="25"/>
  <c r="R1370" i="25"/>
  <c r="P1370" i="25"/>
  <c r="A1370" i="25"/>
  <c r="R1369" i="25"/>
  <c r="P1369" i="25"/>
  <c r="A1369" i="25"/>
  <c r="R1368" i="25"/>
  <c r="P1368" i="25"/>
  <c r="A1368" i="25"/>
  <c r="R1367" i="25"/>
  <c r="P1367" i="25"/>
  <c r="A1367" i="25"/>
  <c r="R1366" i="25"/>
  <c r="P1366" i="25"/>
  <c r="A1366" i="25"/>
  <c r="R1365" i="25"/>
  <c r="P1365" i="25"/>
  <c r="A1365" i="25"/>
  <c r="R1364" i="25"/>
  <c r="P1364" i="25"/>
  <c r="A1364" i="25"/>
  <c r="R1363" i="25"/>
  <c r="P1363" i="25"/>
  <c r="A1363" i="25"/>
  <c r="R1362" i="25"/>
  <c r="P1362" i="25"/>
  <c r="A1362" i="25"/>
  <c r="R1361" i="25"/>
  <c r="P1361" i="25"/>
  <c r="A1361" i="25"/>
  <c r="R1360" i="25"/>
  <c r="P1360" i="25"/>
  <c r="A1360" i="25"/>
  <c r="R1359" i="25"/>
  <c r="P1359" i="25"/>
  <c r="A1359" i="25"/>
  <c r="R1358" i="25"/>
  <c r="P1358" i="25"/>
  <c r="A1358" i="25"/>
  <c r="R1357" i="25"/>
  <c r="P1357" i="25"/>
  <c r="A1357" i="25"/>
  <c r="R1356" i="25"/>
  <c r="P1356" i="25"/>
  <c r="A1356" i="25"/>
  <c r="R1355" i="25"/>
  <c r="P1355" i="25"/>
  <c r="A1355" i="25"/>
  <c r="R1354" i="25"/>
  <c r="P1354" i="25"/>
  <c r="A1354" i="25"/>
  <c r="R1353" i="25"/>
  <c r="P1353" i="25"/>
  <c r="A1353" i="25"/>
  <c r="R1352" i="25"/>
  <c r="P1352" i="25"/>
  <c r="A1352" i="25"/>
  <c r="R1351" i="25"/>
  <c r="P1351" i="25"/>
  <c r="A1351" i="25"/>
  <c r="R1350" i="25"/>
  <c r="P1350" i="25"/>
  <c r="A1350" i="25"/>
  <c r="R1349" i="25"/>
  <c r="P1349" i="25"/>
  <c r="A1349" i="25"/>
  <c r="R1348" i="25"/>
  <c r="P1348" i="25"/>
  <c r="A1348" i="25"/>
  <c r="R1347" i="25"/>
  <c r="P1347" i="25"/>
  <c r="A1347" i="25"/>
  <c r="R1346" i="25"/>
  <c r="P1346" i="25"/>
  <c r="A1346" i="25"/>
  <c r="R1345" i="25"/>
  <c r="P1345" i="25"/>
  <c r="A1345" i="25"/>
  <c r="R1344" i="25"/>
  <c r="P1344" i="25"/>
  <c r="A1344" i="25"/>
  <c r="R1343" i="25"/>
  <c r="P1343" i="25"/>
  <c r="A1343" i="25"/>
  <c r="R1342" i="25"/>
  <c r="P1342" i="25"/>
  <c r="A1342" i="25"/>
  <c r="R1341" i="25"/>
  <c r="P1341" i="25"/>
  <c r="A1341" i="25"/>
  <c r="R1340" i="25"/>
  <c r="P1340" i="25"/>
  <c r="A1340" i="25"/>
  <c r="R1339" i="25"/>
  <c r="P1339" i="25"/>
  <c r="A1339" i="25"/>
  <c r="R1338" i="25"/>
  <c r="P1338" i="25"/>
  <c r="A1338" i="25"/>
  <c r="R1337" i="25"/>
  <c r="P1337" i="25"/>
  <c r="A1337" i="25"/>
  <c r="R1336" i="25"/>
  <c r="P1336" i="25"/>
  <c r="A1336" i="25"/>
  <c r="R1335" i="25"/>
  <c r="P1335" i="25"/>
  <c r="A1335" i="25"/>
  <c r="R1334" i="25"/>
  <c r="P1334" i="25"/>
  <c r="A1334" i="25"/>
  <c r="R1333" i="25"/>
  <c r="P1333" i="25"/>
  <c r="A1333" i="25"/>
  <c r="R1332" i="25"/>
  <c r="P1332" i="25"/>
  <c r="A1332" i="25"/>
  <c r="R1331" i="25"/>
  <c r="P1331" i="25"/>
  <c r="A1331" i="25"/>
  <c r="R1330" i="25"/>
  <c r="P1330" i="25"/>
  <c r="A1330" i="25"/>
  <c r="R1329" i="25"/>
  <c r="P1329" i="25"/>
  <c r="A1329" i="25"/>
  <c r="R1328" i="25"/>
  <c r="P1328" i="25"/>
  <c r="A1328" i="25"/>
  <c r="R1327" i="25"/>
  <c r="P1327" i="25"/>
  <c r="A1327" i="25"/>
  <c r="R1326" i="25"/>
  <c r="P1326" i="25"/>
  <c r="A1326" i="25"/>
  <c r="R1325" i="25"/>
  <c r="P1325" i="25"/>
  <c r="A1325" i="25"/>
  <c r="R1324" i="25"/>
  <c r="P1324" i="25"/>
  <c r="A1324" i="25"/>
  <c r="R1323" i="25"/>
  <c r="P1323" i="25"/>
  <c r="A1323" i="25"/>
  <c r="R1322" i="25"/>
  <c r="P1322" i="25"/>
  <c r="A1322" i="25"/>
  <c r="R1321" i="25"/>
  <c r="P1321" i="25"/>
  <c r="A1321" i="25"/>
  <c r="R1320" i="25"/>
  <c r="P1320" i="25"/>
  <c r="A1320" i="25"/>
  <c r="R1319" i="25"/>
  <c r="P1319" i="25"/>
  <c r="A1319" i="25"/>
  <c r="R1318" i="25"/>
  <c r="P1318" i="25"/>
  <c r="A1318" i="25"/>
  <c r="R1317" i="25"/>
  <c r="P1317" i="25"/>
  <c r="A1317" i="25"/>
  <c r="R1316" i="25"/>
  <c r="P1316" i="25"/>
  <c r="A1316" i="25"/>
  <c r="R1315" i="25"/>
  <c r="P1315" i="25"/>
  <c r="A1315" i="25"/>
  <c r="R1314" i="25"/>
  <c r="P1314" i="25"/>
  <c r="A1314" i="25"/>
  <c r="R1313" i="25"/>
  <c r="P1313" i="25"/>
  <c r="A1313" i="25"/>
  <c r="R1312" i="25"/>
  <c r="P1312" i="25"/>
  <c r="A1312" i="25"/>
  <c r="R1311" i="25"/>
  <c r="P1311" i="25"/>
  <c r="A1311" i="25"/>
  <c r="R1310" i="25"/>
  <c r="P1310" i="25"/>
  <c r="A1310" i="25"/>
  <c r="R1309" i="25"/>
  <c r="P1309" i="25"/>
  <c r="A1309" i="25"/>
  <c r="R1308" i="25"/>
  <c r="P1308" i="25"/>
  <c r="A1308" i="25"/>
  <c r="R1307" i="25"/>
  <c r="P1307" i="25"/>
  <c r="A1307" i="25"/>
  <c r="R1306" i="25"/>
  <c r="P1306" i="25"/>
  <c r="A1306" i="25"/>
  <c r="R1305" i="25"/>
  <c r="P1305" i="25"/>
  <c r="A1305" i="25"/>
  <c r="R1304" i="25"/>
  <c r="P1304" i="25"/>
  <c r="A1304" i="25"/>
  <c r="R1303" i="25"/>
  <c r="P1303" i="25"/>
  <c r="A1303" i="25"/>
  <c r="R1302" i="25"/>
  <c r="P1302" i="25"/>
  <c r="A1302" i="25"/>
  <c r="R1301" i="25"/>
  <c r="P1301" i="25"/>
  <c r="A1301" i="25"/>
  <c r="R1300" i="25"/>
  <c r="P1300" i="25"/>
  <c r="A1300" i="25"/>
  <c r="R1299" i="25"/>
  <c r="P1299" i="25"/>
  <c r="A1299" i="25"/>
  <c r="R1298" i="25"/>
  <c r="P1298" i="25"/>
  <c r="A1298" i="25"/>
  <c r="R1297" i="25"/>
  <c r="P1297" i="25"/>
  <c r="A1297" i="25"/>
  <c r="R1296" i="25"/>
  <c r="P1296" i="25"/>
  <c r="A1296" i="25"/>
  <c r="R1295" i="25"/>
  <c r="P1295" i="25"/>
  <c r="A1295" i="25"/>
  <c r="R1294" i="25"/>
  <c r="P1294" i="25"/>
  <c r="A1294" i="25"/>
  <c r="R1293" i="25"/>
  <c r="P1293" i="25"/>
  <c r="A1293" i="25"/>
  <c r="R1292" i="25"/>
  <c r="P1292" i="25"/>
  <c r="A1292" i="25"/>
  <c r="R1291" i="25"/>
  <c r="P1291" i="25"/>
  <c r="A1291" i="25"/>
  <c r="R1290" i="25"/>
  <c r="P1290" i="25"/>
  <c r="A1290" i="25"/>
  <c r="R1289" i="25"/>
  <c r="P1289" i="25"/>
  <c r="A1289" i="25"/>
  <c r="R1288" i="25"/>
  <c r="P1288" i="25"/>
  <c r="A1288" i="25"/>
  <c r="R1287" i="25"/>
  <c r="P1287" i="25"/>
  <c r="A1287" i="25"/>
  <c r="R1286" i="25"/>
  <c r="P1286" i="25"/>
  <c r="A1286" i="25"/>
  <c r="R1285" i="25"/>
  <c r="P1285" i="25"/>
  <c r="A1285" i="25"/>
  <c r="R1284" i="25"/>
  <c r="P1284" i="25"/>
  <c r="A1284" i="25"/>
  <c r="R1283" i="25"/>
  <c r="P1283" i="25"/>
  <c r="A1283" i="25"/>
  <c r="R1282" i="25"/>
  <c r="P1282" i="25"/>
  <c r="A1282" i="25"/>
  <c r="R1281" i="25"/>
  <c r="P1281" i="25"/>
  <c r="A1281" i="25"/>
  <c r="R1280" i="25"/>
  <c r="P1280" i="25"/>
  <c r="A1280" i="25"/>
  <c r="R1279" i="25"/>
  <c r="P1279" i="25"/>
  <c r="A1279" i="25"/>
  <c r="R1278" i="25"/>
  <c r="P1278" i="25"/>
  <c r="A1278" i="25"/>
  <c r="R1277" i="25"/>
  <c r="P1277" i="25"/>
  <c r="A1277" i="25"/>
  <c r="R1276" i="25"/>
  <c r="P1276" i="25"/>
  <c r="A1276" i="25"/>
  <c r="R1275" i="25"/>
  <c r="P1275" i="25"/>
  <c r="A1275" i="25"/>
  <c r="R1274" i="25"/>
  <c r="P1274" i="25"/>
  <c r="A1274" i="25"/>
  <c r="R1273" i="25"/>
  <c r="P1273" i="25"/>
  <c r="A1273" i="25"/>
  <c r="R1272" i="25"/>
  <c r="P1272" i="25"/>
  <c r="A1272" i="25"/>
  <c r="R1271" i="25"/>
  <c r="P1271" i="25"/>
  <c r="A1271" i="25"/>
  <c r="R1270" i="25"/>
  <c r="P1270" i="25"/>
  <c r="A1270" i="25"/>
  <c r="R1269" i="25"/>
  <c r="P1269" i="25"/>
  <c r="A1269" i="25"/>
  <c r="R1268" i="25"/>
  <c r="P1268" i="25"/>
  <c r="A1268" i="25"/>
  <c r="R1267" i="25"/>
  <c r="P1267" i="25"/>
  <c r="A1267" i="25"/>
  <c r="R1266" i="25"/>
  <c r="P1266" i="25"/>
  <c r="A1266" i="25"/>
  <c r="R1265" i="25"/>
  <c r="P1265" i="25"/>
  <c r="A1265" i="25"/>
  <c r="R1264" i="25"/>
  <c r="P1264" i="25"/>
  <c r="A1264" i="25"/>
  <c r="R1263" i="25"/>
  <c r="P1263" i="25"/>
  <c r="A1263" i="25"/>
  <c r="R1262" i="25"/>
  <c r="P1262" i="25"/>
  <c r="A1262" i="25"/>
  <c r="R1261" i="25"/>
  <c r="P1261" i="25"/>
  <c r="A1261" i="25"/>
  <c r="R1260" i="25"/>
  <c r="P1260" i="25"/>
  <c r="A1260" i="25"/>
  <c r="R1259" i="25"/>
  <c r="P1259" i="25"/>
  <c r="A1259" i="25"/>
  <c r="R1258" i="25"/>
  <c r="P1258" i="25"/>
  <c r="A1258" i="25"/>
  <c r="R1257" i="25"/>
  <c r="P1257" i="25"/>
  <c r="A1257" i="25"/>
  <c r="R1256" i="25"/>
  <c r="P1256" i="25"/>
  <c r="A1256" i="25"/>
  <c r="R1255" i="25"/>
  <c r="P1255" i="25"/>
  <c r="A1255" i="25"/>
  <c r="R1254" i="25"/>
  <c r="P1254" i="25"/>
  <c r="A1254" i="25"/>
  <c r="R1253" i="25"/>
  <c r="P1253" i="25"/>
  <c r="A1253" i="25"/>
  <c r="R1252" i="25"/>
  <c r="P1252" i="25"/>
  <c r="A1252" i="25"/>
  <c r="R1251" i="25"/>
  <c r="P1251" i="25"/>
  <c r="A1251" i="25"/>
  <c r="R1250" i="25"/>
  <c r="P1250" i="25"/>
  <c r="A1250" i="25"/>
  <c r="R1249" i="25"/>
  <c r="P1249" i="25"/>
  <c r="A1249" i="25"/>
  <c r="R1248" i="25"/>
  <c r="P1248" i="25"/>
  <c r="A1248" i="25"/>
  <c r="R1247" i="25"/>
  <c r="P1247" i="25"/>
  <c r="A1247" i="25"/>
  <c r="R1246" i="25"/>
  <c r="P1246" i="25"/>
  <c r="A1246" i="25"/>
  <c r="R1245" i="25"/>
  <c r="P1245" i="25"/>
  <c r="A1245" i="25"/>
  <c r="R1244" i="25"/>
  <c r="P1244" i="25"/>
  <c r="A1244" i="25"/>
  <c r="R1243" i="25"/>
  <c r="P1243" i="25"/>
  <c r="A1243" i="25"/>
  <c r="R1242" i="25"/>
  <c r="P1242" i="25"/>
  <c r="A1242" i="25"/>
  <c r="R1241" i="25"/>
  <c r="P1241" i="25"/>
  <c r="A1241" i="25"/>
  <c r="R1240" i="25"/>
  <c r="P1240" i="25"/>
  <c r="A1240" i="25"/>
  <c r="R1239" i="25"/>
  <c r="P1239" i="25"/>
  <c r="A1239" i="25"/>
  <c r="R1238" i="25"/>
  <c r="P1238" i="25"/>
  <c r="A1238" i="25"/>
  <c r="R1237" i="25"/>
  <c r="P1237" i="25"/>
  <c r="A1237" i="25"/>
  <c r="R1236" i="25"/>
  <c r="P1236" i="25"/>
  <c r="A1236" i="25"/>
  <c r="R1235" i="25"/>
  <c r="P1235" i="25"/>
  <c r="A1235" i="25"/>
  <c r="R1234" i="25"/>
  <c r="P1234" i="25"/>
  <c r="A1234" i="25"/>
  <c r="R1233" i="25"/>
  <c r="P1233" i="25"/>
  <c r="A1233" i="25"/>
  <c r="R1232" i="25"/>
  <c r="P1232" i="25"/>
  <c r="A1232" i="25"/>
  <c r="R1231" i="25"/>
  <c r="P1231" i="25"/>
  <c r="A1231" i="25"/>
  <c r="R1230" i="25"/>
  <c r="P1230" i="25"/>
  <c r="A1230" i="25"/>
  <c r="R1229" i="25"/>
  <c r="P1229" i="25"/>
  <c r="A1229" i="25"/>
  <c r="R1228" i="25"/>
  <c r="P1228" i="25"/>
  <c r="A1228" i="25"/>
  <c r="R1227" i="25"/>
  <c r="P1227" i="25"/>
  <c r="A1227" i="25"/>
  <c r="R1226" i="25"/>
  <c r="P1226" i="25"/>
  <c r="A1226" i="25"/>
  <c r="R1225" i="25"/>
  <c r="P1225" i="25"/>
  <c r="A1225" i="25"/>
  <c r="R1224" i="25"/>
  <c r="P1224" i="25"/>
  <c r="A1224" i="25"/>
  <c r="R1223" i="25"/>
  <c r="P1223" i="25"/>
  <c r="A1223" i="25"/>
  <c r="R1222" i="25"/>
  <c r="P1222" i="25"/>
  <c r="A1222" i="25"/>
  <c r="R1221" i="25"/>
  <c r="P1221" i="25"/>
  <c r="A1221" i="25"/>
  <c r="R1220" i="25"/>
  <c r="P1220" i="25"/>
  <c r="A1220" i="25"/>
  <c r="R1219" i="25"/>
  <c r="P1219" i="25"/>
  <c r="A1219" i="25"/>
  <c r="R1218" i="25"/>
  <c r="P1218" i="25"/>
  <c r="A1218" i="25"/>
  <c r="R1217" i="25"/>
  <c r="P1217" i="25"/>
  <c r="A1217" i="25"/>
  <c r="R1216" i="25"/>
  <c r="P1216" i="25"/>
  <c r="A1216" i="25"/>
  <c r="R1215" i="25"/>
  <c r="P1215" i="25"/>
  <c r="A1215" i="25"/>
  <c r="R1214" i="25"/>
  <c r="P1214" i="25"/>
  <c r="A1214" i="25"/>
  <c r="R1213" i="25"/>
  <c r="P1213" i="25"/>
  <c r="A1213" i="25"/>
  <c r="R1212" i="25"/>
  <c r="P1212" i="25"/>
  <c r="A1212" i="25"/>
  <c r="R1211" i="25"/>
  <c r="P1211" i="25"/>
  <c r="A1211" i="25"/>
  <c r="R1210" i="25"/>
  <c r="P1210" i="25"/>
  <c r="A1210" i="25"/>
  <c r="R1209" i="25"/>
  <c r="P1209" i="25"/>
  <c r="A1209" i="25"/>
  <c r="R1208" i="25"/>
  <c r="P1208" i="25"/>
  <c r="A1208" i="25"/>
  <c r="R1207" i="25"/>
  <c r="P1207" i="25"/>
  <c r="A1207" i="25"/>
  <c r="R1206" i="25"/>
  <c r="P1206" i="25"/>
  <c r="A1206" i="25"/>
  <c r="R1205" i="25"/>
  <c r="P1205" i="25"/>
  <c r="A1205" i="25"/>
  <c r="R1204" i="25"/>
  <c r="P1204" i="25"/>
  <c r="A1204" i="25"/>
  <c r="R1203" i="25"/>
  <c r="P1203" i="25"/>
  <c r="A1203" i="25"/>
  <c r="R1202" i="25"/>
  <c r="P1202" i="25"/>
  <c r="A1202" i="25"/>
  <c r="R1201" i="25"/>
  <c r="P1201" i="25"/>
  <c r="A1201" i="25"/>
  <c r="R1200" i="25"/>
  <c r="P1200" i="25"/>
  <c r="A1200" i="25"/>
  <c r="R1199" i="25"/>
  <c r="P1199" i="25"/>
  <c r="A1199" i="25"/>
  <c r="R1198" i="25"/>
  <c r="P1198" i="25"/>
  <c r="A1198" i="25"/>
  <c r="R1197" i="25"/>
  <c r="P1197" i="25"/>
  <c r="A1197" i="25"/>
  <c r="R1196" i="25"/>
  <c r="P1196" i="25"/>
  <c r="A1196" i="25"/>
  <c r="R1195" i="25"/>
  <c r="P1195" i="25"/>
  <c r="A1195" i="25"/>
  <c r="R1194" i="25"/>
  <c r="P1194" i="25"/>
  <c r="A1194" i="25"/>
  <c r="R1193" i="25"/>
  <c r="P1193" i="25"/>
  <c r="A1193" i="25"/>
  <c r="R1192" i="25"/>
  <c r="P1192" i="25"/>
  <c r="A1192" i="25"/>
  <c r="R1191" i="25"/>
  <c r="P1191" i="25"/>
  <c r="A1191" i="25"/>
  <c r="R1190" i="25"/>
  <c r="P1190" i="25"/>
  <c r="A1190" i="25"/>
  <c r="R1189" i="25"/>
  <c r="P1189" i="25"/>
  <c r="A1189" i="25"/>
  <c r="R1188" i="25"/>
  <c r="P1188" i="25"/>
  <c r="A1188" i="25"/>
  <c r="R1187" i="25"/>
  <c r="P1187" i="25"/>
  <c r="A1187" i="25"/>
  <c r="R1186" i="25"/>
  <c r="P1186" i="25"/>
  <c r="A1186" i="25"/>
  <c r="R1185" i="25"/>
  <c r="P1185" i="25"/>
  <c r="A1185" i="25"/>
  <c r="R1184" i="25"/>
  <c r="P1184" i="25"/>
  <c r="A1184" i="25"/>
  <c r="R1183" i="25"/>
  <c r="P1183" i="25"/>
  <c r="A1183" i="25"/>
  <c r="R1182" i="25"/>
  <c r="P1182" i="25"/>
  <c r="A1182" i="25"/>
  <c r="R1181" i="25"/>
  <c r="P1181" i="25"/>
  <c r="A1181" i="25"/>
  <c r="R1180" i="25"/>
  <c r="P1180" i="25"/>
  <c r="A1180" i="25"/>
  <c r="R1179" i="25"/>
  <c r="P1179" i="25"/>
  <c r="A1179" i="25"/>
  <c r="R1178" i="25"/>
  <c r="P1178" i="25"/>
  <c r="A1178" i="25"/>
  <c r="R1177" i="25"/>
  <c r="P1177" i="25"/>
  <c r="A1177" i="25"/>
  <c r="R1176" i="25"/>
  <c r="P1176" i="25"/>
  <c r="A1176" i="25"/>
  <c r="R1175" i="25"/>
  <c r="P1175" i="25"/>
  <c r="A1175" i="25"/>
  <c r="R1174" i="25"/>
  <c r="P1174" i="25"/>
  <c r="A1174" i="25"/>
  <c r="R1173" i="25"/>
  <c r="P1173" i="25"/>
  <c r="A1173" i="25"/>
  <c r="R1172" i="25"/>
  <c r="P1172" i="25"/>
  <c r="A1172" i="25"/>
  <c r="R1171" i="25"/>
  <c r="P1171" i="25"/>
  <c r="A1171" i="25"/>
  <c r="R1170" i="25"/>
  <c r="P1170" i="25"/>
  <c r="A1170" i="25"/>
  <c r="R1169" i="25"/>
  <c r="P1169" i="25"/>
  <c r="A1169" i="25"/>
  <c r="R1168" i="25"/>
  <c r="P1168" i="25"/>
  <c r="A1168" i="25"/>
  <c r="R1167" i="25"/>
  <c r="P1167" i="25"/>
  <c r="A1167" i="25"/>
  <c r="R1166" i="25"/>
  <c r="P1166" i="25"/>
  <c r="A1166" i="25"/>
  <c r="R1165" i="25"/>
  <c r="P1165" i="25"/>
  <c r="A1165" i="25"/>
  <c r="R1164" i="25"/>
  <c r="P1164" i="25"/>
  <c r="A1164" i="25"/>
  <c r="R1163" i="25"/>
  <c r="P1163" i="25"/>
  <c r="A1163" i="25"/>
  <c r="R1162" i="25"/>
  <c r="P1162" i="25"/>
  <c r="A1162" i="25"/>
  <c r="R1161" i="25"/>
  <c r="P1161" i="25"/>
  <c r="A1161" i="25"/>
  <c r="R1160" i="25"/>
  <c r="P1160" i="25"/>
  <c r="A1160" i="25"/>
  <c r="R1159" i="25"/>
  <c r="P1159" i="25"/>
  <c r="A1159" i="25"/>
  <c r="R1158" i="25"/>
  <c r="P1158" i="25"/>
  <c r="A1158" i="25"/>
  <c r="R1157" i="25"/>
  <c r="P1157" i="25"/>
  <c r="A1157" i="25"/>
  <c r="R1156" i="25"/>
  <c r="P1156" i="25"/>
  <c r="A1156" i="25"/>
  <c r="R1155" i="25"/>
  <c r="P1155" i="25"/>
  <c r="A1155" i="25"/>
  <c r="R1154" i="25"/>
  <c r="P1154" i="25"/>
  <c r="A1154" i="25"/>
  <c r="R1153" i="25"/>
  <c r="P1153" i="25"/>
  <c r="A1153" i="25"/>
  <c r="R1152" i="25"/>
  <c r="P1152" i="25"/>
  <c r="A1152" i="25"/>
  <c r="R1151" i="25"/>
  <c r="P1151" i="25"/>
  <c r="A1151" i="25"/>
  <c r="R1150" i="25"/>
  <c r="P1150" i="25"/>
  <c r="A1150" i="25"/>
  <c r="R1149" i="25"/>
  <c r="P1149" i="25"/>
  <c r="A1149" i="25"/>
  <c r="R1148" i="25"/>
  <c r="P1148" i="25"/>
  <c r="A1148" i="25"/>
  <c r="R1147" i="25"/>
  <c r="P1147" i="25"/>
  <c r="A1147" i="25"/>
  <c r="R1146" i="25"/>
  <c r="P1146" i="25"/>
  <c r="A1146" i="25"/>
  <c r="R1145" i="25"/>
  <c r="P1145" i="25"/>
  <c r="A1145" i="25"/>
  <c r="R1144" i="25"/>
  <c r="P1144" i="25"/>
  <c r="A1144" i="25"/>
  <c r="R1143" i="25"/>
  <c r="P1143" i="25"/>
  <c r="A1143" i="25"/>
  <c r="R1142" i="25"/>
  <c r="P1142" i="25"/>
  <c r="A1142" i="25"/>
  <c r="R1141" i="25"/>
  <c r="P1141" i="25"/>
  <c r="A1141" i="25"/>
  <c r="R1140" i="25"/>
  <c r="P1140" i="25"/>
  <c r="A1140" i="25"/>
  <c r="R1139" i="25"/>
  <c r="P1139" i="25"/>
  <c r="A1139" i="25"/>
  <c r="R1138" i="25"/>
  <c r="P1138" i="25"/>
  <c r="A1138" i="25"/>
  <c r="R1137" i="25"/>
  <c r="P1137" i="25"/>
  <c r="A1137" i="25"/>
  <c r="R1136" i="25"/>
  <c r="P1136" i="25"/>
  <c r="A1136" i="25"/>
  <c r="R1135" i="25"/>
  <c r="P1135" i="25"/>
  <c r="A1135" i="25"/>
  <c r="R1134" i="25"/>
  <c r="P1134" i="25"/>
  <c r="A1134" i="25"/>
  <c r="R1133" i="25"/>
  <c r="P1133" i="25"/>
  <c r="A1133" i="25"/>
  <c r="R1132" i="25"/>
  <c r="P1132" i="25"/>
  <c r="A1132" i="25"/>
  <c r="R1131" i="25"/>
  <c r="P1131" i="25"/>
  <c r="A1131" i="25"/>
  <c r="R1130" i="25"/>
  <c r="P1130" i="25"/>
  <c r="A1130" i="25"/>
  <c r="R1129" i="25"/>
  <c r="P1129" i="25"/>
  <c r="A1129" i="25"/>
  <c r="R1128" i="25"/>
  <c r="P1128" i="25"/>
  <c r="A1128" i="25"/>
  <c r="R1127" i="25"/>
  <c r="P1127" i="25"/>
  <c r="A1127" i="25"/>
  <c r="R1126" i="25"/>
  <c r="P1126" i="25"/>
  <c r="A1126" i="25"/>
  <c r="R1125" i="25"/>
  <c r="P1125" i="25"/>
  <c r="A1125" i="25"/>
  <c r="R1124" i="25"/>
  <c r="P1124" i="25"/>
  <c r="A1124" i="25"/>
  <c r="R1123" i="25"/>
  <c r="P1123" i="25"/>
  <c r="A1123" i="25"/>
  <c r="R1122" i="25"/>
  <c r="P1122" i="25"/>
  <c r="A1122" i="25"/>
  <c r="R1121" i="25"/>
  <c r="P1121" i="25"/>
  <c r="A1121" i="25"/>
  <c r="R1120" i="25"/>
  <c r="P1120" i="25"/>
  <c r="A1120" i="25"/>
  <c r="R1119" i="25"/>
  <c r="P1119" i="25"/>
  <c r="A1119" i="25"/>
  <c r="R1118" i="25"/>
  <c r="P1118" i="25"/>
  <c r="A1118" i="25"/>
  <c r="R1117" i="25"/>
  <c r="P1117" i="25"/>
  <c r="A1117" i="25"/>
  <c r="R1116" i="25"/>
  <c r="P1116" i="25"/>
  <c r="A1116" i="25"/>
  <c r="R1115" i="25"/>
  <c r="P1115" i="25"/>
  <c r="A1115" i="25"/>
  <c r="R1114" i="25"/>
  <c r="P1114" i="25"/>
  <c r="A1114" i="25"/>
  <c r="R1113" i="25"/>
  <c r="P1113" i="25"/>
  <c r="A1113" i="25"/>
  <c r="R1112" i="25"/>
  <c r="P1112" i="25"/>
  <c r="A1112" i="25"/>
  <c r="R1111" i="25"/>
  <c r="P1111" i="25"/>
  <c r="A1111" i="25"/>
  <c r="R1110" i="25"/>
  <c r="P1110" i="25"/>
  <c r="A1110" i="25"/>
  <c r="R1109" i="25"/>
  <c r="P1109" i="25"/>
  <c r="A1109" i="25"/>
  <c r="R1108" i="25"/>
  <c r="P1108" i="25"/>
  <c r="A1108" i="25"/>
  <c r="R1107" i="25"/>
  <c r="P1107" i="25"/>
  <c r="A1107" i="25"/>
  <c r="R1106" i="25"/>
  <c r="P1106" i="25"/>
  <c r="A1106" i="25"/>
  <c r="R1105" i="25"/>
  <c r="P1105" i="25"/>
  <c r="A1105" i="25"/>
  <c r="R1104" i="25"/>
  <c r="P1104" i="25"/>
  <c r="A1104" i="25"/>
  <c r="R1103" i="25"/>
  <c r="P1103" i="25"/>
  <c r="A1103" i="25"/>
  <c r="R1102" i="25"/>
  <c r="P1102" i="25"/>
  <c r="A1102" i="25"/>
  <c r="R1101" i="25"/>
  <c r="P1101" i="25"/>
  <c r="A1101" i="25"/>
  <c r="R1100" i="25"/>
  <c r="P1100" i="25"/>
  <c r="A1100" i="25"/>
  <c r="R1099" i="25"/>
  <c r="P1099" i="25"/>
  <c r="A1099" i="25"/>
  <c r="R1098" i="25"/>
  <c r="P1098" i="25"/>
  <c r="A1098" i="25"/>
  <c r="R1097" i="25"/>
  <c r="P1097" i="25"/>
  <c r="A1097" i="25"/>
  <c r="R1096" i="25"/>
  <c r="P1096" i="25"/>
  <c r="A1096" i="25"/>
  <c r="R1095" i="25"/>
  <c r="P1095" i="25"/>
  <c r="A1095" i="25"/>
  <c r="R1094" i="25"/>
  <c r="P1094" i="25"/>
  <c r="A1094" i="25"/>
  <c r="R1093" i="25"/>
  <c r="P1093" i="25"/>
  <c r="A1093" i="25"/>
  <c r="R1092" i="25"/>
  <c r="P1092" i="25"/>
  <c r="A1092" i="25"/>
  <c r="R1091" i="25"/>
  <c r="P1091" i="25"/>
  <c r="A1091" i="25"/>
  <c r="R1090" i="25"/>
  <c r="P1090" i="25"/>
  <c r="A1090" i="25"/>
  <c r="R1089" i="25"/>
  <c r="P1089" i="25"/>
  <c r="A1089" i="25"/>
  <c r="R1088" i="25"/>
  <c r="P1088" i="25"/>
  <c r="A1088" i="25"/>
  <c r="R1087" i="25"/>
  <c r="P1087" i="25"/>
  <c r="A1087" i="25"/>
  <c r="R1086" i="25"/>
  <c r="P1086" i="25"/>
  <c r="A1086" i="25"/>
  <c r="R1085" i="25"/>
  <c r="P1085" i="25"/>
  <c r="A1085" i="25"/>
  <c r="R1084" i="25"/>
  <c r="P1084" i="25"/>
  <c r="A1084" i="25"/>
  <c r="R1083" i="25"/>
  <c r="P1083" i="25"/>
  <c r="A1083" i="25"/>
  <c r="R1082" i="25"/>
  <c r="P1082" i="25"/>
  <c r="A1082" i="25"/>
  <c r="R1081" i="25"/>
  <c r="P1081" i="25"/>
  <c r="A1081" i="25"/>
  <c r="R1080" i="25"/>
  <c r="P1080" i="25"/>
  <c r="A1080" i="25"/>
  <c r="R1079" i="25"/>
  <c r="P1079" i="25"/>
  <c r="A1079" i="25"/>
  <c r="R1078" i="25"/>
  <c r="P1078" i="25"/>
  <c r="A1078" i="25"/>
  <c r="R1077" i="25"/>
  <c r="P1077" i="25"/>
  <c r="A1077" i="25"/>
  <c r="R1076" i="25"/>
  <c r="P1076" i="25"/>
  <c r="A1076" i="25"/>
  <c r="R1075" i="25"/>
  <c r="P1075" i="25"/>
  <c r="A1075" i="25"/>
  <c r="R1074" i="25"/>
  <c r="P1074" i="25"/>
  <c r="A1074" i="25"/>
  <c r="R1073" i="25"/>
  <c r="P1073" i="25"/>
  <c r="A1073" i="25"/>
  <c r="R1072" i="25"/>
  <c r="P1072" i="25"/>
  <c r="A1072" i="25"/>
  <c r="R1071" i="25"/>
  <c r="P1071" i="25"/>
  <c r="A1071" i="25"/>
  <c r="R1070" i="25"/>
  <c r="P1070" i="25"/>
  <c r="A1070" i="25"/>
  <c r="R1069" i="25"/>
  <c r="P1069" i="25"/>
  <c r="A1069" i="25"/>
  <c r="R1068" i="25"/>
  <c r="P1068" i="25"/>
  <c r="A1068" i="25"/>
  <c r="R1067" i="25"/>
  <c r="P1067" i="25"/>
  <c r="A1067" i="25"/>
  <c r="R1066" i="25"/>
  <c r="P1066" i="25"/>
  <c r="A1066" i="25"/>
  <c r="R1065" i="25"/>
  <c r="P1065" i="25"/>
  <c r="A1065" i="25"/>
  <c r="R1064" i="25"/>
  <c r="P1064" i="25"/>
  <c r="A1064" i="25"/>
  <c r="R1063" i="25"/>
  <c r="P1063" i="25"/>
  <c r="A1063" i="25"/>
  <c r="R1062" i="25"/>
  <c r="P1062" i="25"/>
  <c r="A1062" i="25"/>
  <c r="R1061" i="25"/>
  <c r="P1061" i="25"/>
  <c r="A1061" i="25"/>
  <c r="R1060" i="25"/>
  <c r="P1060" i="25"/>
  <c r="A1060" i="25"/>
  <c r="R1059" i="25"/>
  <c r="P1059" i="25"/>
  <c r="A1059" i="25"/>
  <c r="R1058" i="25"/>
  <c r="P1058" i="25"/>
  <c r="A1058" i="25"/>
  <c r="R1057" i="25"/>
  <c r="P1057" i="25"/>
  <c r="A1057" i="25"/>
  <c r="R1056" i="25"/>
  <c r="P1056" i="25"/>
  <c r="A1056" i="25"/>
  <c r="R1055" i="25"/>
  <c r="P1055" i="25"/>
  <c r="A1055" i="25"/>
  <c r="R1054" i="25"/>
  <c r="P1054" i="25"/>
  <c r="A1054" i="25"/>
  <c r="R1053" i="25"/>
  <c r="P1053" i="25"/>
  <c r="A1053" i="25"/>
  <c r="R1052" i="25"/>
  <c r="P1052" i="25"/>
  <c r="A1052" i="25"/>
  <c r="R1051" i="25"/>
  <c r="P1051" i="25"/>
  <c r="A1051" i="25"/>
  <c r="R1050" i="25"/>
  <c r="P1050" i="25"/>
  <c r="A1050" i="25"/>
  <c r="R1049" i="25"/>
  <c r="P1049" i="25"/>
  <c r="A1049" i="25"/>
  <c r="R1048" i="25"/>
  <c r="P1048" i="25"/>
  <c r="A1048" i="25"/>
  <c r="R1047" i="25"/>
  <c r="P1047" i="25"/>
  <c r="A1047" i="25"/>
  <c r="R1046" i="25"/>
  <c r="P1046" i="25"/>
  <c r="A1046" i="25"/>
  <c r="R1045" i="25"/>
  <c r="P1045" i="25"/>
  <c r="A1045" i="25"/>
  <c r="R1044" i="25"/>
  <c r="P1044" i="25"/>
  <c r="A1044" i="25"/>
  <c r="R1043" i="25"/>
  <c r="P1043" i="25"/>
  <c r="A1043" i="25"/>
  <c r="R1042" i="25"/>
  <c r="P1042" i="25"/>
  <c r="A1042" i="25"/>
  <c r="R1041" i="25"/>
  <c r="P1041" i="25"/>
  <c r="A1041" i="25"/>
  <c r="R1040" i="25"/>
  <c r="P1040" i="25"/>
  <c r="A1040" i="25"/>
  <c r="R1039" i="25"/>
  <c r="P1039" i="25"/>
  <c r="A1039" i="25"/>
  <c r="R1038" i="25"/>
  <c r="P1038" i="25"/>
  <c r="A1038" i="25"/>
  <c r="R1037" i="25"/>
  <c r="P1037" i="25"/>
  <c r="A1037" i="25"/>
  <c r="R1036" i="25"/>
  <c r="P1036" i="25"/>
  <c r="A1036" i="25"/>
  <c r="R1035" i="25"/>
  <c r="P1035" i="25"/>
  <c r="A1035" i="25"/>
  <c r="R1034" i="25"/>
  <c r="P1034" i="25"/>
  <c r="A1034" i="25"/>
  <c r="R1033" i="25"/>
  <c r="P1033" i="25"/>
  <c r="A1033" i="25"/>
  <c r="R1032" i="25"/>
  <c r="P1032" i="25"/>
  <c r="A1032" i="25"/>
  <c r="R1031" i="25"/>
  <c r="P1031" i="25"/>
  <c r="A1031" i="25"/>
  <c r="R1030" i="25"/>
  <c r="P1030" i="25"/>
  <c r="A1030" i="25"/>
  <c r="R1029" i="25"/>
  <c r="P1029" i="25"/>
  <c r="A1029" i="25"/>
  <c r="R1028" i="25"/>
  <c r="P1028" i="25"/>
  <c r="A1028" i="25"/>
  <c r="R1027" i="25"/>
  <c r="P1027" i="25"/>
  <c r="A1027" i="25"/>
  <c r="R1026" i="25"/>
  <c r="P1026" i="25"/>
  <c r="A1026" i="25"/>
  <c r="R1025" i="25"/>
  <c r="P1025" i="25"/>
  <c r="A1025" i="25"/>
  <c r="R1024" i="25"/>
  <c r="P1024" i="25"/>
  <c r="A1024" i="25"/>
  <c r="R1023" i="25"/>
  <c r="P1023" i="25"/>
  <c r="A1023" i="25"/>
  <c r="R1022" i="25"/>
  <c r="P1022" i="25"/>
  <c r="A1022" i="25"/>
  <c r="R1021" i="25"/>
  <c r="P1021" i="25"/>
  <c r="A1021" i="25"/>
  <c r="R1020" i="25"/>
  <c r="P1020" i="25"/>
  <c r="A1020" i="25"/>
  <c r="R1019" i="25"/>
  <c r="P1019" i="25"/>
  <c r="A1019" i="25"/>
  <c r="R1018" i="25"/>
  <c r="P1018" i="25"/>
  <c r="A1018" i="25"/>
  <c r="R1017" i="25"/>
  <c r="P1017" i="25"/>
  <c r="A1017" i="25"/>
  <c r="R1016" i="25"/>
  <c r="P1016" i="25"/>
  <c r="A1016" i="25"/>
  <c r="R1015" i="25"/>
  <c r="P1015" i="25"/>
  <c r="A1015" i="25"/>
  <c r="R1014" i="25"/>
  <c r="P1014" i="25"/>
  <c r="A1014" i="25"/>
  <c r="R1013" i="25"/>
  <c r="P1013" i="25"/>
  <c r="A1013" i="25"/>
  <c r="R1012" i="25"/>
  <c r="P1012" i="25"/>
  <c r="A1012" i="25"/>
  <c r="R1011" i="25"/>
  <c r="P1011" i="25"/>
  <c r="A1011" i="25"/>
  <c r="R1010" i="25"/>
  <c r="P1010" i="25"/>
  <c r="A1010" i="25"/>
  <c r="R1009" i="25"/>
  <c r="P1009" i="25"/>
  <c r="A1009" i="25"/>
  <c r="R1008" i="25"/>
  <c r="P1008" i="25"/>
  <c r="A1008" i="25"/>
  <c r="R1007" i="25"/>
  <c r="P1007" i="25"/>
  <c r="A1007" i="25"/>
  <c r="R1006" i="25"/>
  <c r="P1006" i="25"/>
  <c r="A1006" i="25"/>
  <c r="R1005" i="25"/>
  <c r="P1005" i="25"/>
  <c r="A1005" i="25"/>
  <c r="R1004" i="25"/>
  <c r="P1004" i="25"/>
  <c r="A1004" i="25"/>
  <c r="R1003" i="25"/>
  <c r="P1003" i="25"/>
  <c r="A1003" i="25"/>
  <c r="R1002" i="25"/>
  <c r="P1002" i="25"/>
  <c r="A1002" i="25"/>
  <c r="R1001" i="25"/>
  <c r="P1001" i="25"/>
  <c r="A1001" i="25"/>
  <c r="R1000" i="25"/>
  <c r="P1000" i="25"/>
  <c r="A1000" i="25"/>
  <c r="R999" i="25"/>
  <c r="P999" i="25"/>
  <c r="A999" i="25"/>
  <c r="R998" i="25"/>
  <c r="P998" i="25"/>
  <c r="A998" i="25"/>
  <c r="R997" i="25"/>
  <c r="P997" i="25"/>
  <c r="A997" i="25"/>
  <c r="R996" i="25"/>
  <c r="P996" i="25"/>
  <c r="A996" i="25"/>
  <c r="R995" i="25"/>
  <c r="P995" i="25"/>
  <c r="A995" i="25"/>
  <c r="R994" i="25"/>
  <c r="P994" i="25"/>
  <c r="A994" i="25"/>
  <c r="R993" i="25"/>
  <c r="P993" i="25"/>
  <c r="A993" i="25"/>
  <c r="R992" i="25"/>
  <c r="P992" i="25"/>
  <c r="A992" i="25"/>
  <c r="R991" i="25"/>
  <c r="P991" i="25"/>
  <c r="A991" i="25"/>
  <c r="R990" i="25"/>
  <c r="P990" i="25"/>
  <c r="A990" i="25"/>
  <c r="R989" i="25"/>
  <c r="P989" i="25"/>
  <c r="A989" i="25"/>
  <c r="R988" i="25"/>
  <c r="P988" i="25"/>
  <c r="A988" i="25"/>
  <c r="R987" i="25"/>
  <c r="P987" i="25"/>
  <c r="A987" i="25"/>
  <c r="R986" i="25"/>
  <c r="P986" i="25"/>
  <c r="A986" i="25"/>
  <c r="R985" i="25"/>
  <c r="P985" i="25"/>
  <c r="A985" i="25"/>
  <c r="R984" i="25"/>
  <c r="P984" i="25"/>
  <c r="A984" i="25"/>
  <c r="R983" i="25"/>
  <c r="P983" i="25"/>
  <c r="A983" i="25"/>
  <c r="R982" i="25"/>
  <c r="P982" i="25"/>
  <c r="A982" i="25"/>
  <c r="R981" i="25"/>
  <c r="P981" i="25"/>
  <c r="A981" i="25"/>
  <c r="R980" i="25"/>
  <c r="P980" i="25"/>
  <c r="A980" i="25"/>
  <c r="R979" i="25"/>
  <c r="P979" i="25"/>
  <c r="A979" i="25"/>
  <c r="R978" i="25"/>
  <c r="P978" i="25"/>
  <c r="A978" i="25"/>
  <c r="R977" i="25"/>
  <c r="P977" i="25"/>
  <c r="A977" i="25"/>
  <c r="R976" i="25"/>
  <c r="P976" i="25"/>
  <c r="A976" i="25"/>
  <c r="R975" i="25"/>
  <c r="P975" i="25"/>
  <c r="A975" i="25"/>
  <c r="R974" i="25"/>
  <c r="P974" i="25"/>
  <c r="A974" i="25"/>
  <c r="R973" i="25"/>
  <c r="P973" i="25"/>
  <c r="A973" i="25"/>
  <c r="R972" i="25"/>
  <c r="P972" i="25"/>
  <c r="A972" i="25"/>
  <c r="R971" i="25"/>
  <c r="P971" i="25"/>
  <c r="A971" i="25"/>
  <c r="R970" i="25"/>
  <c r="P970" i="25"/>
  <c r="A970" i="25"/>
  <c r="R969" i="25"/>
  <c r="P969" i="25"/>
  <c r="A969" i="25"/>
  <c r="R968" i="25"/>
  <c r="P968" i="25"/>
  <c r="A968" i="25"/>
  <c r="R967" i="25"/>
  <c r="P967" i="25"/>
  <c r="A967" i="25"/>
  <c r="R966" i="25"/>
  <c r="P966" i="25"/>
  <c r="A966" i="25"/>
  <c r="R965" i="25"/>
  <c r="P965" i="25"/>
  <c r="A965" i="25"/>
  <c r="R964" i="25"/>
  <c r="P964" i="25"/>
  <c r="A964" i="25"/>
  <c r="R963" i="25"/>
  <c r="P963" i="25"/>
  <c r="A963" i="25"/>
  <c r="R962" i="25"/>
  <c r="P962" i="25"/>
  <c r="A962" i="25"/>
  <c r="R961" i="25"/>
  <c r="P961" i="25"/>
  <c r="A961" i="25"/>
  <c r="R960" i="25"/>
  <c r="P960" i="25"/>
  <c r="A960" i="25"/>
  <c r="R959" i="25"/>
  <c r="P959" i="25"/>
  <c r="A959" i="25"/>
  <c r="R958" i="25"/>
  <c r="P958" i="25"/>
  <c r="A958" i="25"/>
  <c r="R957" i="25"/>
  <c r="P957" i="25"/>
  <c r="A957" i="25"/>
  <c r="R956" i="25"/>
  <c r="P956" i="25"/>
  <c r="A956" i="25"/>
  <c r="R955" i="25"/>
  <c r="P955" i="25"/>
  <c r="A955" i="25"/>
  <c r="R954" i="25"/>
  <c r="P954" i="25"/>
  <c r="A954" i="25"/>
  <c r="R953" i="25"/>
  <c r="P953" i="25"/>
  <c r="A953" i="25"/>
  <c r="R952" i="25"/>
  <c r="P952" i="25"/>
  <c r="A952" i="25"/>
  <c r="R951" i="25"/>
  <c r="P951" i="25"/>
  <c r="A951" i="25"/>
  <c r="R950" i="25"/>
  <c r="P950" i="25"/>
  <c r="A950" i="25"/>
  <c r="R949" i="25"/>
  <c r="P949" i="25"/>
  <c r="A949" i="25"/>
  <c r="R948" i="25"/>
  <c r="P948" i="25"/>
  <c r="A948" i="25"/>
  <c r="R947" i="25"/>
  <c r="P947" i="25"/>
  <c r="A947" i="25"/>
  <c r="R946" i="25"/>
  <c r="P946" i="25"/>
  <c r="A946" i="25"/>
  <c r="R945" i="25"/>
  <c r="P945" i="25"/>
  <c r="A945" i="25"/>
  <c r="R944" i="25"/>
  <c r="P944" i="25"/>
  <c r="A944" i="25"/>
  <c r="R943" i="25"/>
  <c r="P943" i="25"/>
  <c r="A943" i="25"/>
  <c r="R942" i="25"/>
  <c r="P942" i="25"/>
  <c r="A942" i="25"/>
  <c r="R941" i="25"/>
  <c r="P941" i="25"/>
  <c r="A941" i="25"/>
  <c r="R940" i="25"/>
  <c r="P940" i="25"/>
  <c r="A940" i="25"/>
  <c r="R939" i="25"/>
  <c r="P939" i="25"/>
  <c r="A939" i="25"/>
  <c r="R938" i="25"/>
  <c r="P938" i="25"/>
  <c r="A938" i="25"/>
  <c r="R937" i="25"/>
  <c r="P937" i="25"/>
  <c r="A937" i="25"/>
  <c r="R936" i="25"/>
  <c r="P936" i="25"/>
  <c r="A936" i="25"/>
  <c r="R935" i="25"/>
  <c r="P935" i="25"/>
  <c r="A935" i="25"/>
  <c r="R934" i="25"/>
  <c r="P934" i="25"/>
  <c r="A934" i="25"/>
  <c r="R933" i="25"/>
  <c r="P933" i="25"/>
  <c r="A933" i="25"/>
  <c r="R932" i="25"/>
  <c r="P932" i="25"/>
  <c r="A932" i="25"/>
  <c r="R931" i="25"/>
  <c r="P931" i="25"/>
  <c r="A931" i="25"/>
  <c r="R930" i="25"/>
  <c r="P930" i="25"/>
  <c r="A930" i="25"/>
  <c r="R929" i="25"/>
  <c r="P929" i="25"/>
  <c r="A929" i="25"/>
  <c r="R928" i="25"/>
  <c r="P928" i="25"/>
  <c r="A928" i="25"/>
  <c r="R927" i="25"/>
  <c r="P927" i="25"/>
  <c r="A927" i="25"/>
  <c r="R926" i="25"/>
  <c r="P926" i="25"/>
  <c r="A926" i="25"/>
  <c r="R925" i="25"/>
  <c r="P925" i="25"/>
  <c r="A925" i="25"/>
  <c r="R924" i="25"/>
  <c r="P924" i="25"/>
  <c r="A924" i="25"/>
  <c r="R923" i="25"/>
  <c r="P923" i="25"/>
  <c r="A923" i="25"/>
  <c r="R922" i="25"/>
  <c r="P922" i="25"/>
  <c r="A922" i="25"/>
  <c r="R921" i="25"/>
  <c r="P921" i="25"/>
  <c r="A921" i="25"/>
  <c r="R920" i="25"/>
  <c r="P920" i="25"/>
  <c r="A920" i="25"/>
  <c r="R919" i="25"/>
  <c r="P919" i="25"/>
  <c r="A919" i="25"/>
  <c r="R918" i="25"/>
  <c r="P918" i="25"/>
  <c r="A918" i="25"/>
  <c r="R917" i="25"/>
  <c r="P917" i="25"/>
  <c r="A917" i="25"/>
  <c r="R916" i="25"/>
  <c r="P916" i="25"/>
  <c r="A916" i="25"/>
  <c r="R915" i="25"/>
  <c r="P915" i="25"/>
  <c r="A915" i="25"/>
  <c r="R914" i="25"/>
  <c r="P914" i="25"/>
  <c r="A914" i="25"/>
  <c r="R913" i="25"/>
  <c r="P913" i="25"/>
  <c r="A913" i="25"/>
  <c r="R912" i="25"/>
  <c r="P912" i="25"/>
  <c r="A912" i="25"/>
  <c r="R911" i="25"/>
  <c r="P911" i="25"/>
  <c r="A911" i="25"/>
  <c r="R910" i="25"/>
  <c r="P910" i="25"/>
  <c r="A910" i="25"/>
  <c r="R909" i="25"/>
  <c r="P909" i="25"/>
  <c r="A909" i="25"/>
  <c r="R908" i="25"/>
  <c r="P908" i="25"/>
  <c r="A908" i="25"/>
  <c r="R907" i="25"/>
  <c r="P907" i="25"/>
  <c r="A907" i="25"/>
  <c r="R906" i="25"/>
  <c r="P906" i="25"/>
  <c r="A906" i="25"/>
  <c r="R905" i="25"/>
  <c r="P905" i="25"/>
  <c r="A905" i="25"/>
  <c r="R904" i="25"/>
  <c r="P904" i="25"/>
  <c r="A904" i="25"/>
  <c r="R903" i="25"/>
  <c r="P903" i="25"/>
  <c r="A903" i="25"/>
  <c r="R902" i="25"/>
  <c r="P902" i="25"/>
  <c r="A902" i="25"/>
  <c r="R901" i="25"/>
  <c r="P901" i="25"/>
  <c r="A901" i="25"/>
  <c r="R900" i="25"/>
  <c r="P900" i="25"/>
  <c r="A900" i="25"/>
  <c r="R899" i="25"/>
  <c r="P899" i="25"/>
  <c r="A899" i="25"/>
  <c r="R898" i="25"/>
  <c r="P898" i="25"/>
  <c r="A898" i="25"/>
  <c r="R897" i="25"/>
  <c r="P897" i="25"/>
  <c r="A897" i="25"/>
  <c r="R896" i="25"/>
  <c r="P896" i="25"/>
  <c r="A896" i="25"/>
  <c r="R895" i="25"/>
  <c r="P895" i="25"/>
  <c r="A895" i="25"/>
  <c r="R894" i="25"/>
  <c r="P894" i="25"/>
  <c r="A894" i="25"/>
  <c r="R893" i="25"/>
  <c r="P893" i="25"/>
  <c r="A893" i="25"/>
  <c r="R892" i="25"/>
  <c r="P892" i="25"/>
  <c r="A892" i="25"/>
  <c r="R891" i="25"/>
  <c r="P891" i="25"/>
  <c r="A891" i="25"/>
  <c r="R890" i="25"/>
  <c r="P890" i="25"/>
  <c r="A890" i="25"/>
  <c r="R889" i="25"/>
  <c r="P889" i="25"/>
  <c r="A889" i="25"/>
  <c r="R888" i="25"/>
  <c r="P888" i="25"/>
  <c r="A888" i="25"/>
  <c r="R887" i="25"/>
  <c r="P887" i="25"/>
  <c r="A887" i="25"/>
  <c r="R886" i="25"/>
  <c r="P886" i="25"/>
  <c r="A886" i="25"/>
  <c r="R885" i="25"/>
  <c r="P885" i="25"/>
  <c r="A885" i="25"/>
  <c r="R884" i="25"/>
  <c r="P884" i="25"/>
  <c r="A884" i="25"/>
  <c r="R883" i="25"/>
  <c r="P883" i="25"/>
  <c r="A883" i="25"/>
  <c r="R882" i="25"/>
  <c r="P882" i="25"/>
  <c r="A882" i="25"/>
  <c r="R881" i="25"/>
  <c r="P881" i="25"/>
  <c r="A881" i="25"/>
  <c r="R880" i="25"/>
  <c r="P880" i="25"/>
  <c r="A880" i="25"/>
  <c r="R879" i="25"/>
  <c r="P879" i="25"/>
  <c r="A879" i="25"/>
  <c r="R878" i="25"/>
  <c r="P878" i="25"/>
  <c r="A878" i="25"/>
  <c r="R877" i="25"/>
  <c r="P877" i="25"/>
  <c r="A877" i="25"/>
  <c r="R876" i="25"/>
  <c r="P876" i="25"/>
  <c r="A876" i="25"/>
  <c r="R875" i="25"/>
  <c r="P875" i="25"/>
  <c r="A875" i="25"/>
  <c r="R874" i="25"/>
  <c r="P874" i="25"/>
  <c r="A874" i="25"/>
  <c r="R873" i="25"/>
  <c r="P873" i="25"/>
  <c r="A873" i="25"/>
  <c r="R872" i="25"/>
  <c r="P872" i="25"/>
  <c r="A872" i="25"/>
  <c r="R871" i="25"/>
  <c r="P871" i="25"/>
  <c r="A871" i="25"/>
  <c r="R870" i="25"/>
  <c r="P870" i="25"/>
  <c r="A870" i="25"/>
  <c r="R869" i="25"/>
  <c r="P869" i="25"/>
  <c r="A869" i="25"/>
  <c r="R868" i="25"/>
  <c r="P868" i="25"/>
  <c r="A868" i="25"/>
  <c r="R867" i="25"/>
  <c r="P867" i="25"/>
  <c r="A867" i="25"/>
  <c r="R866" i="25"/>
  <c r="P866" i="25"/>
  <c r="A866" i="25"/>
  <c r="R865" i="25"/>
  <c r="P865" i="25"/>
  <c r="A865" i="25"/>
  <c r="R864" i="25"/>
  <c r="P864" i="25"/>
  <c r="A864" i="25"/>
  <c r="R863" i="25"/>
  <c r="P863" i="25"/>
  <c r="A863" i="25"/>
  <c r="R862" i="25"/>
  <c r="P862" i="25"/>
  <c r="A862" i="25"/>
  <c r="R861" i="25"/>
  <c r="P861" i="25"/>
  <c r="A861" i="25"/>
  <c r="R860" i="25"/>
  <c r="P860" i="25"/>
  <c r="A860" i="25"/>
  <c r="R859" i="25"/>
  <c r="P859" i="25"/>
  <c r="A859" i="25"/>
  <c r="R858" i="25"/>
  <c r="P858" i="25"/>
  <c r="A858" i="25"/>
  <c r="R857" i="25"/>
  <c r="P857" i="25"/>
  <c r="A857" i="25"/>
  <c r="R856" i="25"/>
  <c r="P856" i="25"/>
  <c r="A856" i="25"/>
  <c r="R855" i="25"/>
  <c r="P855" i="25"/>
  <c r="A855" i="25"/>
  <c r="R854" i="25"/>
  <c r="P854" i="25"/>
  <c r="A854" i="25"/>
  <c r="R853" i="25"/>
  <c r="P853" i="25"/>
  <c r="A853" i="25"/>
  <c r="R852" i="25"/>
  <c r="P852" i="25"/>
  <c r="A852" i="25"/>
  <c r="R851" i="25"/>
  <c r="P851" i="25"/>
  <c r="A851" i="25"/>
  <c r="R850" i="25"/>
  <c r="P850" i="25"/>
  <c r="A850" i="25"/>
  <c r="R849" i="25"/>
  <c r="P849" i="25"/>
  <c r="A849" i="25"/>
  <c r="R848" i="25"/>
  <c r="P848" i="25"/>
  <c r="A848" i="25"/>
  <c r="R847" i="25"/>
  <c r="P847" i="25"/>
  <c r="A847" i="25"/>
  <c r="R846" i="25"/>
  <c r="P846" i="25"/>
  <c r="A846" i="25"/>
  <c r="R845" i="25"/>
  <c r="P845" i="25"/>
  <c r="A845" i="25"/>
  <c r="R844" i="25"/>
  <c r="P844" i="25"/>
  <c r="A844" i="25"/>
  <c r="R843" i="25"/>
  <c r="P843" i="25"/>
  <c r="A843" i="25"/>
  <c r="R842" i="25"/>
  <c r="P842" i="25"/>
  <c r="A842" i="25"/>
  <c r="R841" i="25"/>
  <c r="P841" i="25"/>
  <c r="A841" i="25"/>
  <c r="R840" i="25"/>
  <c r="P840" i="25"/>
  <c r="A840" i="25"/>
  <c r="R839" i="25"/>
  <c r="P839" i="25"/>
  <c r="A839" i="25"/>
  <c r="R838" i="25"/>
  <c r="P838" i="25"/>
  <c r="A838" i="25"/>
  <c r="R837" i="25"/>
  <c r="P837" i="25"/>
  <c r="A837" i="25"/>
  <c r="R836" i="25"/>
  <c r="P836" i="25"/>
  <c r="A836" i="25"/>
  <c r="R835" i="25"/>
  <c r="P835" i="25"/>
  <c r="A835" i="25"/>
  <c r="R834" i="25"/>
  <c r="P834" i="25"/>
  <c r="A834" i="25"/>
  <c r="R833" i="25"/>
  <c r="P833" i="25"/>
  <c r="A833" i="25"/>
  <c r="R832" i="25"/>
  <c r="P832" i="25"/>
  <c r="A832" i="25"/>
  <c r="R831" i="25"/>
  <c r="P831" i="25"/>
  <c r="A831" i="25"/>
  <c r="R830" i="25"/>
  <c r="P830" i="25"/>
  <c r="A830" i="25"/>
  <c r="R829" i="25"/>
  <c r="P829" i="25"/>
  <c r="A829" i="25"/>
  <c r="R828" i="25"/>
  <c r="P828" i="25"/>
  <c r="A828" i="25"/>
  <c r="R827" i="25"/>
  <c r="P827" i="25"/>
  <c r="A827" i="25"/>
  <c r="R826" i="25"/>
  <c r="P826" i="25"/>
  <c r="A826" i="25"/>
  <c r="R825" i="25"/>
  <c r="P825" i="25"/>
  <c r="A825" i="25"/>
  <c r="R824" i="25"/>
  <c r="P824" i="25"/>
  <c r="A824" i="25"/>
  <c r="R823" i="25"/>
  <c r="P823" i="25"/>
  <c r="A823" i="25"/>
  <c r="R822" i="25"/>
  <c r="P822" i="25"/>
  <c r="A822" i="25"/>
  <c r="R821" i="25"/>
  <c r="P821" i="25"/>
  <c r="A821" i="25"/>
  <c r="R820" i="25"/>
  <c r="P820" i="25"/>
  <c r="A820" i="25"/>
  <c r="R819" i="25"/>
  <c r="P819" i="25"/>
  <c r="A819" i="25"/>
  <c r="R818" i="25"/>
  <c r="P818" i="25"/>
  <c r="A818" i="25"/>
  <c r="R817" i="25"/>
  <c r="P817" i="25"/>
  <c r="A817" i="25"/>
  <c r="R816" i="25"/>
  <c r="P816" i="25"/>
  <c r="A816" i="25"/>
  <c r="R815" i="25"/>
  <c r="P815" i="25"/>
  <c r="A815" i="25"/>
  <c r="R814" i="25"/>
  <c r="P814" i="25"/>
  <c r="A814" i="25"/>
  <c r="R813" i="25"/>
  <c r="P813" i="25"/>
  <c r="A813" i="25"/>
  <c r="R812" i="25"/>
  <c r="P812" i="25"/>
  <c r="A812" i="25"/>
  <c r="R811" i="25"/>
  <c r="P811" i="25"/>
  <c r="A811" i="25"/>
  <c r="R810" i="25"/>
  <c r="P810" i="25"/>
  <c r="A810" i="25"/>
  <c r="R809" i="25"/>
  <c r="P809" i="25"/>
  <c r="A809" i="25"/>
  <c r="R808" i="25"/>
  <c r="P808" i="25"/>
  <c r="A808" i="25"/>
  <c r="R807" i="25"/>
  <c r="P807" i="25"/>
  <c r="A807" i="25"/>
  <c r="R806" i="25"/>
  <c r="P806" i="25"/>
  <c r="A806" i="25"/>
  <c r="R805" i="25"/>
  <c r="P805" i="25"/>
  <c r="A805" i="25"/>
  <c r="R804" i="25"/>
  <c r="P804" i="25"/>
  <c r="A804" i="25"/>
  <c r="R803" i="25"/>
  <c r="P803" i="25"/>
  <c r="A803" i="25"/>
  <c r="R802" i="25"/>
  <c r="P802" i="25"/>
  <c r="A802" i="25"/>
  <c r="R801" i="25"/>
  <c r="P801" i="25"/>
  <c r="A801" i="25"/>
  <c r="R800" i="25"/>
  <c r="P800" i="25"/>
  <c r="A800" i="25"/>
  <c r="R799" i="25"/>
  <c r="P799" i="25"/>
  <c r="A799" i="25"/>
  <c r="R798" i="25"/>
  <c r="P798" i="25"/>
  <c r="A798" i="25"/>
  <c r="R797" i="25"/>
  <c r="P797" i="25"/>
  <c r="A797" i="25"/>
  <c r="R796" i="25"/>
  <c r="P796" i="25"/>
  <c r="A796" i="25"/>
  <c r="R795" i="25"/>
  <c r="P795" i="25"/>
  <c r="A795" i="25"/>
  <c r="R794" i="25"/>
  <c r="P794" i="25"/>
  <c r="A794" i="25"/>
  <c r="R793" i="25"/>
  <c r="P793" i="25"/>
  <c r="A793" i="25"/>
  <c r="R792" i="25"/>
  <c r="P792" i="25"/>
  <c r="A792" i="25"/>
  <c r="R791" i="25"/>
  <c r="P791" i="25"/>
  <c r="A791" i="25"/>
  <c r="R790" i="25"/>
  <c r="P790" i="25"/>
  <c r="A790" i="25"/>
  <c r="R789" i="25"/>
  <c r="P789" i="25"/>
  <c r="A789" i="25"/>
  <c r="R788" i="25"/>
  <c r="P788" i="25"/>
  <c r="A788" i="25"/>
  <c r="R787" i="25"/>
  <c r="P787" i="25"/>
  <c r="A787" i="25"/>
  <c r="R786" i="25"/>
  <c r="P786" i="25"/>
  <c r="A786" i="25"/>
  <c r="R785" i="25"/>
  <c r="P785" i="25"/>
  <c r="A785" i="25"/>
  <c r="R784" i="25"/>
  <c r="P784" i="25"/>
  <c r="A784" i="25"/>
  <c r="R783" i="25"/>
  <c r="P783" i="25"/>
  <c r="A783" i="25"/>
  <c r="R782" i="25"/>
  <c r="P782" i="25"/>
  <c r="A782" i="25"/>
  <c r="R781" i="25"/>
  <c r="P781" i="25"/>
  <c r="A781" i="25"/>
  <c r="R780" i="25"/>
  <c r="P780" i="25"/>
  <c r="A780" i="25"/>
  <c r="R779" i="25"/>
  <c r="P779" i="25"/>
  <c r="A779" i="25"/>
  <c r="R778" i="25"/>
  <c r="P778" i="25"/>
  <c r="A778" i="25"/>
  <c r="R777" i="25"/>
  <c r="P777" i="25"/>
  <c r="A777" i="25"/>
  <c r="R776" i="25"/>
  <c r="P776" i="25"/>
  <c r="A776" i="25"/>
  <c r="R775" i="25"/>
  <c r="P775" i="25"/>
  <c r="A775" i="25"/>
  <c r="R774" i="25"/>
  <c r="P774" i="25"/>
  <c r="A774" i="25"/>
  <c r="R773" i="25"/>
  <c r="P773" i="25"/>
  <c r="A773" i="25"/>
  <c r="R772" i="25"/>
  <c r="P772" i="25"/>
  <c r="A772" i="25"/>
  <c r="R771" i="25"/>
  <c r="P771" i="25"/>
  <c r="A771" i="25"/>
  <c r="R770" i="25"/>
  <c r="P770" i="25"/>
  <c r="A770" i="25"/>
  <c r="R769" i="25"/>
  <c r="P769" i="25"/>
  <c r="A769" i="25"/>
  <c r="R768" i="25"/>
  <c r="P768" i="25"/>
  <c r="A768" i="25"/>
  <c r="R767" i="25"/>
  <c r="P767" i="25"/>
  <c r="A767" i="25"/>
  <c r="R766" i="25"/>
  <c r="P766" i="25"/>
  <c r="A766" i="25"/>
  <c r="R765" i="25"/>
  <c r="P765" i="25"/>
  <c r="A765" i="25"/>
  <c r="R764" i="25"/>
  <c r="P764" i="25"/>
  <c r="A764" i="25"/>
  <c r="R763" i="25"/>
  <c r="P763" i="25"/>
  <c r="A763" i="25"/>
  <c r="R762" i="25"/>
  <c r="P762" i="25"/>
  <c r="A762" i="25"/>
  <c r="R761" i="25"/>
  <c r="P761" i="25"/>
  <c r="A761" i="25"/>
  <c r="R760" i="25"/>
  <c r="P760" i="25"/>
  <c r="A760" i="25"/>
  <c r="R759" i="25"/>
  <c r="P759" i="25"/>
  <c r="A759" i="25"/>
  <c r="R758" i="25"/>
  <c r="P758" i="25"/>
  <c r="A758" i="25"/>
  <c r="R757" i="25"/>
  <c r="P757" i="25"/>
  <c r="A757" i="25"/>
  <c r="R756" i="25"/>
  <c r="P756" i="25"/>
  <c r="A756" i="25"/>
  <c r="R755" i="25"/>
  <c r="P755" i="25"/>
  <c r="A755" i="25"/>
  <c r="R754" i="25"/>
  <c r="P754" i="25"/>
  <c r="A754" i="25"/>
  <c r="R753" i="25"/>
  <c r="P753" i="25"/>
  <c r="A753" i="25"/>
  <c r="R752" i="25"/>
  <c r="P752" i="25"/>
  <c r="A752" i="25"/>
  <c r="R751" i="25"/>
  <c r="P751" i="25"/>
  <c r="A751" i="25"/>
  <c r="R750" i="25"/>
  <c r="P750" i="25"/>
  <c r="A750" i="25"/>
  <c r="R749" i="25"/>
  <c r="P749" i="25"/>
  <c r="A749" i="25"/>
  <c r="R748" i="25"/>
  <c r="P748" i="25"/>
  <c r="A748" i="25"/>
  <c r="R747" i="25"/>
  <c r="P747" i="25"/>
  <c r="A747" i="25"/>
  <c r="R746" i="25"/>
  <c r="P746" i="25"/>
  <c r="A746" i="25"/>
  <c r="R745" i="25"/>
  <c r="P745" i="25"/>
  <c r="A745" i="25"/>
  <c r="R744" i="25"/>
  <c r="P744" i="25"/>
  <c r="A744" i="25"/>
  <c r="R743" i="25"/>
  <c r="P743" i="25"/>
  <c r="A743" i="25"/>
  <c r="R742" i="25"/>
  <c r="P742" i="25"/>
  <c r="A742" i="25"/>
  <c r="R741" i="25"/>
  <c r="P741" i="25"/>
  <c r="A741" i="25"/>
  <c r="R740" i="25"/>
  <c r="P740" i="25"/>
  <c r="A740" i="25"/>
  <c r="R739" i="25"/>
  <c r="P739" i="25"/>
  <c r="A739" i="25"/>
  <c r="R738" i="25"/>
  <c r="P738" i="25"/>
  <c r="A738" i="25"/>
  <c r="R737" i="25"/>
  <c r="P737" i="25"/>
  <c r="A737" i="25"/>
  <c r="R736" i="25"/>
  <c r="P736" i="25"/>
  <c r="A736" i="25"/>
  <c r="R735" i="25"/>
  <c r="P735" i="25"/>
  <c r="A735" i="25"/>
  <c r="R734" i="25"/>
  <c r="P734" i="25"/>
  <c r="A734" i="25"/>
  <c r="R733" i="25"/>
  <c r="P733" i="25"/>
  <c r="A733" i="25"/>
  <c r="R732" i="25"/>
  <c r="P732" i="25"/>
  <c r="A732" i="25"/>
  <c r="R731" i="25"/>
  <c r="P731" i="25"/>
  <c r="A731" i="25"/>
  <c r="R730" i="25"/>
  <c r="P730" i="25"/>
  <c r="A730" i="25"/>
  <c r="R729" i="25"/>
  <c r="P729" i="25"/>
  <c r="A729" i="25"/>
  <c r="R728" i="25"/>
  <c r="P728" i="25"/>
  <c r="A728" i="25"/>
  <c r="R727" i="25"/>
  <c r="P727" i="25"/>
  <c r="A727" i="25"/>
  <c r="R726" i="25"/>
  <c r="P726" i="25"/>
  <c r="A726" i="25"/>
  <c r="R725" i="25"/>
  <c r="P725" i="25"/>
  <c r="A725" i="25"/>
  <c r="R724" i="25"/>
  <c r="P724" i="25"/>
  <c r="A724" i="25"/>
  <c r="R723" i="25"/>
  <c r="P723" i="25"/>
  <c r="A723" i="25"/>
  <c r="R722" i="25"/>
  <c r="P722" i="25"/>
  <c r="A722" i="25"/>
  <c r="R721" i="25"/>
  <c r="P721" i="25"/>
  <c r="A721" i="25"/>
  <c r="R720" i="25"/>
  <c r="P720" i="25"/>
  <c r="A720" i="25"/>
  <c r="R719" i="25"/>
  <c r="P719" i="25"/>
  <c r="A719" i="25"/>
  <c r="R718" i="25"/>
  <c r="P718" i="25"/>
  <c r="A718" i="25"/>
  <c r="R717" i="25"/>
  <c r="P717" i="25"/>
  <c r="A717" i="25"/>
  <c r="R716" i="25"/>
  <c r="P716" i="25"/>
  <c r="A716" i="25"/>
  <c r="R715" i="25"/>
  <c r="P715" i="25"/>
  <c r="A715" i="25"/>
  <c r="R714" i="25"/>
  <c r="P714" i="25"/>
  <c r="A714" i="25"/>
  <c r="R713" i="25"/>
  <c r="P713" i="25"/>
  <c r="A713" i="25"/>
  <c r="R712" i="25"/>
  <c r="P712" i="25"/>
  <c r="A712" i="25"/>
  <c r="R711" i="25"/>
  <c r="P711" i="25"/>
  <c r="A711" i="25"/>
  <c r="R710" i="25"/>
  <c r="P710" i="25"/>
  <c r="A710" i="25"/>
  <c r="R709" i="25"/>
  <c r="P709" i="25"/>
  <c r="A709" i="25"/>
  <c r="R708" i="25"/>
  <c r="P708" i="25"/>
  <c r="A708" i="25"/>
  <c r="R707" i="25"/>
  <c r="P707" i="25"/>
  <c r="A707" i="25"/>
  <c r="R706" i="25"/>
  <c r="P706" i="25"/>
  <c r="A706" i="25"/>
  <c r="R705" i="25"/>
  <c r="P705" i="25"/>
  <c r="A705" i="25"/>
  <c r="R704" i="25"/>
  <c r="P704" i="25"/>
  <c r="A704" i="25"/>
  <c r="R703" i="25"/>
  <c r="P703" i="25"/>
  <c r="A703" i="25"/>
  <c r="R702" i="25"/>
  <c r="P702" i="25"/>
  <c r="A702" i="25"/>
  <c r="R701" i="25"/>
  <c r="P701" i="25"/>
  <c r="A701" i="25"/>
  <c r="R700" i="25"/>
  <c r="P700" i="25"/>
  <c r="A700" i="25"/>
  <c r="R699" i="25"/>
  <c r="P699" i="25"/>
  <c r="A699" i="25"/>
  <c r="R698" i="25"/>
  <c r="P698" i="25"/>
  <c r="A698" i="25"/>
  <c r="R697" i="25"/>
  <c r="P697" i="25"/>
  <c r="A697" i="25"/>
  <c r="R696" i="25"/>
  <c r="P696" i="25"/>
  <c r="A696" i="25"/>
  <c r="R695" i="25"/>
  <c r="P695" i="25"/>
  <c r="A695" i="25"/>
  <c r="R694" i="25"/>
  <c r="P694" i="25"/>
  <c r="A694" i="25"/>
  <c r="R693" i="25"/>
  <c r="P693" i="25"/>
  <c r="A693" i="25"/>
  <c r="R692" i="25"/>
  <c r="P692" i="25"/>
  <c r="A692" i="25"/>
  <c r="R691" i="25"/>
  <c r="P691" i="25"/>
  <c r="A691" i="25"/>
  <c r="R690" i="25"/>
  <c r="P690" i="25"/>
  <c r="A690" i="25"/>
  <c r="R689" i="25"/>
  <c r="P689" i="25"/>
  <c r="A689" i="25"/>
  <c r="R688" i="25"/>
  <c r="P688" i="25"/>
  <c r="A688" i="25"/>
  <c r="R687" i="25"/>
  <c r="P687" i="25"/>
  <c r="A687" i="25"/>
  <c r="R686" i="25"/>
  <c r="P686" i="25"/>
  <c r="A686" i="25"/>
  <c r="R685" i="25"/>
  <c r="P685" i="25"/>
  <c r="A685" i="25"/>
  <c r="R684" i="25"/>
  <c r="P684" i="25"/>
  <c r="A684" i="25"/>
  <c r="R683" i="25"/>
  <c r="P683" i="25"/>
  <c r="A683" i="25"/>
  <c r="R682" i="25"/>
  <c r="P682" i="25"/>
  <c r="A682" i="25"/>
  <c r="R681" i="25"/>
  <c r="P681" i="25"/>
  <c r="A681" i="25"/>
  <c r="R680" i="25"/>
  <c r="P680" i="25"/>
  <c r="A680" i="25"/>
  <c r="R679" i="25"/>
  <c r="P679" i="25"/>
  <c r="A679" i="25"/>
  <c r="R678" i="25"/>
  <c r="P678" i="25"/>
  <c r="A678" i="25"/>
  <c r="R677" i="25"/>
  <c r="P677" i="25"/>
  <c r="A677" i="25"/>
  <c r="R676" i="25"/>
  <c r="P676" i="25"/>
  <c r="A676" i="25"/>
  <c r="R675" i="25"/>
  <c r="P675" i="25"/>
  <c r="A675" i="25"/>
  <c r="R674" i="25"/>
  <c r="P674" i="25"/>
  <c r="A674" i="25"/>
  <c r="R673" i="25"/>
  <c r="P673" i="25"/>
  <c r="A673" i="25"/>
  <c r="R672" i="25"/>
  <c r="P672" i="25"/>
  <c r="A672" i="25"/>
  <c r="R671" i="25"/>
  <c r="P671" i="25"/>
  <c r="A671" i="25"/>
  <c r="R670" i="25"/>
  <c r="P670" i="25"/>
  <c r="A670" i="25"/>
  <c r="R669" i="25"/>
  <c r="P669" i="25"/>
  <c r="A669" i="25"/>
  <c r="R668" i="25"/>
  <c r="P668" i="25"/>
  <c r="A668" i="25"/>
  <c r="R667" i="25"/>
  <c r="P667" i="25"/>
  <c r="A667" i="25"/>
  <c r="R666" i="25"/>
  <c r="P666" i="25"/>
  <c r="A666" i="25"/>
  <c r="R665" i="25"/>
  <c r="P665" i="25"/>
  <c r="A665" i="25"/>
  <c r="R664" i="25"/>
  <c r="P664" i="25"/>
  <c r="A664" i="25"/>
  <c r="R663" i="25"/>
  <c r="P663" i="25"/>
  <c r="A663" i="25"/>
  <c r="R662" i="25"/>
  <c r="P662" i="25"/>
  <c r="A662" i="25"/>
  <c r="R661" i="25"/>
  <c r="P661" i="25"/>
  <c r="A661" i="25"/>
  <c r="R660" i="25"/>
  <c r="P660" i="25"/>
  <c r="A660" i="25"/>
  <c r="R659" i="25"/>
  <c r="P659" i="25"/>
  <c r="A659" i="25"/>
  <c r="R658" i="25"/>
  <c r="P658" i="25"/>
  <c r="A658" i="25"/>
  <c r="R657" i="25"/>
  <c r="P657" i="25"/>
  <c r="A657" i="25"/>
  <c r="R656" i="25"/>
  <c r="P656" i="25"/>
  <c r="A656" i="25"/>
  <c r="R655" i="25"/>
  <c r="P655" i="25"/>
  <c r="A655" i="25"/>
  <c r="R654" i="25"/>
  <c r="P654" i="25"/>
  <c r="A654" i="25"/>
  <c r="R653" i="25"/>
  <c r="P653" i="25"/>
  <c r="A653" i="25"/>
  <c r="R652" i="25"/>
  <c r="P652" i="25"/>
  <c r="A652" i="25"/>
  <c r="R651" i="25"/>
  <c r="P651" i="25"/>
  <c r="A651" i="25"/>
  <c r="R650" i="25"/>
  <c r="P650" i="25"/>
  <c r="A650" i="25"/>
  <c r="R649" i="25"/>
  <c r="P649" i="25"/>
  <c r="A649" i="25"/>
  <c r="R648" i="25"/>
  <c r="P648" i="25"/>
  <c r="A648" i="25"/>
  <c r="R647" i="25"/>
  <c r="P647" i="25"/>
  <c r="A647" i="25"/>
  <c r="R646" i="25"/>
  <c r="P646" i="25"/>
  <c r="A646" i="25"/>
  <c r="R645" i="25"/>
  <c r="P645" i="25"/>
  <c r="A645" i="25"/>
  <c r="R644" i="25"/>
  <c r="P644" i="25"/>
  <c r="A644" i="25"/>
  <c r="R643" i="25"/>
  <c r="P643" i="25"/>
  <c r="A643" i="25"/>
  <c r="R642" i="25"/>
  <c r="P642" i="25"/>
  <c r="A642" i="25"/>
  <c r="R641" i="25"/>
  <c r="P641" i="25"/>
  <c r="A641" i="25"/>
  <c r="R640" i="25"/>
  <c r="P640" i="25"/>
  <c r="A640" i="25"/>
  <c r="R639" i="25"/>
  <c r="P639" i="25"/>
  <c r="A639" i="25"/>
  <c r="R638" i="25"/>
  <c r="P638" i="25"/>
  <c r="A638" i="25"/>
  <c r="R637" i="25"/>
  <c r="P637" i="25"/>
  <c r="A637" i="25"/>
  <c r="R636" i="25"/>
  <c r="P636" i="25"/>
  <c r="A636" i="25"/>
  <c r="R635" i="25"/>
  <c r="P635" i="25"/>
  <c r="A635" i="25"/>
  <c r="R634" i="25"/>
  <c r="P634" i="25"/>
  <c r="A634" i="25"/>
  <c r="R633" i="25"/>
  <c r="P633" i="25"/>
  <c r="A633" i="25"/>
  <c r="R632" i="25"/>
  <c r="P632" i="25"/>
  <c r="A632" i="25"/>
  <c r="R631" i="25"/>
  <c r="P631" i="25"/>
  <c r="A631" i="25"/>
  <c r="R630" i="25"/>
  <c r="P630" i="25"/>
  <c r="A630" i="25"/>
  <c r="R629" i="25"/>
  <c r="P629" i="25"/>
  <c r="A629" i="25"/>
  <c r="R628" i="25"/>
  <c r="P628" i="25"/>
  <c r="A628" i="25"/>
  <c r="R627" i="25"/>
  <c r="P627" i="25"/>
  <c r="A627" i="25"/>
  <c r="R626" i="25"/>
  <c r="P626" i="25"/>
  <c r="A626" i="25"/>
  <c r="R625" i="25"/>
  <c r="P625" i="25"/>
  <c r="A625" i="25"/>
  <c r="R624" i="25"/>
  <c r="P624" i="25"/>
  <c r="A624" i="25"/>
  <c r="R623" i="25"/>
  <c r="P623" i="25"/>
  <c r="A623" i="25"/>
  <c r="R622" i="25"/>
  <c r="P622" i="25"/>
  <c r="A622" i="25"/>
  <c r="R621" i="25"/>
  <c r="P621" i="25"/>
  <c r="A621" i="25"/>
  <c r="R620" i="25"/>
  <c r="P620" i="25"/>
  <c r="A620" i="25"/>
  <c r="R619" i="25"/>
  <c r="P619" i="25"/>
  <c r="A619" i="25"/>
  <c r="R618" i="25"/>
  <c r="P618" i="25"/>
  <c r="A618" i="25"/>
  <c r="R617" i="25"/>
  <c r="P617" i="25"/>
  <c r="A617" i="25"/>
  <c r="R616" i="25"/>
  <c r="P616" i="25"/>
  <c r="A616" i="25"/>
  <c r="R615" i="25"/>
  <c r="P615" i="25"/>
  <c r="A615" i="25"/>
  <c r="R614" i="25"/>
  <c r="P614" i="25"/>
  <c r="A614" i="25"/>
  <c r="R613" i="25"/>
  <c r="P613" i="25"/>
  <c r="A613" i="25"/>
  <c r="R612" i="25"/>
  <c r="P612" i="25"/>
  <c r="A612" i="25"/>
  <c r="R611" i="25"/>
  <c r="P611" i="25"/>
  <c r="A611" i="25"/>
  <c r="R610" i="25"/>
  <c r="P610" i="25"/>
  <c r="A610" i="25"/>
  <c r="R609" i="25"/>
  <c r="P609" i="25"/>
  <c r="A609" i="25"/>
  <c r="R608" i="25"/>
  <c r="P608" i="25"/>
  <c r="A608" i="25"/>
  <c r="R607" i="25"/>
  <c r="P607" i="25"/>
  <c r="A607" i="25"/>
  <c r="R606" i="25"/>
  <c r="P606" i="25"/>
  <c r="A606" i="25"/>
  <c r="R605" i="25"/>
  <c r="P605" i="25"/>
  <c r="A605" i="25"/>
  <c r="R604" i="25"/>
  <c r="P604" i="25"/>
  <c r="A604" i="25"/>
  <c r="R603" i="25"/>
  <c r="P603" i="25"/>
  <c r="A603" i="25"/>
  <c r="R602" i="25"/>
  <c r="P602" i="25"/>
  <c r="A602" i="25"/>
  <c r="R601" i="25"/>
  <c r="P601" i="25"/>
  <c r="A601" i="25"/>
  <c r="R600" i="25"/>
  <c r="P600" i="25"/>
  <c r="A600" i="25"/>
  <c r="R599" i="25"/>
  <c r="P599" i="25"/>
  <c r="A599" i="25"/>
  <c r="R598" i="25"/>
  <c r="P598" i="25"/>
  <c r="A598" i="25"/>
  <c r="R597" i="25"/>
  <c r="P597" i="25"/>
  <c r="A597" i="25"/>
  <c r="R596" i="25"/>
  <c r="P596" i="25"/>
  <c r="A596" i="25"/>
  <c r="R595" i="25"/>
  <c r="P595" i="25"/>
  <c r="A595" i="25"/>
  <c r="R594" i="25"/>
  <c r="P594" i="25"/>
  <c r="A594" i="25"/>
  <c r="R593" i="25"/>
  <c r="P593" i="25"/>
  <c r="A593" i="25"/>
  <c r="R592" i="25"/>
  <c r="P592" i="25"/>
  <c r="A592" i="25"/>
  <c r="R591" i="25"/>
  <c r="P591" i="25"/>
  <c r="A591" i="25"/>
  <c r="R590" i="25"/>
  <c r="P590" i="25"/>
  <c r="A590" i="25"/>
  <c r="R589" i="25"/>
  <c r="P589" i="25"/>
  <c r="A589" i="25"/>
  <c r="R588" i="25"/>
  <c r="P588" i="25"/>
  <c r="A588" i="25"/>
  <c r="R587" i="25"/>
  <c r="P587" i="25"/>
  <c r="A587" i="25"/>
  <c r="R586" i="25"/>
  <c r="P586" i="25"/>
  <c r="A586" i="25"/>
  <c r="R585" i="25"/>
  <c r="P585" i="25"/>
  <c r="A585" i="25"/>
  <c r="R584" i="25"/>
  <c r="P584" i="25"/>
  <c r="A584" i="25"/>
  <c r="R583" i="25"/>
  <c r="P583" i="25"/>
  <c r="A583" i="25"/>
  <c r="R582" i="25"/>
  <c r="P582" i="25"/>
  <c r="A582" i="25"/>
  <c r="R581" i="25"/>
  <c r="P581" i="25"/>
  <c r="A581" i="25"/>
  <c r="R580" i="25"/>
  <c r="P580" i="25"/>
  <c r="A580" i="25"/>
  <c r="R579" i="25"/>
  <c r="P579" i="25"/>
  <c r="A579" i="25"/>
  <c r="R578" i="25"/>
  <c r="P578" i="25"/>
  <c r="A578" i="25"/>
  <c r="R577" i="25"/>
  <c r="P577" i="25"/>
  <c r="A577" i="25"/>
  <c r="R576" i="25"/>
  <c r="P576" i="25"/>
  <c r="A576" i="25"/>
  <c r="R575" i="25"/>
  <c r="P575" i="25"/>
  <c r="A575" i="25"/>
  <c r="R574" i="25"/>
  <c r="P574" i="25"/>
  <c r="A574" i="25"/>
  <c r="R573" i="25"/>
  <c r="P573" i="25"/>
  <c r="A573" i="25"/>
  <c r="R572" i="25"/>
  <c r="P572" i="25"/>
  <c r="A572" i="25"/>
  <c r="R571" i="25"/>
  <c r="P571" i="25"/>
  <c r="A571" i="25"/>
  <c r="R570" i="25"/>
  <c r="P570" i="25"/>
  <c r="A570" i="25"/>
  <c r="R569" i="25"/>
  <c r="P569" i="25"/>
  <c r="A569" i="25"/>
  <c r="R568" i="25"/>
  <c r="P568" i="25"/>
  <c r="A568" i="25"/>
  <c r="R567" i="25"/>
  <c r="P567" i="25"/>
  <c r="A567" i="25"/>
  <c r="R566" i="25"/>
  <c r="P566" i="25"/>
  <c r="A566" i="25"/>
  <c r="R565" i="25"/>
  <c r="P565" i="25"/>
  <c r="A565" i="25"/>
  <c r="R564" i="25"/>
  <c r="P564" i="25"/>
  <c r="A564" i="25"/>
  <c r="R563" i="25"/>
  <c r="P563" i="25"/>
  <c r="A563" i="25"/>
  <c r="R562" i="25"/>
  <c r="P562" i="25"/>
  <c r="A562" i="25"/>
  <c r="R561" i="25"/>
  <c r="P561" i="25"/>
  <c r="A561" i="25"/>
  <c r="R560" i="25"/>
  <c r="P560" i="25"/>
  <c r="A560" i="25"/>
  <c r="R559" i="25"/>
  <c r="P559" i="25"/>
  <c r="A559" i="25"/>
  <c r="R558" i="25"/>
  <c r="P558" i="25"/>
  <c r="A558" i="25"/>
  <c r="R557" i="25"/>
  <c r="P557" i="25"/>
  <c r="A557" i="25"/>
  <c r="R556" i="25"/>
  <c r="P556" i="25"/>
  <c r="A556" i="25"/>
  <c r="R555" i="25"/>
  <c r="P555" i="25"/>
  <c r="A555" i="25"/>
  <c r="R554" i="25"/>
  <c r="P554" i="25"/>
  <c r="A554" i="25"/>
  <c r="R553" i="25"/>
  <c r="P553" i="25"/>
  <c r="A553" i="25"/>
  <c r="R552" i="25"/>
  <c r="P552" i="25"/>
  <c r="A552" i="25"/>
  <c r="R551" i="25"/>
  <c r="P551" i="25"/>
  <c r="A551" i="25"/>
  <c r="R550" i="25"/>
  <c r="P550" i="25"/>
  <c r="A550" i="25"/>
  <c r="R549" i="25"/>
  <c r="P549" i="25"/>
  <c r="A549" i="25"/>
  <c r="R548" i="25"/>
  <c r="P548" i="25"/>
  <c r="A548" i="25"/>
  <c r="R547" i="25"/>
  <c r="P547" i="25"/>
  <c r="A547" i="25"/>
  <c r="R546" i="25"/>
  <c r="P546" i="25"/>
  <c r="A546" i="25"/>
  <c r="R545" i="25"/>
  <c r="P545" i="25"/>
  <c r="A545" i="25"/>
  <c r="R544" i="25"/>
  <c r="P544" i="25"/>
  <c r="A544" i="25"/>
  <c r="R543" i="25"/>
  <c r="P543" i="25"/>
  <c r="A543" i="25"/>
  <c r="R542" i="25"/>
  <c r="P542" i="25"/>
  <c r="A542" i="25"/>
  <c r="R541" i="25"/>
  <c r="P541" i="25"/>
  <c r="A541" i="25"/>
  <c r="R540" i="25"/>
  <c r="P540" i="25"/>
  <c r="A540" i="25"/>
  <c r="R539" i="25"/>
  <c r="P539" i="25"/>
  <c r="A539" i="25"/>
  <c r="R538" i="25"/>
  <c r="P538" i="25"/>
  <c r="A538" i="25"/>
  <c r="R537" i="25"/>
  <c r="P537" i="25"/>
  <c r="A537" i="25"/>
  <c r="R536" i="25"/>
  <c r="P536" i="25"/>
  <c r="A536" i="25"/>
  <c r="R535" i="25"/>
  <c r="P535" i="25"/>
  <c r="A535" i="25"/>
  <c r="R534" i="25"/>
  <c r="P534" i="25"/>
  <c r="A534" i="25"/>
  <c r="R533" i="25"/>
  <c r="P533" i="25"/>
  <c r="A533" i="25"/>
  <c r="R532" i="25"/>
  <c r="P532" i="25"/>
  <c r="A532" i="25"/>
  <c r="R531" i="25"/>
  <c r="P531" i="25"/>
  <c r="A531" i="25"/>
  <c r="R530" i="25"/>
  <c r="P530" i="25"/>
  <c r="A530" i="25"/>
  <c r="R529" i="25"/>
  <c r="P529" i="25"/>
  <c r="A529" i="25"/>
  <c r="R528" i="25"/>
  <c r="P528" i="25"/>
  <c r="A528" i="25"/>
  <c r="R527" i="25"/>
  <c r="P527" i="25"/>
  <c r="A527" i="25"/>
  <c r="R526" i="25"/>
  <c r="P526" i="25"/>
  <c r="A526" i="25"/>
  <c r="R525" i="25"/>
  <c r="P525" i="25"/>
  <c r="A525" i="25"/>
  <c r="R524" i="25"/>
  <c r="P524" i="25"/>
  <c r="A524" i="25"/>
  <c r="R523" i="25"/>
  <c r="P523" i="25"/>
  <c r="A523" i="25"/>
  <c r="R522" i="25"/>
  <c r="P522" i="25"/>
  <c r="A522" i="25"/>
  <c r="R521" i="25"/>
  <c r="P521" i="25"/>
  <c r="A521" i="25"/>
  <c r="R520" i="25"/>
  <c r="P520" i="25"/>
  <c r="A520" i="25"/>
  <c r="R519" i="25"/>
  <c r="P519" i="25"/>
  <c r="A519" i="25"/>
  <c r="R518" i="25"/>
  <c r="P518" i="25"/>
  <c r="A518" i="25"/>
  <c r="R517" i="25"/>
  <c r="P517" i="25"/>
  <c r="A517" i="25"/>
  <c r="R516" i="25"/>
  <c r="P516" i="25"/>
  <c r="A516" i="25"/>
  <c r="R515" i="25"/>
  <c r="P515" i="25"/>
  <c r="A515" i="25"/>
  <c r="R514" i="25"/>
  <c r="P514" i="25"/>
  <c r="A514" i="25"/>
  <c r="R513" i="25"/>
  <c r="P513" i="25"/>
  <c r="A513" i="25"/>
  <c r="R512" i="25"/>
  <c r="P512" i="25"/>
  <c r="A512" i="25"/>
  <c r="R511" i="25"/>
  <c r="P511" i="25"/>
  <c r="A511" i="25"/>
  <c r="R510" i="25"/>
  <c r="P510" i="25"/>
  <c r="A510" i="25"/>
  <c r="R509" i="25"/>
  <c r="P509" i="25"/>
  <c r="A509" i="25"/>
  <c r="R508" i="25"/>
  <c r="P508" i="25"/>
  <c r="A508" i="25"/>
  <c r="R507" i="25"/>
  <c r="P507" i="25"/>
  <c r="A507" i="25"/>
  <c r="R506" i="25"/>
  <c r="P506" i="25"/>
  <c r="A506" i="25"/>
  <c r="R505" i="25"/>
  <c r="P505" i="25"/>
  <c r="A505" i="25"/>
  <c r="R504" i="25"/>
  <c r="P504" i="25"/>
  <c r="A504" i="25"/>
  <c r="R503" i="25"/>
  <c r="P503" i="25"/>
  <c r="A503" i="25"/>
  <c r="R502" i="25"/>
  <c r="P502" i="25"/>
  <c r="A502" i="25"/>
  <c r="R501" i="25"/>
  <c r="P501" i="25"/>
  <c r="A501" i="25"/>
  <c r="R500" i="25"/>
  <c r="P500" i="25"/>
  <c r="A500" i="25"/>
  <c r="R499" i="25"/>
  <c r="P499" i="25"/>
  <c r="A499" i="25"/>
  <c r="R498" i="25"/>
  <c r="P498" i="25"/>
  <c r="A498" i="25"/>
  <c r="R497" i="25"/>
  <c r="P497" i="25"/>
  <c r="A497" i="25"/>
  <c r="R496" i="25"/>
  <c r="P496" i="25"/>
  <c r="A496" i="25"/>
  <c r="R495" i="25"/>
  <c r="P495" i="25"/>
  <c r="A495" i="25"/>
  <c r="R494" i="25"/>
  <c r="P494" i="25"/>
  <c r="A494" i="25"/>
  <c r="R493" i="25"/>
  <c r="P493" i="25"/>
  <c r="A493" i="25"/>
  <c r="R492" i="25"/>
  <c r="P492" i="25"/>
  <c r="A492" i="25"/>
  <c r="R491" i="25"/>
  <c r="P491" i="25"/>
  <c r="A491" i="25"/>
  <c r="R490" i="25"/>
  <c r="P490" i="25"/>
  <c r="A490" i="25"/>
  <c r="R489" i="25"/>
  <c r="P489" i="25"/>
  <c r="A489" i="25"/>
  <c r="R488" i="25"/>
  <c r="P488" i="25"/>
  <c r="A488" i="25"/>
  <c r="R487" i="25"/>
  <c r="P487" i="25"/>
  <c r="A487" i="25"/>
  <c r="R486" i="25"/>
  <c r="P486" i="25"/>
  <c r="A486" i="25"/>
  <c r="R485" i="25"/>
  <c r="P485" i="25"/>
  <c r="A485" i="25"/>
  <c r="R484" i="25"/>
  <c r="P484" i="25"/>
  <c r="A484" i="25"/>
  <c r="R483" i="25"/>
  <c r="P483" i="25"/>
  <c r="A483" i="25"/>
  <c r="R482" i="25"/>
  <c r="P482" i="25"/>
  <c r="A482" i="25"/>
  <c r="R481" i="25"/>
  <c r="P481" i="25"/>
  <c r="A481" i="25"/>
  <c r="R480" i="25"/>
  <c r="P480" i="25"/>
  <c r="A480" i="25"/>
  <c r="R479" i="25"/>
  <c r="P479" i="25"/>
  <c r="A479" i="25"/>
  <c r="R478" i="25"/>
  <c r="P478" i="25"/>
  <c r="A478" i="25"/>
  <c r="R477" i="25"/>
  <c r="P477" i="25"/>
  <c r="A477" i="25"/>
  <c r="R476" i="25"/>
  <c r="P476" i="25"/>
  <c r="A476" i="25"/>
  <c r="R475" i="25"/>
  <c r="P475" i="25"/>
  <c r="A475" i="25"/>
  <c r="R474" i="25"/>
  <c r="P474" i="25"/>
  <c r="A474" i="25"/>
  <c r="R473" i="25"/>
  <c r="P473" i="25"/>
  <c r="A473" i="25"/>
  <c r="R472" i="25"/>
  <c r="P472" i="25"/>
  <c r="A472" i="25"/>
  <c r="R471" i="25"/>
  <c r="P471" i="25"/>
  <c r="A471" i="25"/>
  <c r="R470" i="25"/>
  <c r="P470" i="25"/>
  <c r="A470" i="25"/>
  <c r="R469" i="25"/>
  <c r="P469" i="25"/>
  <c r="A469" i="25"/>
  <c r="R468" i="25"/>
  <c r="P468" i="25"/>
  <c r="A468" i="25"/>
  <c r="R467" i="25"/>
  <c r="P467" i="25"/>
  <c r="A467" i="25"/>
  <c r="R466" i="25"/>
  <c r="P466" i="25"/>
  <c r="A466" i="25"/>
  <c r="R465" i="25"/>
  <c r="P465" i="25"/>
  <c r="A465" i="25"/>
  <c r="R464" i="25"/>
  <c r="P464" i="25"/>
  <c r="A464" i="25"/>
  <c r="R463" i="25"/>
  <c r="P463" i="25"/>
  <c r="A463" i="25"/>
  <c r="R462" i="25"/>
  <c r="P462" i="25"/>
  <c r="A462" i="25"/>
  <c r="R461" i="25"/>
  <c r="P461" i="25"/>
  <c r="A461" i="25"/>
  <c r="R460" i="25"/>
  <c r="P460" i="25"/>
  <c r="A460" i="25"/>
  <c r="R459" i="25"/>
  <c r="P459" i="25"/>
  <c r="A459" i="25"/>
  <c r="R458" i="25"/>
  <c r="P458" i="25"/>
  <c r="A458" i="25"/>
  <c r="R457" i="25"/>
  <c r="P457" i="25"/>
  <c r="A457" i="25"/>
  <c r="R456" i="25"/>
  <c r="P456" i="25"/>
  <c r="A456" i="25"/>
  <c r="R455" i="25"/>
  <c r="P455" i="25"/>
  <c r="A455" i="25"/>
  <c r="R454" i="25"/>
  <c r="P454" i="25"/>
  <c r="A454" i="25"/>
  <c r="R453" i="25"/>
  <c r="P453" i="25"/>
  <c r="A453" i="25"/>
  <c r="R452" i="25"/>
  <c r="P452" i="25"/>
  <c r="A452" i="25"/>
  <c r="R451" i="25"/>
  <c r="P451" i="25"/>
  <c r="A451" i="25"/>
  <c r="R450" i="25"/>
  <c r="P450" i="25"/>
  <c r="A450" i="25"/>
  <c r="R449" i="25"/>
  <c r="P449" i="25"/>
  <c r="A449" i="25"/>
  <c r="R448" i="25"/>
  <c r="P448" i="25"/>
  <c r="A448" i="25"/>
  <c r="R447" i="25"/>
  <c r="P447" i="25"/>
  <c r="A447" i="25"/>
  <c r="R446" i="25"/>
  <c r="P446" i="25"/>
  <c r="A446" i="25"/>
  <c r="R445" i="25"/>
  <c r="P445" i="25"/>
  <c r="A445" i="25"/>
  <c r="R444" i="25"/>
  <c r="P444" i="25"/>
  <c r="A444" i="25"/>
  <c r="R443" i="25"/>
  <c r="P443" i="25"/>
  <c r="A443" i="25"/>
  <c r="R442" i="25"/>
  <c r="P442" i="25"/>
  <c r="A442" i="25"/>
  <c r="R441" i="25"/>
  <c r="P441" i="25"/>
  <c r="A441" i="25"/>
  <c r="R440" i="25"/>
  <c r="P440" i="25"/>
  <c r="A440" i="25"/>
  <c r="R439" i="25"/>
  <c r="P439" i="25"/>
  <c r="A439" i="25"/>
  <c r="R438" i="25"/>
  <c r="P438" i="25"/>
  <c r="A438" i="25"/>
  <c r="R437" i="25"/>
  <c r="P437" i="25"/>
  <c r="A437" i="25"/>
  <c r="R436" i="25"/>
  <c r="P436" i="25"/>
  <c r="A436" i="25"/>
  <c r="R435" i="25"/>
  <c r="P435" i="25"/>
  <c r="A435" i="25"/>
  <c r="R434" i="25"/>
  <c r="P434" i="25"/>
  <c r="A434" i="25"/>
  <c r="R433" i="25"/>
  <c r="P433" i="25"/>
  <c r="A433" i="25"/>
  <c r="R432" i="25"/>
  <c r="P432" i="25"/>
  <c r="A432" i="25"/>
  <c r="R431" i="25"/>
  <c r="P431" i="25"/>
  <c r="A431" i="25"/>
  <c r="R430" i="25"/>
  <c r="P430" i="25"/>
  <c r="A430" i="25"/>
  <c r="R429" i="25"/>
  <c r="P429" i="25"/>
  <c r="A429" i="25"/>
  <c r="R428" i="25"/>
  <c r="P428" i="25"/>
  <c r="A428" i="25"/>
  <c r="R427" i="25"/>
  <c r="P427" i="25"/>
  <c r="A427" i="25"/>
  <c r="R426" i="25"/>
  <c r="P426" i="25"/>
  <c r="A426" i="25"/>
  <c r="R425" i="25"/>
  <c r="P425" i="25"/>
  <c r="A425" i="25"/>
  <c r="R424" i="25"/>
  <c r="P424" i="25"/>
  <c r="A424" i="25"/>
  <c r="R423" i="25"/>
  <c r="P423" i="25"/>
  <c r="A423" i="25"/>
  <c r="R422" i="25"/>
  <c r="P422" i="25"/>
  <c r="A422" i="25"/>
  <c r="R421" i="25"/>
  <c r="P421" i="25"/>
  <c r="A421" i="25"/>
  <c r="R420" i="25"/>
  <c r="P420" i="25"/>
  <c r="A420" i="25"/>
  <c r="R419" i="25"/>
  <c r="P419" i="25"/>
  <c r="A419" i="25"/>
  <c r="R418" i="25"/>
  <c r="P418" i="25"/>
  <c r="A418" i="25"/>
  <c r="R417" i="25"/>
  <c r="P417" i="25"/>
  <c r="A417" i="25"/>
  <c r="R416" i="25"/>
  <c r="P416" i="25"/>
  <c r="A416" i="25"/>
  <c r="R415" i="25"/>
  <c r="P415" i="25"/>
  <c r="A415" i="25"/>
  <c r="R414" i="25"/>
  <c r="P414" i="25"/>
  <c r="A414" i="25"/>
  <c r="R413" i="25"/>
  <c r="P413" i="25"/>
  <c r="A413" i="25"/>
  <c r="R412" i="25"/>
  <c r="P412" i="25"/>
  <c r="A412" i="25"/>
  <c r="R411" i="25"/>
  <c r="P411" i="25"/>
  <c r="A411" i="25"/>
  <c r="R410" i="25"/>
  <c r="P410" i="25"/>
  <c r="A410" i="25"/>
  <c r="R409" i="25"/>
  <c r="P409" i="25"/>
  <c r="A409" i="25"/>
  <c r="R408" i="25"/>
  <c r="P408" i="25"/>
  <c r="A408" i="25"/>
  <c r="R407" i="25"/>
  <c r="P407" i="25"/>
  <c r="A407" i="25"/>
  <c r="R406" i="25"/>
  <c r="P406" i="25"/>
  <c r="A406" i="25"/>
  <c r="R405" i="25"/>
  <c r="P405" i="25"/>
  <c r="A405" i="25"/>
  <c r="R404" i="25"/>
  <c r="P404" i="25"/>
  <c r="A404" i="25"/>
  <c r="R403" i="25"/>
  <c r="P403" i="25"/>
  <c r="A403" i="25"/>
  <c r="R402" i="25"/>
  <c r="P402" i="25"/>
  <c r="A402" i="25"/>
  <c r="R401" i="25"/>
  <c r="P401" i="25"/>
  <c r="A401" i="25"/>
  <c r="R400" i="25"/>
  <c r="P400" i="25"/>
  <c r="A400" i="25"/>
  <c r="R399" i="25"/>
  <c r="P399" i="25"/>
  <c r="A399" i="25"/>
  <c r="R398" i="25"/>
  <c r="P398" i="25"/>
  <c r="A398" i="25"/>
  <c r="R397" i="25"/>
  <c r="P397" i="25"/>
  <c r="A397" i="25"/>
  <c r="R396" i="25"/>
  <c r="P396" i="25"/>
  <c r="A396" i="25"/>
  <c r="R395" i="25"/>
  <c r="P395" i="25"/>
  <c r="A395" i="25"/>
  <c r="R394" i="25"/>
  <c r="P394" i="25"/>
  <c r="A394" i="25"/>
  <c r="R393" i="25"/>
  <c r="P393" i="25"/>
  <c r="A393" i="25"/>
  <c r="R392" i="25"/>
  <c r="P392" i="25"/>
  <c r="A392" i="25"/>
  <c r="R391" i="25"/>
  <c r="P391" i="25"/>
  <c r="A391" i="25"/>
  <c r="R390" i="25"/>
  <c r="P390" i="25"/>
  <c r="A390" i="25"/>
  <c r="R389" i="25"/>
  <c r="P389" i="25"/>
  <c r="A389" i="25"/>
  <c r="R388" i="25"/>
  <c r="P388" i="25"/>
  <c r="A388" i="25"/>
  <c r="R387" i="25"/>
  <c r="P387" i="25"/>
  <c r="A387" i="25"/>
  <c r="R386" i="25"/>
  <c r="P386" i="25"/>
  <c r="A386" i="25"/>
  <c r="R385" i="25"/>
  <c r="P385" i="25"/>
  <c r="A385" i="25"/>
  <c r="R384" i="25"/>
  <c r="P384" i="25"/>
  <c r="A384" i="25"/>
  <c r="R383" i="25"/>
  <c r="P383" i="25"/>
  <c r="A383" i="25"/>
  <c r="R382" i="25"/>
  <c r="P382" i="25"/>
  <c r="A382" i="25"/>
  <c r="R381" i="25"/>
  <c r="P381" i="25"/>
  <c r="A381" i="25"/>
  <c r="R380" i="25"/>
  <c r="P380" i="25"/>
  <c r="A380" i="25"/>
  <c r="R379" i="25"/>
  <c r="P379" i="25"/>
  <c r="A379" i="25"/>
  <c r="R378" i="25"/>
  <c r="P378" i="25"/>
  <c r="A378" i="25"/>
  <c r="R377" i="25"/>
  <c r="P377" i="25"/>
  <c r="A377" i="25"/>
  <c r="R376" i="25"/>
  <c r="P376" i="25"/>
  <c r="A376" i="25"/>
  <c r="R375" i="25"/>
  <c r="P375" i="25"/>
  <c r="A375" i="25"/>
  <c r="R374" i="25"/>
  <c r="P374" i="25"/>
  <c r="A374" i="25"/>
  <c r="R373" i="25"/>
  <c r="P373" i="25"/>
  <c r="A373" i="25"/>
  <c r="R372" i="25"/>
  <c r="P372" i="25"/>
  <c r="A372" i="25"/>
  <c r="R371" i="25"/>
  <c r="P371" i="25"/>
  <c r="A371" i="25"/>
  <c r="R370" i="25"/>
  <c r="P370" i="25"/>
  <c r="A370" i="25"/>
  <c r="R369" i="25"/>
  <c r="P369" i="25"/>
  <c r="A369" i="25"/>
  <c r="R368" i="25"/>
  <c r="P368" i="25"/>
  <c r="A368" i="25"/>
  <c r="R367" i="25"/>
  <c r="P367" i="25"/>
  <c r="A367" i="25"/>
  <c r="R366" i="25"/>
  <c r="P366" i="25"/>
  <c r="A366" i="25"/>
  <c r="R365" i="25"/>
  <c r="P365" i="25"/>
  <c r="A365" i="25"/>
  <c r="R364" i="25"/>
  <c r="P364" i="25"/>
  <c r="A364" i="25"/>
  <c r="R363" i="25"/>
  <c r="P363" i="25"/>
  <c r="A363" i="25"/>
  <c r="R362" i="25"/>
  <c r="P362" i="25"/>
  <c r="A362" i="25"/>
  <c r="R361" i="25"/>
  <c r="P361" i="25"/>
  <c r="A361" i="25"/>
  <c r="R360" i="25"/>
  <c r="P360" i="25"/>
  <c r="A360" i="25"/>
  <c r="R359" i="25"/>
  <c r="P359" i="25"/>
  <c r="A359" i="25"/>
  <c r="R358" i="25"/>
  <c r="P358" i="25"/>
  <c r="A358" i="25"/>
  <c r="R357" i="25"/>
  <c r="P357" i="25"/>
  <c r="A357" i="25"/>
  <c r="R356" i="25"/>
  <c r="P356" i="25"/>
  <c r="A356" i="25"/>
  <c r="R355" i="25"/>
  <c r="P355" i="25"/>
  <c r="A355" i="25"/>
  <c r="R354" i="25"/>
  <c r="P354" i="25"/>
  <c r="A354" i="25"/>
  <c r="R353" i="25"/>
  <c r="P353" i="25"/>
  <c r="A353" i="25"/>
  <c r="R352" i="25"/>
  <c r="P352" i="25"/>
  <c r="A352" i="25"/>
  <c r="R351" i="25"/>
  <c r="P351" i="25"/>
  <c r="A351" i="25"/>
  <c r="R350" i="25"/>
  <c r="P350" i="25"/>
  <c r="A350" i="25"/>
  <c r="R349" i="25"/>
  <c r="P349" i="25"/>
  <c r="A349" i="25"/>
  <c r="R348" i="25"/>
  <c r="P348" i="25"/>
  <c r="A348" i="25"/>
  <c r="R347" i="25"/>
  <c r="P347" i="25"/>
  <c r="A347" i="25"/>
  <c r="R346" i="25"/>
  <c r="P346" i="25"/>
  <c r="A346" i="25"/>
  <c r="R345" i="25"/>
  <c r="P345" i="25"/>
  <c r="A345" i="25"/>
  <c r="R344" i="25"/>
  <c r="P344" i="25"/>
  <c r="A344" i="25"/>
  <c r="R343" i="25"/>
  <c r="P343" i="25"/>
  <c r="A343" i="25"/>
  <c r="R342" i="25"/>
  <c r="P342" i="25"/>
  <c r="A342" i="25"/>
  <c r="R341" i="25"/>
  <c r="P341" i="25"/>
  <c r="A341" i="25"/>
  <c r="R340" i="25"/>
  <c r="P340" i="25"/>
  <c r="A340" i="25"/>
  <c r="R339" i="25"/>
  <c r="P339" i="25"/>
  <c r="A339" i="25"/>
  <c r="R338" i="25"/>
  <c r="P338" i="25"/>
  <c r="A338" i="25"/>
  <c r="R337" i="25"/>
  <c r="P337" i="25"/>
  <c r="A337" i="25"/>
  <c r="R336" i="25"/>
  <c r="P336" i="25"/>
  <c r="A336" i="25"/>
  <c r="R335" i="25"/>
  <c r="P335" i="25"/>
  <c r="A335" i="25"/>
  <c r="R334" i="25"/>
  <c r="P334" i="25"/>
  <c r="A334" i="25"/>
  <c r="R333" i="25"/>
  <c r="P333" i="25"/>
  <c r="A333" i="25"/>
  <c r="R332" i="25"/>
  <c r="P332" i="25"/>
  <c r="A332" i="25"/>
  <c r="R331" i="25"/>
  <c r="P331" i="25"/>
  <c r="A331" i="25"/>
  <c r="R330" i="25"/>
  <c r="P330" i="25"/>
  <c r="A330" i="25"/>
  <c r="R329" i="25"/>
  <c r="P329" i="25"/>
  <c r="A329" i="25"/>
  <c r="R328" i="25"/>
  <c r="P328" i="25"/>
  <c r="A328" i="25"/>
  <c r="R327" i="25"/>
  <c r="P327" i="25"/>
  <c r="A327" i="25"/>
  <c r="R326" i="25"/>
  <c r="P326" i="25"/>
  <c r="A326" i="25"/>
  <c r="R325" i="25"/>
  <c r="P325" i="25"/>
  <c r="A325" i="25"/>
  <c r="R324" i="25"/>
  <c r="P324" i="25"/>
  <c r="A324" i="25"/>
  <c r="R323" i="25"/>
  <c r="P323" i="25"/>
  <c r="A323" i="25"/>
  <c r="R322" i="25"/>
  <c r="P322" i="25"/>
  <c r="A322" i="25"/>
  <c r="R321" i="25"/>
  <c r="P321" i="25"/>
  <c r="A321" i="25"/>
  <c r="R320" i="25"/>
  <c r="P320" i="25"/>
  <c r="A320" i="25"/>
  <c r="R319" i="25"/>
  <c r="P319" i="25"/>
  <c r="A319" i="25"/>
  <c r="R318" i="25"/>
  <c r="P318" i="25"/>
  <c r="A318" i="25"/>
  <c r="R317" i="25"/>
  <c r="P317" i="25"/>
  <c r="A317" i="25"/>
  <c r="R316" i="25"/>
  <c r="P316" i="25"/>
  <c r="A316" i="25"/>
  <c r="R315" i="25"/>
  <c r="P315" i="25"/>
  <c r="A315" i="25"/>
  <c r="R314" i="25"/>
  <c r="P314" i="25"/>
  <c r="A314" i="25"/>
  <c r="R313" i="25"/>
  <c r="P313" i="25"/>
  <c r="A313" i="25"/>
  <c r="R312" i="25"/>
  <c r="P312" i="25"/>
  <c r="A312" i="25"/>
  <c r="R311" i="25"/>
  <c r="P311" i="25"/>
  <c r="A311" i="25"/>
  <c r="R310" i="25"/>
  <c r="P310" i="25"/>
  <c r="A310" i="25"/>
  <c r="R309" i="25"/>
  <c r="P309" i="25"/>
  <c r="A309" i="25"/>
  <c r="R308" i="25"/>
  <c r="P308" i="25"/>
  <c r="A308" i="25"/>
  <c r="R307" i="25"/>
  <c r="P307" i="25"/>
  <c r="A307" i="25"/>
  <c r="R306" i="25"/>
  <c r="P306" i="25"/>
  <c r="A306" i="25"/>
  <c r="R305" i="25"/>
  <c r="P305" i="25"/>
  <c r="A305" i="25"/>
  <c r="R304" i="25"/>
  <c r="P304" i="25"/>
  <c r="A304" i="25"/>
  <c r="R303" i="25"/>
  <c r="P303" i="25"/>
  <c r="A303" i="25"/>
  <c r="R302" i="25"/>
  <c r="P302" i="25"/>
  <c r="A302" i="25"/>
  <c r="R301" i="25"/>
  <c r="P301" i="25"/>
  <c r="A301" i="25"/>
  <c r="R300" i="25"/>
  <c r="P300" i="25"/>
  <c r="A300" i="25"/>
  <c r="R299" i="25"/>
  <c r="P299" i="25"/>
  <c r="A299" i="25"/>
  <c r="R298" i="25"/>
  <c r="P298" i="25"/>
  <c r="A298" i="25"/>
  <c r="R297" i="25"/>
  <c r="P297" i="25"/>
  <c r="A297" i="25"/>
  <c r="R296" i="25"/>
  <c r="P296" i="25"/>
  <c r="A296" i="25"/>
  <c r="R295" i="25"/>
  <c r="P295" i="25"/>
  <c r="A295" i="25"/>
  <c r="R294" i="25"/>
  <c r="P294" i="25"/>
  <c r="A294" i="25"/>
  <c r="R293" i="25"/>
  <c r="P293" i="25"/>
  <c r="A293" i="25"/>
  <c r="R292" i="25"/>
  <c r="P292" i="25"/>
  <c r="A292" i="25"/>
  <c r="R291" i="25"/>
  <c r="P291" i="25"/>
  <c r="A291" i="25"/>
  <c r="R290" i="25"/>
  <c r="P290" i="25"/>
  <c r="A290" i="25"/>
  <c r="R289" i="25"/>
  <c r="P289" i="25"/>
  <c r="A289" i="25"/>
  <c r="R288" i="25"/>
  <c r="P288" i="25"/>
  <c r="A288" i="25"/>
  <c r="R287" i="25"/>
  <c r="P287" i="25"/>
  <c r="A287" i="25"/>
  <c r="R286" i="25"/>
  <c r="P286" i="25"/>
  <c r="A286" i="25"/>
  <c r="R285" i="25"/>
  <c r="P285" i="25"/>
  <c r="A285" i="25"/>
  <c r="R284" i="25"/>
  <c r="P284" i="25"/>
  <c r="A284" i="25"/>
  <c r="R283" i="25"/>
  <c r="P283" i="25"/>
  <c r="A283" i="25"/>
  <c r="R282" i="25"/>
  <c r="P282" i="25"/>
  <c r="A282" i="25"/>
  <c r="R281" i="25"/>
  <c r="P281" i="25"/>
  <c r="A281" i="25"/>
  <c r="R280" i="25"/>
  <c r="P280" i="25"/>
  <c r="A280" i="25"/>
  <c r="R279" i="25"/>
  <c r="P279" i="25"/>
  <c r="A279" i="25"/>
  <c r="R278" i="25"/>
  <c r="P278" i="25"/>
  <c r="A278" i="25"/>
  <c r="R277" i="25"/>
  <c r="P277" i="25"/>
  <c r="A277" i="25"/>
  <c r="R276" i="25"/>
  <c r="P276" i="25"/>
  <c r="A276" i="25"/>
  <c r="R275" i="25"/>
  <c r="P275" i="25"/>
  <c r="A275" i="25"/>
  <c r="R274" i="25"/>
  <c r="P274" i="25"/>
  <c r="G274" i="25"/>
  <c r="A274" i="25"/>
  <c r="R273" i="25"/>
  <c r="P273" i="25"/>
  <c r="G273" i="25"/>
  <c r="A273" i="25"/>
  <c r="R272" i="25"/>
  <c r="P272" i="25"/>
  <c r="G272" i="25"/>
  <c r="A272" i="25"/>
  <c r="R271" i="25"/>
  <c r="P271" i="25"/>
  <c r="G271" i="25"/>
  <c r="A271" i="25"/>
  <c r="R270" i="25"/>
  <c r="P270" i="25"/>
  <c r="G270" i="25"/>
  <c r="A270" i="25"/>
  <c r="R269" i="25"/>
  <c r="P269" i="25"/>
  <c r="G269" i="25"/>
  <c r="A269" i="25"/>
  <c r="R268" i="25"/>
  <c r="P268" i="25"/>
  <c r="G268" i="25"/>
  <c r="A268" i="25"/>
  <c r="R267" i="25"/>
  <c r="P267" i="25"/>
  <c r="G267" i="25"/>
  <c r="A267" i="25"/>
  <c r="R266" i="25"/>
  <c r="P266" i="25"/>
  <c r="G266" i="25"/>
  <c r="A266" i="25"/>
  <c r="R265" i="25"/>
  <c r="P265" i="25"/>
  <c r="G265" i="25"/>
  <c r="A265" i="25"/>
  <c r="R264" i="25"/>
  <c r="P264" i="25"/>
  <c r="G264" i="25"/>
  <c r="A264" i="25"/>
  <c r="R263" i="25"/>
  <c r="P263" i="25"/>
  <c r="A263" i="25"/>
  <c r="R262" i="25"/>
  <c r="P262" i="25"/>
  <c r="G262" i="25"/>
  <c r="A262" i="25"/>
  <c r="R261" i="25"/>
  <c r="P261" i="25"/>
  <c r="G261" i="25"/>
  <c r="A261" i="25"/>
  <c r="R260" i="25"/>
  <c r="P260" i="25"/>
  <c r="G260" i="25"/>
  <c r="A260" i="25"/>
  <c r="R259" i="25"/>
  <c r="P259" i="25"/>
  <c r="G259" i="25"/>
  <c r="A259" i="25"/>
  <c r="R258" i="25"/>
  <c r="P258" i="25"/>
  <c r="G258" i="25"/>
  <c r="A258" i="25"/>
  <c r="R257" i="25"/>
  <c r="P257" i="25"/>
  <c r="G257" i="25"/>
  <c r="A257" i="25"/>
  <c r="R256" i="25"/>
  <c r="P256" i="25"/>
  <c r="G256" i="25"/>
  <c r="A256" i="25"/>
  <c r="R255" i="25"/>
  <c r="P255" i="25"/>
  <c r="G255" i="25"/>
  <c r="A255" i="25"/>
  <c r="R254" i="25"/>
  <c r="P254" i="25"/>
  <c r="G254" i="25"/>
  <c r="A254" i="25"/>
  <c r="R253" i="25"/>
  <c r="P253" i="25"/>
  <c r="G253" i="25"/>
  <c r="A253" i="25"/>
  <c r="R252" i="25"/>
  <c r="P252" i="25"/>
  <c r="G252" i="25"/>
  <c r="A252" i="25"/>
  <c r="R251" i="25"/>
  <c r="P251" i="25"/>
  <c r="G251" i="25"/>
  <c r="A251" i="25"/>
  <c r="R250" i="25"/>
  <c r="P250" i="25"/>
  <c r="A250" i="25"/>
  <c r="R249" i="25"/>
  <c r="P249" i="25"/>
  <c r="G249" i="25"/>
  <c r="A249" i="25"/>
  <c r="R248" i="25"/>
  <c r="P248" i="25"/>
  <c r="G248" i="25"/>
  <c r="A248" i="25"/>
  <c r="R247" i="25"/>
  <c r="P247" i="25"/>
  <c r="G247" i="25"/>
  <c r="A247" i="25"/>
  <c r="R246" i="25"/>
  <c r="P246" i="25"/>
  <c r="G246" i="25"/>
  <c r="A246" i="25"/>
  <c r="R245" i="25"/>
  <c r="P245" i="25"/>
  <c r="G245" i="25"/>
  <c r="A245" i="25"/>
  <c r="R244" i="25"/>
  <c r="P244" i="25"/>
  <c r="G244" i="25"/>
  <c r="A244" i="25"/>
  <c r="R243" i="25"/>
  <c r="P243" i="25"/>
  <c r="G243" i="25"/>
  <c r="A243" i="25"/>
  <c r="R242" i="25"/>
  <c r="P242" i="25"/>
  <c r="G242" i="25"/>
  <c r="A242" i="25"/>
  <c r="R241" i="25"/>
  <c r="P241" i="25"/>
  <c r="G241" i="25"/>
  <c r="A241" i="25"/>
  <c r="R240" i="25"/>
  <c r="P240" i="25"/>
  <c r="G240" i="25"/>
  <c r="A240" i="25"/>
  <c r="R239" i="25"/>
  <c r="P239" i="25"/>
  <c r="G239" i="25"/>
  <c r="A239" i="25"/>
  <c r="R238" i="25"/>
  <c r="P238" i="25"/>
  <c r="G238" i="25"/>
  <c r="A238" i="25"/>
  <c r="R237" i="25"/>
  <c r="P237" i="25"/>
  <c r="A237" i="25"/>
  <c r="R236" i="25"/>
  <c r="P236" i="25"/>
  <c r="G236" i="25"/>
  <c r="A236" i="25"/>
  <c r="R235" i="25"/>
  <c r="P235" i="25"/>
  <c r="G235" i="25"/>
  <c r="A235" i="25"/>
  <c r="R234" i="25"/>
  <c r="P234" i="25"/>
  <c r="A234" i="25"/>
  <c r="R233" i="25"/>
  <c r="P233" i="25"/>
  <c r="G233" i="25"/>
  <c r="A233" i="25"/>
  <c r="R232" i="25"/>
  <c r="P232" i="25"/>
  <c r="G232" i="25"/>
  <c r="A232" i="25"/>
  <c r="R231" i="25"/>
  <c r="P231" i="25"/>
  <c r="G231" i="25"/>
  <c r="A231" i="25"/>
  <c r="R230" i="25"/>
  <c r="P230" i="25"/>
  <c r="G230" i="25"/>
  <c r="A230" i="25"/>
  <c r="R229" i="25"/>
  <c r="P229" i="25"/>
  <c r="G229" i="25"/>
  <c r="A229" i="25"/>
  <c r="R228" i="25"/>
  <c r="P228" i="25"/>
  <c r="G228" i="25"/>
  <c r="A228" i="25"/>
  <c r="R227" i="25"/>
  <c r="P227" i="25"/>
  <c r="G227" i="25"/>
  <c r="A227" i="25"/>
  <c r="R226" i="25"/>
  <c r="P226" i="25"/>
  <c r="G226" i="25"/>
  <c r="A226" i="25"/>
  <c r="R225" i="25"/>
  <c r="P225" i="25"/>
  <c r="G225" i="25"/>
  <c r="A225" i="25"/>
  <c r="R224" i="25"/>
  <c r="P224" i="25"/>
  <c r="A224" i="25"/>
  <c r="R223" i="25"/>
  <c r="P223" i="25"/>
  <c r="A223" i="25"/>
  <c r="R222" i="25"/>
  <c r="P222" i="25"/>
  <c r="A222" i="25"/>
  <c r="R221" i="25"/>
  <c r="P221" i="25"/>
  <c r="A221" i="25"/>
  <c r="R220" i="25"/>
  <c r="P220" i="25"/>
  <c r="A220" i="25"/>
  <c r="R219" i="25"/>
  <c r="P219" i="25"/>
  <c r="A219" i="25"/>
  <c r="R218" i="25"/>
  <c r="P218" i="25"/>
  <c r="A218" i="25"/>
  <c r="R217" i="25"/>
  <c r="P217" i="25"/>
  <c r="A217" i="25"/>
  <c r="R216" i="25"/>
  <c r="P216" i="25"/>
  <c r="A216" i="25"/>
  <c r="R215" i="25"/>
  <c r="P215" i="25"/>
  <c r="A215" i="25"/>
  <c r="R214" i="25"/>
  <c r="P214" i="25"/>
  <c r="A214" i="25"/>
  <c r="R213" i="25"/>
  <c r="P213" i="25"/>
  <c r="A213" i="25"/>
  <c r="R212" i="25"/>
  <c r="P212" i="25"/>
  <c r="A212" i="25"/>
  <c r="R211" i="25"/>
  <c r="P211" i="25"/>
  <c r="A211" i="25"/>
  <c r="R210" i="25"/>
  <c r="P210" i="25"/>
  <c r="A210" i="25"/>
  <c r="R209" i="25"/>
  <c r="P209" i="25"/>
  <c r="A209" i="25"/>
  <c r="R208" i="25"/>
  <c r="P208" i="25"/>
  <c r="A208" i="25"/>
  <c r="R207" i="25"/>
  <c r="P207" i="25"/>
  <c r="A207" i="25"/>
  <c r="R206" i="25"/>
  <c r="P206" i="25"/>
  <c r="A206" i="25"/>
  <c r="R205" i="25"/>
  <c r="P205" i="25"/>
  <c r="A205" i="25"/>
  <c r="R204" i="25"/>
  <c r="P204" i="25"/>
  <c r="G204" i="25"/>
  <c r="A204" i="25"/>
  <c r="R203" i="25"/>
  <c r="P203" i="25"/>
  <c r="G203" i="25"/>
  <c r="A203" i="25"/>
  <c r="R202" i="25"/>
  <c r="P202" i="25"/>
  <c r="G202" i="25"/>
  <c r="A202" i="25"/>
  <c r="R201" i="25"/>
  <c r="P201" i="25"/>
  <c r="G201" i="25"/>
  <c r="A201" i="25"/>
  <c r="R200" i="25"/>
  <c r="P200" i="25"/>
  <c r="G200" i="25"/>
  <c r="A200" i="25"/>
  <c r="R199" i="25"/>
  <c r="P199" i="25"/>
  <c r="G199" i="25"/>
  <c r="A199" i="25"/>
  <c r="R198" i="25"/>
  <c r="P198" i="25"/>
  <c r="G198" i="25"/>
  <c r="A198" i="25"/>
  <c r="R197" i="25"/>
  <c r="P197" i="25"/>
  <c r="G197" i="25"/>
  <c r="A197" i="25"/>
  <c r="R196" i="25"/>
  <c r="P196" i="25"/>
  <c r="G196" i="25"/>
  <c r="A196" i="25"/>
  <c r="R195" i="25"/>
  <c r="P195" i="25"/>
  <c r="G195" i="25"/>
  <c r="A195" i="25"/>
  <c r="R194" i="25"/>
  <c r="P194" i="25"/>
  <c r="G194" i="25"/>
  <c r="A194" i="25"/>
  <c r="R193" i="25"/>
  <c r="P193" i="25"/>
  <c r="G193" i="25"/>
  <c r="A193" i="25"/>
  <c r="R192" i="25"/>
  <c r="P192" i="25"/>
  <c r="G192" i="25"/>
  <c r="A192" i="25"/>
  <c r="R191" i="25"/>
  <c r="P191" i="25"/>
  <c r="G191" i="25"/>
  <c r="A191" i="25"/>
  <c r="R190" i="25"/>
  <c r="P190" i="25"/>
  <c r="A190" i="25"/>
  <c r="R189" i="25"/>
  <c r="P189" i="25"/>
  <c r="A189" i="25"/>
  <c r="R188" i="25"/>
  <c r="P188" i="25"/>
  <c r="A188" i="25"/>
  <c r="R187" i="25"/>
  <c r="P187" i="25"/>
  <c r="A187" i="25"/>
  <c r="R186" i="25"/>
  <c r="P186" i="25"/>
  <c r="A186" i="25"/>
  <c r="R185" i="25"/>
  <c r="P185" i="25"/>
  <c r="A185" i="25"/>
  <c r="R184" i="25"/>
  <c r="P184" i="25"/>
  <c r="A184" i="25"/>
  <c r="R183" i="25"/>
  <c r="P183" i="25"/>
  <c r="G183" i="25"/>
  <c r="A183" i="25"/>
  <c r="R182" i="25"/>
  <c r="P182" i="25"/>
  <c r="G182" i="25"/>
  <c r="A182" i="25"/>
  <c r="R181" i="25"/>
  <c r="P181" i="25"/>
  <c r="G181" i="25"/>
  <c r="A181" i="25"/>
  <c r="R180" i="25"/>
  <c r="P180" i="25"/>
  <c r="G180" i="25"/>
  <c r="A180" i="25"/>
  <c r="R179" i="25"/>
  <c r="P179" i="25"/>
  <c r="G179" i="25"/>
  <c r="A179" i="25"/>
  <c r="R178" i="25"/>
  <c r="P178" i="25"/>
  <c r="G178" i="25"/>
  <c r="A178" i="25"/>
  <c r="R177" i="25"/>
  <c r="P177" i="25"/>
  <c r="G177" i="25"/>
  <c r="A177" i="25"/>
  <c r="R176" i="25"/>
  <c r="P176" i="25"/>
  <c r="G176" i="25"/>
  <c r="A176" i="25"/>
  <c r="R175" i="25"/>
  <c r="P175" i="25"/>
  <c r="G175" i="25"/>
  <c r="A175" i="25"/>
  <c r="R174" i="25"/>
  <c r="P174" i="25"/>
  <c r="G174" i="25"/>
  <c r="A174" i="25"/>
  <c r="R173" i="25"/>
  <c r="P173" i="25"/>
  <c r="G173" i="25"/>
  <c r="A173" i="25"/>
  <c r="R172" i="25"/>
  <c r="P172" i="25"/>
  <c r="G172" i="25"/>
  <c r="A172" i="25"/>
  <c r="R171" i="25"/>
  <c r="P171" i="25"/>
  <c r="G171" i="25"/>
  <c r="A171" i="25"/>
  <c r="R170" i="25"/>
  <c r="P170" i="25"/>
  <c r="G170" i="25"/>
  <c r="A170" i="25"/>
  <c r="R169" i="25"/>
  <c r="P169" i="25"/>
  <c r="G169" i="25"/>
  <c r="A169" i="25"/>
  <c r="R168" i="25"/>
  <c r="P168" i="25"/>
  <c r="G168" i="25"/>
  <c r="A168" i="25"/>
  <c r="R167" i="25"/>
  <c r="P167" i="25"/>
  <c r="A167" i="25"/>
  <c r="R166" i="25"/>
  <c r="P166" i="25"/>
  <c r="A166" i="25"/>
  <c r="R165" i="25"/>
  <c r="P165" i="25"/>
  <c r="A165" i="25"/>
  <c r="R164" i="25"/>
  <c r="P164" i="25"/>
  <c r="A164" i="25"/>
  <c r="R163" i="25"/>
  <c r="P163" i="25"/>
  <c r="A163" i="25"/>
  <c r="R162" i="25"/>
  <c r="P162" i="25"/>
  <c r="A162" i="25"/>
  <c r="R161" i="25"/>
  <c r="P161" i="25"/>
  <c r="A161" i="25"/>
  <c r="R160" i="25"/>
  <c r="P160" i="25"/>
  <c r="A160" i="25"/>
  <c r="R159" i="25"/>
  <c r="P159" i="25"/>
  <c r="A159" i="25"/>
  <c r="R158" i="25"/>
  <c r="P158" i="25"/>
  <c r="A158" i="25"/>
  <c r="R157" i="25"/>
  <c r="P157" i="25"/>
  <c r="A157" i="25"/>
  <c r="R156" i="25"/>
  <c r="P156" i="25"/>
  <c r="A156" i="25"/>
  <c r="R155" i="25"/>
  <c r="P155" i="25"/>
  <c r="A155" i="25"/>
  <c r="R154" i="25"/>
  <c r="P154" i="25"/>
  <c r="A154" i="25"/>
  <c r="R153" i="25"/>
  <c r="P153" i="25"/>
  <c r="A153" i="25"/>
  <c r="R152" i="25"/>
  <c r="P152" i="25"/>
  <c r="A152" i="25"/>
  <c r="R151" i="25"/>
  <c r="P151" i="25"/>
  <c r="A151" i="25"/>
  <c r="R150" i="25"/>
  <c r="P150" i="25"/>
  <c r="A150" i="25"/>
  <c r="R149" i="25"/>
  <c r="P149" i="25"/>
  <c r="A149" i="25"/>
  <c r="R148" i="25"/>
  <c r="P148" i="25"/>
  <c r="A148" i="25"/>
  <c r="R147" i="25"/>
  <c r="P147" i="25"/>
  <c r="A147" i="25"/>
  <c r="R146" i="25"/>
  <c r="P146" i="25"/>
  <c r="A146" i="25"/>
  <c r="R145" i="25"/>
  <c r="P145" i="25"/>
  <c r="A145" i="25"/>
  <c r="R144" i="25"/>
  <c r="P144" i="25"/>
  <c r="A144" i="25"/>
  <c r="R143" i="25"/>
  <c r="P143" i="25"/>
  <c r="A143" i="25"/>
  <c r="R142" i="25"/>
  <c r="P142" i="25"/>
  <c r="A142" i="25"/>
  <c r="R141" i="25"/>
  <c r="P141" i="25"/>
  <c r="A141" i="25"/>
  <c r="R140" i="25"/>
  <c r="P140" i="25"/>
  <c r="A140" i="25"/>
  <c r="R139" i="25"/>
  <c r="P139" i="25"/>
  <c r="A139" i="25"/>
  <c r="R138" i="25"/>
  <c r="P138" i="25"/>
  <c r="A138" i="25"/>
  <c r="R137" i="25"/>
  <c r="P137" i="25"/>
  <c r="A137" i="25"/>
  <c r="R136" i="25"/>
  <c r="P136" i="25"/>
  <c r="A136" i="25"/>
  <c r="R135" i="25"/>
  <c r="P135" i="25"/>
  <c r="A135" i="25"/>
  <c r="R134" i="25"/>
  <c r="P134" i="25"/>
  <c r="A134" i="25"/>
  <c r="R133" i="25"/>
  <c r="P133" i="25"/>
  <c r="A133" i="25"/>
  <c r="R132" i="25"/>
  <c r="P132" i="25"/>
  <c r="A132" i="25"/>
  <c r="R131" i="25"/>
  <c r="P131" i="25"/>
  <c r="A131" i="25"/>
  <c r="R130" i="25"/>
  <c r="P130" i="25"/>
  <c r="A130" i="25"/>
  <c r="R129" i="25"/>
  <c r="P129" i="25"/>
  <c r="A129" i="25"/>
  <c r="R128" i="25"/>
  <c r="P128" i="25"/>
  <c r="A128" i="25"/>
  <c r="R127" i="25"/>
  <c r="P127" i="25"/>
  <c r="A127" i="25"/>
  <c r="R126" i="25"/>
  <c r="P126" i="25"/>
  <c r="A126" i="25"/>
  <c r="R125" i="25"/>
  <c r="P125" i="25"/>
  <c r="A125" i="25"/>
  <c r="R124" i="25"/>
  <c r="P124" i="25"/>
  <c r="A124" i="25"/>
  <c r="R123" i="25"/>
  <c r="P123" i="25"/>
  <c r="A123" i="25"/>
  <c r="R122" i="25"/>
  <c r="P122" i="25"/>
  <c r="A122" i="25"/>
  <c r="R121" i="25"/>
  <c r="P121" i="25"/>
  <c r="A121" i="25"/>
  <c r="R120" i="25"/>
  <c r="P120" i="25"/>
  <c r="A120" i="25"/>
  <c r="R119" i="25"/>
  <c r="P119" i="25"/>
  <c r="A119" i="25"/>
  <c r="R118" i="25"/>
  <c r="P118" i="25"/>
  <c r="A118" i="25"/>
  <c r="R117" i="25"/>
  <c r="P117" i="25"/>
  <c r="A117" i="25"/>
  <c r="R116" i="25"/>
  <c r="P116" i="25"/>
  <c r="A116" i="25"/>
  <c r="R115" i="25"/>
  <c r="P115" i="25"/>
  <c r="A115" i="25"/>
  <c r="R114" i="25"/>
  <c r="P114" i="25"/>
  <c r="A114" i="25"/>
  <c r="R113" i="25"/>
  <c r="P113" i="25"/>
  <c r="A113" i="25"/>
  <c r="R112" i="25"/>
  <c r="P112" i="25"/>
  <c r="A112" i="25"/>
  <c r="R111" i="25"/>
  <c r="P111" i="25"/>
  <c r="A111" i="25"/>
  <c r="R110" i="25"/>
  <c r="P110" i="25"/>
  <c r="A110" i="25"/>
  <c r="R109" i="25"/>
  <c r="P109" i="25"/>
  <c r="A109" i="25"/>
  <c r="R108" i="25"/>
  <c r="P108" i="25"/>
  <c r="A108" i="25"/>
  <c r="R107" i="25"/>
  <c r="P107" i="25"/>
  <c r="A107" i="25"/>
  <c r="R106" i="25"/>
  <c r="P106" i="25"/>
  <c r="A106" i="25"/>
  <c r="R105" i="25"/>
  <c r="P105" i="25"/>
  <c r="A105" i="25"/>
  <c r="R104" i="25"/>
  <c r="P104" i="25"/>
  <c r="A104" i="25"/>
  <c r="R103" i="25"/>
  <c r="P103" i="25"/>
  <c r="A103" i="25"/>
  <c r="R102" i="25"/>
  <c r="P102" i="25"/>
  <c r="A102" i="25"/>
  <c r="R101" i="25"/>
  <c r="P101" i="25"/>
  <c r="A101" i="25"/>
  <c r="R100" i="25"/>
  <c r="P100" i="25"/>
  <c r="A100" i="25"/>
  <c r="R99" i="25"/>
  <c r="P99" i="25"/>
  <c r="A99" i="25"/>
  <c r="R98" i="25"/>
  <c r="P98" i="25"/>
  <c r="A98" i="25"/>
  <c r="R97" i="25"/>
  <c r="P97" i="25"/>
  <c r="A97" i="25"/>
  <c r="R96" i="25"/>
  <c r="P96" i="25"/>
  <c r="A96" i="25"/>
  <c r="R95" i="25"/>
  <c r="P95" i="25"/>
  <c r="A95" i="25"/>
  <c r="R94" i="25"/>
  <c r="P94" i="25"/>
  <c r="A94" i="25"/>
  <c r="R93" i="25"/>
  <c r="P93" i="25"/>
  <c r="A93" i="25"/>
  <c r="R92" i="25"/>
  <c r="P92" i="25"/>
  <c r="A92" i="25"/>
  <c r="R91" i="25"/>
  <c r="P91" i="25"/>
  <c r="A91" i="25"/>
  <c r="R90" i="25"/>
  <c r="P90" i="25"/>
  <c r="A90" i="25"/>
  <c r="R89" i="25"/>
  <c r="P89" i="25"/>
  <c r="A89" i="25"/>
  <c r="R88" i="25"/>
  <c r="P88" i="25"/>
  <c r="A88" i="25"/>
  <c r="R87" i="25"/>
  <c r="P87" i="25"/>
  <c r="A87" i="25"/>
  <c r="R86" i="25"/>
  <c r="P86" i="25"/>
  <c r="A86" i="25"/>
  <c r="R85" i="25"/>
  <c r="P85" i="25"/>
  <c r="A85" i="25"/>
  <c r="R84" i="25"/>
  <c r="P84" i="25"/>
  <c r="A84" i="25"/>
  <c r="R83" i="25"/>
  <c r="P83" i="25"/>
  <c r="A83" i="25"/>
  <c r="R82" i="25"/>
  <c r="P82" i="25"/>
  <c r="A82" i="25"/>
  <c r="R81" i="25"/>
  <c r="P81" i="25"/>
  <c r="A81" i="25"/>
  <c r="R80" i="25"/>
  <c r="P80" i="25"/>
  <c r="A80" i="25"/>
  <c r="R79" i="25"/>
  <c r="P79" i="25"/>
  <c r="A79" i="25"/>
  <c r="R78" i="25"/>
  <c r="P78" i="25"/>
  <c r="A78" i="25"/>
  <c r="R77" i="25"/>
  <c r="P77" i="25"/>
  <c r="A77" i="25"/>
  <c r="R76" i="25"/>
  <c r="P76" i="25"/>
  <c r="A76" i="25"/>
  <c r="R75" i="25"/>
  <c r="P75" i="25"/>
  <c r="A75" i="25"/>
  <c r="R74" i="25"/>
  <c r="P74" i="25"/>
  <c r="A74" i="25"/>
  <c r="R73" i="25"/>
  <c r="P73" i="25"/>
  <c r="A73" i="25"/>
  <c r="R72" i="25"/>
  <c r="P72" i="25"/>
  <c r="A72" i="25"/>
  <c r="R71" i="25"/>
  <c r="P71" i="25"/>
  <c r="A71" i="25"/>
  <c r="R70" i="25"/>
  <c r="P70" i="25"/>
  <c r="A70" i="25"/>
  <c r="R69" i="25"/>
  <c r="P69" i="25"/>
  <c r="A69" i="25"/>
  <c r="R68" i="25"/>
  <c r="P68" i="25"/>
  <c r="A68" i="25"/>
  <c r="R67" i="25"/>
  <c r="P67" i="25"/>
  <c r="A67" i="25"/>
  <c r="R66" i="25"/>
  <c r="P66" i="25"/>
  <c r="A66" i="25"/>
  <c r="R65" i="25"/>
  <c r="P65" i="25"/>
  <c r="A65" i="25"/>
  <c r="R64" i="25"/>
  <c r="P64" i="25"/>
  <c r="A64" i="25"/>
  <c r="R63" i="25"/>
  <c r="P63" i="25"/>
  <c r="A63" i="25"/>
  <c r="R62" i="25"/>
  <c r="P62" i="25"/>
  <c r="A62" i="25"/>
  <c r="R61" i="25"/>
  <c r="P61" i="25"/>
  <c r="A61" i="25"/>
  <c r="R60" i="25"/>
  <c r="P60" i="25"/>
  <c r="A60" i="25"/>
  <c r="R59" i="25"/>
  <c r="P59" i="25"/>
  <c r="A59" i="25"/>
  <c r="R58" i="25"/>
  <c r="P58" i="25"/>
  <c r="A58" i="25"/>
  <c r="R57" i="25"/>
  <c r="P57" i="25"/>
  <c r="A57" i="25"/>
  <c r="R56" i="25"/>
  <c r="P56" i="25"/>
  <c r="A56" i="25"/>
  <c r="R55" i="25"/>
  <c r="P55" i="25"/>
  <c r="A55" i="25"/>
  <c r="R54" i="25"/>
  <c r="P54" i="25"/>
  <c r="A54" i="25"/>
  <c r="R53" i="25"/>
  <c r="P53" i="25"/>
  <c r="A53" i="25"/>
  <c r="R52" i="25"/>
  <c r="P52" i="25"/>
  <c r="A52" i="25"/>
  <c r="R51" i="25"/>
  <c r="P51" i="25"/>
  <c r="A51" i="25"/>
  <c r="R50" i="25"/>
  <c r="P50" i="25"/>
  <c r="A50" i="25"/>
  <c r="R49" i="25"/>
  <c r="P49" i="25"/>
  <c r="A49" i="25"/>
  <c r="R48" i="25"/>
  <c r="P48" i="25"/>
  <c r="A48" i="25"/>
  <c r="R47" i="25"/>
  <c r="P47" i="25"/>
  <c r="A47" i="25"/>
  <c r="R46" i="25"/>
  <c r="P46" i="25"/>
  <c r="A46" i="25"/>
  <c r="R45" i="25"/>
  <c r="P45" i="25"/>
  <c r="A45" i="25"/>
  <c r="R44" i="25"/>
  <c r="P44" i="25"/>
  <c r="A44" i="25"/>
  <c r="R43" i="25"/>
  <c r="P43" i="25"/>
  <c r="A43" i="25"/>
  <c r="R42" i="25"/>
  <c r="P42" i="25"/>
  <c r="A42" i="25"/>
  <c r="R41" i="25"/>
  <c r="P41" i="25"/>
  <c r="A41" i="25"/>
  <c r="R40" i="25"/>
  <c r="P40" i="25"/>
  <c r="A40" i="25"/>
  <c r="R39" i="25"/>
  <c r="P39" i="25"/>
  <c r="A39" i="25"/>
  <c r="R38" i="25"/>
  <c r="P38" i="25"/>
  <c r="A38" i="25"/>
  <c r="R37" i="25"/>
  <c r="P37" i="25"/>
  <c r="A37" i="25"/>
  <c r="R36" i="25"/>
  <c r="P36" i="25"/>
  <c r="A36" i="25"/>
  <c r="R35" i="25"/>
  <c r="P35" i="25"/>
  <c r="A35" i="25"/>
  <c r="R34" i="25"/>
  <c r="P34" i="25"/>
  <c r="A34" i="25"/>
  <c r="R33" i="25"/>
  <c r="P33" i="25"/>
  <c r="A33" i="25"/>
  <c r="R32" i="25"/>
  <c r="P32" i="25"/>
  <c r="A32" i="25"/>
  <c r="R31" i="25"/>
  <c r="P31" i="25"/>
  <c r="A31" i="25"/>
  <c r="R30" i="25"/>
  <c r="P30" i="25"/>
  <c r="A30" i="25"/>
  <c r="R29" i="25"/>
  <c r="P29" i="25"/>
  <c r="A29" i="25"/>
  <c r="R28" i="25"/>
  <c r="P28" i="25"/>
  <c r="A28" i="25"/>
  <c r="R27" i="25"/>
  <c r="P27" i="25"/>
  <c r="A27" i="25"/>
  <c r="R26" i="25"/>
  <c r="P26" i="25"/>
  <c r="A26" i="25"/>
  <c r="R25" i="25"/>
  <c r="P25" i="25"/>
  <c r="A25" i="25"/>
  <c r="R24" i="25"/>
  <c r="P24" i="25"/>
  <c r="A24" i="25"/>
  <c r="R23" i="25"/>
  <c r="P23" i="25"/>
  <c r="A23" i="25"/>
  <c r="R22" i="25"/>
  <c r="P22" i="25"/>
  <c r="A22" i="25"/>
  <c r="R21" i="25"/>
  <c r="P21" i="25"/>
  <c r="A21" i="25"/>
  <c r="R20" i="25"/>
  <c r="P20" i="25"/>
  <c r="A20" i="25"/>
  <c r="R19" i="25"/>
  <c r="P19" i="25"/>
  <c r="A19" i="25"/>
  <c r="R18" i="25"/>
  <c r="P18" i="25"/>
  <c r="A18" i="25"/>
  <c r="R17" i="25"/>
  <c r="P17" i="25"/>
  <c r="A17" i="25"/>
  <c r="R16" i="25"/>
  <c r="P16" i="25"/>
  <c r="A16" i="25"/>
  <c r="R15" i="25"/>
  <c r="P15" i="25"/>
  <c r="A15" i="25"/>
  <c r="R14" i="25"/>
  <c r="P14" i="25"/>
  <c r="A14" i="25"/>
  <c r="R13" i="25"/>
  <c r="P13" i="25"/>
  <c r="A13" i="25"/>
  <c r="R12" i="25"/>
  <c r="P12" i="25"/>
  <c r="A12" i="25"/>
  <c r="R11" i="25"/>
  <c r="P11" i="25"/>
  <c r="A11" i="25"/>
  <c r="A10" i="25"/>
  <c r="B6" i="25"/>
  <c r="B5" i="25"/>
  <c r="W4" i="25"/>
  <c r="V4" i="25"/>
  <c r="U4" i="25"/>
  <c r="T4" i="25"/>
  <c r="R4" i="25"/>
  <c r="Q4" i="25"/>
  <c r="P4" i="25"/>
  <c r="O4" i="25"/>
  <c r="M4" i="25"/>
  <c r="L4" i="25"/>
  <c r="J4" i="25"/>
  <c r="I4" i="25"/>
  <c r="G4" i="25"/>
  <c r="F4" i="25"/>
  <c r="E4" i="25"/>
  <c r="D4" i="25"/>
  <c r="C4" i="25"/>
  <c r="A2057" i="24"/>
  <c r="A2056" i="24"/>
  <c r="A2055" i="24"/>
  <c r="A2054" i="24"/>
  <c r="A2053" i="24"/>
  <c r="A2052" i="24"/>
  <c r="A2051" i="24"/>
  <c r="A2050" i="24"/>
  <c r="A2049" i="24"/>
  <c r="A2048" i="24"/>
  <c r="A2047" i="24"/>
  <c r="A2046" i="24"/>
  <c r="A2045" i="24"/>
  <c r="A2044" i="24"/>
  <c r="A2043" i="24"/>
  <c r="A2042" i="24"/>
  <c r="R2041" i="24"/>
  <c r="P2041" i="24"/>
  <c r="A2041" i="24"/>
  <c r="R2040" i="24"/>
  <c r="P2040" i="24"/>
  <c r="A2040" i="24"/>
  <c r="R2039" i="24"/>
  <c r="P2039" i="24"/>
  <c r="A2039" i="24"/>
  <c r="R2038" i="24"/>
  <c r="P2038" i="24"/>
  <c r="A2038" i="24"/>
  <c r="R2037" i="24"/>
  <c r="P2037" i="24"/>
  <c r="A2037" i="24"/>
  <c r="R2036" i="24"/>
  <c r="P2036" i="24"/>
  <c r="A2036" i="24"/>
  <c r="R2035" i="24"/>
  <c r="P2035" i="24"/>
  <c r="A2035" i="24"/>
  <c r="R2034" i="24"/>
  <c r="P2034" i="24"/>
  <c r="A2034" i="24"/>
  <c r="R2033" i="24"/>
  <c r="P2033" i="24"/>
  <c r="A2033" i="24"/>
  <c r="R2032" i="24"/>
  <c r="P2032" i="24"/>
  <c r="A2032" i="24"/>
  <c r="R2031" i="24"/>
  <c r="P2031" i="24"/>
  <c r="A2031" i="24"/>
  <c r="R2030" i="24"/>
  <c r="P2030" i="24"/>
  <c r="A2030" i="24"/>
  <c r="R2029" i="24"/>
  <c r="P2029" i="24"/>
  <c r="A2029" i="24"/>
  <c r="R2028" i="24"/>
  <c r="P2028" i="24"/>
  <c r="A2028" i="24"/>
  <c r="R2027" i="24"/>
  <c r="P2027" i="24"/>
  <c r="A2027" i="24"/>
  <c r="R2026" i="24"/>
  <c r="P2026" i="24"/>
  <c r="A2026" i="24"/>
  <c r="R2025" i="24"/>
  <c r="P2025" i="24"/>
  <c r="A2025" i="24"/>
  <c r="R2024" i="24"/>
  <c r="P2024" i="24"/>
  <c r="A2024" i="24"/>
  <c r="R2023" i="24"/>
  <c r="P2023" i="24"/>
  <c r="A2023" i="24"/>
  <c r="R2022" i="24"/>
  <c r="P2022" i="24"/>
  <c r="A2022" i="24"/>
  <c r="R2021" i="24"/>
  <c r="P2021" i="24"/>
  <c r="A2021" i="24"/>
  <c r="R2020" i="24"/>
  <c r="P2020" i="24"/>
  <c r="A2020" i="24"/>
  <c r="R2019" i="24"/>
  <c r="P2019" i="24"/>
  <c r="A2019" i="24"/>
  <c r="R2018" i="24"/>
  <c r="P2018" i="24"/>
  <c r="A2018" i="24"/>
  <c r="R2017" i="24"/>
  <c r="P2017" i="24"/>
  <c r="A2017" i="24"/>
  <c r="R2016" i="24"/>
  <c r="P2016" i="24"/>
  <c r="A2016" i="24"/>
  <c r="R2015" i="24"/>
  <c r="P2015" i="24"/>
  <c r="A2015" i="24"/>
  <c r="R2014" i="24"/>
  <c r="P2014" i="24"/>
  <c r="A2014" i="24"/>
  <c r="R2013" i="24"/>
  <c r="P2013" i="24"/>
  <c r="A2013" i="24"/>
  <c r="R2012" i="24"/>
  <c r="P2012" i="24"/>
  <c r="A2012" i="24"/>
  <c r="R2011" i="24"/>
  <c r="P2011" i="24"/>
  <c r="A2011" i="24"/>
  <c r="R2010" i="24"/>
  <c r="P2010" i="24"/>
  <c r="A2010" i="24"/>
  <c r="R2009" i="24"/>
  <c r="P2009" i="24"/>
  <c r="A2009" i="24"/>
  <c r="R2008" i="24"/>
  <c r="P2008" i="24"/>
  <c r="A2008" i="24"/>
  <c r="R2007" i="24"/>
  <c r="P2007" i="24"/>
  <c r="A2007" i="24"/>
  <c r="R2006" i="24"/>
  <c r="P2006" i="24"/>
  <c r="A2006" i="24"/>
  <c r="R2005" i="24"/>
  <c r="P2005" i="24"/>
  <c r="A2005" i="24"/>
  <c r="R2004" i="24"/>
  <c r="P2004" i="24"/>
  <c r="A2004" i="24"/>
  <c r="R2003" i="24"/>
  <c r="P2003" i="24"/>
  <c r="A2003" i="24"/>
  <c r="R2002" i="24"/>
  <c r="P2002" i="24"/>
  <c r="A2002" i="24"/>
  <c r="R2001" i="24"/>
  <c r="P2001" i="24"/>
  <c r="A2001" i="24"/>
  <c r="R2000" i="24"/>
  <c r="P2000" i="24"/>
  <c r="A2000" i="24"/>
  <c r="R1999" i="24"/>
  <c r="P1999" i="24"/>
  <c r="A1999" i="24"/>
  <c r="R1998" i="24"/>
  <c r="P1998" i="24"/>
  <c r="A1998" i="24"/>
  <c r="R1997" i="24"/>
  <c r="P1997" i="24"/>
  <c r="A1997" i="24"/>
  <c r="R1996" i="24"/>
  <c r="P1996" i="24"/>
  <c r="A1996" i="24"/>
  <c r="R1995" i="24"/>
  <c r="P1995" i="24"/>
  <c r="A1995" i="24"/>
  <c r="R1994" i="24"/>
  <c r="P1994" i="24"/>
  <c r="A1994" i="24"/>
  <c r="R1993" i="24"/>
  <c r="P1993" i="24"/>
  <c r="A1993" i="24"/>
  <c r="R1992" i="24"/>
  <c r="P1992" i="24"/>
  <c r="A1992" i="24"/>
  <c r="R1991" i="24"/>
  <c r="P1991" i="24"/>
  <c r="A1991" i="24"/>
  <c r="R1990" i="24"/>
  <c r="P1990" i="24"/>
  <c r="A1990" i="24"/>
  <c r="R1989" i="24"/>
  <c r="P1989" i="24"/>
  <c r="A1989" i="24"/>
  <c r="R1988" i="24"/>
  <c r="P1988" i="24"/>
  <c r="A1988" i="24"/>
  <c r="R1987" i="24"/>
  <c r="P1987" i="24"/>
  <c r="A1987" i="24"/>
  <c r="R1986" i="24"/>
  <c r="P1986" i="24"/>
  <c r="A1986" i="24"/>
  <c r="R1985" i="24"/>
  <c r="P1985" i="24"/>
  <c r="A1985" i="24"/>
  <c r="R1984" i="24"/>
  <c r="P1984" i="24"/>
  <c r="A1984" i="24"/>
  <c r="R1983" i="24"/>
  <c r="P1983" i="24"/>
  <c r="A1983" i="24"/>
  <c r="R1982" i="24"/>
  <c r="P1982" i="24"/>
  <c r="A1982" i="24"/>
  <c r="R1981" i="24"/>
  <c r="P1981" i="24"/>
  <c r="A1981" i="24"/>
  <c r="R1980" i="24"/>
  <c r="P1980" i="24"/>
  <c r="A1980" i="24"/>
  <c r="R1979" i="24"/>
  <c r="P1979" i="24"/>
  <c r="A1979" i="24"/>
  <c r="R1978" i="24"/>
  <c r="P1978" i="24"/>
  <c r="A1978" i="24"/>
  <c r="R1977" i="24"/>
  <c r="P1977" i="24"/>
  <c r="A1977" i="24"/>
  <c r="R1976" i="24"/>
  <c r="P1976" i="24"/>
  <c r="A1976" i="24"/>
  <c r="R1975" i="24"/>
  <c r="P1975" i="24"/>
  <c r="A1975" i="24"/>
  <c r="R1974" i="24"/>
  <c r="P1974" i="24"/>
  <c r="A1974" i="24"/>
  <c r="R1973" i="24"/>
  <c r="P1973" i="24"/>
  <c r="A1973" i="24"/>
  <c r="R1972" i="24"/>
  <c r="P1972" i="24"/>
  <c r="A1972" i="24"/>
  <c r="R1971" i="24"/>
  <c r="P1971" i="24"/>
  <c r="A1971" i="24"/>
  <c r="R1970" i="24"/>
  <c r="P1970" i="24"/>
  <c r="A1970" i="24"/>
  <c r="R1969" i="24"/>
  <c r="P1969" i="24"/>
  <c r="A1969" i="24"/>
  <c r="R1968" i="24"/>
  <c r="P1968" i="24"/>
  <c r="A1968" i="24"/>
  <c r="R1967" i="24"/>
  <c r="P1967" i="24"/>
  <c r="A1967" i="24"/>
  <c r="R1966" i="24"/>
  <c r="P1966" i="24"/>
  <c r="A1966" i="24"/>
  <c r="R1965" i="24"/>
  <c r="P1965" i="24"/>
  <c r="A1965" i="24"/>
  <c r="R1964" i="24"/>
  <c r="P1964" i="24"/>
  <c r="A1964" i="24"/>
  <c r="R1963" i="24"/>
  <c r="P1963" i="24"/>
  <c r="A1963" i="24"/>
  <c r="R1962" i="24"/>
  <c r="P1962" i="24"/>
  <c r="A1962" i="24"/>
  <c r="R1961" i="24"/>
  <c r="P1961" i="24"/>
  <c r="A1961" i="24"/>
  <c r="R1960" i="24"/>
  <c r="P1960" i="24"/>
  <c r="A1960" i="24"/>
  <c r="R1959" i="24"/>
  <c r="P1959" i="24"/>
  <c r="A1959" i="24"/>
  <c r="R1958" i="24"/>
  <c r="P1958" i="24"/>
  <c r="A1958" i="24"/>
  <c r="R1957" i="24"/>
  <c r="P1957" i="24"/>
  <c r="A1957" i="24"/>
  <c r="R1956" i="24"/>
  <c r="P1956" i="24"/>
  <c r="A1956" i="24"/>
  <c r="R1955" i="24"/>
  <c r="P1955" i="24"/>
  <c r="A1955" i="24"/>
  <c r="R1954" i="24"/>
  <c r="P1954" i="24"/>
  <c r="A1954" i="24"/>
  <c r="R1953" i="24"/>
  <c r="P1953" i="24"/>
  <c r="A1953" i="24"/>
  <c r="R1952" i="24"/>
  <c r="P1952" i="24"/>
  <c r="A1952" i="24"/>
  <c r="R1951" i="24"/>
  <c r="P1951" i="24"/>
  <c r="A1951" i="24"/>
  <c r="R1950" i="24"/>
  <c r="P1950" i="24"/>
  <c r="A1950" i="24"/>
  <c r="R1949" i="24"/>
  <c r="P1949" i="24"/>
  <c r="A1949" i="24"/>
  <c r="R1948" i="24"/>
  <c r="P1948" i="24"/>
  <c r="A1948" i="24"/>
  <c r="R1947" i="24"/>
  <c r="P1947" i="24"/>
  <c r="A1947" i="24"/>
  <c r="R1946" i="24"/>
  <c r="P1946" i="24"/>
  <c r="A1946" i="24"/>
  <c r="R1945" i="24"/>
  <c r="P1945" i="24"/>
  <c r="A1945" i="24"/>
  <c r="R1944" i="24"/>
  <c r="P1944" i="24"/>
  <c r="A1944" i="24"/>
  <c r="R1943" i="24"/>
  <c r="P1943" i="24"/>
  <c r="A1943" i="24"/>
  <c r="R1942" i="24"/>
  <c r="P1942" i="24"/>
  <c r="A1942" i="24"/>
  <c r="R1941" i="24"/>
  <c r="P1941" i="24"/>
  <c r="A1941" i="24"/>
  <c r="R1940" i="24"/>
  <c r="P1940" i="24"/>
  <c r="A1940" i="24"/>
  <c r="R1939" i="24"/>
  <c r="P1939" i="24"/>
  <c r="A1939" i="24"/>
  <c r="R1938" i="24"/>
  <c r="P1938" i="24"/>
  <c r="A1938" i="24"/>
  <c r="R1937" i="24"/>
  <c r="P1937" i="24"/>
  <c r="A1937" i="24"/>
  <c r="R1936" i="24"/>
  <c r="P1936" i="24"/>
  <c r="A1936" i="24"/>
  <c r="R1935" i="24"/>
  <c r="P1935" i="24"/>
  <c r="A1935" i="24"/>
  <c r="R1934" i="24"/>
  <c r="P1934" i="24"/>
  <c r="A1934" i="24"/>
  <c r="R1933" i="24"/>
  <c r="P1933" i="24"/>
  <c r="A1933" i="24"/>
  <c r="R1932" i="24"/>
  <c r="P1932" i="24"/>
  <c r="A1932" i="24"/>
  <c r="R1931" i="24"/>
  <c r="P1931" i="24"/>
  <c r="A1931" i="24"/>
  <c r="R1930" i="24"/>
  <c r="P1930" i="24"/>
  <c r="A1930" i="24"/>
  <c r="R1929" i="24"/>
  <c r="P1929" i="24"/>
  <c r="A1929" i="24"/>
  <c r="R1928" i="24"/>
  <c r="P1928" i="24"/>
  <c r="A1928" i="24"/>
  <c r="R1927" i="24"/>
  <c r="P1927" i="24"/>
  <c r="A1927" i="24"/>
  <c r="R1926" i="24"/>
  <c r="P1926" i="24"/>
  <c r="A1926" i="24"/>
  <c r="R1925" i="24"/>
  <c r="P1925" i="24"/>
  <c r="A1925" i="24"/>
  <c r="R1924" i="24"/>
  <c r="P1924" i="24"/>
  <c r="A1924" i="24"/>
  <c r="R1923" i="24"/>
  <c r="P1923" i="24"/>
  <c r="A1923" i="24"/>
  <c r="R1922" i="24"/>
  <c r="P1922" i="24"/>
  <c r="A1922" i="24"/>
  <c r="R1921" i="24"/>
  <c r="P1921" i="24"/>
  <c r="A1921" i="24"/>
  <c r="R1920" i="24"/>
  <c r="P1920" i="24"/>
  <c r="A1920" i="24"/>
  <c r="R1919" i="24"/>
  <c r="P1919" i="24"/>
  <c r="A1919" i="24"/>
  <c r="R1918" i="24"/>
  <c r="P1918" i="24"/>
  <c r="A1918" i="24"/>
  <c r="R1917" i="24"/>
  <c r="P1917" i="24"/>
  <c r="A1917" i="24"/>
  <c r="R1916" i="24"/>
  <c r="P1916" i="24"/>
  <c r="A1916" i="24"/>
  <c r="R1915" i="24"/>
  <c r="P1915" i="24"/>
  <c r="A1915" i="24"/>
  <c r="R1914" i="24"/>
  <c r="P1914" i="24"/>
  <c r="A1914" i="24"/>
  <c r="R1913" i="24"/>
  <c r="P1913" i="24"/>
  <c r="A1913" i="24"/>
  <c r="R1912" i="24"/>
  <c r="P1912" i="24"/>
  <c r="A1912" i="24"/>
  <c r="R1911" i="24"/>
  <c r="P1911" i="24"/>
  <c r="A1911" i="24"/>
  <c r="R1910" i="24"/>
  <c r="P1910" i="24"/>
  <c r="A1910" i="24"/>
  <c r="R1909" i="24"/>
  <c r="P1909" i="24"/>
  <c r="A1909" i="24"/>
  <c r="R1908" i="24"/>
  <c r="P1908" i="24"/>
  <c r="A1908" i="24"/>
  <c r="R1907" i="24"/>
  <c r="P1907" i="24"/>
  <c r="A1907" i="24"/>
  <c r="R1906" i="24"/>
  <c r="P1906" i="24"/>
  <c r="A1906" i="24"/>
  <c r="R1905" i="24"/>
  <c r="P1905" i="24"/>
  <c r="A1905" i="24"/>
  <c r="R1904" i="24"/>
  <c r="P1904" i="24"/>
  <c r="A1904" i="24"/>
  <c r="R1903" i="24"/>
  <c r="P1903" i="24"/>
  <c r="A1903" i="24"/>
  <c r="R1902" i="24"/>
  <c r="P1902" i="24"/>
  <c r="A1902" i="24"/>
  <c r="R1901" i="24"/>
  <c r="P1901" i="24"/>
  <c r="A1901" i="24"/>
  <c r="R1900" i="24"/>
  <c r="P1900" i="24"/>
  <c r="A1900" i="24"/>
  <c r="R1899" i="24"/>
  <c r="P1899" i="24"/>
  <c r="A1899" i="24"/>
  <c r="R1898" i="24"/>
  <c r="P1898" i="24"/>
  <c r="A1898" i="24"/>
  <c r="R1897" i="24"/>
  <c r="P1897" i="24"/>
  <c r="A1897" i="24"/>
  <c r="R1896" i="24"/>
  <c r="P1896" i="24"/>
  <c r="A1896" i="24"/>
  <c r="R1895" i="24"/>
  <c r="P1895" i="24"/>
  <c r="A1895" i="24"/>
  <c r="R1894" i="24"/>
  <c r="P1894" i="24"/>
  <c r="A1894" i="24"/>
  <c r="R1893" i="24"/>
  <c r="P1893" i="24"/>
  <c r="A1893" i="24"/>
  <c r="R1892" i="24"/>
  <c r="P1892" i="24"/>
  <c r="A1892" i="24"/>
  <c r="R1891" i="24"/>
  <c r="P1891" i="24"/>
  <c r="A1891" i="24"/>
  <c r="R1890" i="24"/>
  <c r="P1890" i="24"/>
  <c r="A1890" i="24"/>
  <c r="R1889" i="24"/>
  <c r="P1889" i="24"/>
  <c r="A1889" i="24"/>
  <c r="R1888" i="24"/>
  <c r="P1888" i="24"/>
  <c r="A1888" i="24"/>
  <c r="R1887" i="24"/>
  <c r="P1887" i="24"/>
  <c r="A1887" i="24"/>
  <c r="R1886" i="24"/>
  <c r="P1886" i="24"/>
  <c r="A1886" i="24"/>
  <c r="R1885" i="24"/>
  <c r="P1885" i="24"/>
  <c r="A1885" i="24"/>
  <c r="R1884" i="24"/>
  <c r="P1884" i="24"/>
  <c r="A1884" i="24"/>
  <c r="R1883" i="24"/>
  <c r="P1883" i="24"/>
  <c r="A1883" i="24"/>
  <c r="R1882" i="24"/>
  <c r="P1882" i="24"/>
  <c r="A1882" i="24"/>
  <c r="R1881" i="24"/>
  <c r="P1881" i="24"/>
  <c r="A1881" i="24"/>
  <c r="R1880" i="24"/>
  <c r="P1880" i="24"/>
  <c r="A1880" i="24"/>
  <c r="R1879" i="24"/>
  <c r="P1879" i="24"/>
  <c r="A1879" i="24"/>
  <c r="R1878" i="24"/>
  <c r="P1878" i="24"/>
  <c r="A1878" i="24"/>
  <c r="R1877" i="24"/>
  <c r="P1877" i="24"/>
  <c r="A1877" i="24"/>
  <c r="R1876" i="24"/>
  <c r="P1876" i="24"/>
  <c r="A1876" i="24"/>
  <c r="R1875" i="24"/>
  <c r="P1875" i="24"/>
  <c r="A1875" i="24"/>
  <c r="R1874" i="24"/>
  <c r="P1874" i="24"/>
  <c r="A1874" i="24"/>
  <c r="R1873" i="24"/>
  <c r="P1873" i="24"/>
  <c r="A1873" i="24"/>
  <c r="R1872" i="24"/>
  <c r="P1872" i="24"/>
  <c r="A1872" i="24"/>
  <c r="R1871" i="24"/>
  <c r="P1871" i="24"/>
  <c r="A1871" i="24"/>
  <c r="R1870" i="24"/>
  <c r="P1870" i="24"/>
  <c r="A1870" i="24"/>
  <c r="R1869" i="24"/>
  <c r="P1869" i="24"/>
  <c r="A1869" i="24"/>
  <c r="R1868" i="24"/>
  <c r="P1868" i="24"/>
  <c r="A1868" i="24"/>
  <c r="R1867" i="24"/>
  <c r="P1867" i="24"/>
  <c r="A1867" i="24"/>
  <c r="R1866" i="24"/>
  <c r="P1866" i="24"/>
  <c r="A1866" i="24"/>
  <c r="R1865" i="24"/>
  <c r="P1865" i="24"/>
  <c r="A1865" i="24"/>
  <c r="R1864" i="24"/>
  <c r="P1864" i="24"/>
  <c r="A1864" i="24"/>
  <c r="R1863" i="24"/>
  <c r="P1863" i="24"/>
  <c r="A1863" i="24"/>
  <c r="R1862" i="24"/>
  <c r="P1862" i="24"/>
  <c r="A1862" i="24"/>
  <c r="R1861" i="24"/>
  <c r="P1861" i="24"/>
  <c r="A1861" i="24"/>
  <c r="R1860" i="24"/>
  <c r="P1860" i="24"/>
  <c r="A1860" i="24"/>
  <c r="R1859" i="24"/>
  <c r="P1859" i="24"/>
  <c r="A1859" i="24"/>
  <c r="R1858" i="24"/>
  <c r="P1858" i="24"/>
  <c r="A1858" i="24"/>
  <c r="R1857" i="24"/>
  <c r="P1857" i="24"/>
  <c r="A1857" i="24"/>
  <c r="R1856" i="24"/>
  <c r="P1856" i="24"/>
  <c r="A1856" i="24"/>
  <c r="R1855" i="24"/>
  <c r="P1855" i="24"/>
  <c r="A1855" i="24"/>
  <c r="R1854" i="24"/>
  <c r="P1854" i="24"/>
  <c r="A1854" i="24"/>
  <c r="R1853" i="24"/>
  <c r="P1853" i="24"/>
  <c r="A1853" i="24"/>
  <c r="R1852" i="24"/>
  <c r="P1852" i="24"/>
  <c r="A1852" i="24"/>
  <c r="R1851" i="24"/>
  <c r="P1851" i="24"/>
  <c r="A1851" i="24"/>
  <c r="R1850" i="24"/>
  <c r="P1850" i="24"/>
  <c r="A1850" i="24"/>
  <c r="R1849" i="24"/>
  <c r="P1849" i="24"/>
  <c r="A1849" i="24"/>
  <c r="R1848" i="24"/>
  <c r="P1848" i="24"/>
  <c r="A1848" i="24"/>
  <c r="R1847" i="24"/>
  <c r="P1847" i="24"/>
  <c r="A1847" i="24"/>
  <c r="R1846" i="24"/>
  <c r="P1846" i="24"/>
  <c r="A1846" i="24"/>
  <c r="R1845" i="24"/>
  <c r="P1845" i="24"/>
  <c r="A1845" i="24"/>
  <c r="R1844" i="24"/>
  <c r="P1844" i="24"/>
  <c r="A1844" i="24"/>
  <c r="R1843" i="24"/>
  <c r="P1843" i="24"/>
  <c r="A1843" i="24"/>
  <c r="R1842" i="24"/>
  <c r="P1842" i="24"/>
  <c r="A1842" i="24"/>
  <c r="R1841" i="24"/>
  <c r="P1841" i="24"/>
  <c r="A1841" i="24"/>
  <c r="R1840" i="24"/>
  <c r="P1840" i="24"/>
  <c r="A1840" i="24"/>
  <c r="R1839" i="24"/>
  <c r="P1839" i="24"/>
  <c r="A1839" i="24"/>
  <c r="R1838" i="24"/>
  <c r="P1838" i="24"/>
  <c r="A1838" i="24"/>
  <c r="R1837" i="24"/>
  <c r="P1837" i="24"/>
  <c r="A1837" i="24"/>
  <c r="R1836" i="24"/>
  <c r="P1836" i="24"/>
  <c r="A1836" i="24"/>
  <c r="R1835" i="24"/>
  <c r="P1835" i="24"/>
  <c r="A1835" i="24"/>
  <c r="R1834" i="24"/>
  <c r="P1834" i="24"/>
  <c r="A1834" i="24"/>
  <c r="R1833" i="24"/>
  <c r="P1833" i="24"/>
  <c r="A1833" i="24"/>
  <c r="R1832" i="24"/>
  <c r="P1832" i="24"/>
  <c r="A1832" i="24"/>
  <c r="R1831" i="24"/>
  <c r="P1831" i="24"/>
  <c r="A1831" i="24"/>
  <c r="R1830" i="24"/>
  <c r="P1830" i="24"/>
  <c r="A1830" i="24"/>
  <c r="R1829" i="24"/>
  <c r="P1829" i="24"/>
  <c r="A1829" i="24"/>
  <c r="R1828" i="24"/>
  <c r="P1828" i="24"/>
  <c r="A1828" i="24"/>
  <c r="R1827" i="24"/>
  <c r="P1827" i="24"/>
  <c r="A1827" i="24"/>
  <c r="R1826" i="24"/>
  <c r="P1826" i="24"/>
  <c r="A1826" i="24"/>
  <c r="R1825" i="24"/>
  <c r="P1825" i="24"/>
  <c r="A1825" i="24"/>
  <c r="R1824" i="24"/>
  <c r="P1824" i="24"/>
  <c r="A1824" i="24"/>
  <c r="R1823" i="24"/>
  <c r="P1823" i="24"/>
  <c r="A1823" i="24"/>
  <c r="R1822" i="24"/>
  <c r="P1822" i="24"/>
  <c r="A1822" i="24"/>
  <c r="R1821" i="24"/>
  <c r="P1821" i="24"/>
  <c r="A1821" i="24"/>
  <c r="R1820" i="24"/>
  <c r="P1820" i="24"/>
  <c r="A1820" i="24"/>
  <c r="R1819" i="24"/>
  <c r="P1819" i="24"/>
  <c r="A1819" i="24"/>
  <c r="R1818" i="24"/>
  <c r="P1818" i="24"/>
  <c r="A1818" i="24"/>
  <c r="R1817" i="24"/>
  <c r="P1817" i="24"/>
  <c r="A1817" i="24"/>
  <c r="R1816" i="24"/>
  <c r="P1816" i="24"/>
  <c r="A1816" i="24"/>
  <c r="R1815" i="24"/>
  <c r="P1815" i="24"/>
  <c r="A1815" i="24"/>
  <c r="R1814" i="24"/>
  <c r="P1814" i="24"/>
  <c r="A1814" i="24"/>
  <c r="R1813" i="24"/>
  <c r="P1813" i="24"/>
  <c r="A1813" i="24"/>
  <c r="R1812" i="24"/>
  <c r="P1812" i="24"/>
  <c r="A1812" i="24"/>
  <c r="R1811" i="24"/>
  <c r="P1811" i="24"/>
  <c r="A1811" i="24"/>
  <c r="R1810" i="24"/>
  <c r="P1810" i="24"/>
  <c r="A1810" i="24"/>
  <c r="R1809" i="24"/>
  <c r="P1809" i="24"/>
  <c r="A1809" i="24"/>
  <c r="R1808" i="24"/>
  <c r="P1808" i="24"/>
  <c r="A1808" i="24"/>
  <c r="R1807" i="24"/>
  <c r="P1807" i="24"/>
  <c r="A1807" i="24"/>
  <c r="R1806" i="24"/>
  <c r="P1806" i="24"/>
  <c r="A1806" i="24"/>
  <c r="R1805" i="24"/>
  <c r="P1805" i="24"/>
  <c r="A1805" i="24"/>
  <c r="R1804" i="24"/>
  <c r="P1804" i="24"/>
  <c r="A1804" i="24"/>
  <c r="R1803" i="24"/>
  <c r="P1803" i="24"/>
  <c r="A1803" i="24"/>
  <c r="R1802" i="24"/>
  <c r="P1802" i="24"/>
  <c r="A1802" i="24"/>
  <c r="R1801" i="24"/>
  <c r="P1801" i="24"/>
  <c r="A1801" i="24"/>
  <c r="R1800" i="24"/>
  <c r="P1800" i="24"/>
  <c r="A1800" i="24"/>
  <c r="R1799" i="24"/>
  <c r="P1799" i="24"/>
  <c r="A1799" i="24"/>
  <c r="R1798" i="24"/>
  <c r="P1798" i="24"/>
  <c r="A1798" i="24"/>
  <c r="R1797" i="24"/>
  <c r="P1797" i="24"/>
  <c r="A1797" i="24"/>
  <c r="R1796" i="24"/>
  <c r="P1796" i="24"/>
  <c r="A1796" i="24"/>
  <c r="R1795" i="24"/>
  <c r="P1795" i="24"/>
  <c r="A1795" i="24"/>
  <c r="R1794" i="24"/>
  <c r="P1794" i="24"/>
  <c r="A1794" i="24"/>
  <c r="R1793" i="24"/>
  <c r="P1793" i="24"/>
  <c r="A1793" i="24"/>
  <c r="R1792" i="24"/>
  <c r="P1792" i="24"/>
  <c r="A1792" i="24"/>
  <c r="R1791" i="24"/>
  <c r="P1791" i="24"/>
  <c r="A1791" i="24"/>
  <c r="R1790" i="24"/>
  <c r="P1790" i="24"/>
  <c r="A1790" i="24"/>
  <c r="R1789" i="24"/>
  <c r="P1789" i="24"/>
  <c r="A1789" i="24"/>
  <c r="R1788" i="24"/>
  <c r="P1788" i="24"/>
  <c r="A1788" i="24"/>
  <c r="R1787" i="24"/>
  <c r="P1787" i="24"/>
  <c r="A1787" i="24"/>
  <c r="R1786" i="24"/>
  <c r="P1786" i="24"/>
  <c r="A1786" i="24"/>
  <c r="R1785" i="24"/>
  <c r="P1785" i="24"/>
  <c r="A1785" i="24"/>
  <c r="R1784" i="24"/>
  <c r="P1784" i="24"/>
  <c r="A1784" i="24"/>
  <c r="R1783" i="24"/>
  <c r="P1783" i="24"/>
  <c r="A1783" i="24"/>
  <c r="R1782" i="24"/>
  <c r="P1782" i="24"/>
  <c r="A1782" i="24"/>
  <c r="R1781" i="24"/>
  <c r="P1781" i="24"/>
  <c r="A1781" i="24"/>
  <c r="R1780" i="24"/>
  <c r="P1780" i="24"/>
  <c r="A1780" i="24"/>
  <c r="R1779" i="24"/>
  <c r="P1779" i="24"/>
  <c r="A1779" i="24"/>
  <c r="R1778" i="24"/>
  <c r="P1778" i="24"/>
  <c r="A1778" i="24"/>
  <c r="R1777" i="24"/>
  <c r="P1777" i="24"/>
  <c r="A1777" i="24"/>
  <c r="R1776" i="24"/>
  <c r="P1776" i="24"/>
  <c r="A1776" i="24"/>
  <c r="R1775" i="24"/>
  <c r="P1775" i="24"/>
  <c r="A1775" i="24"/>
  <c r="R1774" i="24"/>
  <c r="P1774" i="24"/>
  <c r="A1774" i="24"/>
  <c r="R1773" i="24"/>
  <c r="P1773" i="24"/>
  <c r="A1773" i="24"/>
  <c r="R1772" i="24"/>
  <c r="P1772" i="24"/>
  <c r="A1772" i="24"/>
  <c r="R1771" i="24"/>
  <c r="P1771" i="24"/>
  <c r="A1771" i="24"/>
  <c r="R1770" i="24"/>
  <c r="P1770" i="24"/>
  <c r="A1770" i="24"/>
  <c r="R1769" i="24"/>
  <c r="P1769" i="24"/>
  <c r="A1769" i="24"/>
  <c r="R1768" i="24"/>
  <c r="P1768" i="24"/>
  <c r="A1768" i="24"/>
  <c r="R1767" i="24"/>
  <c r="P1767" i="24"/>
  <c r="A1767" i="24"/>
  <c r="R1766" i="24"/>
  <c r="P1766" i="24"/>
  <c r="A1766" i="24"/>
  <c r="R1765" i="24"/>
  <c r="P1765" i="24"/>
  <c r="A1765" i="24"/>
  <c r="R1764" i="24"/>
  <c r="P1764" i="24"/>
  <c r="A1764" i="24"/>
  <c r="R1763" i="24"/>
  <c r="P1763" i="24"/>
  <c r="A1763" i="24"/>
  <c r="R1762" i="24"/>
  <c r="P1762" i="24"/>
  <c r="A1762" i="24"/>
  <c r="R1761" i="24"/>
  <c r="P1761" i="24"/>
  <c r="A1761" i="24"/>
  <c r="R1760" i="24"/>
  <c r="P1760" i="24"/>
  <c r="A1760" i="24"/>
  <c r="R1759" i="24"/>
  <c r="P1759" i="24"/>
  <c r="A1759" i="24"/>
  <c r="R1758" i="24"/>
  <c r="P1758" i="24"/>
  <c r="A1758" i="24"/>
  <c r="R1757" i="24"/>
  <c r="P1757" i="24"/>
  <c r="A1757" i="24"/>
  <c r="R1756" i="24"/>
  <c r="P1756" i="24"/>
  <c r="A1756" i="24"/>
  <c r="R1755" i="24"/>
  <c r="P1755" i="24"/>
  <c r="A1755" i="24"/>
  <c r="R1754" i="24"/>
  <c r="P1754" i="24"/>
  <c r="A1754" i="24"/>
  <c r="R1753" i="24"/>
  <c r="P1753" i="24"/>
  <c r="A1753" i="24"/>
  <c r="R1752" i="24"/>
  <c r="P1752" i="24"/>
  <c r="A1752" i="24"/>
  <c r="R1751" i="24"/>
  <c r="P1751" i="24"/>
  <c r="A1751" i="24"/>
  <c r="R1750" i="24"/>
  <c r="P1750" i="24"/>
  <c r="A1750" i="24"/>
  <c r="R1749" i="24"/>
  <c r="P1749" i="24"/>
  <c r="A1749" i="24"/>
  <c r="R1748" i="24"/>
  <c r="P1748" i="24"/>
  <c r="A1748" i="24"/>
  <c r="R1747" i="24"/>
  <c r="P1747" i="24"/>
  <c r="A1747" i="24"/>
  <c r="R1746" i="24"/>
  <c r="P1746" i="24"/>
  <c r="A1746" i="24"/>
  <c r="R1745" i="24"/>
  <c r="P1745" i="24"/>
  <c r="A1745" i="24"/>
  <c r="R1744" i="24"/>
  <c r="P1744" i="24"/>
  <c r="A1744" i="24"/>
  <c r="R1743" i="24"/>
  <c r="P1743" i="24"/>
  <c r="A1743" i="24"/>
  <c r="R1742" i="24"/>
  <c r="P1742" i="24"/>
  <c r="A1742" i="24"/>
  <c r="R1741" i="24"/>
  <c r="P1741" i="24"/>
  <c r="A1741" i="24"/>
  <c r="R1740" i="24"/>
  <c r="P1740" i="24"/>
  <c r="A1740" i="24"/>
  <c r="R1739" i="24"/>
  <c r="P1739" i="24"/>
  <c r="A1739" i="24"/>
  <c r="R1738" i="24"/>
  <c r="P1738" i="24"/>
  <c r="A1738" i="24"/>
  <c r="R1737" i="24"/>
  <c r="P1737" i="24"/>
  <c r="A1737" i="24"/>
  <c r="R1736" i="24"/>
  <c r="P1736" i="24"/>
  <c r="A1736" i="24"/>
  <c r="R1735" i="24"/>
  <c r="P1735" i="24"/>
  <c r="A1735" i="24"/>
  <c r="R1734" i="24"/>
  <c r="P1734" i="24"/>
  <c r="A1734" i="24"/>
  <c r="R1733" i="24"/>
  <c r="P1733" i="24"/>
  <c r="A1733" i="24"/>
  <c r="R1732" i="24"/>
  <c r="P1732" i="24"/>
  <c r="A1732" i="24"/>
  <c r="R1731" i="24"/>
  <c r="P1731" i="24"/>
  <c r="A1731" i="24"/>
  <c r="R1730" i="24"/>
  <c r="P1730" i="24"/>
  <c r="A1730" i="24"/>
  <c r="R1729" i="24"/>
  <c r="P1729" i="24"/>
  <c r="A1729" i="24"/>
  <c r="R1728" i="24"/>
  <c r="P1728" i="24"/>
  <c r="A1728" i="24"/>
  <c r="R1727" i="24"/>
  <c r="P1727" i="24"/>
  <c r="A1727" i="24"/>
  <c r="R1726" i="24"/>
  <c r="P1726" i="24"/>
  <c r="A1726" i="24"/>
  <c r="R1725" i="24"/>
  <c r="P1725" i="24"/>
  <c r="A1725" i="24"/>
  <c r="R1724" i="24"/>
  <c r="P1724" i="24"/>
  <c r="A1724" i="24"/>
  <c r="R1723" i="24"/>
  <c r="P1723" i="24"/>
  <c r="A1723" i="24"/>
  <c r="R1722" i="24"/>
  <c r="P1722" i="24"/>
  <c r="A1722" i="24"/>
  <c r="R1721" i="24"/>
  <c r="P1721" i="24"/>
  <c r="A1721" i="24"/>
  <c r="R1720" i="24"/>
  <c r="P1720" i="24"/>
  <c r="A1720" i="24"/>
  <c r="R1719" i="24"/>
  <c r="P1719" i="24"/>
  <c r="A1719" i="24"/>
  <c r="R1718" i="24"/>
  <c r="P1718" i="24"/>
  <c r="A1718" i="24"/>
  <c r="R1717" i="24"/>
  <c r="P1717" i="24"/>
  <c r="A1717" i="24"/>
  <c r="R1716" i="24"/>
  <c r="P1716" i="24"/>
  <c r="A1716" i="24"/>
  <c r="R1715" i="24"/>
  <c r="P1715" i="24"/>
  <c r="A1715" i="24"/>
  <c r="R1714" i="24"/>
  <c r="P1714" i="24"/>
  <c r="A1714" i="24"/>
  <c r="R1713" i="24"/>
  <c r="P1713" i="24"/>
  <c r="A1713" i="24"/>
  <c r="R1712" i="24"/>
  <c r="P1712" i="24"/>
  <c r="A1712" i="24"/>
  <c r="R1711" i="24"/>
  <c r="P1711" i="24"/>
  <c r="A1711" i="24"/>
  <c r="R1710" i="24"/>
  <c r="P1710" i="24"/>
  <c r="A1710" i="24"/>
  <c r="R1709" i="24"/>
  <c r="P1709" i="24"/>
  <c r="A1709" i="24"/>
  <c r="R1708" i="24"/>
  <c r="P1708" i="24"/>
  <c r="A1708" i="24"/>
  <c r="R1707" i="24"/>
  <c r="P1707" i="24"/>
  <c r="A1707" i="24"/>
  <c r="R1706" i="24"/>
  <c r="P1706" i="24"/>
  <c r="A1706" i="24"/>
  <c r="R1705" i="24"/>
  <c r="P1705" i="24"/>
  <c r="A1705" i="24"/>
  <c r="R1704" i="24"/>
  <c r="P1704" i="24"/>
  <c r="A1704" i="24"/>
  <c r="R1703" i="24"/>
  <c r="P1703" i="24"/>
  <c r="A1703" i="24"/>
  <c r="R1702" i="24"/>
  <c r="P1702" i="24"/>
  <c r="A1702" i="24"/>
  <c r="R1701" i="24"/>
  <c r="P1701" i="24"/>
  <c r="A1701" i="24"/>
  <c r="R1700" i="24"/>
  <c r="P1700" i="24"/>
  <c r="A1700" i="24"/>
  <c r="R1699" i="24"/>
  <c r="P1699" i="24"/>
  <c r="A1699" i="24"/>
  <c r="R1698" i="24"/>
  <c r="P1698" i="24"/>
  <c r="A1698" i="24"/>
  <c r="R1697" i="24"/>
  <c r="P1697" i="24"/>
  <c r="A1697" i="24"/>
  <c r="R1696" i="24"/>
  <c r="P1696" i="24"/>
  <c r="A1696" i="24"/>
  <c r="R1695" i="24"/>
  <c r="P1695" i="24"/>
  <c r="A1695" i="24"/>
  <c r="R1694" i="24"/>
  <c r="P1694" i="24"/>
  <c r="A1694" i="24"/>
  <c r="R1693" i="24"/>
  <c r="P1693" i="24"/>
  <c r="A1693" i="24"/>
  <c r="R1692" i="24"/>
  <c r="P1692" i="24"/>
  <c r="A1692" i="24"/>
  <c r="R1691" i="24"/>
  <c r="P1691" i="24"/>
  <c r="A1691" i="24"/>
  <c r="R1690" i="24"/>
  <c r="P1690" i="24"/>
  <c r="A1690" i="24"/>
  <c r="R1689" i="24"/>
  <c r="P1689" i="24"/>
  <c r="A1689" i="24"/>
  <c r="R1688" i="24"/>
  <c r="P1688" i="24"/>
  <c r="A1688" i="24"/>
  <c r="R1687" i="24"/>
  <c r="P1687" i="24"/>
  <c r="A1687" i="24"/>
  <c r="R1686" i="24"/>
  <c r="P1686" i="24"/>
  <c r="A1686" i="24"/>
  <c r="R1685" i="24"/>
  <c r="P1685" i="24"/>
  <c r="A1685" i="24"/>
  <c r="R1684" i="24"/>
  <c r="P1684" i="24"/>
  <c r="A1684" i="24"/>
  <c r="R1683" i="24"/>
  <c r="P1683" i="24"/>
  <c r="A1683" i="24"/>
  <c r="R1682" i="24"/>
  <c r="P1682" i="24"/>
  <c r="A1682" i="24"/>
  <c r="R1681" i="24"/>
  <c r="P1681" i="24"/>
  <c r="A1681" i="24"/>
  <c r="R1680" i="24"/>
  <c r="P1680" i="24"/>
  <c r="A1680" i="24"/>
  <c r="R1679" i="24"/>
  <c r="P1679" i="24"/>
  <c r="A1679" i="24"/>
  <c r="R1678" i="24"/>
  <c r="P1678" i="24"/>
  <c r="A1678" i="24"/>
  <c r="R1677" i="24"/>
  <c r="P1677" i="24"/>
  <c r="A1677" i="24"/>
  <c r="R1676" i="24"/>
  <c r="P1676" i="24"/>
  <c r="A1676" i="24"/>
  <c r="R1675" i="24"/>
  <c r="P1675" i="24"/>
  <c r="A1675" i="24"/>
  <c r="R1674" i="24"/>
  <c r="P1674" i="24"/>
  <c r="A1674" i="24"/>
  <c r="R1673" i="24"/>
  <c r="P1673" i="24"/>
  <c r="A1673" i="24"/>
  <c r="R1672" i="24"/>
  <c r="P1672" i="24"/>
  <c r="A1672" i="24"/>
  <c r="R1671" i="24"/>
  <c r="P1671" i="24"/>
  <c r="A1671" i="24"/>
  <c r="R1670" i="24"/>
  <c r="P1670" i="24"/>
  <c r="A1670" i="24"/>
  <c r="R1669" i="24"/>
  <c r="P1669" i="24"/>
  <c r="A1669" i="24"/>
  <c r="R1668" i="24"/>
  <c r="P1668" i="24"/>
  <c r="A1668" i="24"/>
  <c r="R1667" i="24"/>
  <c r="P1667" i="24"/>
  <c r="A1667" i="24"/>
  <c r="R1666" i="24"/>
  <c r="P1666" i="24"/>
  <c r="A1666" i="24"/>
  <c r="R1665" i="24"/>
  <c r="P1665" i="24"/>
  <c r="A1665" i="24"/>
  <c r="R1664" i="24"/>
  <c r="P1664" i="24"/>
  <c r="A1664" i="24"/>
  <c r="R1663" i="24"/>
  <c r="P1663" i="24"/>
  <c r="A1663" i="24"/>
  <c r="R1662" i="24"/>
  <c r="P1662" i="24"/>
  <c r="A1662" i="24"/>
  <c r="R1661" i="24"/>
  <c r="P1661" i="24"/>
  <c r="A1661" i="24"/>
  <c r="R1660" i="24"/>
  <c r="P1660" i="24"/>
  <c r="A1660" i="24"/>
  <c r="R1659" i="24"/>
  <c r="P1659" i="24"/>
  <c r="A1659" i="24"/>
  <c r="R1658" i="24"/>
  <c r="P1658" i="24"/>
  <c r="A1658" i="24"/>
  <c r="R1657" i="24"/>
  <c r="P1657" i="24"/>
  <c r="A1657" i="24"/>
  <c r="R1656" i="24"/>
  <c r="P1656" i="24"/>
  <c r="A1656" i="24"/>
  <c r="R1655" i="24"/>
  <c r="P1655" i="24"/>
  <c r="A1655" i="24"/>
  <c r="R1654" i="24"/>
  <c r="P1654" i="24"/>
  <c r="A1654" i="24"/>
  <c r="R1653" i="24"/>
  <c r="P1653" i="24"/>
  <c r="A1653" i="24"/>
  <c r="R1652" i="24"/>
  <c r="P1652" i="24"/>
  <c r="A1652" i="24"/>
  <c r="R1651" i="24"/>
  <c r="P1651" i="24"/>
  <c r="A1651" i="24"/>
  <c r="R1650" i="24"/>
  <c r="P1650" i="24"/>
  <c r="A1650" i="24"/>
  <c r="R1649" i="24"/>
  <c r="P1649" i="24"/>
  <c r="A1649" i="24"/>
  <c r="R1648" i="24"/>
  <c r="P1648" i="24"/>
  <c r="A1648" i="24"/>
  <c r="R1647" i="24"/>
  <c r="P1647" i="24"/>
  <c r="A1647" i="24"/>
  <c r="R1646" i="24"/>
  <c r="P1646" i="24"/>
  <c r="A1646" i="24"/>
  <c r="R1645" i="24"/>
  <c r="P1645" i="24"/>
  <c r="A1645" i="24"/>
  <c r="R1644" i="24"/>
  <c r="P1644" i="24"/>
  <c r="A1644" i="24"/>
  <c r="R1643" i="24"/>
  <c r="P1643" i="24"/>
  <c r="A1643" i="24"/>
  <c r="R1642" i="24"/>
  <c r="P1642" i="24"/>
  <c r="A1642" i="24"/>
  <c r="R1641" i="24"/>
  <c r="P1641" i="24"/>
  <c r="A1641" i="24"/>
  <c r="R1640" i="24"/>
  <c r="P1640" i="24"/>
  <c r="A1640" i="24"/>
  <c r="R1639" i="24"/>
  <c r="P1639" i="24"/>
  <c r="A1639" i="24"/>
  <c r="R1638" i="24"/>
  <c r="P1638" i="24"/>
  <c r="A1638" i="24"/>
  <c r="R1637" i="24"/>
  <c r="P1637" i="24"/>
  <c r="A1637" i="24"/>
  <c r="R1636" i="24"/>
  <c r="P1636" i="24"/>
  <c r="A1636" i="24"/>
  <c r="R1635" i="24"/>
  <c r="P1635" i="24"/>
  <c r="A1635" i="24"/>
  <c r="R1634" i="24"/>
  <c r="P1634" i="24"/>
  <c r="A1634" i="24"/>
  <c r="R1633" i="24"/>
  <c r="P1633" i="24"/>
  <c r="A1633" i="24"/>
  <c r="R1632" i="24"/>
  <c r="P1632" i="24"/>
  <c r="A1632" i="24"/>
  <c r="R1631" i="24"/>
  <c r="P1631" i="24"/>
  <c r="A1631" i="24"/>
  <c r="R1630" i="24"/>
  <c r="P1630" i="24"/>
  <c r="A1630" i="24"/>
  <c r="R1629" i="24"/>
  <c r="P1629" i="24"/>
  <c r="A1629" i="24"/>
  <c r="R1628" i="24"/>
  <c r="P1628" i="24"/>
  <c r="A1628" i="24"/>
  <c r="R1627" i="24"/>
  <c r="P1627" i="24"/>
  <c r="A1627" i="24"/>
  <c r="R1626" i="24"/>
  <c r="P1626" i="24"/>
  <c r="A1626" i="24"/>
  <c r="R1625" i="24"/>
  <c r="P1625" i="24"/>
  <c r="A1625" i="24"/>
  <c r="R1624" i="24"/>
  <c r="P1624" i="24"/>
  <c r="A1624" i="24"/>
  <c r="R1623" i="24"/>
  <c r="P1623" i="24"/>
  <c r="A1623" i="24"/>
  <c r="R1622" i="24"/>
  <c r="P1622" i="24"/>
  <c r="A1622" i="24"/>
  <c r="R1621" i="24"/>
  <c r="P1621" i="24"/>
  <c r="A1621" i="24"/>
  <c r="R1620" i="24"/>
  <c r="P1620" i="24"/>
  <c r="A1620" i="24"/>
  <c r="R1619" i="24"/>
  <c r="P1619" i="24"/>
  <c r="A1619" i="24"/>
  <c r="R1618" i="24"/>
  <c r="P1618" i="24"/>
  <c r="A1618" i="24"/>
  <c r="R1617" i="24"/>
  <c r="P1617" i="24"/>
  <c r="A1617" i="24"/>
  <c r="R1616" i="24"/>
  <c r="P1616" i="24"/>
  <c r="A1616" i="24"/>
  <c r="R1615" i="24"/>
  <c r="P1615" i="24"/>
  <c r="A1615" i="24"/>
  <c r="R1614" i="24"/>
  <c r="P1614" i="24"/>
  <c r="A1614" i="24"/>
  <c r="R1613" i="24"/>
  <c r="P1613" i="24"/>
  <c r="A1613" i="24"/>
  <c r="R1612" i="24"/>
  <c r="P1612" i="24"/>
  <c r="A1612" i="24"/>
  <c r="R1611" i="24"/>
  <c r="P1611" i="24"/>
  <c r="A1611" i="24"/>
  <c r="R1610" i="24"/>
  <c r="P1610" i="24"/>
  <c r="A1610" i="24"/>
  <c r="R1609" i="24"/>
  <c r="P1609" i="24"/>
  <c r="A1609" i="24"/>
  <c r="R1608" i="24"/>
  <c r="P1608" i="24"/>
  <c r="A1608" i="24"/>
  <c r="R1607" i="24"/>
  <c r="P1607" i="24"/>
  <c r="A1607" i="24"/>
  <c r="R1606" i="24"/>
  <c r="P1606" i="24"/>
  <c r="A1606" i="24"/>
  <c r="R1605" i="24"/>
  <c r="P1605" i="24"/>
  <c r="A1605" i="24"/>
  <c r="R1604" i="24"/>
  <c r="P1604" i="24"/>
  <c r="A1604" i="24"/>
  <c r="R1603" i="24"/>
  <c r="P1603" i="24"/>
  <c r="A1603" i="24"/>
  <c r="R1602" i="24"/>
  <c r="P1602" i="24"/>
  <c r="A1602" i="24"/>
  <c r="R1601" i="24"/>
  <c r="P1601" i="24"/>
  <c r="A1601" i="24"/>
  <c r="R1600" i="24"/>
  <c r="P1600" i="24"/>
  <c r="A1600" i="24"/>
  <c r="R1599" i="24"/>
  <c r="P1599" i="24"/>
  <c r="A1599" i="24"/>
  <c r="R1598" i="24"/>
  <c r="P1598" i="24"/>
  <c r="A1598" i="24"/>
  <c r="R1597" i="24"/>
  <c r="P1597" i="24"/>
  <c r="A1597" i="24"/>
  <c r="R1596" i="24"/>
  <c r="P1596" i="24"/>
  <c r="A1596" i="24"/>
  <c r="R1595" i="24"/>
  <c r="P1595" i="24"/>
  <c r="A1595" i="24"/>
  <c r="R1594" i="24"/>
  <c r="P1594" i="24"/>
  <c r="A1594" i="24"/>
  <c r="R1593" i="24"/>
  <c r="P1593" i="24"/>
  <c r="A1593" i="24"/>
  <c r="R1592" i="24"/>
  <c r="P1592" i="24"/>
  <c r="A1592" i="24"/>
  <c r="R1591" i="24"/>
  <c r="P1591" i="24"/>
  <c r="A1591" i="24"/>
  <c r="R1590" i="24"/>
  <c r="P1590" i="24"/>
  <c r="A1590" i="24"/>
  <c r="R1589" i="24"/>
  <c r="P1589" i="24"/>
  <c r="A1589" i="24"/>
  <c r="R1588" i="24"/>
  <c r="P1588" i="24"/>
  <c r="A1588" i="24"/>
  <c r="R1587" i="24"/>
  <c r="P1587" i="24"/>
  <c r="A1587" i="24"/>
  <c r="R1586" i="24"/>
  <c r="P1586" i="24"/>
  <c r="A1586" i="24"/>
  <c r="R1585" i="24"/>
  <c r="P1585" i="24"/>
  <c r="A1585" i="24"/>
  <c r="R1584" i="24"/>
  <c r="P1584" i="24"/>
  <c r="A1584" i="24"/>
  <c r="R1583" i="24"/>
  <c r="P1583" i="24"/>
  <c r="A1583" i="24"/>
  <c r="R1582" i="24"/>
  <c r="P1582" i="24"/>
  <c r="A1582" i="24"/>
  <c r="R1581" i="24"/>
  <c r="P1581" i="24"/>
  <c r="A1581" i="24"/>
  <c r="R1580" i="24"/>
  <c r="P1580" i="24"/>
  <c r="A1580" i="24"/>
  <c r="R1579" i="24"/>
  <c r="P1579" i="24"/>
  <c r="A1579" i="24"/>
  <c r="R1578" i="24"/>
  <c r="P1578" i="24"/>
  <c r="A1578" i="24"/>
  <c r="R1577" i="24"/>
  <c r="P1577" i="24"/>
  <c r="A1577" i="24"/>
  <c r="R1576" i="24"/>
  <c r="P1576" i="24"/>
  <c r="A1576" i="24"/>
  <c r="R1575" i="24"/>
  <c r="P1575" i="24"/>
  <c r="A1575" i="24"/>
  <c r="R1574" i="24"/>
  <c r="P1574" i="24"/>
  <c r="A1574" i="24"/>
  <c r="R1573" i="24"/>
  <c r="P1573" i="24"/>
  <c r="A1573" i="24"/>
  <c r="R1572" i="24"/>
  <c r="P1572" i="24"/>
  <c r="A1572" i="24"/>
  <c r="R1571" i="24"/>
  <c r="P1571" i="24"/>
  <c r="A1571" i="24"/>
  <c r="R1570" i="24"/>
  <c r="P1570" i="24"/>
  <c r="A1570" i="24"/>
  <c r="R1569" i="24"/>
  <c r="P1569" i="24"/>
  <c r="A1569" i="24"/>
  <c r="R1568" i="24"/>
  <c r="P1568" i="24"/>
  <c r="A1568" i="24"/>
  <c r="R1567" i="24"/>
  <c r="P1567" i="24"/>
  <c r="A1567" i="24"/>
  <c r="R1566" i="24"/>
  <c r="P1566" i="24"/>
  <c r="A1566" i="24"/>
  <c r="R1565" i="24"/>
  <c r="P1565" i="24"/>
  <c r="A1565" i="24"/>
  <c r="R1564" i="24"/>
  <c r="P1564" i="24"/>
  <c r="A1564" i="24"/>
  <c r="R1563" i="24"/>
  <c r="P1563" i="24"/>
  <c r="A1563" i="24"/>
  <c r="R1562" i="24"/>
  <c r="P1562" i="24"/>
  <c r="A1562" i="24"/>
  <c r="R1561" i="24"/>
  <c r="P1561" i="24"/>
  <c r="A1561" i="24"/>
  <c r="R1560" i="24"/>
  <c r="P1560" i="24"/>
  <c r="A1560" i="24"/>
  <c r="R1559" i="24"/>
  <c r="P1559" i="24"/>
  <c r="A1559" i="24"/>
  <c r="R1558" i="24"/>
  <c r="P1558" i="24"/>
  <c r="A1558" i="24"/>
  <c r="R1557" i="24"/>
  <c r="P1557" i="24"/>
  <c r="A1557" i="24"/>
  <c r="R1556" i="24"/>
  <c r="P1556" i="24"/>
  <c r="A1556" i="24"/>
  <c r="R1555" i="24"/>
  <c r="P1555" i="24"/>
  <c r="A1555" i="24"/>
  <c r="R1554" i="24"/>
  <c r="P1554" i="24"/>
  <c r="A1554" i="24"/>
  <c r="R1553" i="24"/>
  <c r="P1553" i="24"/>
  <c r="A1553" i="24"/>
  <c r="R1552" i="24"/>
  <c r="P1552" i="24"/>
  <c r="A1552" i="24"/>
  <c r="R1551" i="24"/>
  <c r="P1551" i="24"/>
  <c r="A1551" i="24"/>
  <c r="R1550" i="24"/>
  <c r="P1550" i="24"/>
  <c r="A1550" i="24"/>
  <c r="R1549" i="24"/>
  <c r="P1549" i="24"/>
  <c r="A1549" i="24"/>
  <c r="R1548" i="24"/>
  <c r="P1548" i="24"/>
  <c r="A1548" i="24"/>
  <c r="R1547" i="24"/>
  <c r="P1547" i="24"/>
  <c r="A1547" i="24"/>
  <c r="R1546" i="24"/>
  <c r="P1546" i="24"/>
  <c r="A1546" i="24"/>
  <c r="R1545" i="24"/>
  <c r="P1545" i="24"/>
  <c r="A1545" i="24"/>
  <c r="R1544" i="24"/>
  <c r="P1544" i="24"/>
  <c r="A1544" i="24"/>
  <c r="R1543" i="24"/>
  <c r="P1543" i="24"/>
  <c r="A1543" i="24"/>
  <c r="R1542" i="24"/>
  <c r="P1542" i="24"/>
  <c r="A1542" i="24"/>
  <c r="R1541" i="24"/>
  <c r="P1541" i="24"/>
  <c r="A1541" i="24"/>
  <c r="R1540" i="24"/>
  <c r="P1540" i="24"/>
  <c r="A1540" i="24"/>
  <c r="R1539" i="24"/>
  <c r="P1539" i="24"/>
  <c r="A1539" i="24"/>
  <c r="R1538" i="24"/>
  <c r="P1538" i="24"/>
  <c r="A1538" i="24"/>
  <c r="R1537" i="24"/>
  <c r="P1537" i="24"/>
  <c r="A1537" i="24"/>
  <c r="R1536" i="24"/>
  <c r="P1536" i="24"/>
  <c r="A1536" i="24"/>
  <c r="R1535" i="24"/>
  <c r="P1535" i="24"/>
  <c r="A1535" i="24"/>
  <c r="R1534" i="24"/>
  <c r="P1534" i="24"/>
  <c r="A1534" i="24"/>
  <c r="R1533" i="24"/>
  <c r="P1533" i="24"/>
  <c r="A1533" i="24"/>
  <c r="R1532" i="24"/>
  <c r="P1532" i="24"/>
  <c r="A1532" i="24"/>
  <c r="R1531" i="24"/>
  <c r="P1531" i="24"/>
  <c r="A1531" i="24"/>
  <c r="R1530" i="24"/>
  <c r="P1530" i="24"/>
  <c r="A1530" i="24"/>
  <c r="R1529" i="24"/>
  <c r="P1529" i="24"/>
  <c r="A1529" i="24"/>
  <c r="R1528" i="24"/>
  <c r="P1528" i="24"/>
  <c r="A1528" i="24"/>
  <c r="R1527" i="24"/>
  <c r="P1527" i="24"/>
  <c r="A1527" i="24"/>
  <c r="R1526" i="24"/>
  <c r="P1526" i="24"/>
  <c r="A1526" i="24"/>
  <c r="R1525" i="24"/>
  <c r="P1525" i="24"/>
  <c r="A1525" i="24"/>
  <c r="R1524" i="24"/>
  <c r="P1524" i="24"/>
  <c r="A1524" i="24"/>
  <c r="R1523" i="24"/>
  <c r="P1523" i="24"/>
  <c r="A1523" i="24"/>
  <c r="R1522" i="24"/>
  <c r="P1522" i="24"/>
  <c r="A1522" i="24"/>
  <c r="R1521" i="24"/>
  <c r="P1521" i="24"/>
  <c r="A1521" i="24"/>
  <c r="R1520" i="24"/>
  <c r="P1520" i="24"/>
  <c r="A1520" i="24"/>
  <c r="R1519" i="24"/>
  <c r="P1519" i="24"/>
  <c r="A1519" i="24"/>
  <c r="R1518" i="24"/>
  <c r="P1518" i="24"/>
  <c r="A1518" i="24"/>
  <c r="R1517" i="24"/>
  <c r="P1517" i="24"/>
  <c r="A1517" i="24"/>
  <c r="R1516" i="24"/>
  <c r="P1516" i="24"/>
  <c r="A1516" i="24"/>
  <c r="R1515" i="24"/>
  <c r="P1515" i="24"/>
  <c r="A1515" i="24"/>
  <c r="R1514" i="24"/>
  <c r="P1514" i="24"/>
  <c r="A1514" i="24"/>
  <c r="R1513" i="24"/>
  <c r="P1513" i="24"/>
  <c r="A1513" i="24"/>
  <c r="R1512" i="24"/>
  <c r="P1512" i="24"/>
  <c r="A1512" i="24"/>
  <c r="R1511" i="24"/>
  <c r="P1511" i="24"/>
  <c r="A1511" i="24"/>
  <c r="R1510" i="24"/>
  <c r="P1510" i="24"/>
  <c r="A1510" i="24"/>
  <c r="R1509" i="24"/>
  <c r="P1509" i="24"/>
  <c r="A1509" i="24"/>
  <c r="R1508" i="24"/>
  <c r="P1508" i="24"/>
  <c r="A1508" i="24"/>
  <c r="R1507" i="24"/>
  <c r="P1507" i="24"/>
  <c r="A1507" i="24"/>
  <c r="R1506" i="24"/>
  <c r="P1506" i="24"/>
  <c r="A1506" i="24"/>
  <c r="R1505" i="24"/>
  <c r="P1505" i="24"/>
  <c r="A1505" i="24"/>
  <c r="R1504" i="24"/>
  <c r="P1504" i="24"/>
  <c r="A1504" i="24"/>
  <c r="R1503" i="24"/>
  <c r="P1503" i="24"/>
  <c r="A1503" i="24"/>
  <c r="R1502" i="24"/>
  <c r="P1502" i="24"/>
  <c r="A1502" i="24"/>
  <c r="R1501" i="24"/>
  <c r="P1501" i="24"/>
  <c r="A1501" i="24"/>
  <c r="R1500" i="24"/>
  <c r="P1500" i="24"/>
  <c r="A1500" i="24"/>
  <c r="R1499" i="24"/>
  <c r="P1499" i="24"/>
  <c r="A1499" i="24"/>
  <c r="R1498" i="24"/>
  <c r="P1498" i="24"/>
  <c r="A1498" i="24"/>
  <c r="R1497" i="24"/>
  <c r="P1497" i="24"/>
  <c r="A1497" i="24"/>
  <c r="R1496" i="24"/>
  <c r="P1496" i="24"/>
  <c r="A1496" i="24"/>
  <c r="R1495" i="24"/>
  <c r="P1495" i="24"/>
  <c r="A1495" i="24"/>
  <c r="R1494" i="24"/>
  <c r="P1494" i="24"/>
  <c r="A1494" i="24"/>
  <c r="R1493" i="24"/>
  <c r="P1493" i="24"/>
  <c r="A1493" i="24"/>
  <c r="R1492" i="24"/>
  <c r="P1492" i="24"/>
  <c r="A1492" i="24"/>
  <c r="R1491" i="24"/>
  <c r="P1491" i="24"/>
  <c r="A1491" i="24"/>
  <c r="R1490" i="24"/>
  <c r="P1490" i="24"/>
  <c r="A1490" i="24"/>
  <c r="R1489" i="24"/>
  <c r="P1489" i="24"/>
  <c r="A1489" i="24"/>
  <c r="R1488" i="24"/>
  <c r="P1488" i="24"/>
  <c r="A1488" i="24"/>
  <c r="R1487" i="24"/>
  <c r="P1487" i="24"/>
  <c r="A1487" i="24"/>
  <c r="R1486" i="24"/>
  <c r="P1486" i="24"/>
  <c r="A1486" i="24"/>
  <c r="R1485" i="24"/>
  <c r="P1485" i="24"/>
  <c r="A1485" i="24"/>
  <c r="R1484" i="24"/>
  <c r="P1484" i="24"/>
  <c r="A1484" i="24"/>
  <c r="R1483" i="24"/>
  <c r="P1483" i="24"/>
  <c r="A1483" i="24"/>
  <c r="R1482" i="24"/>
  <c r="P1482" i="24"/>
  <c r="A1482" i="24"/>
  <c r="R1481" i="24"/>
  <c r="P1481" i="24"/>
  <c r="A1481" i="24"/>
  <c r="R1480" i="24"/>
  <c r="P1480" i="24"/>
  <c r="A1480" i="24"/>
  <c r="R1479" i="24"/>
  <c r="P1479" i="24"/>
  <c r="A1479" i="24"/>
  <c r="R1478" i="24"/>
  <c r="P1478" i="24"/>
  <c r="A1478" i="24"/>
  <c r="R1477" i="24"/>
  <c r="P1477" i="24"/>
  <c r="A1477" i="24"/>
  <c r="R1476" i="24"/>
  <c r="P1476" i="24"/>
  <c r="A1476" i="24"/>
  <c r="R1475" i="24"/>
  <c r="P1475" i="24"/>
  <c r="A1475" i="24"/>
  <c r="R1474" i="24"/>
  <c r="P1474" i="24"/>
  <c r="A1474" i="24"/>
  <c r="R1473" i="24"/>
  <c r="P1473" i="24"/>
  <c r="A1473" i="24"/>
  <c r="R1472" i="24"/>
  <c r="P1472" i="24"/>
  <c r="A1472" i="24"/>
  <c r="R1471" i="24"/>
  <c r="P1471" i="24"/>
  <c r="A1471" i="24"/>
  <c r="R1470" i="24"/>
  <c r="P1470" i="24"/>
  <c r="A1470" i="24"/>
  <c r="R1469" i="24"/>
  <c r="P1469" i="24"/>
  <c r="A1469" i="24"/>
  <c r="R1468" i="24"/>
  <c r="P1468" i="24"/>
  <c r="A1468" i="24"/>
  <c r="R1467" i="24"/>
  <c r="P1467" i="24"/>
  <c r="A1467" i="24"/>
  <c r="R1466" i="24"/>
  <c r="P1466" i="24"/>
  <c r="A1466" i="24"/>
  <c r="R1465" i="24"/>
  <c r="P1465" i="24"/>
  <c r="A1465" i="24"/>
  <c r="R1464" i="24"/>
  <c r="P1464" i="24"/>
  <c r="A1464" i="24"/>
  <c r="R1463" i="24"/>
  <c r="P1463" i="24"/>
  <c r="A1463" i="24"/>
  <c r="R1462" i="24"/>
  <c r="P1462" i="24"/>
  <c r="A1462" i="24"/>
  <c r="R1461" i="24"/>
  <c r="P1461" i="24"/>
  <c r="A1461" i="24"/>
  <c r="R1460" i="24"/>
  <c r="P1460" i="24"/>
  <c r="A1460" i="24"/>
  <c r="R1459" i="24"/>
  <c r="P1459" i="24"/>
  <c r="A1459" i="24"/>
  <c r="R1458" i="24"/>
  <c r="P1458" i="24"/>
  <c r="A1458" i="24"/>
  <c r="R1457" i="24"/>
  <c r="P1457" i="24"/>
  <c r="A1457" i="24"/>
  <c r="R1456" i="24"/>
  <c r="P1456" i="24"/>
  <c r="A1456" i="24"/>
  <c r="R1455" i="24"/>
  <c r="P1455" i="24"/>
  <c r="A1455" i="24"/>
  <c r="R1454" i="24"/>
  <c r="P1454" i="24"/>
  <c r="A1454" i="24"/>
  <c r="R1453" i="24"/>
  <c r="P1453" i="24"/>
  <c r="A1453" i="24"/>
  <c r="R1452" i="24"/>
  <c r="P1452" i="24"/>
  <c r="A1452" i="24"/>
  <c r="R1451" i="24"/>
  <c r="P1451" i="24"/>
  <c r="A1451" i="24"/>
  <c r="R1450" i="24"/>
  <c r="P1450" i="24"/>
  <c r="A1450" i="24"/>
  <c r="R1449" i="24"/>
  <c r="P1449" i="24"/>
  <c r="A1449" i="24"/>
  <c r="R1448" i="24"/>
  <c r="P1448" i="24"/>
  <c r="A1448" i="24"/>
  <c r="R1447" i="24"/>
  <c r="P1447" i="24"/>
  <c r="A1447" i="24"/>
  <c r="R1446" i="24"/>
  <c r="P1446" i="24"/>
  <c r="A1446" i="24"/>
  <c r="R1445" i="24"/>
  <c r="P1445" i="24"/>
  <c r="A1445" i="24"/>
  <c r="R1444" i="24"/>
  <c r="P1444" i="24"/>
  <c r="A1444" i="24"/>
  <c r="R1443" i="24"/>
  <c r="P1443" i="24"/>
  <c r="A1443" i="24"/>
  <c r="R1442" i="24"/>
  <c r="P1442" i="24"/>
  <c r="A1442" i="24"/>
  <c r="R1441" i="24"/>
  <c r="P1441" i="24"/>
  <c r="A1441" i="24"/>
  <c r="R1440" i="24"/>
  <c r="P1440" i="24"/>
  <c r="A1440" i="24"/>
  <c r="R1439" i="24"/>
  <c r="P1439" i="24"/>
  <c r="A1439" i="24"/>
  <c r="R1438" i="24"/>
  <c r="P1438" i="24"/>
  <c r="A1438" i="24"/>
  <c r="R1437" i="24"/>
  <c r="P1437" i="24"/>
  <c r="A1437" i="24"/>
  <c r="R1436" i="24"/>
  <c r="P1436" i="24"/>
  <c r="A1436" i="24"/>
  <c r="R1435" i="24"/>
  <c r="P1435" i="24"/>
  <c r="A1435" i="24"/>
  <c r="R1434" i="24"/>
  <c r="P1434" i="24"/>
  <c r="A1434" i="24"/>
  <c r="R1433" i="24"/>
  <c r="P1433" i="24"/>
  <c r="A1433" i="24"/>
  <c r="R1432" i="24"/>
  <c r="P1432" i="24"/>
  <c r="A1432" i="24"/>
  <c r="R1431" i="24"/>
  <c r="P1431" i="24"/>
  <c r="A1431" i="24"/>
  <c r="R1430" i="24"/>
  <c r="P1430" i="24"/>
  <c r="A1430" i="24"/>
  <c r="R1429" i="24"/>
  <c r="P1429" i="24"/>
  <c r="A1429" i="24"/>
  <c r="R1428" i="24"/>
  <c r="P1428" i="24"/>
  <c r="A1428" i="24"/>
  <c r="R1427" i="24"/>
  <c r="P1427" i="24"/>
  <c r="A1427" i="24"/>
  <c r="R1426" i="24"/>
  <c r="P1426" i="24"/>
  <c r="A1426" i="24"/>
  <c r="R1425" i="24"/>
  <c r="P1425" i="24"/>
  <c r="A1425" i="24"/>
  <c r="R1424" i="24"/>
  <c r="P1424" i="24"/>
  <c r="A1424" i="24"/>
  <c r="R1423" i="24"/>
  <c r="P1423" i="24"/>
  <c r="A1423" i="24"/>
  <c r="R1422" i="24"/>
  <c r="P1422" i="24"/>
  <c r="A1422" i="24"/>
  <c r="R1421" i="24"/>
  <c r="P1421" i="24"/>
  <c r="A1421" i="24"/>
  <c r="R1420" i="24"/>
  <c r="P1420" i="24"/>
  <c r="A1420" i="24"/>
  <c r="R1419" i="24"/>
  <c r="P1419" i="24"/>
  <c r="A1419" i="24"/>
  <c r="R1418" i="24"/>
  <c r="P1418" i="24"/>
  <c r="A1418" i="24"/>
  <c r="R1417" i="24"/>
  <c r="P1417" i="24"/>
  <c r="A1417" i="24"/>
  <c r="R1416" i="24"/>
  <c r="P1416" i="24"/>
  <c r="A1416" i="24"/>
  <c r="R1415" i="24"/>
  <c r="P1415" i="24"/>
  <c r="A1415" i="24"/>
  <c r="R1414" i="24"/>
  <c r="P1414" i="24"/>
  <c r="A1414" i="24"/>
  <c r="R1413" i="24"/>
  <c r="P1413" i="24"/>
  <c r="A1413" i="24"/>
  <c r="R1412" i="24"/>
  <c r="P1412" i="24"/>
  <c r="A1412" i="24"/>
  <c r="R1411" i="24"/>
  <c r="P1411" i="24"/>
  <c r="A1411" i="24"/>
  <c r="R1410" i="24"/>
  <c r="P1410" i="24"/>
  <c r="A1410" i="24"/>
  <c r="R1409" i="24"/>
  <c r="P1409" i="24"/>
  <c r="A1409" i="24"/>
  <c r="R1408" i="24"/>
  <c r="P1408" i="24"/>
  <c r="A1408" i="24"/>
  <c r="R1407" i="24"/>
  <c r="P1407" i="24"/>
  <c r="A1407" i="24"/>
  <c r="R1406" i="24"/>
  <c r="P1406" i="24"/>
  <c r="A1406" i="24"/>
  <c r="R1405" i="24"/>
  <c r="P1405" i="24"/>
  <c r="A1405" i="24"/>
  <c r="R1404" i="24"/>
  <c r="P1404" i="24"/>
  <c r="A1404" i="24"/>
  <c r="R1403" i="24"/>
  <c r="P1403" i="24"/>
  <c r="A1403" i="24"/>
  <c r="R1402" i="24"/>
  <c r="P1402" i="24"/>
  <c r="A1402" i="24"/>
  <c r="R1401" i="24"/>
  <c r="P1401" i="24"/>
  <c r="A1401" i="24"/>
  <c r="R1400" i="24"/>
  <c r="P1400" i="24"/>
  <c r="A1400" i="24"/>
  <c r="R1399" i="24"/>
  <c r="P1399" i="24"/>
  <c r="A1399" i="24"/>
  <c r="R1398" i="24"/>
  <c r="P1398" i="24"/>
  <c r="A1398" i="24"/>
  <c r="R1397" i="24"/>
  <c r="P1397" i="24"/>
  <c r="A1397" i="24"/>
  <c r="R1396" i="24"/>
  <c r="P1396" i="24"/>
  <c r="A1396" i="24"/>
  <c r="R1395" i="24"/>
  <c r="P1395" i="24"/>
  <c r="A1395" i="24"/>
  <c r="R1394" i="24"/>
  <c r="P1394" i="24"/>
  <c r="A1394" i="24"/>
  <c r="R1393" i="24"/>
  <c r="P1393" i="24"/>
  <c r="A1393" i="24"/>
  <c r="R1392" i="24"/>
  <c r="P1392" i="24"/>
  <c r="A1392" i="24"/>
  <c r="R1391" i="24"/>
  <c r="P1391" i="24"/>
  <c r="A1391" i="24"/>
  <c r="R1390" i="24"/>
  <c r="P1390" i="24"/>
  <c r="A1390" i="24"/>
  <c r="R1389" i="24"/>
  <c r="P1389" i="24"/>
  <c r="A1389" i="24"/>
  <c r="R1388" i="24"/>
  <c r="P1388" i="24"/>
  <c r="A1388" i="24"/>
  <c r="R1387" i="24"/>
  <c r="P1387" i="24"/>
  <c r="A1387" i="24"/>
  <c r="R1386" i="24"/>
  <c r="P1386" i="24"/>
  <c r="A1386" i="24"/>
  <c r="R1385" i="24"/>
  <c r="P1385" i="24"/>
  <c r="A1385" i="24"/>
  <c r="R1384" i="24"/>
  <c r="P1384" i="24"/>
  <c r="A1384" i="24"/>
  <c r="R1383" i="24"/>
  <c r="P1383" i="24"/>
  <c r="A1383" i="24"/>
  <c r="R1382" i="24"/>
  <c r="P1382" i="24"/>
  <c r="A1382" i="24"/>
  <c r="R1381" i="24"/>
  <c r="P1381" i="24"/>
  <c r="A1381" i="24"/>
  <c r="R1380" i="24"/>
  <c r="P1380" i="24"/>
  <c r="A1380" i="24"/>
  <c r="R1379" i="24"/>
  <c r="P1379" i="24"/>
  <c r="A1379" i="24"/>
  <c r="R1378" i="24"/>
  <c r="P1378" i="24"/>
  <c r="A1378" i="24"/>
  <c r="R1377" i="24"/>
  <c r="P1377" i="24"/>
  <c r="A1377" i="24"/>
  <c r="R1376" i="24"/>
  <c r="P1376" i="24"/>
  <c r="A1376" i="24"/>
  <c r="R1375" i="24"/>
  <c r="P1375" i="24"/>
  <c r="A1375" i="24"/>
  <c r="R1374" i="24"/>
  <c r="P1374" i="24"/>
  <c r="A1374" i="24"/>
  <c r="R1373" i="24"/>
  <c r="P1373" i="24"/>
  <c r="A1373" i="24"/>
  <c r="R1372" i="24"/>
  <c r="P1372" i="24"/>
  <c r="A1372" i="24"/>
  <c r="R1371" i="24"/>
  <c r="P1371" i="24"/>
  <c r="A1371" i="24"/>
  <c r="R1370" i="24"/>
  <c r="P1370" i="24"/>
  <c r="A1370" i="24"/>
  <c r="R1369" i="24"/>
  <c r="P1369" i="24"/>
  <c r="A1369" i="24"/>
  <c r="R1368" i="24"/>
  <c r="P1368" i="24"/>
  <c r="A1368" i="24"/>
  <c r="R1367" i="24"/>
  <c r="P1367" i="24"/>
  <c r="A1367" i="24"/>
  <c r="R1366" i="24"/>
  <c r="P1366" i="24"/>
  <c r="A1366" i="24"/>
  <c r="R1365" i="24"/>
  <c r="P1365" i="24"/>
  <c r="A1365" i="24"/>
  <c r="R1364" i="24"/>
  <c r="P1364" i="24"/>
  <c r="A1364" i="24"/>
  <c r="R1363" i="24"/>
  <c r="P1363" i="24"/>
  <c r="A1363" i="24"/>
  <c r="R1362" i="24"/>
  <c r="P1362" i="24"/>
  <c r="A1362" i="24"/>
  <c r="R1361" i="24"/>
  <c r="P1361" i="24"/>
  <c r="A1361" i="24"/>
  <c r="R1360" i="24"/>
  <c r="P1360" i="24"/>
  <c r="A1360" i="24"/>
  <c r="R1359" i="24"/>
  <c r="P1359" i="24"/>
  <c r="A1359" i="24"/>
  <c r="R1358" i="24"/>
  <c r="P1358" i="24"/>
  <c r="A1358" i="24"/>
  <c r="R1357" i="24"/>
  <c r="P1357" i="24"/>
  <c r="A1357" i="24"/>
  <c r="R1356" i="24"/>
  <c r="P1356" i="24"/>
  <c r="A1356" i="24"/>
  <c r="R1355" i="24"/>
  <c r="P1355" i="24"/>
  <c r="A1355" i="24"/>
  <c r="R1354" i="24"/>
  <c r="P1354" i="24"/>
  <c r="A1354" i="24"/>
  <c r="R1353" i="24"/>
  <c r="P1353" i="24"/>
  <c r="A1353" i="24"/>
  <c r="R1352" i="24"/>
  <c r="P1352" i="24"/>
  <c r="A1352" i="24"/>
  <c r="R1351" i="24"/>
  <c r="P1351" i="24"/>
  <c r="A1351" i="24"/>
  <c r="R1350" i="24"/>
  <c r="P1350" i="24"/>
  <c r="A1350" i="24"/>
  <c r="R1349" i="24"/>
  <c r="P1349" i="24"/>
  <c r="A1349" i="24"/>
  <c r="R1348" i="24"/>
  <c r="P1348" i="24"/>
  <c r="A1348" i="24"/>
  <c r="R1347" i="24"/>
  <c r="P1347" i="24"/>
  <c r="A1347" i="24"/>
  <c r="R1346" i="24"/>
  <c r="P1346" i="24"/>
  <c r="A1346" i="24"/>
  <c r="R1345" i="24"/>
  <c r="P1345" i="24"/>
  <c r="A1345" i="24"/>
  <c r="R1344" i="24"/>
  <c r="P1344" i="24"/>
  <c r="A1344" i="24"/>
  <c r="R1343" i="24"/>
  <c r="P1343" i="24"/>
  <c r="A1343" i="24"/>
  <c r="R1342" i="24"/>
  <c r="P1342" i="24"/>
  <c r="A1342" i="24"/>
  <c r="R1341" i="24"/>
  <c r="P1341" i="24"/>
  <c r="A1341" i="24"/>
  <c r="R1340" i="24"/>
  <c r="P1340" i="24"/>
  <c r="A1340" i="24"/>
  <c r="R1339" i="24"/>
  <c r="P1339" i="24"/>
  <c r="A1339" i="24"/>
  <c r="R1338" i="24"/>
  <c r="P1338" i="24"/>
  <c r="A1338" i="24"/>
  <c r="R1337" i="24"/>
  <c r="P1337" i="24"/>
  <c r="A1337" i="24"/>
  <c r="R1336" i="24"/>
  <c r="P1336" i="24"/>
  <c r="A1336" i="24"/>
  <c r="R1335" i="24"/>
  <c r="P1335" i="24"/>
  <c r="A1335" i="24"/>
  <c r="R1334" i="24"/>
  <c r="P1334" i="24"/>
  <c r="A1334" i="24"/>
  <c r="R1333" i="24"/>
  <c r="P1333" i="24"/>
  <c r="A1333" i="24"/>
  <c r="R1332" i="24"/>
  <c r="P1332" i="24"/>
  <c r="A1332" i="24"/>
  <c r="R1331" i="24"/>
  <c r="P1331" i="24"/>
  <c r="A1331" i="24"/>
  <c r="R1330" i="24"/>
  <c r="P1330" i="24"/>
  <c r="A1330" i="24"/>
  <c r="R1329" i="24"/>
  <c r="P1329" i="24"/>
  <c r="A1329" i="24"/>
  <c r="R1328" i="24"/>
  <c r="P1328" i="24"/>
  <c r="A1328" i="24"/>
  <c r="R1327" i="24"/>
  <c r="P1327" i="24"/>
  <c r="A1327" i="24"/>
  <c r="R1326" i="24"/>
  <c r="P1326" i="24"/>
  <c r="A1326" i="24"/>
  <c r="R1325" i="24"/>
  <c r="P1325" i="24"/>
  <c r="A1325" i="24"/>
  <c r="R1324" i="24"/>
  <c r="P1324" i="24"/>
  <c r="A1324" i="24"/>
  <c r="R1323" i="24"/>
  <c r="P1323" i="24"/>
  <c r="A1323" i="24"/>
  <c r="R1322" i="24"/>
  <c r="P1322" i="24"/>
  <c r="A1322" i="24"/>
  <c r="R1321" i="24"/>
  <c r="P1321" i="24"/>
  <c r="A1321" i="24"/>
  <c r="R1320" i="24"/>
  <c r="P1320" i="24"/>
  <c r="A1320" i="24"/>
  <c r="R1319" i="24"/>
  <c r="P1319" i="24"/>
  <c r="A1319" i="24"/>
  <c r="R1318" i="24"/>
  <c r="P1318" i="24"/>
  <c r="A1318" i="24"/>
  <c r="R1317" i="24"/>
  <c r="P1317" i="24"/>
  <c r="A1317" i="24"/>
  <c r="R1316" i="24"/>
  <c r="P1316" i="24"/>
  <c r="A1316" i="24"/>
  <c r="R1315" i="24"/>
  <c r="P1315" i="24"/>
  <c r="A1315" i="24"/>
  <c r="R1314" i="24"/>
  <c r="P1314" i="24"/>
  <c r="A1314" i="24"/>
  <c r="R1313" i="24"/>
  <c r="P1313" i="24"/>
  <c r="A1313" i="24"/>
  <c r="R1312" i="24"/>
  <c r="P1312" i="24"/>
  <c r="A1312" i="24"/>
  <c r="R1311" i="24"/>
  <c r="P1311" i="24"/>
  <c r="A1311" i="24"/>
  <c r="R1310" i="24"/>
  <c r="P1310" i="24"/>
  <c r="A1310" i="24"/>
  <c r="R1309" i="24"/>
  <c r="P1309" i="24"/>
  <c r="A1309" i="24"/>
  <c r="R1308" i="24"/>
  <c r="P1308" i="24"/>
  <c r="A1308" i="24"/>
  <c r="R1307" i="24"/>
  <c r="P1307" i="24"/>
  <c r="A1307" i="24"/>
  <c r="R1306" i="24"/>
  <c r="P1306" i="24"/>
  <c r="A1306" i="24"/>
  <c r="R1305" i="24"/>
  <c r="P1305" i="24"/>
  <c r="A1305" i="24"/>
  <c r="R1304" i="24"/>
  <c r="P1304" i="24"/>
  <c r="A1304" i="24"/>
  <c r="R1303" i="24"/>
  <c r="P1303" i="24"/>
  <c r="A1303" i="24"/>
  <c r="R1302" i="24"/>
  <c r="P1302" i="24"/>
  <c r="A1302" i="24"/>
  <c r="R1301" i="24"/>
  <c r="P1301" i="24"/>
  <c r="A1301" i="24"/>
  <c r="R1300" i="24"/>
  <c r="P1300" i="24"/>
  <c r="A1300" i="24"/>
  <c r="R1299" i="24"/>
  <c r="P1299" i="24"/>
  <c r="A1299" i="24"/>
  <c r="R1298" i="24"/>
  <c r="P1298" i="24"/>
  <c r="A1298" i="24"/>
  <c r="R1297" i="24"/>
  <c r="P1297" i="24"/>
  <c r="A1297" i="24"/>
  <c r="R1296" i="24"/>
  <c r="P1296" i="24"/>
  <c r="A1296" i="24"/>
  <c r="R1295" i="24"/>
  <c r="P1295" i="24"/>
  <c r="A1295" i="24"/>
  <c r="R1294" i="24"/>
  <c r="P1294" i="24"/>
  <c r="A1294" i="24"/>
  <c r="R1293" i="24"/>
  <c r="P1293" i="24"/>
  <c r="A1293" i="24"/>
  <c r="R1292" i="24"/>
  <c r="P1292" i="24"/>
  <c r="A1292" i="24"/>
  <c r="R1291" i="24"/>
  <c r="P1291" i="24"/>
  <c r="A1291" i="24"/>
  <c r="R1290" i="24"/>
  <c r="P1290" i="24"/>
  <c r="A1290" i="24"/>
  <c r="R1289" i="24"/>
  <c r="P1289" i="24"/>
  <c r="A1289" i="24"/>
  <c r="R1288" i="24"/>
  <c r="P1288" i="24"/>
  <c r="A1288" i="24"/>
  <c r="R1287" i="24"/>
  <c r="P1287" i="24"/>
  <c r="A1287" i="24"/>
  <c r="R1286" i="24"/>
  <c r="P1286" i="24"/>
  <c r="A1286" i="24"/>
  <c r="R1285" i="24"/>
  <c r="P1285" i="24"/>
  <c r="A1285" i="24"/>
  <c r="R1284" i="24"/>
  <c r="P1284" i="24"/>
  <c r="A1284" i="24"/>
  <c r="R1283" i="24"/>
  <c r="P1283" i="24"/>
  <c r="A1283" i="24"/>
  <c r="R1282" i="24"/>
  <c r="P1282" i="24"/>
  <c r="A1282" i="24"/>
  <c r="R1281" i="24"/>
  <c r="P1281" i="24"/>
  <c r="A1281" i="24"/>
  <c r="R1280" i="24"/>
  <c r="P1280" i="24"/>
  <c r="A1280" i="24"/>
  <c r="R1279" i="24"/>
  <c r="P1279" i="24"/>
  <c r="A1279" i="24"/>
  <c r="R1278" i="24"/>
  <c r="P1278" i="24"/>
  <c r="A1278" i="24"/>
  <c r="R1277" i="24"/>
  <c r="P1277" i="24"/>
  <c r="A1277" i="24"/>
  <c r="R1276" i="24"/>
  <c r="P1276" i="24"/>
  <c r="A1276" i="24"/>
  <c r="R1275" i="24"/>
  <c r="P1275" i="24"/>
  <c r="A1275" i="24"/>
  <c r="R1274" i="24"/>
  <c r="P1274" i="24"/>
  <c r="A1274" i="24"/>
  <c r="R1273" i="24"/>
  <c r="P1273" i="24"/>
  <c r="A1273" i="24"/>
  <c r="R1272" i="24"/>
  <c r="P1272" i="24"/>
  <c r="A1272" i="24"/>
  <c r="R1271" i="24"/>
  <c r="P1271" i="24"/>
  <c r="A1271" i="24"/>
  <c r="R1270" i="24"/>
  <c r="P1270" i="24"/>
  <c r="A1270" i="24"/>
  <c r="R1269" i="24"/>
  <c r="P1269" i="24"/>
  <c r="A1269" i="24"/>
  <c r="R1268" i="24"/>
  <c r="P1268" i="24"/>
  <c r="A1268" i="24"/>
  <c r="R1267" i="24"/>
  <c r="P1267" i="24"/>
  <c r="A1267" i="24"/>
  <c r="R1266" i="24"/>
  <c r="P1266" i="24"/>
  <c r="A1266" i="24"/>
  <c r="R1265" i="24"/>
  <c r="P1265" i="24"/>
  <c r="A1265" i="24"/>
  <c r="R1264" i="24"/>
  <c r="P1264" i="24"/>
  <c r="A1264" i="24"/>
  <c r="R1263" i="24"/>
  <c r="P1263" i="24"/>
  <c r="A1263" i="24"/>
  <c r="R1262" i="24"/>
  <c r="P1262" i="24"/>
  <c r="A1262" i="24"/>
  <c r="R1261" i="24"/>
  <c r="P1261" i="24"/>
  <c r="A1261" i="24"/>
  <c r="R1260" i="24"/>
  <c r="P1260" i="24"/>
  <c r="A1260" i="24"/>
  <c r="R1259" i="24"/>
  <c r="P1259" i="24"/>
  <c r="A1259" i="24"/>
  <c r="R1258" i="24"/>
  <c r="P1258" i="24"/>
  <c r="A1258" i="24"/>
  <c r="R1257" i="24"/>
  <c r="P1257" i="24"/>
  <c r="A1257" i="24"/>
  <c r="R1256" i="24"/>
  <c r="P1256" i="24"/>
  <c r="A1256" i="24"/>
  <c r="R1255" i="24"/>
  <c r="P1255" i="24"/>
  <c r="A1255" i="24"/>
  <c r="R1254" i="24"/>
  <c r="P1254" i="24"/>
  <c r="A1254" i="24"/>
  <c r="R1253" i="24"/>
  <c r="P1253" i="24"/>
  <c r="A1253" i="24"/>
  <c r="R1252" i="24"/>
  <c r="P1252" i="24"/>
  <c r="A1252" i="24"/>
  <c r="R1251" i="24"/>
  <c r="P1251" i="24"/>
  <c r="A1251" i="24"/>
  <c r="R1250" i="24"/>
  <c r="P1250" i="24"/>
  <c r="A1250" i="24"/>
  <c r="R1249" i="24"/>
  <c r="P1249" i="24"/>
  <c r="A1249" i="24"/>
  <c r="R1248" i="24"/>
  <c r="P1248" i="24"/>
  <c r="A1248" i="24"/>
  <c r="R1247" i="24"/>
  <c r="P1247" i="24"/>
  <c r="A1247" i="24"/>
  <c r="R1246" i="24"/>
  <c r="P1246" i="24"/>
  <c r="A1246" i="24"/>
  <c r="R1245" i="24"/>
  <c r="P1245" i="24"/>
  <c r="A1245" i="24"/>
  <c r="R1244" i="24"/>
  <c r="P1244" i="24"/>
  <c r="A1244" i="24"/>
  <c r="R1243" i="24"/>
  <c r="P1243" i="24"/>
  <c r="A1243" i="24"/>
  <c r="R1242" i="24"/>
  <c r="P1242" i="24"/>
  <c r="A1242" i="24"/>
  <c r="R1241" i="24"/>
  <c r="P1241" i="24"/>
  <c r="A1241" i="24"/>
  <c r="R1240" i="24"/>
  <c r="P1240" i="24"/>
  <c r="A1240" i="24"/>
  <c r="R1239" i="24"/>
  <c r="P1239" i="24"/>
  <c r="A1239" i="24"/>
  <c r="R1238" i="24"/>
  <c r="P1238" i="24"/>
  <c r="A1238" i="24"/>
  <c r="R1237" i="24"/>
  <c r="P1237" i="24"/>
  <c r="A1237" i="24"/>
  <c r="R1236" i="24"/>
  <c r="P1236" i="24"/>
  <c r="A1236" i="24"/>
  <c r="R1235" i="24"/>
  <c r="P1235" i="24"/>
  <c r="A1235" i="24"/>
  <c r="R1234" i="24"/>
  <c r="P1234" i="24"/>
  <c r="A1234" i="24"/>
  <c r="R1233" i="24"/>
  <c r="P1233" i="24"/>
  <c r="A1233" i="24"/>
  <c r="R1232" i="24"/>
  <c r="P1232" i="24"/>
  <c r="A1232" i="24"/>
  <c r="R1231" i="24"/>
  <c r="P1231" i="24"/>
  <c r="A1231" i="24"/>
  <c r="R1230" i="24"/>
  <c r="P1230" i="24"/>
  <c r="A1230" i="24"/>
  <c r="R1229" i="24"/>
  <c r="P1229" i="24"/>
  <c r="A1229" i="24"/>
  <c r="R1228" i="24"/>
  <c r="P1228" i="24"/>
  <c r="A1228" i="24"/>
  <c r="R1227" i="24"/>
  <c r="P1227" i="24"/>
  <c r="A1227" i="24"/>
  <c r="R1226" i="24"/>
  <c r="P1226" i="24"/>
  <c r="A1226" i="24"/>
  <c r="R1225" i="24"/>
  <c r="P1225" i="24"/>
  <c r="A1225" i="24"/>
  <c r="R1224" i="24"/>
  <c r="P1224" i="24"/>
  <c r="A1224" i="24"/>
  <c r="R1223" i="24"/>
  <c r="P1223" i="24"/>
  <c r="A1223" i="24"/>
  <c r="R1222" i="24"/>
  <c r="P1222" i="24"/>
  <c r="A1222" i="24"/>
  <c r="R1221" i="24"/>
  <c r="P1221" i="24"/>
  <c r="A1221" i="24"/>
  <c r="R1220" i="24"/>
  <c r="P1220" i="24"/>
  <c r="A1220" i="24"/>
  <c r="R1219" i="24"/>
  <c r="P1219" i="24"/>
  <c r="A1219" i="24"/>
  <c r="R1218" i="24"/>
  <c r="P1218" i="24"/>
  <c r="A1218" i="24"/>
  <c r="R1217" i="24"/>
  <c r="P1217" i="24"/>
  <c r="A1217" i="24"/>
  <c r="R1216" i="24"/>
  <c r="P1216" i="24"/>
  <c r="A1216" i="24"/>
  <c r="R1215" i="24"/>
  <c r="P1215" i="24"/>
  <c r="A1215" i="24"/>
  <c r="R1214" i="24"/>
  <c r="P1214" i="24"/>
  <c r="A1214" i="24"/>
  <c r="R1213" i="24"/>
  <c r="P1213" i="24"/>
  <c r="A1213" i="24"/>
  <c r="R1212" i="24"/>
  <c r="P1212" i="24"/>
  <c r="A1212" i="24"/>
  <c r="R1211" i="24"/>
  <c r="P1211" i="24"/>
  <c r="A1211" i="24"/>
  <c r="R1210" i="24"/>
  <c r="P1210" i="24"/>
  <c r="A1210" i="24"/>
  <c r="R1209" i="24"/>
  <c r="P1209" i="24"/>
  <c r="A1209" i="24"/>
  <c r="R1208" i="24"/>
  <c r="P1208" i="24"/>
  <c r="A1208" i="24"/>
  <c r="R1207" i="24"/>
  <c r="P1207" i="24"/>
  <c r="A1207" i="24"/>
  <c r="R1206" i="24"/>
  <c r="P1206" i="24"/>
  <c r="A1206" i="24"/>
  <c r="R1205" i="24"/>
  <c r="P1205" i="24"/>
  <c r="A1205" i="24"/>
  <c r="R1204" i="24"/>
  <c r="P1204" i="24"/>
  <c r="A1204" i="24"/>
  <c r="R1203" i="24"/>
  <c r="P1203" i="24"/>
  <c r="A1203" i="24"/>
  <c r="R1202" i="24"/>
  <c r="P1202" i="24"/>
  <c r="A1202" i="24"/>
  <c r="R1201" i="24"/>
  <c r="P1201" i="24"/>
  <c r="A1201" i="24"/>
  <c r="R1200" i="24"/>
  <c r="P1200" i="24"/>
  <c r="A1200" i="24"/>
  <c r="R1199" i="24"/>
  <c r="P1199" i="24"/>
  <c r="A1199" i="24"/>
  <c r="R1198" i="24"/>
  <c r="P1198" i="24"/>
  <c r="A1198" i="24"/>
  <c r="R1197" i="24"/>
  <c r="P1197" i="24"/>
  <c r="A1197" i="24"/>
  <c r="R1196" i="24"/>
  <c r="P1196" i="24"/>
  <c r="A1196" i="24"/>
  <c r="R1195" i="24"/>
  <c r="P1195" i="24"/>
  <c r="A1195" i="24"/>
  <c r="R1194" i="24"/>
  <c r="P1194" i="24"/>
  <c r="A1194" i="24"/>
  <c r="R1193" i="24"/>
  <c r="P1193" i="24"/>
  <c r="A1193" i="24"/>
  <c r="R1192" i="24"/>
  <c r="P1192" i="24"/>
  <c r="A1192" i="24"/>
  <c r="R1191" i="24"/>
  <c r="P1191" i="24"/>
  <c r="A1191" i="24"/>
  <c r="R1190" i="24"/>
  <c r="P1190" i="24"/>
  <c r="A1190" i="24"/>
  <c r="R1189" i="24"/>
  <c r="P1189" i="24"/>
  <c r="A1189" i="24"/>
  <c r="R1188" i="24"/>
  <c r="P1188" i="24"/>
  <c r="A1188" i="24"/>
  <c r="R1187" i="24"/>
  <c r="P1187" i="24"/>
  <c r="A1187" i="24"/>
  <c r="R1186" i="24"/>
  <c r="P1186" i="24"/>
  <c r="A1186" i="24"/>
  <c r="R1185" i="24"/>
  <c r="P1185" i="24"/>
  <c r="A1185" i="24"/>
  <c r="R1184" i="24"/>
  <c r="P1184" i="24"/>
  <c r="A1184" i="24"/>
  <c r="R1183" i="24"/>
  <c r="P1183" i="24"/>
  <c r="A1183" i="24"/>
  <c r="R1182" i="24"/>
  <c r="P1182" i="24"/>
  <c r="A1182" i="24"/>
  <c r="R1181" i="24"/>
  <c r="P1181" i="24"/>
  <c r="A1181" i="24"/>
  <c r="R1180" i="24"/>
  <c r="P1180" i="24"/>
  <c r="A1180" i="24"/>
  <c r="R1179" i="24"/>
  <c r="P1179" i="24"/>
  <c r="A1179" i="24"/>
  <c r="R1178" i="24"/>
  <c r="P1178" i="24"/>
  <c r="A1178" i="24"/>
  <c r="R1177" i="24"/>
  <c r="P1177" i="24"/>
  <c r="A1177" i="24"/>
  <c r="R1176" i="24"/>
  <c r="P1176" i="24"/>
  <c r="A1176" i="24"/>
  <c r="R1175" i="24"/>
  <c r="P1175" i="24"/>
  <c r="A1175" i="24"/>
  <c r="R1174" i="24"/>
  <c r="P1174" i="24"/>
  <c r="A1174" i="24"/>
  <c r="R1173" i="24"/>
  <c r="P1173" i="24"/>
  <c r="A1173" i="24"/>
  <c r="R1172" i="24"/>
  <c r="P1172" i="24"/>
  <c r="A1172" i="24"/>
  <c r="R1171" i="24"/>
  <c r="P1171" i="24"/>
  <c r="A1171" i="24"/>
  <c r="R1170" i="24"/>
  <c r="P1170" i="24"/>
  <c r="A1170" i="24"/>
  <c r="R1169" i="24"/>
  <c r="P1169" i="24"/>
  <c r="A1169" i="24"/>
  <c r="R1168" i="24"/>
  <c r="P1168" i="24"/>
  <c r="A1168" i="24"/>
  <c r="R1167" i="24"/>
  <c r="P1167" i="24"/>
  <c r="A1167" i="24"/>
  <c r="R1166" i="24"/>
  <c r="P1166" i="24"/>
  <c r="A1166" i="24"/>
  <c r="R1165" i="24"/>
  <c r="P1165" i="24"/>
  <c r="A1165" i="24"/>
  <c r="R1164" i="24"/>
  <c r="P1164" i="24"/>
  <c r="A1164" i="24"/>
  <c r="R1163" i="24"/>
  <c r="P1163" i="24"/>
  <c r="A1163" i="24"/>
  <c r="R1162" i="24"/>
  <c r="P1162" i="24"/>
  <c r="A1162" i="24"/>
  <c r="R1161" i="24"/>
  <c r="P1161" i="24"/>
  <c r="A1161" i="24"/>
  <c r="R1160" i="24"/>
  <c r="P1160" i="24"/>
  <c r="A1160" i="24"/>
  <c r="R1159" i="24"/>
  <c r="P1159" i="24"/>
  <c r="A1159" i="24"/>
  <c r="R1158" i="24"/>
  <c r="P1158" i="24"/>
  <c r="A1158" i="24"/>
  <c r="R1157" i="24"/>
  <c r="P1157" i="24"/>
  <c r="A1157" i="24"/>
  <c r="R1156" i="24"/>
  <c r="P1156" i="24"/>
  <c r="A1156" i="24"/>
  <c r="R1155" i="24"/>
  <c r="P1155" i="24"/>
  <c r="A1155" i="24"/>
  <c r="R1154" i="24"/>
  <c r="P1154" i="24"/>
  <c r="A1154" i="24"/>
  <c r="R1153" i="24"/>
  <c r="P1153" i="24"/>
  <c r="A1153" i="24"/>
  <c r="R1152" i="24"/>
  <c r="P1152" i="24"/>
  <c r="A1152" i="24"/>
  <c r="R1151" i="24"/>
  <c r="P1151" i="24"/>
  <c r="A1151" i="24"/>
  <c r="R1150" i="24"/>
  <c r="P1150" i="24"/>
  <c r="A1150" i="24"/>
  <c r="R1149" i="24"/>
  <c r="P1149" i="24"/>
  <c r="A1149" i="24"/>
  <c r="R1148" i="24"/>
  <c r="P1148" i="24"/>
  <c r="A1148" i="24"/>
  <c r="R1147" i="24"/>
  <c r="P1147" i="24"/>
  <c r="A1147" i="24"/>
  <c r="R1146" i="24"/>
  <c r="P1146" i="24"/>
  <c r="A1146" i="24"/>
  <c r="R1145" i="24"/>
  <c r="P1145" i="24"/>
  <c r="A1145" i="24"/>
  <c r="R1144" i="24"/>
  <c r="P1144" i="24"/>
  <c r="A1144" i="24"/>
  <c r="R1143" i="24"/>
  <c r="P1143" i="24"/>
  <c r="A1143" i="24"/>
  <c r="R1142" i="24"/>
  <c r="P1142" i="24"/>
  <c r="A1142" i="24"/>
  <c r="R1141" i="24"/>
  <c r="P1141" i="24"/>
  <c r="A1141" i="24"/>
  <c r="R1140" i="24"/>
  <c r="P1140" i="24"/>
  <c r="A1140" i="24"/>
  <c r="R1139" i="24"/>
  <c r="P1139" i="24"/>
  <c r="A1139" i="24"/>
  <c r="R1138" i="24"/>
  <c r="P1138" i="24"/>
  <c r="A1138" i="24"/>
  <c r="R1137" i="24"/>
  <c r="P1137" i="24"/>
  <c r="A1137" i="24"/>
  <c r="R1136" i="24"/>
  <c r="P1136" i="24"/>
  <c r="A1136" i="24"/>
  <c r="R1135" i="24"/>
  <c r="P1135" i="24"/>
  <c r="A1135" i="24"/>
  <c r="R1134" i="24"/>
  <c r="P1134" i="24"/>
  <c r="A1134" i="24"/>
  <c r="R1133" i="24"/>
  <c r="P1133" i="24"/>
  <c r="A1133" i="24"/>
  <c r="R1132" i="24"/>
  <c r="P1132" i="24"/>
  <c r="A1132" i="24"/>
  <c r="R1131" i="24"/>
  <c r="P1131" i="24"/>
  <c r="A1131" i="24"/>
  <c r="R1130" i="24"/>
  <c r="P1130" i="24"/>
  <c r="A1130" i="24"/>
  <c r="R1129" i="24"/>
  <c r="P1129" i="24"/>
  <c r="A1129" i="24"/>
  <c r="R1128" i="24"/>
  <c r="P1128" i="24"/>
  <c r="A1128" i="24"/>
  <c r="R1127" i="24"/>
  <c r="P1127" i="24"/>
  <c r="A1127" i="24"/>
  <c r="R1126" i="24"/>
  <c r="P1126" i="24"/>
  <c r="A1126" i="24"/>
  <c r="R1125" i="24"/>
  <c r="P1125" i="24"/>
  <c r="A1125" i="24"/>
  <c r="R1124" i="24"/>
  <c r="P1124" i="24"/>
  <c r="A1124" i="24"/>
  <c r="R1123" i="24"/>
  <c r="P1123" i="24"/>
  <c r="A1123" i="24"/>
  <c r="R1122" i="24"/>
  <c r="P1122" i="24"/>
  <c r="A1122" i="24"/>
  <c r="R1121" i="24"/>
  <c r="P1121" i="24"/>
  <c r="A1121" i="24"/>
  <c r="R1120" i="24"/>
  <c r="P1120" i="24"/>
  <c r="A1120" i="24"/>
  <c r="R1119" i="24"/>
  <c r="P1119" i="24"/>
  <c r="A1119" i="24"/>
  <c r="R1118" i="24"/>
  <c r="P1118" i="24"/>
  <c r="A1118" i="24"/>
  <c r="R1117" i="24"/>
  <c r="P1117" i="24"/>
  <c r="A1117" i="24"/>
  <c r="R1116" i="24"/>
  <c r="P1116" i="24"/>
  <c r="A1116" i="24"/>
  <c r="R1115" i="24"/>
  <c r="P1115" i="24"/>
  <c r="A1115" i="24"/>
  <c r="R1114" i="24"/>
  <c r="P1114" i="24"/>
  <c r="A1114" i="24"/>
  <c r="R1113" i="24"/>
  <c r="P1113" i="24"/>
  <c r="A1113" i="24"/>
  <c r="R1112" i="24"/>
  <c r="P1112" i="24"/>
  <c r="A1112" i="24"/>
  <c r="R1111" i="24"/>
  <c r="P1111" i="24"/>
  <c r="A1111" i="24"/>
  <c r="R1110" i="24"/>
  <c r="P1110" i="24"/>
  <c r="A1110" i="24"/>
  <c r="R1109" i="24"/>
  <c r="P1109" i="24"/>
  <c r="A1109" i="24"/>
  <c r="R1108" i="24"/>
  <c r="P1108" i="24"/>
  <c r="A1108" i="24"/>
  <c r="R1107" i="24"/>
  <c r="P1107" i="24"/>
  <c r="A1107" i="24"/>
  <c r="R1106" i="24"/>
  <c r="P1106" i="24"/>
  <c r="A1106" i="24"/>
  <c r="R1105" i="24"/>
  <c r="P1105" i="24"/>
  <c r="A1105" i="24"/>
  <c r="R1104" i="24"/>
  <c r="P1104" i="24"/>
  <c r="A1104" i="24"/>
  <c r="R1103" i="24"/>
  <c r="P1103" i="24"/>
  <c r="A1103" i="24"/>
  <c r="R1102" i="24"/>
  <c r="P1102" i="24"/>
  <c r="A1102" i="24"/>
  <c r="R1101" i="24"/>
  <c r="P1101" i="24"/>
  <c r="A1101" i="24"/>
  <c r="R1100" i="24"/>
  <c r="P1100" i="24"/>
  <c r="A1100" i="24"/>
  <c r="R1099" i="24"/>
  <c r="P1099" i="24"/>
  <c r="A1099" i="24"/>
  <c r="R1098" i="24"/>
  <c r="P1098" i="24"/>
  <c r="A1098" i="24"/>
  <c r="R1097" i="24"/>
  <c r="P1097" i="24"/>
  <c r="A1097" i="24"/>
  <c r="R1096" i="24"/>
  <c r="P1096" i="24"/>
  <c r="A1096" i="24"/>
  <c r="R1095" i="24"/>
  <c r="P1095" i="24"/>
  <c r="A1095" i="24"/>
  <c r="R1094" i="24"/>
  <c r="P1094" i="24"/>
  <c r="A1094" i="24"/>
  <c r="R1093" i="24"/>
  <c r="P1093" i="24"/>
  <c r="A1093" i="24"/>
  <c r="R1092" i="24"/>
  <c r="P1092" i="24"/>
  <c r="A1092" i="24"/>
  <c r="R1091" i="24"/>
  <c r="P1091" i="24"/>
  <c r="A1091" i="24"/>
  <c r="R1090" i="24"/>
  <c r="P1090" i="24"/>
  <c r="A1090" i="24"/>
  <c r="R1089" i="24"/>
  <c r="P1089" i="24"/>
  <c r="A1089" i="24"/>
  <c r="R1088" i="24"/>
  <c r="P1088" i="24"/>
  <c r="A1088" i="24"/>
  <c r="R1087" i="24"/>
  <c r="P1087" i="24"/>
  <c r="A1087" i="24"/>
  <c r="R1086" i="24"/>
  <c r="P1086" i="24"/>
  <c r="A1086" i="24"/>
  <c r="R1085" i="24"/>
  <c r="P1085" i="24"/>
  <c r="A1085" i="24"/>
  <c r="R1084" i="24"/>
  <c r="P1084" i="24"/>
  <c r="A1084" i="24"/>
  <c r="R1083" i="24"/>
  <c r="P1083" i="24"/>
  <c r="A1083" i="24"/>
  <c r="R1082" i="24"/>
  <c r="P1082" i="24"/>
  <c r="A1082" i="24"/>
  <c r="R1081" i="24"/>
  <c r="P1081" i="24"/>
  <c r="A1081" i="24"/>
  <c r="R1080" i="24"/>
  <c r="P1080" i="24"/>
  <c r="A1080" i="24"/>
  <c r="R1079" i="24"/>
  <c r="P1079" i="24"/>
  <c r="A1079" i="24"/>
  <c r="R1078" i="24"/>
  <c r="P1078" i="24"/>
  <c r="A1078" i="24"/>
  <c r="R1077" i="24"/>
  <c r="P1077" i="24"/>
  <c r="A1077" i="24"/>
  <c r="R1076" i="24"/>
  <c r="P1076" i="24"/>
  <c r="A1076" i="24"/>
  <c r="R1075" i="24"/>
  <c r="P1075" i="24"/>
  <c r="A1075" i="24"/>
  <c r="R1074" i="24"/>
  <c r="P1074" i="24"/>
  <c r="A1074" i="24"/>
  <c r="R1073" i="24"/>
  <c r="P1073" i="24"/>
  <c r="A1073" i="24"/>
  <c r="R1072" i="24"/>
  <c r="P1072" i="24"/>
  <c r="A1072" i="24"/>
  <c r="R1071" i="24"/>
  <c r="P1071" i="24"/>
  <c r="A1071" i="24"/>
  <c r="R1070" i="24"/>
  <c r="P1070" i="24"/>
  <c r="A1070" i="24"/>
  <c r="R1069" i="24"/>
  <c r="P1069" i="24"/>
  <c r="A1069" i="24"/>
  <c r="R1068" i="24"/>
  <c r="P1068" i="24"/>
  <c r="A1068" i="24"/>
  <c r="R1067" i="24"/>
  <c r="P1067" i="24"/>
  <c r="A1067" i="24"/>
  <c r="R1066" i="24"/>
  <c r="P1066" i="24"/>
  <c r="A1066" i="24"/>
  <c r="R1065" i="24"/>
  <c r="P1065" i="24"/>
  <c r="A1065" i="24"/>
  <c r="R1064" i="24"/>
  <c r="P1064" i="24"/>
  <c r="A1064" i="24"/>
  <c r="R1063" i="24"/>
  <c r="P1063" i="24"/>
  <c r="A1063" i="24"/>
  <c r="R1062" i="24"/>
  <c r="P1062" i="24"/>
  <c r="A1062" i="24"/>
  <c r="R1061" i="24"/>
  <c r="P1061" i="24"/>
  <c r="A1061" i="24"/>
  <c r="R1060" i="24"/>
  <c r="P1060" i="24"/>
  <c r="A1060" i="24"/>
  <c r="R1059" i="24"/>
  <c r="P1059" i="24"/>
  <c r="A1059" i="24"/>
  <c r="R1058" i="24"/>
  <c r="P1058" i="24"/>
  <c r="A1058" i="24"/>
  <c r="R1057" i="24"/>
  <c r="P1057" i="24"/>
  <c r="A1057" i="24"/>
  <c r="R1056" i="24"/>
  <c r="P1056" i="24"/>
  <c r="A1056" i="24"/>
  <c r="R1055" i="24"/>
  <c r="P1055" i="24"/>
  <c r="A1055" i="24"/>
  <c r="R1054" i="24"/>
  <c r="P1054" i="24"/>
  <c r="A1054" i="24"/>
  <c r="R1053" i="24"/>
  <c r="P1053" i="24"/>
  <c r="A1053" i="24"/>
  <c r="R1052" i="24"/>
  <c r="P1052" i="24"/>
  <c r="A1052" i="24"/>
  <c r="R1051" i="24"/>
  <c r="P1051" i="24"/>
  <c r="A1051" i="24"/>
  <c r="R1050" i="24"/>
  <c r="P1050" i="24"/>
  <c r="A1050" i="24"/>
  <c r="R1049" i="24"/>
  <c r="P1049" i="24"/>
  <c r="A1049" i="24"/>
  <c r="R1048" i="24"/>
  <c r="P1048" i="24"/>
  <c r="A1048" i="24"/>
  <c r="R1047" i="24"/>
  <c r="P1047" i="24"/>
  <c r="A1047" i="24"/>
  <c r="R1046" i="24"/>
  <c r="P1046" i="24"/>
  <c r="A1046" i="24"/>
  <c r="R1045" i="24"/>
  <c r="P1045" i="24"/>
  <c r="A1045" i="24"/>
  <c r="R1044" i="24"/>
  <c r="P1044" i="24"/>
  <c r="A1044" i="24"/>
  <c r="R1043" i="24"/>
  <c r="P1043" i="24"/>
  <c r="A1043" i="24"/>
  <c r="R1042" i="24"/>
  <c r="P1042" i="24"/>
  <c r="A1042" i="24"/>
  <c r="R1041" i="24"/>
  <c r="P1041" i="24"/>
  <c r="A1041" i="24"/>
  <c r="R1040" i="24"/>
  <c r="P1040" i="24"/>
  <c r="A1040" i="24"/>
  <c r="R1039" i="24"/>
  <c r="P1039" i="24"/>
  <c r="A1039" i="24"/>
  <c r="R1038" i="24"/>
  <c r="P1038" i="24"/>
  <c r="A1038" i="24"/>
  <c r="R1037" i="24"/>
  <c r="P1037" i="24"/>
  <c r="A1037" i="24"/>
  <c r="R1036" i="24"/>
  <c r="P1036" i="24"/>
  <c r="A1036" i="24"/>
  <c r="R1035" i="24"/>
  <c r="P1035" i="24"/>
  <c r="A1035" i="24"/>
  <c r="R1034" i="24"/>
  <c r="P1034" i="24"/>
  <c r="A1034" i="24"/>
  <c r="R1033" i="24"/>
  <c r="P1033" i="24"/>
  <c r="A1033" i="24"/>
  <c r="R1032" i="24"/>
  <c r="P1032" i="24"/>
  <c r="A1032" i="24"/>
  <c r="R1031" i="24"/>
  <c r="P1031" i="24"/>
  <c r="A1031" i="24"/>
  <c r="R1030" i="24"/>
  <c r="P1030" i="24"/>
  <c r="A1030" i="24"/>
  <c r="R1029" i="24"/>
  <c r="P1029" i="24"/>
  <c r="A1029" i="24"/>
  <c r="R1028" i="24"/>
  <c r="P1028" i="24"/>
  <c r="A1028" i="24"/>
  <c r="R1027" i="24"/>
  <c r="P1027" i="24"/>
  <c r="A1027" i="24"/>
  <c r="R1026" i="24"/>
  <c r="P1026" i="24"/>
  <c r="A1026" i="24"/>
  <c r="R1025" i="24"/>
  <c r="P1025" i="24"/>
  <c r="A1025" i="24"/>
  <c r="R1024" i="24"/>
  <c r="P1024" i="24"/>
  <c r="A1024" i="24"/>
  <c r="R1023" i="24"/>
  <c r="P1023" i="24"/>
  <c r="A1023" i="24"/>
  <c r="R1022" i="24"/>
  <c r="P1022" i="24"/>
  <c r="A1022" i="24"/>
  <c r="R1021" i="24"/>
  <c r="P1021" i="24"/>
  <c r="A1021" i="24"/>
  <c r="R1020" i="24"/>
  <c r="P1020" i="24"/>
  <c r="A1020" i="24"/>
  <c r="R1019" i="24"/>
  <c r="P1019" i="24"/>
  <c r="A1019" i="24"/>
  <c r="R1018" i="24"/>
  <c r="P1018" i="24"/>
  <c r="A1018" i="24"/>
  <c r="R1017" i="24"/>
  <c r="P1017" i="24"/>
  <c r="A1017" i="24"/>
  <c r="R1016" i="24"/>
  <c r="P1016" i="24"/>
  <c r="A1016" i="24"/>
  <c r="R1015" i="24"/>
  <c r="P1015" i="24"/>
  <c r="A1015" i="24"/>
  <c r="R1014" i="24"/>
  <c r="P1014" i="24"/>
  <c r="A1014" i="24"/>
  <c r="R1013" i="24"/>
  <c r="P1013" i="24"/>
  <c r="A1013" i="24"/>
  <c r="R1012" i="24"/>
  <c r="P1012" i="24"/>
  <c r="A1012" i="24"/>
  <c r="R1011" i="24"/>
  <c r="P1011" i="24"/>
  <c r="A1011" i="24"/>
  <c r="R1010" i="24"/>
  <c r="P1010" i="24"/>
  <c r="A1010" i="24"/>
  <c r="R1009" i="24"/>
  <c r="P1009" i="24"/>
  <c r="A1009" i="24"/>
  <c r="R1008" i="24"/>
  <c r="P1008" i="24"/>
  <c r="A1008" i="24"/>
  <c r="R1007" i="24"/>
  <c r="P1007" i="24"/>
  <c r="A1007" i="24"/>
  <c r="R1006" i="24"/>
  <c r="P1006" i="24"/>
  <c r="A1006" i="24"/>
  <c r="R1005" i="24"/>
  <c r="P1005" i="24"/>
  <c r="A1005" i="24"/>
  <c r="R1004" i="24"/>
  <c r="P1004" i="24"/>
  <c r="A1004" i="24"/>
  <c r="R1003" i="24"/>
  <c r="P1003" i="24"/>
  <c r="A1003" i="24"/>
  <c r="R1002" i="24"/>
  <c r="P1002" i="24"/>
  <c r="A1002" i="24"/>
  <c r="R1001" i="24"/>
  <c r="P1001" i="24"/>
  <c r="A1001" i="24"/>
  <c r="R1000" i="24"/>
  <c r="P1000" i="24"/>
  <c r="A1000" i="24"/>
  <c r="R999" i="24"/>
  <c r="P999" i="24"/>
  <c r="A999" i="24"/>
  <c r="R998" i="24"/>
  <c r="P998" i="24"/>
  <c r="A998" i="24"/>
  <c r="R997" i="24"/>
  <c r="P997" i="24"/>
  <c r="A997" i="24"/>
  <c r="R996" i="24"/>
  <c r="P996" i="24"/>
  <c r="A996" i="24"/>
  <c r="R995" i="24"/>
  <c r="P995" i="24"/>
  <c r="A995" i="24"/>
  <c r="R994" i="24"/>
  <c r="P994" i="24"/>
  <c r="A994" i="24"/>
  <c r="R993" i="24"/>
  <c r="P993" i="24"/>
  <c r="A993" i="24"/>
  <c r="R992" i="24"/>
  <c r="P992" i="24"/>
  <c r="A992" i="24"/>
  <c r="R991" i="24"/>
  <c r="P991" i="24"/>
  <c r="A991" i="24"/>
  <c r="R990" i="24"/>
  <c r="P990" i="24"/>
  <c r="A990" i="24"/>
  <c r="R989" i="24"/>
  <c r="P989" i="24"/>
  <c r="A989" i="24"/>
  <c r="R988" i="24"/>
  <c r="P988" i="24"/>
  <c r="A988" i="24"/>
  <c r="R987" i="24"/>
  <c r="P987" i="24"/>
  <c r="A987" i="24"/>
  <c r="R986" i="24"/>
  <c r="P986" i="24"/>
  <c r="A986" i="24"/>
  <c r="R985" i="24"/>
  <c r="P985" i="24"/>
  <c r="A985" i="24"/>
  <c r="R984" i="24"/>
  <c r="P984" i="24"/>
  <c r="A984" i="24"/>
  <c r="R983" i="24"/>
  <c r="P983" i="24"/>
  <c r="A983" i="24"/>
  <c r="R982" i="24"/>
  <c r="P982" i="24"/>
  <c r="A982" i="24"/>
  <c r="R981" i="24"/>
  <c r="P981" i="24"/>
  <c r="A981" i="24"/>
  <c r="R980" i="24"/>
  <c r="P980" i="24"/>
  <c r="A980" i="24"/>
  <c r="R979" i="24"/>
  <c r="P979" i="24"/>
  <c r="A979" i="24"/>
  <c r="R978" i="24"/>
  <c r="P978" i="24"/>
  <c r="A978" i="24"/>
  <c r="R977" i="24"/>
  <c r="P977" i="24"/>
  <c r="A977" i="24"/>
  <c r="R976" i="24"/>
  <c r="P976" i="24"/>
  <c r="A976" i="24"/>
  <c r="R975" i="24"/>
  <c r="P975" i="24"/>
  <c r="A975" i="24"/>
  <c r="R974" i="24"/>
  <c r="P974" i="24"/>
  <c r="A974" i="24"/>
  <c r="R973" i="24"/>
  <c r="P973" i="24"/>
  <c r="A973" i="24"/>
  <c r="R972" i="24"/>
  <c r="P972" i="24"/>
  <c r="A972" i="24"/>
  <c r="R971" i="24"/>
  <c r="P971" i="24"/>
  <c r="A971" i="24"/>
  <c r="R970" i="24"/>
  <c r="P970" i="24"/>
  <c r="A970" i="24"/>
  <c r="R969" i="24"/>
  <c r="P969" i="24"/>
  <c r="A969" i="24"/>
  <c r="R968" i="24"/>
  <c r="P968" i="24"/>
  <c r="A968" i="24"/>
  <c r="R967" i="24"/>
  <c r="P967" i="24"/>
  <c r="A967" i="24"/>
  <c r="R966" i="24"/>
  <c r="P966" i="24"/>
  <c r="A966" i="24"/>
  <c r="R965" i="24"/>
  <c r="P965" i="24"/>
  <c r="A965" i="24"/>
  <c r="R964" i="24"/>
  <c r="P964" i="24"/>
  <c r="A964" i="24"/>
  <c r="R963" i="24"/>
  <c r="P963" i="24"/>
  <c r="A963" i="24"/>
  <c r="R962" i="24"/>
  <c r="P962" i="24"/>
  <c r="A962" i="24"/>
  <c r="R961" i="24"/>
  <c r="P961" i="24"/>
  <c r="A961" i="24"/>
  <c r="R960" i="24"/>
  <c r="P960" i="24"/>
  <c r="A960" i="24"/>
  <c r="R959" i="24"/>
  <c r="P959" i="24"/>
  <c r="A959" i="24"/>
  <c r="R958" i="24"/>
  <c r="P958" i="24"/>
  <c r="A958" i="24"/>
  <c r="R957" i="24"/>
  <c r="P957" i="24"/>
  <c r="A957" i="24"/>
  <c r="R956" i="24"/>
  <c r="P956" i="24"/>
  <c r="A956" i="24"/>
  <c r="R955" i="24"/>
  <c r="P955" i="24"/>
  <c r="A955" i="24"/>
  <c r="R954" i="24"/>
  <c r="P954" i="24"/>
  <c r="A954" i="24"/>
  <c r="R953" i="24"/>
  <c r="P953" i="24"/>
  <c r="A953" i="24"/>
  <c r="R952" i="24"/>
  <c r="P952" i="24"/>
  <c r="A952" i="24"/>
  <c r="R951" i="24"/>
  <c r="P951" i="24"/>
  <c r="A951" i="24"/>
  <c r="R950" i="24"/>
  <c r="P950" i="24"/>
  <c r="A950" i="24"/>
  <c r="R949" i="24"/>
  <c r="P949" i="24"/>
  <c r="A949" i="24"/>
  <c r="R948" i="24"/>
  <c r="P948" i="24"/>
  <c r="A948" i="24"/>
  <c r="R947" i="24"/>
  <c r="P947" i="24"/>
  <c r="A947" i="24"/>
  <c r="R946" i="24"/>
  <c r="P946" i="24"/>
  <c r="A946" i="24"/>
  <c r="R945" i="24"/>
  <c r="P945" i="24"/>
  <c r="A945" i="24"/>
  <c r="R944" i="24"/>
  <c r="P944" i="24"/>
  <c r="A944" i="24"/>
  <c r="R943" i="24"/>
  <c r="P943" i="24"/>
  <c r="A943" i="24"/>
  <c r="R942" i="24"/>
  <c r="P942" i="24"/>
  <c r="A942" i="24"/>
  <c r="R941" i="24"/>
  <c r="P941" i="24"/>
  <c r="A941" i="24"/>
  <c r="R940" i="24"/>
  <c r="P940" i="24"/>
  <c r="A940" i="24"/>
  <c r="R939" i="24"/>
  <c r="P939" i="24"/>
  <c r="A939" i="24"/>
  <c r="R938" i="24"/>
  <c r="P938" i="24"/>
  <c r="A938" i="24"/>
  <c r="R937" i="24"/>
  <c r="P937" i="24"/>
  <c r="A937" i="24"/>
  <c r="R936" i="24"/>
  <c r="P936" i="24"/>
  <c r="A936" i="24"/>
  <c r="R935" i="24"/>
  <c r="P935" i="24"/>
  <c r="A935" i="24"/>
  <c r="R934" i="24"/>
  <c r="P934" i="24"/>
  <c r="A934" i="24"/>
  <c r="R933" i="24"/>
  <c r="P933" i="24"/>
  <c r="A933" i="24"/>
  <c r="R932" i="24"/>
  <c r="P932" i="24"/>
  <c r="A932" i="24"/>
  <c r="R931" i="24"/>
  <c r="P931" i="24"/>
  <c r="A931" i="24"/>
  <c r="R930" i="24"/>
  <c r="P930" i="24"/>
  <c r="A930" i="24"/>
  <c r="R929" i="24"/>
  <c r="P929" i="24"/>
  <c r="A929" i="24"/>
  <c r="R928" i="24"/>
  <c r="P928" i="24"/>
  <c r="A928" i="24"/>
  <c r="R927" i="24"/>
  <c r="P927" i="24"/>
  <c r="A927" i="24"/>
  <c r="R926" i="24"/>
  <c r="P926" i="24"/>
  <c r="A926" i="24"/>
  <c r="R925" i="24"/>
  <c r="P925" i="24"/>
  <c r="A925" i="24"/>
  <c r="R924" i="24"/>
  <c r="P924" i="24"/>
  <c r="A924" i="24"/>
  <c r="R923" i="24"/>
  <c r="P923" i="24"/>
  <c r="A923" i="24"/>
  <c r="R922" i="24"/>
  <c r="P922" i="24"/>
  <c r="A922" i="24"/>
  <c r="R921" i="24"/>
  <c r="P921" i="24"/>
  <c r="A921" i="24"/>
  <c r="R920" i="24"/>
  <c r="P920" i="24"/>
  <c r="A920" i="24"/>
  <c r="R919" i="24"/>
  <c r="P919" i="24"/>
  <c r="A919" i="24"/>
  <c r="R918" i="24"/>
  <c r="P918" i="24"/>
  <c r="A918" i="24"/>
  <c r="R917" i="24"/>
  <c r="P917" i="24"/>
  <c r="A917" i="24"/>
  <c r="R916" i="24"/>
  <c r="P916" i="24"/>
  <c r="A916" i="24"/>
  <c r="R915" i="24"/>
  <c r="P915" i="24"/>
  <c r="A915" i="24"/>
  <c r="R914" i="24"/>
  <c r="P914" i="24"/>
  <c r="A914" i="24"/>
  <c r="R913" i="24"/>
  <c r="P913" i="24"/>
  <c r="A913" i="24"/>
  <c r="R912" i="24"/>
  <c r="P912" i="24"/>
  <c r="A912" i="24"/>
  <c r="R911" i="24"/>
  <c r="P911" i="24"/>
  <c r="A911" i="24"/>
  <c r="R910" i="24"/>
  <c r="P910" i="24"/>
  <c r="A910" i="24"/>
  <c r="R909" i="24"/>
  <c r="P909" i="24"/>
  <c r="A909" i="24"/>
  <c r="R908" i="24"/>
  <c r="P908" i="24"/>
  <c r="A908" i="24"/>
  <c r="R907" i="24"/>
  <c r="P907" i="24"/>
  <c r="A907" i="24"/>
  <c r="R906" i="24"/>
  <c r="P906" i="24"/>
  <c r="A906" i="24"/>
  <c r="R905" i="24"/>
  <c r="P905" i="24"/>
  <c r="A905" i="24"/>
  <c r="R904" i="24"/>
  <c r="P904" i="24"/>
  <c r="A904" i="24"/>
  <c r="R903" i="24"/>
  <c r="P903" i="24"/>
  <c r="A903" i="24"/>
  <c r="R902" i="24"/>
  <c r="P902" i="24"/>
  <c r="A902" i="24"/>
  <c r="R901" i="24"/>
  <c r="P901" i="24"/>
  <c r="A901" i="24"/>
  <c r="R900" i="24"/>
  <c r="P900" i="24"/>
  <c r="A900" i="24"/>
  <c r="R899" i="24"/>
  <c r="P899" i="24"/>
  <c r="A899" i="24"/>
  <c r="R898" i="24"/>
  <c r="P898" i="24"/>
  <c r="A898" i="24"/>
  <c r="R897" i="24"/>
  <c r="P897" i="24"/>
  <c r="A897" i="24"/>
  <c r="R896" i="24"/>
  <c r="P896" i="24"/>
  <c r="A896" i="24"/>
  <c r="R895" i="24"/>
  <c r="P895" i="24"/>
  <c r="A895" i="24"/>
  <c r="R894" i="24"/>
  <c r="P894" i="24"/>
  <c r="A894" i="24"/>
  <c r="R893" i="24"/>
  <c r="P893" i="24"/>
  <c r="A893" i="24"/>
  <c r="R892" i="24"/>
  <c r="P892" i="24"/>
  <c r="A892" i="24"/>
  <c r="R891" i="24"/>
  <c r="P891" i="24"/>
  <c r="A891" i="24"/>
  <c r="R890" i="24"/>
  <c r="P890" i="24"/>
  <c r="A890" i="24"/>
  <c r="R889" i="24"/>
  <c r="P889" i="24"/>
  <c r="A889" i="24"/>
  <c r="R888" i="24"/>
  <c r="P888" i="24"/>
  <c r="A888" i="24"/>
  <c r="R887" i="24"/>
  <c r="P887" i="24"/>
  <c r="A887" i="24"/>
  <c r="R886" i="24"/>
  <c r="P886" i="24"/>
  <c r="A886" i="24"/>
  <c r="R885" i="24"/>
  <c r="P885" i="24"/>
  <c r="A885" i="24"/>
  <c r="R884" i="24"/>
  <c r="P884" i="24"/>
  <c r="A884" i="24"/>
  <c r="R883" i="24"/>
  <c r="P883" i="24"/>
  <c r="A883" i="24"/>
  <c r="R882" i="24"/>
  <c r="P882" i="24"/>
  <c r="A882" i="24"/>
  <c r="R881" i="24"/>
  <c r="P881" i="24"/>
  <c r="A881" i="24"/>
  <c r="R880" i="24"/>
  <c r="P880" i="24"/>
  <c r="A880" i="24"/>
  <c r="R879" i="24"/>
  <c r="P879" i="24"/>
  <c r="A879" i="24"/>
  <c r="R878" i="24"/>
  <c r="P878" i="24"/>
  <c r="A878" i="24"/>
  <c r="R877" i="24"/>
  <c r="P877" i="24"/>
  <c r="A877" i="24"/>
  <c r="R876" i="24"/>
  <c r="P876" i="24"/>
  <c r="A876" i="24"/>
  <c r="R875" i="24"/>
  <c r="P875" i="24"/>
  <c r="A875" i="24"/>
  <c r="R874" i="24"/>
  <c r="P874" i="24"/>
  <c r="A874" i="24"/>
  <c r="R873" i="24"/>
  <c r="P873" i="24"/>
  <c r="A873" i="24"/>
  <c r="R872" i="24"/>
  <c r="P872" i="24"/>
  <c r="A872" i="24"/>
  <c r="R871" i="24"/>
  <c r="P871" i="24"/>
  <c r="A871" i="24"/>
  <c r="R870" i="24"/>
  <c r="P870" i="24"/>
  <c r="A870" i="24"/>
  <c r="R869" i="24"/>
  <c r="P869" i="24"/>
  <c r="A869" i="24"/>
  <c r="R868" i="24"/>
  <c r="P868" i="24"/>
  <c r="A868" i="24"/>
  <c r="R867" i="24"/>
  <c r="P867" i="24"/>
  <c r="A867" i="24"/>
  <c r="R866" i="24"/>
  <c r="P866" i="24"/>
  <c r="A866" i="24"/>
  <c r="R865" i="24"/>
  <c r="P865" i="24"/>
  <c r="A865" i="24"/>
  <c r="R864" i="24"/>
  <c r="P864" i="24"/>
  <c r="A864" i="24"/>
  <c r="R863" i="24"/>
  <c r="P863" i="24"/>
  <c r="A863" i="24"/>
  <c r="R862" i="24"/>
  <c r="P862" i="24"/>
  <c r="A862" i="24"/>
  <c r="R861" i="24"/>
  <c r="P861" i="24"/>
  <c r="A861" i="24"/>
  <c r="R860" i="24"/>
  <c r="P860" i="24"/>
  <c r="A860" i="24"/>
  <c r="R859" i="24"/>
  <c r="P859" i="24"/>
  <c r="A859" i="24"/>
  <c r="R858" i="24"/>
  <c r="P858" i="24"/>
  <c r="A858" i="24"/>
  <c r="R857" i="24"/>
  <c r="P857" i="24"/>
  <c r="A857" i="24"/>
  <c r="R856" i="24"/>
  <c r="P856" i="24"/>
  <c r="A856" i="24"/>
  <c r="R855" i="24"/>
  <c r="P855" i="24"/>
  <c r="A855" i="24"/>
  <c r="R854" i="24"/>
  <c r="P854" i="24"/>
  <c r="A854" i="24"/>
  <c r="R853" i="24"/>
  <c r="P853" i="24"/>
  <c r="A853" i="24"/>
  <c r="R852" i="24"/>
  <c r="P852" i="24"/>
  <c r="A852" i="24"/>
  <c r="R851" i="24"/>
  <c r="P851" i="24"/>
  <c r="A851" i="24"/>
  <c r="R850" i="24"/>
  <c r="P850" i="24"/>
  <c r="A850" i="24"/>
  <c r="R849" i="24"/>
  <c r="P849" i="24"/>
  <c r="A849" i="24"/>
  <c r="R848" i="24"/>
  <c r="P848" i="24"/>
  <c r="A848" i="24"/>
  <c r="R847" i="24"/>
  <c r="P847" i="24"/>
  <c r="A847" i="24"/>
  <c r="R846" i="24"/>
  <c r="P846" i="24"/>
  <c r="A846" i="24"/>
  <c r="R845" i="24"/>
  <c r="P845" i="24"/>
  <c r="A845" i="24"/>
  <c r="R844" i="24"/>
  <c r="P844" i="24"/>
  <c r="A844" i="24"/>
  <c r="R843" i="24"/>
  <c r="P843" i="24"/>
  <c r="A843" i="24"/>
  <c r="R842" i="24"/>
  <c r="P842" i="24"/>
  <c r="A842" i="24"/>
  <c r="R841" i="24"/>
  <c r="P841" i="24"/>
  <c r="A841" i="24"/>
  <c r="R840" i="24"/>
  <c r="P840" i="24"/>
  <c r="A840" i="24"/>
  <c r="R839" i="24"/>
  <c r="P839" i="24"/>
  <c r="A839" i="24"/>
  <c r="R838" i="24"/>
  <c r="P838" i="24"/>
  <c r="A838" i="24"/>
  <c r="R837" i="24"/>
  <c r="P837" i="24"/>
  <c r="A837" i="24"/>
  <c r="R836" i="24"/>
  <c r="P836" i="24"/>
  <c r="A836" i="24"/>
  <c r="R835" i="24"/>
  <c r="P835" i="24"/>
  <c r="A835" i="24"/>
  <c r="R834" i="24"/>
  <c r="P834" i="24"/>
  <c r="A834" i="24"/>
  <c r="R833" i="24"/>
  <c r="P833" i="24"/>
  <c r="A833" i="24"/>
  <c r="R832" i="24"/>
  <c r="P832" i="24"/>
  <c r="A832" i="24"/>
  <c r="R831" i="24"/>
  <c r="P831" i="24"/>
  <c r="A831" i="24"/>
  <c r="R830" i="24"/>
  <c r="P830" i="24"/>
  <c r="A830" i="24"/>
  <c r="R829" i="24"/>
  <c r="P829" i="24"/>
  <c r="A829" i="24"/>
  <c r="R828" i="24"/>
  <c r="P828" i="24"/>
  <c r="A828" i="24"/>
  <c r="R827" i="24"/>
  <c r="P827" i="24"/>
  <c r="A827" i="24"/>
  <c r="R826" i="24"/>
  <c r="P826" i="24"/>
  <c r="A826" i="24"/>
  <c r="R825" i="24"/>
  <c r="P825" i="24"/>
  <c r="A825" i="24"/>
  <c r="R824" i="24"/>
  <c r="P824" i="24"/>
  <c r="A824" i="24"/>
  <c r="R823" i="24"/>
  <c r="P823" i="24"/>
  <c r="A823" i="24"/>
  <c r="R822" i="24"/>
  <c r="P822" i="24"/>
  <c r="A822" i="24"/>
  <c r="R821" i="24"/>
  <c r="P821" i="24"/>
  <c r="A821" i="24"/>
  <c r="R820" i="24"/>
  <c r="P820" i="24"/>
  <c r="A820" i="24"/>
  <c r="R819" i="24"/>
  <c r="P819" i="24"/>
  <c r="A819" i="24"/>
  <c r="R818" i="24"/>
  <c r="P818" i="24"/>
  <c r="A818" i="24"/>
  <c r="R817" i="24"/>
  <c r="P817" i="24"/>
  <c r="A817" i="24"/>
  <c r="R816" i="24"/>
  <c r="P816" i="24"/>
  <c r="A816" i="24"/>
  <c r="R815" i="24"/>
  <c r="P815" i="24"/>
  <c r="A815" i="24"/>
  <c r="R814" i="24"/>
  <c r="P814" i="24"/>
  <c r="A814" i="24"/>
  <c r="R813" i="24"/>
  <c r="P813" i="24"/>
  <c r="A813" i="24"/>
  <c r="R812" i="24"/>
  <c r="P812" i="24"/>
  <c r="A812" i="24"/>
  <c r="R811" i="24"/>
  <c r="P811" i="24"/>
  <c r="A811" i="24"/>
  <c r="R810" i="24"/>
  <c r="P810" i="24"/>
  <c r="A810" i="24"/>
  <c r="R809" i="24"/>
  <c r="P809" i="24"/>
  <c r="A809" i="24"/>
  <c r="R808" i="24"/>
  <c r="P808" i="24"/>
  <c r="A808" i="24"/>
  <c r="R807" i="24"/>
  <c r="P807" i="24"/>
  <c r="A807" i="24"/>
  <c r="R806" i="24"/>
  <c r="P806" i="24"/>
  <c r="A806" i="24"/>
  <c r="R805" i="24"/>
  <c r="P805" i="24"/>
  <c r="A805" i="24"/>
  <c r="R804" i="24"/>
  <c r="P804" i="24"/>
  <c r="A804" i="24"/>
  <c r="R803" i="24"/>
  <c r="P803" i="24"/>
  <c r="A803" i="24"/>
  <c r="R802" i="24"/>
  <c r="P802" i="24"/>
  <c r="A802" i="24"/>
  <c r="R801" i="24"/>
  <c r="P801" i="24"/>
  <c r="A801" i="24"/>
  <c r="R800" i="24"/>
  <c r="P800" i="24"/>
  <c r="A800" i="24"/>
  <c r="R799" i="24"/>
  <c r="P799" i="24"/>
  <c r="A799" i="24"/>
  <c r="R798" i="24"/>
  <c r="P798" i="24"/>
  <c r="A798" i="24"/>
  <c r="R797" i="24"/>
  <c r="P797" i="24"/>
  <c r="A797" i="24"/>
  <c r="R796" i="24"/>
  <c r="P796" i="24"/>
  <c r="A796" i="24"/>
  <c r="R795" i="24"/>
  <c r="P795" i="24"/>
  <c r="A795" i="24"/>
  <c r="R794" i="24"/>
  <c r="P794" i="24"/>
  <c r="A794" i="24"/>
  <c r="R793" i="24"/>
  <c r="P793" i="24"/>
  <c r="A793" i="24"/>
  <c r="R792" i="24"/>
  <c r="P792" i="24"/>
  <c r="A792" i="24"/>
  <c r="R791" i="24"/>
  <c r="P791" i="24"/>
  <c r="A791" i="24"/>
  <c r="R790" i="24"/>
  <c r="P790" i="24"/>
  <c r="A790" i="24"/>
  <c r="R789" i="24"/>
  <c r="P789" i="24"/>
  <c r="A789" i="24"/>
  <c r="R788" i="24"/>
  <c r="P788" i="24"/>
  <c r="A788" i="24"/>
  <c r="R787" i="24"/>
  <c r="P787" i="24"/>
  <c r="A787" i="24"/>
  <c r="R786" i="24"/>
  <c r="P786" i="24"/>
  <c r="A786" i="24"/>
  <c r="R785" i="24"/>
  <c r="P785" i="24"/>
  <c r="A785" i="24"/>
  <c r="R784" i="24"/>
  <c r="P784" i="24"/>
  <c r="A784" i="24"/>
  <c r="R783" i="24"/>
  <c r="P783" i="24"/>
  <c r="A783" i="24"/>
  <c r="R782" i="24"/>
  <c r="P782" i="24"/>
  <c r="A782" i="24"/>
  <c r="R781" i="24"/>
  <c r="P781" i="24"/>
  <c r="A781" i="24"/>
  <c r="R780" i="24"/>
  <c r="P780" i="24"/>
  <c r="A780" i="24"/>
  <c r="R779" i="24"/>
  <c r="P779" i="24"/>
  <c r="A779" i="24"/>
  <c r="R778" i="24"/>
  <c r="P778" i="24"/>
  <c r="A778" i="24"/>
  <c r="R777" i="24"/>
  <c r="P777" i="24"/>
  <c r="A777" i="24"/>
  <c r="R776" i="24"/>
  <c r="P776" i="24"/>
  <c r="A776" i="24"/>
  <c r="R775" i="24"/>
  <c r="P775" i="24"/>
  <c r="A775" i="24"/>
  <c r="R774" i="24"/>
  <c r="P774" i="24"/>
  <c r="A774" i="24"/>
  <c r="R773" i="24"/>
  <c r="P773" i="24"/>
  <c r="A773" i="24"/>
  <c r="R772" i="24"/>
  <c r="P772" i="24"/>
  <c r="A772" i="24"/>
  <c r="R771" i="24"/>
  <c r="P771" i="24"/>
  <c r="A771" i="24"/>
  <c r="R770" i="24"/>
  <c r="P770" i="24"/>
  <c r="A770" i="24"/>
  <c r="R769" i="24"/>
  <c r="P769" i="24"/>
  <c r="A769" i="24"/>
  <c r="R768" i="24"/>
  <c r="P768" i="24"/>
  <c r="A768" i="24"/>
  <c r="R767" i="24"/>
  <c r="P767" i="24"/>
  <c r="A767" i="24"/>
  <c r="R766" i="24"/>
  <c r="P766" i="24"/>
  <c r="A766" i="24"/>
  <c r="R765" i="24"/>
  <c r="P765" i="24"/>
  <c r="A765" i="24"/>
  <c r="R764" i="24"/>
  <c r="P764" i="24"/>
  <c r="A764" i="24"/>
  <c r="R763" i="24"/>
  <c r="P763" i="24"/>
  <c r="A763" i="24"/>
  <c r="R762" i="24"/>
  <c r="P762" i="24"/>
  <c r="A762" i="24"/>
  <c r="R761" i="24"/>
  <c r="P761" i="24"/>
  <c r="A761" i="24"/>
  <c r="R760" i="24"/>
  <c r="P760" i="24"/>
  <c r="A760" i="24"/>
  <c r="R759" i="24"/>
  <c r="P759" i="24"/>
  <c r="A759" i="24"/>
  <c r="R758" i="24"/>
  <c r="P758" i="24"/>
  <c r="A758" i="24"/>
  <c r="R757" i="24"/>
  <c r="P757" i="24"/>
  <c r="A757" i="24"/>
  <c r="R756" i="24"/>
  <c r="P756" i="24"/>
  <c r="A756" i="24"/>
  <c r="R755" i="24"/>
  <c r="P755" i="24"/>
  <c r="A755" i="24"/>
  <c r="R754" i="24"/>
  <c r="P754" i="24"/>
  <c r="A754" i="24"/>
  <c r="R753" i="24"/>
  <c r="P753" i="24"/>
  <c r="A753" i="24"/>
  <c r="R752" i="24"/>
  <c r="P752" i="24"/>
  <c r="A752" i="24"/>
  <c r="R751" i="24"/>
  <c r="P751" i="24"/>
  <c r="A751" i="24"/>
  <c r="R750" i="24"/>
  <c r="P750" i="24"/>
  <c r="A750" i="24"/>
  <c r="R749" i="24"/>
  <c r="P749" i="24"/>
  <c r="A749" i="24"/>
  <c r="R748" i="24"/>
  <c r="P748" i="24"/>
  <c r="A748" i="24"/>
  <c r="R747" i="24"/>
  <c r="P747" i="24"/>
  <c r="A747" i="24"/>
  <c r="R746" i="24"/>
  <c r="P746" i="24"/>
  <c r="A746" i="24"/>
  <c r="R745" i="24"/>
  <c r="P745" i="24"/>
  <c r="A745" i="24"/>
  <c r="R744" i="24"/>
  <c r="P744" i="24"/>
  <c r="A744" i="24"/>
  <c r="R743" i="24"/>
  <c r="P743" i="24"/>
  <c r="A743" i="24"/>
  <c r="R742" i="24"/>
  <c r="P742" i="24"/>
  <c r="A742" i="24"/>
  <c r="R741" i="24"/>
  <c r="P741" i="24"/>
  <c r="A741" i="24"/>
  <c r="R740" i="24"/>
  <c r="P740" i="24"/>
  <c r="A740" i="24"/>
  <c r="R739" i="24"/>
  <c r="P739" i="24"/>
  <c r="A739" i="24"/>
  <c r="R738" i="24"/>
  <c r="P738" i="24"/>
  <c r="A738" i="24"/>
  <c r="R737" i="24"/>
  <c r="P737" i="24"/>
  <c r="A737" i="24"/>
  <c r="R736" i="24"/>
  <c r="P736" i="24"/>
  <c r="A736" i="24"/>
  <c r="R735" i="24"/>
  <c r="P735" i="24"/>
  <c r="A735" i="24"/>
  <c r="R734" i="24"/>
  <c r="P734" i="24"/>
  <c r="A734" i="24"/>
  <c r="R733" i="24"/>
  <c r="P733" i="24"/>
  <c r="A733" i="24"/>
  <c r="R732" i="24"/>
  <c r="P732" i="24"/>
  <c r="A732" i="24"/>
  <c r="R731" i="24"/>
  <c r="P731" i="24"/>
  <c r="A731" i="24"/>
  <c r="R730" i="24"/>
  <c r="P730" i="24"/>
  <c r="A730" i="24"/>
  <c r="R729" i="24"/>
  <c r="P729" i="24"/>
  <c r="A729" i="24"/>
  <c r="R728" i="24"/>
  <c r="P728" i="24"/>
  <c r="A728" i="24"/>
  <c r="R727" i="24"/>
  <c r="P727" i="24"/>
  <c r="A727" i="24"/>
  <c r="R726" i="24"/>
  <c r="P726" i="24"/>
  <c r="A726" i="24"/>
  <c r="R725" i="24"/>
  <c r="P725" i="24"/>
  <c r="A725" i="24"/>
  <c r="R724" i="24"/>
  <c r="P724" i="24"/>
  <c r="A724" i="24"/>
  <c r="R723" i="24"/>
  <c r="P723" i="24"/>
  <c r="A723" i="24"/>
  <c r="R722" i="24"/>
  <c r="P722" i="24"/>
  <c r="A722" i="24"/>
  <c r="R721" i="24"/>
  <c r="P721" i="24"/>
  <c r="A721" i="24"/>
  <c r="R720" i="24"/>
  <c r="P720" i="24"/>
  <c r="A720" i="24"/>
  <c r="R719" i="24"/>
  <c r="P719" i="24"/>
  <c r="A719" i="24"/>
  <c r="R718" i="24"/>
  <c r="P718" i="24"/>
  <c r="A718" i="24"/>
  <c r="R717" i="24"/>
  <c r="P717" i="24"/>
  <c r="A717" i="24"/>
  <c r="R716" i="24"/>
  <c r="P716" i="24"/>
  <c r="A716" i="24"/>
  <c r="R715" i="24"/>
  <c r="P715" i="24"/>
  <c r="A715" i="24"/>
  <c r="R714" i="24"/>
  <c r="P714" i="24"/>
  <c r="A714" i="24"/>
  <c r="R713" i="24"/>
  <c r="P713" i="24"/>
  <c r="A713" i="24"/>
  <c r="R712" i="24"/>
  <c r="P712" i="24"/>
  <c r="A712" i="24"/>
  <c r="R711" i="24"/>
  <c r="P711" i="24"/>
  <c r="A711" i="24"/>
  <c r="R710" i="24"/>
  <c r="P710" i="24"/>
  <c r="A710" i="24"/>
  <c r="R709" i="24"/>
  <c r="P709" i="24"/>
  <c r="A709" i="24"/>
  <c r="R708" i="24"/>
  <c r="P708" i="24"/>
  <c r="A708" i="24"/>
  <c r="R707" i="24"/>
  <c r="P707" i="24"/>
  <c r="A707" i="24"/>
  <c r="R706" i="24"/>
  <c r="P706" i="24"/>
  <c r="A706" i="24"/>
  <c r="R705" i="24"/>
  <c r="P705" i="24"/>
  <c r="A705" i="24"/>
  <c r="R704" i="24"/>
  <c r="P704" i="24"/>
  <c r="A704" i="24"/>
  <c r="R703" i="24"/>
  <c r="P703" i="24"/>
  <c r="A703" i="24"/>
  <c r="R702" i="24"/>
  <c r="P702" i="24"/>
  <c r="A702" i="24"/>
  <c r="R701" i="24"/>
  <c r="P701" i="24"/>
  <c r="A701" i="24"/>
  <c r="R700" i="24"/>
  <c r="P700" i="24"/>
  <c r="A700" i="24"/>
  <c r="R699" i="24"/>
  <c r="P699" i="24"/>
  <c r="A699" i="24"/>
  <c r="R698" i="24"/>
  <c r="P698" i="24"/>
  <c r="A698" i="24"/>
  <c r="R697" i="24"/>
  <c r="P697" i="24"/>
  <c r="A697" i="24"/>
  <c r="R696" i="24"/>
  <c r="P696" i="24"/>
  <c r="A696" i="24"/>
  <c r="R695" i="24"/>
  <c r="P695" i="24"/>
  <c r="A695" i="24"/>
  <c r="R694" i="24"/>
  <c r="P694" i="24"/>
  <c r="A694" i="24"/>
  <c r="R693" i="24"/>
  <c r="P693" i="24"/>
  <c r="A693" i="24"/>
  <c r="R692" i="24"/>
  <c r="P692" i="24"/>
  <c r="A692" i="24"/>
  <c r="R691" i="24"/>
  <c r="P691" i="24"/>
  <c r="A691" i="24"/>
  <c r="R690" i="24"/>
  <c r="P690" i="24"/>
  <c r="A690" i="24"/>
  <c r="R689" i="24"/>
  <c r="P689" i="24"/>
  <c r="A689" i="24"/>
  <c r="R688" i="24"/>
  <c r="P688" i="24"/>
  <c r="A688" i="24"/>
  <c r="R687" i="24"/>
  <c r="P687" i="24"/>
  <c r="A687" i="24"/>
  <c r="R686" i="24"/>
  <c r="P686" i="24"/>
  <c r="A686" i="24"/>
  <c r="R685" i="24"/>
  <c r="P685" i="24"/>
  <c r="A685" i="24"/>
  <c r="R684" i="24"/>
  <c r="P684" i="24"/>
  <c r="A684" i="24"/>
  <c r="R683" i="24"/>
  <c r="P683" i="24"/>
  <c r="A683" i="24"/>
  <c r="R682" i="24"/>
  <c r="P682" i="24"/>
  <c r="A682" i="24"/>
  <c r="R681" i="24"/>
  <c r="P681" i="24"/>
  <c r="A681" i="24"/>
  <c r="R680" i="24"/>
  <c r="P680" i="24"/>
  <c r="A680" i="24"/>
  <c r="R679" i="24"/>
  <c r="P679" i="24"/>
  <c r="A679" i="24"/>
  <c r="R678" i="24"/>
  <c r="P678" i="24"/>
  <c r="A678" i="24"/>
  <c r="R677" i="24"/>
  <c r="P677" i="24"/>
  <c r="A677" i="24"/>
  <c r="R676" i="24"/>
  <c r="P676" i="24"/>
  <c r="A676" i="24"/>
  <c r="R675" i="24"/>
  <c r="P675" i="24"/>
  <c r="A675" i="24"/>
  <c r="R674" i="24"/>
  <c r="P674" i="24"/>
  <c r="A674" i="24"/>
  <c r="R673" i="24"/>
  <c r="P673" i="24"/>
  <c r="A673" i="24"/>
  <c r="R672" i="24"/>
  <c r="P672" i="24"/>
  <c r="A672" i="24"/>
  <c r="R671" i="24"/>
  <c r="P671" i="24"/>
  <c r="A671" i="24"/>
  <c r="R670" i="24"/>
  <c r="P670" i="24"/>
  <c r="A670" i="24"/>
  <c r="R669" i="24"/>
  <c r="P669" i="24"/>
  <c r="A669" i="24"/>
  <c r="R668" i="24"/>
  <c r="P668" i="24"/>
  <c r="A668" i="24"/>
  <c r="R667" i="24"/>
  <c r="P667" i="24"/>
  <c r="A667" i="24"/>
  <c r="R666" i="24"/>
  <c r="P666" i="24"/>
  <c r="A666" i="24"/>
  <c r="R665" i="24"/>
  <c r="P665" i="24"/>
  <c r="A665" i="24"/>
  <c r="R664" i="24"/>
  <c r="P664" i="24"/>
  <c r="A664" i="24"/>
  <c r="R663" i="24"/>
  <c r="P663" i="24"/>
  <c r="A663" i="24"/>
  <c r="R662" i="24"/>
  <c r="P662" i="24"/>
  <c r="A662" i="24"/>
  <c r="R661" i="24"/>
  <c r="P661" i="24"/>
  <c r="A661" i="24"/>
  <c r="R660" i="24"/>
  <c r="P660" i="24"/>
  <c r="A660" i="24"/>
  <c r="R659" i="24"/>
  <c r="P659" i="24"/>
  <c r="A659" i="24"/>
  <c r="R658" i="24"/>
  <c r="P658" i="24"/>
  <c r="A658" i="24"/>
  <c r="R657" i="24"/>
  <c r="P657" i="24"/>
  <c r="A657" i="24"/>
  <c r="R656" i="24"/>
  <c r="P656" i="24"/>
  <c r="A656" i="24"/>
  <c r="R655" i="24"/>
  <c r="P655" i="24"/>
  <c r="A655" i="24"/>
  <c r="R654" i="24"/>
  <c r="P654" i="24"/>
  <c r="A654" i="24"/>
  <c r="R653" i="24"/>
  <c r="P653" i="24"/>
  <c r="A653" i="24"/>
  <c r="R652" i="24"/>
  <c r="P652" i="24"/>
  <c r="A652" i="24"/>
  <c r="R651" i="24"/>
  <c r="P651" i="24"/>
  <c r="A651" i="24"/>
  <c r="R650" i="24"/>
  <c r="P650" i="24"/>
  <c r="A650" i="24"/>
  <c r="R649" i="24"/>
  <c r="P649" i="24"/>
  <c r="A649" i="24"/>
  <c r="R648" i="24"/>
  <c r="P648" i="24"/>
  <c r="A648" i="24"/>
  <c r="R647" i="24"/>
  <c r="P647" i="24"/>
  <c r="A647" i="24"/>
  <c r="R646" i="24"/>
  <c r="P646" i="24"/>
  <c r="A646" i="24"/>
  <c r="R645" i="24"/>
  <c r="P645" i="24"/>
  <c r="A645" i="24"/>
  <c r="R644" i="24"/>
  <c r="P644" i="24"/>
  <c r="A644" i="24"/>
  <c r="R643" i="24"/>
  <c r="P643" i="24"/>
  <c r="A643" i="24"/>
  <c r="R642" i="24"/>
  <c r="P642" i="24"/>
  <c r="A642" i="24"/>
  <c r="R641" i="24"/>
  <c r="P641" i="24"/>
  <c r="A641" i="24"/>
  <c r="R640" i="24"/>
  <c r="P640" i="24"/>
  <c r="A640" i="24"/>
  <c r="R639" i="24"/>
  <c r="P639" i="24"/>
  <c r="A639" i="24"/>
  <c r="R638" i="24"/>
  <c r="P638" i="24"/>
  <c r="A638" i="24"/>
  <c r="R637" i="24"/>
  <c r="P637" i="24"/>
  <c r="A637" i="24"/>
  <c r="R636" i="24"/>
  <c r="P636" i="24"/>
  <c r="A636" i="24"/>
  <c r="R635" i="24"/>
  <c r="P635" i="24"/>
  <c r="A635" i="24"/>
  <c r="R634" i="24"/>
  <c r="P634" i="24"/>
  <c r="A634" i="24"/>
  <c r="R633" i="24"/>
  <c r="P633" i="24"/>
  <c r="A633" i="24"/>
  <c r="R632" i="24"/>
  <c r="P632" i="24"/>
  <c r="A632" i="24"/>
  <c r="R631" i="24"/>
  <c r="P631" i="24"/>
  <c r="A631" i="24"/>
  <c r="R630" i="24"/>
  <c r="P630" i="24"/>
  <c r="A630" i="24"/>
  <c r="R629" i="24"/>
  <c r="P629" i="24"/>
  <c r="A629" i="24"/>
  <c r="R628" i="24"/>
  <c r="P628" i="24"/>
  <c r="A628" i="24"/>
  <c r="R627" i="24"/>
  <c r="P627" i="24"/>
  <c r="A627" i="24"/>
  <c r="R626" i="24"/>
  <c r="P626" i="24"/>
  <c r="A626" i="24"/>
  <c r="R625" i="24"/>
  <c r="P625" i="24"/>
  <c r="A625" i="24"/>
  <c r="R624" i="24"/>
  <c r="P624" i="24"/>
  <c r="A624" i="24"/>
  <c r="R623" i="24"/>
  <c r="P623" i="24"/>
  <c r="A623" i="24"/>
  <c r="R622" i="24"/>
  <c r="P622" i="24"/>
  <c r="A622" i="24"/>
  <c r="R621" i="24"/>
  <c r="P621" i="24"/>
  <c r="A621" i="24"/>
  <c r="R620" i="24"/>
  <c r="P620" i="24"/>
  <c r="A620" i="24"/>
  <c r="R619" i="24"/>
  <c r="P619" i="24"/>
  <c r="A619" i="24"/>
  <c r="R618" i="24"/>
  <c r="P618" i="24"/>
  <c r="A618" i="24"/>
  <c r="R617" i="24"/>
  <c r="P617" i="24"/>
  <c r="A617" i="24"/>
  <c r="R616" i="24"/>
  <c r="P616" i="24"/>
  <c r="A616" i="24"/>
  <c r="R615" i="24"/>
  <c r="P615" i="24"/>
  <c r="A615" i="24"/>
  <c r="R614" i="24"/>
  <c r="P614" i="24"/>
  <c r="A614" i="24"/>
  <c r="R613" i="24"/>
  <c r="P613" i="24"/>
  <c r="A613" i="24"/>
  <c r="R612" i="24"/>
  <c r="P612" i="24"/>
  <c r="A612" i="24"/>
  <c r="R611" i="24"/>
  <c r="P611" i="24"/>
  <c r="A611" i="24"/>
  <c r="R610" i="24"/>
  <c r="P610" i="24"/>
  <c r="A610" i="24"/>
  <c r="R609" i="24"/>
  <c r="P609" i="24"/>
  <c r="A609" i="24"/>
  <c r="R608" i="24"/>
  <c r="P608" i="24"/>
  <c r="A608" i="24"/>
  <c r="R607" i="24"/>
  <c r="P607" i="24"/>
  <c r="A607" i="24"/>
  <c r="R606" i="24"/>
  <c r="P606" i="24"/>
  <c r="A606" i="24"/>
  <c r="R605" i="24"/>
  <c r="P605" i="24"/>
  <c r="A605" i="24"/>
  <c r="R604" i="24"/>
  <c r="P604" i="24"/>
  <c r="A604" i="24"/>
  <c r="R603" i="24"/>
  <c r="P603" i="24"/>
  <c r="A603" i="24"/>
  <c r="R602" i="24"/>
  <c r="P602" i="24"/>
  <c r="A602" i="24"/>
  <c r="R601" i="24"/>
  <c r="P601" i="24"/>
  <c r="A601" i="24"/>
  <c r="R600" i="24"/>
  <c r="P600" i="24"/>
  <c r="A600" i="24"/>
  <c r="R599" i="24"/>
  <c r="P599" i="24"/>
  <c r="A599" i="24"/>
  <c r="R598" i="24"/>
  <c r="P598" i="24"/>
  <c r="A598" i="24"/>
  <c r="R597" i="24"/>
  <c r="P597" i="24"/>
  <c r="A597" i="24"/>
  <c r="R596" i="24"/>
  <c r="P596" i="24"/>
  <c r="A596" i="24"/>
  <c r="R595" i="24"/>
  <c r="P595" i="24"/>
  <c r="A595" i="24"/>
  <c r="R594" i="24"/>
  <c r="P594" i="24"/>
  <c r="A594" i="24"/>
  <c r="R593" i="24"/>
  <c r="P593" i="24"/>
  <c r="A593" i="24"/>
  <c r="R592" i="24"/>
  <c r="P592" i="24"/>
  <c r="A592" i="24"/>
  <c r="R591" i="24"/>
  <c r="P591" i="24"/>
  <c r="A591" i="24"/>
  <c r="R590" i="24"/>
  <c r="P590" i="24"/>
  <c r="A590" i="24"/>
  <c r="R589" i="24"/>
  <c r="P589" i="24"/>
  <c r="A589" i="24"/>
  <c r="R588" i="24"/>
  <c r="P588" i="24"/>
  <c r="A588" i="24"/>
  <c r="R587" i="24"/>
  <c r="P587" i="24"/>
  <c r="A587" i="24"/>
  <c r="R586" i="24"/>
  <c r="P586" i="24"/>
  <c r="A586" i="24"/>
  <c r="R585" i="24"/>
  <c r="P585" i="24"/>
  <c r="A585" i="24"/>
  <c r="R584" i="24"/>
  <c r="P584" i="24"/>
  <c r="A584" i="24"/>
  <c r="R583" i="24"/>
  <c r="P583" i="24"/>
  <c r="A583" i="24"/>
  <c r="R582" i="24"/>
  <c r="P582" i="24"/>
  <c r="A582" i="24"/>
  <c r="R581" i="24"/>
  <c r="P581" i="24"/>
  <c r="A581" i="24"/>
  <c r="R580" i="24"/>
  <c r="P580" i="24"/>
  <c r="A580" i="24"/>
  <c r="R579" i="24"/>
  <c r="P579" i="24"/>
  <c r="A579" i="24"/>
  <c r="R578" i="24"/>
  <c r="P578" i="24"/>
  <c r="A578" i="24"/>
  <c r="R577" i="24"/>
  <c r="P577" i="24"/>
  <c r="A577" i="24"/>
  <c r="R576" i="24"/>
  <c r="P576" i="24"/>
  <c r="A576" i="24"/>
  <c r="R575" i="24"/>
  <c r="P575" i="24"/>
  <c r="A575" i="24"/>
  <c r="R574" i="24"/>
  <c r="P574" i="24"/>
  <c r="A574" i="24"/>
  <c r="R573" i="24"/>
  <c r="P573" i="24"/>
  <c r="A573" i="24"/>
  <c r="R572" i="24"/>
  <c r="P572" i="24"/>
  <c r="A572" i="24"/>
  <c r="R571" i="24"/>
  <c r="P571" i="24"/>
  <c r="A571" i="24"/>
  <c r="R570" i="24"/>
  <c r="P570" i="24"/>
  <c r="A570" i="24"/>
  <c r="R569" i="24"/>
  <c r="P569" i="24"/>
  <c r="A569" i="24"/>
  <c r="R568" i="24"/>
  <c r="P568" i="24"/>
  <c r="A568" i="24"/>
  <c r="R567" i="24"/>
  <c r="P567" i="24"/>
  <c r="A567" i="24"/>
  <c r="R566" i="24"/>
  <c r="P566" i="24"/>
  <c r="A566" i="24"/>
  <c r="R565" i="24"/>
  <c r="P565" i="24"/>
  <c r="A565" i="24"/>
  <c r="R564" i="24"/>
  <c r="P564" i="24"/>
  <c r="A564" i="24"/>
  <c r="R563" i="24"/>
  <c r="P563" i="24"/>
  <c r="A563" i="24"/>
  <c r="R562" i="24"/>
  <c r="P562" i="24"/>
  <c r="A562" i="24"/>
  <c r="R561" i="24"/>
  <c r="P561" i="24"/>
  <c r="A561" i="24"/>
  <c r="R560" i="24"/>
  <c r="P560" i="24"/>
  <c r="A560" i="24"/>
  <c r="R559" i="24"/>
  <c r="P559" i="24"/>
  <c r="A559" i="24"/>
  <c r="R558" i="24"/>
  <c r="P558" i="24"/>
  <c r="A558" i="24"/>
  <c r="R557" i="24"/>
  <c r="P557" i="24"/>
  <c r="A557" i="24"/>
  <c r="R556" i="24"/>
  <c r="P556" i="24"/>
  <c r="A556" i="24"/>
  <c r="R555" i="24"/>
  <c r="P555" i="24"/>
  <c r="A555" i="24"/>
  <c r="R554" i="24"/>
  <c r="P554" i="24"/>
  <c r="A554" i="24"/>
  <c r="R553" i="24"/>
  <c r="P553" i="24"/>
  <c r="A553" i="24"/>
  <c r="R552" i="24"/>
  <c r="P552" i="24"/>
  <c r="A552" i="24"/>
  <c r="R551" i="24"/>
  <c r="P551" i="24"/>
  <c r="A551" i="24"/>
  <c r="R550" i="24"/>
  <c r="P550" i="24"/>
  <c r="A550" i="24"/>
  <c r="R549" i="24"/>
  <c r="P549" i="24"/>
  <c r="A549" i="24"/>
  <c r="R548" i="24"/>
  <c r="P548" i="24"/>
  <c r="A548" i="24"/>
  <c r="R547" i="24"/>
  <c r="P547" i="24"/>
  <c r="A547" i="24"/>
  <c r="R546" i="24"/>
  <c r="P546" i="24"/>
  <c r="A546" i="24"/>
  <c r="R545" i="24"/>
  <c r="P545" i="24"/>
  <c r="A545" i="24"/>
  <c r="R544" i="24"/>
  <c r="P544" i="24"/>
  <c r="A544" i="24"/>
  <c r="R543" i="24"/>
  <c r="P543" i="24"/>
  <c r="A543" i="24"/>
  <c r="R542" i="24"/>
  <c r="P542" i="24"/>
  <c r="A542" i="24"/>
  <c r="R541" i="24"/>
  <c r="P541" i="24"/>
  <c r="A541" i="24"/>
  <c r="R540" i="24"/>
  <c r="P540" i="24"/>
  <c r="A540" i="24"/>
  <c r="R539" i="24"/>
  <c r="P539" i="24"/>
  <c r="A539" i="24"/>
  <c r="R538" i="24"/>
  <c r="P538" i="24"/>
  <c r="A538" i="24"/>
  <c r="R537" i="24"/>
  <c r="P537" i="24"/>
  <c r="A537" i="24"/>
  <c r="R536" i="24"/>
  <c r="P536" i="24"/>
  <c r="A536" i="24"/>
  <c r="R535" i="24"/>
  <c r="P535" i="24"/>
  <c r="A535" i="24"/>
  <c r="R534" i="24"/>
  <c r="P534" i="24"/>
  <c r="A534" i="24"/>
  <c r="R533" i="24"/>
  <c r="P533" i="24"/>
  <c r="A533" i="24"/>
  <c r="R532" i="24"/>
  <c r="P532" i="24"/>
  <c r="A532" i="24"/>
  <c r="R531" i="24"/>
  <c r="P531" i="24"/>
  <c r="A531" i="24"/>
  <c r="R530" i="24"/>
  <c r="P530" i="24"/>
  <c r="A530" i="24"/>
  <c r="R529" i="24"/>
  <c r="P529" i="24"/>
  <c r="A529" i="24"/>
  <c r="R528" i="24"/>
  <c r="P528" i="24"/>
  <c r="A528" i="24"/>
  <c r="R527" i="24"/>
  <c r="P527" i="24"/>
  <c r="A527" i="24"/>
  <c r="R526" i="24"/>
  <c r="P526" i="24"/>
  <c r="A526" i="24"/>
  <c r="R525" i="24"/>
  <c r="P525" i="24"/>
  <c r="A525" i="24"/>
  <c r="R524" i="24"/>
  <c r="P524" i="24"/>
  <c r="A524" i="24"/>
  <c r="R523" i="24"/>
  <c r="P523" i="24"/>
  <c r="A523" i="24"/>
  <c r="R522" i="24"/>
  <c r="P522" i="24"/>
  <c r="A522" i="24"/>
  <c r="R521" i="24"/>
  <c r="P521" i="24"/>
  <c r="A521" i="24"/>
  <c r="R520" i="24"/>
  <c r="P520" i="24"/>
  <c r="A520" i="24"/>
  <c r="R519" i="24"/>
  <c r="P519" i="24"/>
  <c r="A519" i="24"/>
  <c r="R518" i="24"/>
  <c r="P518" i="24"/>
  <c r="A518" i="24"/>
  <c r="R517" i="24"/>
  <c r="P517" i="24"/>
  <c r="A517" i="24"/>
  <c r="R516" i="24"/>
  <c r="P516" i="24"/>
  <c r="A516" i="24"/>
  <c r="R515" i="24"/>
  <c r="P515" i="24"/>
  <c r="A515" i="24"/>
  <c r="R514" i="24"/>
  <c r="P514" i="24"/>
  <c r="A514" i="24"/>
  <c r="R513" i="24"/>
  <c r="P513" i="24"/>
  <c r="A513" i="24"/>
  <c r="R512" i="24"/>
  <c r="P512" i="24"/>
  <c r="A512" i="24"/>
  <c r="R511" i="24"/>
  <c r="P511" i="24"/>
  <c r="A511" i="24"/>
  <c r="R510" i="24"/>
  <c r="P510" i="24"/>
  <c r="A510" i="24"/>
  <c r="R509" i="24"/>
  <c r="P509" i="24"/>
  <c r="A509" i="24"/>
  <c r="R508" i="24"/>
  <c r="P508" i="24"/>
  <c r="A508" i="24"/>
  <c r="R507" i="24"/>
  <c r="P507" i="24"/>
  <c r="A507" i="24"/>
  <c r="R506" i="24"/>
  <c r="P506" i="24"/>
  <c r="A506" i="24"/>
  <c r="R505" i="24"/>
  <c r="P505" i="24"/>
  <c r="A505" i="24"/>
  <c r="R504" i="24"/>
  <c r="P504" i="24"/>
  <c r="A504" i="24"/>
  <c r="R503" i="24"/>
  <c r="P503" i="24"/>
  <c r="A503" i="24"/>
  <c r="R502" i="24"/>
  <c r="P502" i="24"/>
  <c r="A502" i="24"/>
  <c r="R501" i="24"/>
  <c r="P501" i="24"/>
  <c r="A501" i="24"/>
  <c r="R500" i="24"/>
  <c r="P500" i="24"/>
  <c r="A500" i="24"/>
  <c r="R499" i="24"/>
  <c r="P499" i="24"/>
  <c r="A499" i="24"/>
  <c r="R498" i="24"/>
  <c r="P498" i="24"/>
  <c r="A498" i="24"/>
  <c r="R497" i="24"/>
  <c r="P497" i="24"/>
  <c r="A497" i="24"/>
  <c r="R496" i="24"/>
  <c r="P496" i="24"/>
  <c r="A496" i="24"/>
  <c r="R495" i="24"/>
  <c r="P495" i="24"/>
  <c r="A495" i="24"/>
  <c r="R494" i="24"/>
  <c r="P494" i="24"/>
  <c r="A494" i="24"/>
  <c r="R493" i="24"/>
  <c r="P493" i="24"/>
  <c r="A493" i="24"/>
  <c r="R492" i="24"/>
  <c r="P492" i="24"/>
  <c r="A492" i="24"/>
  <c r="R491" i="24"/>
  <c r="P491" i="24"/>
  <c r="A491" i="24"/>
  <c r="R490" i="24"/>
  <c r="P490" i="24"/>
  <c r="A490" i="24"/>
  <c r="R489" i="24"/>
  <c r="P489" i="24"/>
  <c r="A489" i="24"/>
  <c r="R488" i="24"/>
  <c r="P488" i="24"/>
  <c r="A488" i="24"/>
  <c r="R487" i="24"/>
  <c r="P487" i="24"/>
  <c r="A487" i="24"/>
  <c r="R486" i="24"/>
  <c r="P486" i="24"/>
  <c r="A486" i="24"/>
  <c r="R485" i="24"/>
  <c r="P485" i="24"/>
  <c r="A485" i="24"/>
  <c r="R484" i="24"/>
  <c r="P484" i="24"/>
  <c r="A484" i="24"/>
  <c r="R483" i="24"/>
  <c r="P483" i="24"/>
  <c r="A483" i="24"/>
  <c r="R482" i="24"/>
  <c r="P482" i="24"/>
  <c r="A482" i="24"/>
  <c r="R481" i="24"/>
  <c r="P481" i="24"/>
  <c r="A481" i="24"/>
  <c r="R480" i="24"/>
  <c r="P480" i="24"/>
  <c r="A480" i="24"/>
  <c r="R479" i="24"/>
  <c r="P479" i="24"/>
  <c r="A479" i="24"/>
  <c r="R478" i="24"/>
  <c r="P478" i="24"/>
  <c r="A478" i="24"/>
  <c r="R477" i="24"/>
  <c r="P477" i="24"/>
  <c r="A477" i="24"/>
  <c r="R476" i="24"/>
  <c r="P476" i="24"/>
  <c r="A476" i="24"/>
  <c r="R475" i="24"/>
  <c r="P475" i="24"/>
  <c r="A475" i="24"/>
  <c r="R474" i="24"/>
  <c r="P474" i="24"/>
  <c r="A474" i="24"/>
  <c r="R473" i="24"/>
  <c r="P473" i="24"/>
  <c r="A473" i="24"/>
  <c r="R472" i="24"/>
  <c r="P472" i="24"/>
  <c r="A472" i="24"/>
  <c r="R471" i="24"/>
  <c r="P471" i="24"/>
  <c r="A471" i="24"/>
  <c r="R470" i="24"/>
  <c r="P470" i="24"/>
  <c r="A470" i="24"/>
  <c r="R469" i="24"/>
  <c r="P469" i="24"/>
  <c r="A469" i="24"/>
  <c r="R468" i="24"/>
  <c r="P468" i="24"/>
  <c r="A468" i="24"/>
  <c r="R467" i="24"/>
  <c r="P467" i="24"/>
  <c r="A467" i="24"/>
  <c r="R466" i="24"/>
  <c r="P466" i="24"/>
  <c r="A466" i="24"/>
  <c r="R465" i="24"/>
  <c r="P465" i="24"/>
  <c r="A465" i="24"/>
  <c r="R464" i="24"/>
  <c r="P464" i="24"/>
  <c r="A464" i="24"/>
  <c r="R463" i="24"/>
  <c r="P463" i="24"/>
  <c r="A463" i="24"/>
  <c r="R462" i="24"/>
  <c r="P462" i="24"/>
  <c r="A462" i="24"/>
  <c r="R461" i="24"/>
  <c r="P461" i="24"/>
  <c r="A461" i="24"/>
  <c r="R460" i="24"/>
  <c r="P460" i="24"/>
  <c r="A460" i="24"/>
  <c r="R459" i="24"/>
  <c r="P459" i="24"/>
  <c r="A459" i="24"/>
  <c r="R458" i="24"/>
  <c r="P458" i="24"/>
  <c r="A458" i="24"/>
  <c r="R457" i="24"/>
  <c r="P457" i="24"/>
  <c r="A457" i="24"/>
  <c r="R456" i="24"/>
  <c r="P456" i="24"/>
  <c r="A456" i="24"/>
  <c r="R455" i="24"/>
  <c r="P455" i="24"/>
  <c r="A455" i="24"/>
  <c r="R454" i="24"/>
  <c r="P454" i="24"/>
  <c r="A454" i="24"/>
  <c r="R453" i="24"/>
  <c r="P453" i="24"/>
  <c r="A453" i="24"/>
  <c r="R452" i="24"/>
  <c r="P452" i="24"/>
  <c r="A452" i="24"/>
  <c r="R451" i="24"/>
  <c r="P451" i="24"/>
  <c r="A451" i="24"/>
  <c r="R450" i="24"/>
  <c r="P450" i="24"/>
  <c r="A450" i="24"/>
  <c r="R449" i="24"/>
  <c r="P449" i="24"/>
  <c r="A449" i="24"/>
  <c r="R448" i="24"/>
  <c r="P448" i="24"/>
  <c r="A448" i="24"/>
  <c r="R447" i="24"/>
  <c r="P447" i="24"/>
  <c r="A447" i="24"/>
  <c r="R446" i="24"/>
  <c r="P446" i="24"/>
  <c r="A446" i="24"/>
  <c r="R445" i="24"/>
  <c r="P445" i="24"/>
  <c r="A445" i="24"/>
  <c r="R444" i="24"/>
  <c r="P444" i="24"/>
  <c r="A444" i="24"/>
  <c r="R443" i="24"/>
  <c r="P443" i="24"/>
  <c r="A443" i="24"/>
  <c r="R442" i="24"/>
  <c r="P442" i="24"/>
  <c r="A442" i="24"/>
  <c r="R441" i="24"/>
  <c r="P441" i="24"/>
  <c r="A441" i="24"/>
  <c r="R440" i="24"/>
  <c r="P440" i="24"/>
  <c r="A440" i="24"/>
  <c r="R439" i="24"/>
  <c r="P439" i="24"/>
  <c r="A439" i="24"/>
  <c r="R438" i="24"/>
  <c r="P438" i="24"/>
  <c r="A438" i="24"/>
  <c r="R437" i="24"/>
  <c r="P437" i="24"/>
  <c r="A437" i="24"/>
  <c r="R436" i="24"/>
  <c r="P436" i="24"/>
  <c r="A436" i="24"/>
  <c r="R435" i="24"/>
  <c r="P435" i="24"/>
  <c r="A435" i="24"/>
  <c r="R434" i="24"/>
  <c r="P434" i="24"/>
  <c r="A434" i="24"/>
  <c r="R433" i="24"/>
  <c r="P433" i="24"/>
  <c r="A433" i="24"/>
  <c r="R432" i="24"/>
  <c r="P432" i="24"/>
  <c r="A432" i="24"/>
  <c r="R431" i="24"/>
  <c r="P431" i="24"/>
  <c r="A431" i="24"/>
  <c r="R430" i="24"/>
  <c r="P430" i="24"/>
  <c r="A430" i="24"/>
  <c r="R429" i="24"/>
  <c r="P429" i="24"/>
  <c r="A429" i="24"/>
  <c r="R428" i="24"/>
  <c r="P428" i="24"/>
  <c r="A428" i="24"/>
  <c r="R427" i="24"/>
  <c r="P427" i="24"/>
  <c r="A427" i="24"/>
  <c r="R426" i="24"/>
  <c r="P426" i="24"/>
  <c r="A426" i="24"/>
  <c r="R425" i="24"/>
  <c r="P425" i="24"/>
  <c r="A425" i="24"/>
  <c r="R424" i="24"/>
  <c r="P424" i="24"/>
  <c r="A424" i="24"/>
  <c r="R423" i="24"/>
  <c r="P423" i="24"/>
  <c r="A423" i="24"/>
  <c r="R422" i="24"/>
  <c r="P422" i="24"/>
  <c r="A422" i="24"/>
  <c r="R421" i="24"/>
  <c r="P421" i="24"/>
  <c r="A421" i="24"/>
  <c r="R420" i="24"/>
  <c r="P420" i="24"/>
  <c r="A420" i="24"/>
  <c r="R419" i="24"/>
  <c r="P419" i="24"/>
  <c r="A419" i="24"/>
  <c r="R418" i="24"/>
  <c r="P418" i="24"/>
  <c r="A418" i="24"/>
  <c r="R417" i="24"/>
  <c r="P417" i="24"/>
  <c r="A417" i="24"/>
  <c r="R416" i="24"/>
  <c r="P416" i="24"/>
  <c r="A416" i="24"/>
  <c r="R415" i="24"/>
  <c r="P415" i="24"/>
  <c r="A415" i="24"/>
  <c r="R414" i="24"/>
  <c r="P414" i="24"/>
  <c r="A414" i="24"/>
  <c r="R413" i="24"/>
  <c r="P413" i="24"/>
  <c r="A413" i="24"/>
  <c r="R412" i="24"/>
  <c r="P412" i="24"/>
  <c r="A412" i="24"/>
  <c r="R411" i="24"/>
  <c r="P411" i="24"/>
  <c r="A411" i="24"/>
  <c r="R410" i="24"/>
  <c r="P410" i="24"/>
  <c r="A410" i="24"/>
  <c r="R409" i="24"/>
  <c r="P409" i="24"/>
  <c r="A409" i="24"/>
  <c r="R408" i="24"/>
  <c r="P408" i="24"/>
  <c r="A408" i="24"/>
  <c r="R407" i="24"/>
  <c r="P407" i="24"/>
  <c r="A407" i="24"/>
  <c r="R406" i="24"/>
  <c r="P406" i="24"/>
  <c r="A406" i="24"/>
  <c r="R405" i="24"/>
  <c r="P405" i="24"/>
  <c r="A405" i="24"/>
  <c r="R404" i="24"/>
  <c r="P404" i="24"/>
  <c r="A404" i="24"/>
  <c r="R403" i="24"/>
  <c r="P403" i="24"/>
  <c r="A403" i="24"/>
  <c r="R402" i="24"/>
  <c r="P402" i="24"/>
  <c r="A402" i="24"/>
  <c r="R401" i="24"/>
  <c r="P401" i="24"/>
  <c r="A401" i="24"/>
  <c r="R400" i="24"/>
  <c r="P400" i="24"/>
  <c r="A400" i="24"/>
  <c r="R399" i="24"/>
  <c r="P399" i="24"/>
  <c r="A399" i="24"/>
  <c r="R398" i="24"/>
  <c r="P398" i="24"/>
  <c r="A398" i="24"/>
  <c r="R397" i="24"/>
  <c r="P397" i="24"/>
  <c r="A397" i="24"/>
  <c r="R396" i="24"/>
  <c r="P396" i="24"/>
  <c r="A396" i="24"/>
  <c r="R395" i="24"/>
  <c r="P395" i="24"/>
  <c r="A395" i="24"/>
  <c r="R394" i="24"/>
  <c r="P394" i="24"/>
  <c r="A394" i="24"/>
  <c r="R393" i="24"/>
  <c r="P393" i="24"/>
  <c r="A393" i="24"/>
  <c r="R392" i="24"/>
  <c r="P392" i="24"/>
  <c r="A392" i="24"/>
  <c r="R391" i="24"/>
  <c r="P391" i="24"/>
  <c r="A391" i="24"/>
  <c r="R390" i="24"/>
  <c r="P390" i="24"/>
  <c r="A390" i="24"/>
  <c r="R389" i="24"/>
  <c r="P389" i="24"/>
  <c r="A389" i="24"/>
  <c r="R388" i="24"/>
  <c r="P388" i="24"/>
  <c r="A388" i="24"/>
  <c r="R387" i="24"/>
  <c r="P387" i="24"/>
  <c r="A387" i="24"/>
  <c r="R386" i="24"/>
  <c r="P386" i="24"/>
  <c r="A386" i="24"/>
  <c r="R385" i="24"/>
  <c r="P385" i="24"/>
  <c r="A385" i="24"/>
  <c r="R384" i="24"/>
  <c r="P384" i="24"/>
  <c r="A384" i="24"/>
  <c r="R383" i="24"/>
  <c r="P383" i="24"/>
  <c r="A383" i="24"/>
  <c r="R382" i="24"/>
  <c r="P382" i="24"/>
  <c r="A382" i="24"/>
  <c r="R381" i="24"/>
  <c r="P381" i="24"/>
  <c r="A381" i="24"/>
  <c r="R380" i="24"/>
  <c r="P380" i="24"/>
  <c r="A380" i="24"/>
  <c r="R379" i="24"/>
  <c r="P379" i="24"/>
  <c r="A379" i="24"/>
  <c r="R378" i="24"/>
  <c r="P378" i="24"/>
  <c r="A378" i="24"/>
  <c r="R377" i="24"/>
  <c r="P377" i="24"/>
  <c r="A377" i="24"/>
  <c r="R376" i="24"/>
  <c r="P376" i="24"/>
  <c r="A376" i="24"/>
  <c r="R375" i="24"/>
  <c r="P375" i="24"/>
  <c r="A375" i="24"/>
  <c r="R374" i="24"/>
  <c r="P374" i="24"/>
  <c r="A374" i="24"/>
  <c r="R373" i="24"/>
  <c r="P373" i="24"/>
  <c r="A373" i="24"/>
  <c r="R372" i="24"/>
  <c r="P372" i="24"/>
  <c r="A372" i="24"/>
  <c r="R371" i="24"/>
  <c r="P371" i="24"/>
  <c r="A371" i="24"/>
  <c r="R370" i="24"/>
  <c r="P370" i="24"/>
  <c r="A370" i="24"/>
  <c r="R369" i="24"/>
  <c r="P369" i="24"/>
  <c r="A369" i="24"/>
  <c r="R368" i="24"/>
  <c r="P368" i="24"/>
  <c r="A368" i="24"/>
  <c r="R367" i="24"/>
  <c r="P367" i="24"/>
  <c r="A367" i="24"/>
  <c r="R366" i="24"/>
  <c r="P366" i="24"/>
  <c r="A366" i="24"/>
  <c r="R365" i="24"/>
  <c r="P365" i="24"/>
  <c r="A365" i="24"/>
  <c r="R364" i="24"/>
  <c r="P364" i="24"/>
  <c r="A364" i="24"/>
  <c r="R363" i="24"/>
  <c r="P363" i="24"/>
  <c r="A363" i="24"/>
  <c r="R362" i="24"/>
  <c r="P362" i="24"/>
  <c r="A362" i="24"/>
  <c r="R361" i="24"/>
  <c r="P361" i="24"/>
  <c r="A361" i="24"/>
  <c r="R360" i="24"/>
  <c r="P360" i="24"/>
  <c r="A360" i="24"/>
  <c r="R359" i="24"/>
  <c r="P359" i="24"/>
  <c r="A359" i="24"/>
  <c r="R358" i="24"/>
  <c r="P358" i="24"/>
  <c r="A358" i="24"/>
  <c r="R357" i="24"/>
  <c r="P357" i="24"/>
  <c r="A357" i="24"/>
  <c r="R356" i="24"/>
  <c r="P356" i="24"/>
  <c r="A356" i="24"/>
  <c r="R355" i="24"/>
  <c r="P355" i="24"/>
  <c r="A355" i="24"/>
  <c r="R354" i="24"/>
  <c r="P354" i="24"/>
  <c r="A354" i="24"/>
  <c r="R353" i="24"/>
  <c r="P353" i="24"/>
  <c r="A353" i="24"/>
  <c r="R352" i="24"/>
  <c r="P352" i="24"/>
  <c r="A352" i="24"/>
  <c r="R351" i="24"/>
  <c r="P351" i="24"/>
  <c r="A351" i="24"/>
  <c r="R350" i="24"/>
  <c r="P350" i="24"/>
  <c r="A350" i="24"/>
  <c r="R349" i="24"/>
  <c r="P349" i="24"/>
  <c r="A349" i="24"/>
  <c r="R348" i="24"/>
  <c r="P348" i="24"/>
  <c r="A348" i="24"/>
  <c r="R347" i="24"/>
  <c r="P347" i="24"/>
  <c r="A347" i="24"/>
  <c r="R346" i="24"/>
  <c r="P346" i="24"/>
  <c r="A346" i="24"/>
  <c r="R345" i="24"/>
  <c r="P345" i="24"/>
  <c r="A345" i="24"/>
  <c r="R344" i="24"/>
  <c r="P344" i="24"/>
  <c r="A344" i="24"/>
  <c r="R343" i="24"/>
  <c r="P343" i="24"/>
  <c r="A343" i="24"/>
  <c r="R342" i="24"/>
  <c r="P342" i="24"/>
  <c r="A342" i="24"/>
  <c r="R341" i="24"/>
  <c r="P341" i="24"/>
  <c r="A341" i="24"/>
  <c r="R340" i="24"/>
  <c r="P340" i="24"/>
  <c r="A340" i="24"/>
  <c r="R339" i="24"/>
  <c r="P339" i="24"/>
  <c r="A339" i="24"/>
  <c r="R338" i="24"/>
  <c r="P338" i="24"/>
  <c r="A338" i="24"/>
  <c r="R337" i="24"/>
  <c r="P337" i="24"/>
  <c r="A337" i="24"/>
  <c r="R336" i="24"/>
  <c r="P336" i="24"/>
  <c r="A336" i="24"/>
  <c r="R335" i="24"/>
  <c r="P335" i="24"/>
  <c r="A335" i="24"/>
  <c r="R334" i="24"/>
  <c r="P334" i="24"/>
  <c r="A334" i="24"/>
  <c r="R333" i="24"/>
  <c r="P333" i="24"/>
  <c r="A333" i="24"/>
  <c r="R332" i="24"/>
  <c r="P332" i="24"/>
  <c r="A332" i="24"/>
  <c r="R331" i="24"/>
  <c r="P331" i="24"/>
  <c r="A331" i="24"/>
  <c r="R330" i="24"/>
  <c r="P330" i="24"/>
  <c r="A330" i="24"/>
  <c r="R329" i="24"/>
  <c r="P329" i="24"/>
  <c r="A329" i="24"/>
  <c r="R328" i="24"/>
  <c r="P328" i="24"/>
  <c r="A328" i="24"/>
  <c r="R327" i="24"/>
  <c r="P327" i="24"/>
  <c r="A327" i="24"/>
  <c r="R326" i="24"/>
  <c r="P326" i="24"/>
  <c r="A326" i="24"/>
  <c r="R325" i="24"/>
  <c r="P325" i="24"/>
  <c r="A325" i="24"/>
  <c r="R324" i="24"/>
  <c r="P324" i="24"/>
  <c r="A324" i="24"/>
  <c r="R323" i="24"/>
  <c r="P323" i="24"/>
  <c r="A323" i="24"/>
  <c r="R322" i="24"/>
  <c r="P322" i="24"/>
  <c r="A322" i="24"/>
  <c r="R321" i="24"/>
  <c r="P321" i="24"/>
  <c r="A321" i="24"/>
  <c r="R320" i="24"/>
  <c r="P320" i="24"/>
  <c r="A320" i="24"/>
  <c r="R319" i="24"/>
  <c r="P319" i="24"/>
  <c r="A319" i="24"/>
  <c r="R318" i="24"/>
  <c r="P318" i="24"/>
  <c r="A318" i="24"/>
  <c r="R317" i="24"/>
  <c r="P317" i="24"/>
  <c r="A317" i="24"/>
  <c r="R316" i="24"/>
  <c r="P316" i="24"/>
  <c r="A316" i="24"/>
  <c r="R315" i="24"/>
  <c r="P315" i="24"/>
  <c r="A315" i="24"/>
  <c r="R314" i="24"/>
  <c r="P314" i="24"/>
  <c r="A314" i="24"/>
  <c r="R313" i="24"/>
  <c r="P313" i="24"/>
  <c r="A313" i="24"/>
  <c r="R312" i="24"/>
  <c r="P312" i="24"/>
  <c r="A312" i="24"/>
  <c r="R311" i="24"/>
  <c r="P311" i="24"/>
  <c r="A311" i="24"/>
  <c r="R310" i="24"/>
  <c r="P310" i="24"/>
  <c r="A310" i="24"/>
  <c r="R309" i="24"/>
  <c r="P309" i="24"/>
  <c r="A309" i="24"/>
  <c r="R308" i="24"/>
  <c r="P308" i="24"/>
  <c r="A308" i="24"/>
  <c r="R307" i="24"/>
  <c r="P307" i="24"/>
  <c r="A307" i="24"/>
  <c r="R306" i="24"/>
  <c r="P306" i="24"/>
  <c r="A306" i="24"/>
  <c r="R305" i="24"/>
  <c r="P305" i="24"/>
  <c r="A305" i="24"/>
  <c r="R304" i="24"/>
  <c r="P304" i="24"/>
  <c r="A304" i="24"/>
  <c r="R303" i="24"/>
  <c r="P303" i="24"/>
  <c r="A303" i="24"/>
  <c r="R302" i="24"/>
  <c r="P302" i="24"/>
  <c r="A302" i="24"/>
  <c r="R301" i="24"/>
  <c r="P301" i="24"/>
  <c r="A301" i="24"/>
  <c r="R300" i="24"/>
  <c r="P300" i="24"/>
  <c r="A300" i="24"/>
  <c r="R299" i="24"/>
  <c r="P299" i="24"/>
  <c r="A299" i="24"/>
  <c r="R298" i="24"/>
  <c r="P298" i="24"/>
  <c r="A298" i="24"/>
  <c r="R297" i="24"/>
  <c r="P297" i="24"/>
  <c r="A297" i="24"/>
  <c r="R296" i="24"/>
  <c r="P296" i="24"/>
  <c r="A296" i="24"/>
  <c r="R295" i="24"/>
  <c r="P295" i="24"/>
  <c r="A295" i="24"/>
  <c r="R294" i="24"/>
  <c r="P294" i="24"/>
  <c r="A294" i="24"/>
  <c r="R293" i="24"/>
  <c r="P293" i="24"/>
  <c r="A293" i="24"/>
  <c r="R292" i="24"/>
  <c r="P292" i="24"/>
  <c r="A292" i="24"/>
  <c r="R291" i="24"/>
  <c r="P291" i="24"/>
  <c r="A291" i="24"/>
  <c r="R290" i="24"/>
  <c r="P290" i="24"/>
  <c r="A290" i="24"/>
  <c r="R289" i="24"/>
  <c r="P289" i="24"/>
  <c r="A289" i="24"/>
  <c r="R288" i="24"/>
  <c r="P288" i="24"/>
  <c r="A288" i="24"/>
  <c r="R287" i="24"/>
  <c r="P287" i="24"/>
  <c r="A287" i="24"/>
  <c r="R286" i="24"/>
  <c r="P286" i="24"/>
  <c r="A286" i="24"/>
  <c r="R285" i="24"/>
  <c r="P285" i="24"/>
  <c r="A285" i="24"/>
  <c r="R284" i="24"/>
  <c r="P284" i="24"/>
  <c r="A284" i="24"/>
  <c r="R283" i="24"/>
  <c r="P283" i="24"/>
  <c r="A283" i="24"/>
  <c r="R282" i="24"/>
  <c r="P282" i="24"/>
  <c r="A282" i="24"/>
  <c r="R281" i="24"/>
  <c r="P281" i="24"/>
  <c r="A281" i="24"/>
  <c r="R280" i="24"/>
  <c r="P280" i="24"/>
  <c r="A280" i="24"/>
  <c r="R279" i="24"/>
  <c r="P279" i="24"/>
  <c r="A279" i="24"/>
  <c r="R278" i="24"/>
  <c r="P278" i="24"/>
  <c r="A278" i="24"/>
  <c r="R277" i="24"/>
  <c r="P277" i="24"/>
  <c r="A277" i="24"/>
  <c r="R276" i="24"/>
  <c r="P276" i="24"/>
  <c r="A276" i="24"/>
  <c r="R275" i="24"/>
  <c r="P275" i="24"/>
  <c r="A275" i="24"/>
  <c r="R274" i="24"/>
  <c r="P274" i="24"/>
  <c r="G274" i="24"/>
  <c r="A274" i="24"/>
  <c r="R273" i="24"/>
  <c r="P273" i="24"/>
  <c r="G273" i="24"/>
  <c r="A273" i="24"/>
  <c r="R272" i="24"/>
  <c r="P272" i="24"/>
  <c r="G272" i="24"/>
  <c r="A272" i="24"/>
  <c r="R271" i="24"/>
  <c r="P271" i="24"/>
  <c r="G271" i="24"/>
  <c r="A271" i="24"/>
  <c r="R270" i="24"/>
  <c r="P270" i="24"/>
  <c r="G270" i="24"/>
  <c r="A270" i="24"/>
  <c r="R269" i="24"/>
  <c r="P269" i="24"/>
  <c r="G269" i="24"/>
  <c r="A269" i="24"/>
  <c r="R268" i="24"/>
  <c r="P268" i="24"/>
  <c r="G268" i="24"/>
  <c r="A268" i="24"/>
  <c r="R267" i="24"/>
  <c r="P267" i="24"/>
  <c r="G267" i="24"/>
  <c r="A267" i="24"/>
  <c r="R266" i="24"/>
  <c r="P266" i="24"/>
  <c r="G266" i="24"/>
  <c r="A266" i="24"/>
  <c r="R265" i="24"/>
  <c r="P265" i="24"/>
  <c r="G265" i="24"/>
  <c r="A265" i="24"/>
  <c r="R264" i="24"/>
  <c r="P264" i="24"/>
  <c r="G264" i="24"/>
  <c r="A264" i="24"/>
  <c r="R263" i="24"/>
  <c r="P263" i="24"/>
  <c r="A263" i="24"/>
  <c r="R262" i="24"/>
  <c r="P262" i="24"/>
  <c r="G262" i="24"/>
  <c r="A262" i="24"/>
  <c r="R261" i="24"/>
  <c r="P261" i="24"/>
  <c r="G261" i="24"/>
  <c r="A261" i="24"/>
  <c r="R260" i="24"/>
  <c r="P260" i="24"/>
  <c r="G260" i="24"/>
  <c r="A260" i="24"/>
  <c r="R259" i="24"/>
  <c r="P259" i="24"/>
  <c r="G259" i="24"/>
  <c r="A259" i="24"/>
  <c r="R258" i="24"/>
  <c r="P258" i="24"/>
  <c r="G258" i="24"/>
  <c r="A258" i="24"/>
  <c r="R257" i="24"/>
  <c r="P257" i="24"/>
  <c r="G257" i="24"/>
  <c r="A257" i="24"/>
  <c r="R256" i="24"/>
  <c r="P256" i="24"/>
  <c r="G256" i="24"/>
  <c r="A256" i="24"/>
  <c r="R255" i="24"/>
  <c r="P255" i="24"/>
  <c r="G255" i="24"/>
  <c r="A255" i="24"/>
  <c r="R254" i="24"/>
  <c r="P254" i="24"/>
  <c r="G254" i="24"/>
  <c r="A254" i="24"/>
  <c r="R253" i="24"/>
  <c r="P253" i="24"/>
  <c r="G253" i="24"/>
  <c r="A253" i="24"/>
  <c r="R252" i="24"/>
  <c r="P252" i="24"/>
  <c r="G252" i="24"/>
  <c r="A252" i="24"/>
  <c r="R251" i="24"/>
  <c r="P251" i="24"/>
  <c r="G251" i="24"/>
  <c r="A251" i="24"/>
  <c r="R250" i="24"/>
  <c r="P250" i="24"/>
  <c r="A250" i="24"/>
  <c r="R249" i="24"/>
  <c r="P249" i="24"/>
  <c r="G249" i="24"/>
  <c r="A249" i="24"/>
  <c r="R248" i="24"/>
  <c r="P248" i="24"/>
  <c r="G248" i="24"/>
  <c r="A248" i="24"/>
  <c r="R247" i="24"/>
  <c r="P247" i="24"/>
  <c r="G247" i="24"/>
  <c r="A247" i="24"/>
  <c r="R246" i="24"/>
  <c r="P246" i="24"/>
  <c r="G246" i="24"/>
  <c r="A246" i="24"/>
  <c r="R245" i="24"/>
  <c r="P245" i="24"/>
  <c r="G245" i="24"/>
  <c r="A245" i="24"/>
  <c r="R244" i="24"/>
  <c r="P244" i="24"/>
  <c r="G244" i="24"/>
  <c r="A244" i="24"/>
  <c r="R243" i="24"/>
  <c r="P243" i="24"/>
  <c r="G243" i="24"/>
  <c r="A243" i="24"/>
  <c r="R242" i="24"/>
  <c r="P242" i="24"/>
  <c r="G242" i="24"/>
  <c r="A242" i="24"/>
  <c r="R241" i="24"/>
  <c r="P241" i="24"/>
  <c r="G241" i="24"/>
  <c r="A241" i="24"/>
  <c r="R240" i="24"/>
  <c r="P240" i="24"/>
  <c r="G240" i="24"/>
  <c r="A240" i="24"/>
  <c r="R239" i="24"/>
  <c r="P239" i="24"/>
  <c r="G239" i="24"/>
  <c r="A239" i="24"/>
  <c r="R238" i="24"/>
  <c r="P238" i="24"/>
  <c r="G238" i="24"/>
  <c r="A238" i="24"/>
  <c r="R237" i="24"/>
  <c r="P237" i="24"/>
  <c r="A237" i="24"/>
  <c r="R236" i="24"/>
  <c r="P236" i="24"/>
  <c r="G236" i="24"/>
  <c r="A236" i="24"/>
  <c r="R235" i="24"/>
  <c r="P235" i="24"/>
  <c r="G235" i="24"/>
  <c r="A235" i="24"/>
  <c r="R234" i="24"/>
  <c r="P234" i="24"/>
  <c r="A234" i="24"/>
  <c r="R233" i="24"/>
  <c r="P233" i="24"/>
  <c r="G233" i="24"/>
  <c r="A233" i="24"/>
  <c r="R232" i="24"/>
  <c r="P232" i="24"/>
  <c r="G232" i="24"/>
  <c r="A232" i="24"/>
  <c r="R231" i="24"/>
  <c r="P231" i="24"/>
  <c r="G231" i="24"/>
  <c r="A231" i="24"/>
  <c r="R230" i="24"/>
  <c r="P230" i="24"/>
  <c r="G230" i="24"/>
  <c r="A230" i="24"/>
  <c r="R229" i="24"/>
  <c r="P229" i="24"/>
  <c r="G229" i="24"/>
  <c r="A229" i="24"/>
  <c r="R228" i="24"/>
  <c r="P228" i="24"/>
  <c r="G228" i="24"/>
  <c r="A228" i="24"/>
  <c r="R227" i="24"/>
  <c r="P227" i="24"/>
  <c r="G227" i="24"/>
  <c r="A227" i="24"/>
  <c r="R226" i="24"/>
  <c r="P226" i="24"/>
  <c r="G226" i="24"/>
  <c r="A226" i="24"/>
  <c r="R225" i="24"/>
  <c r="P225" i="24"/>
  <c r="G225" i="24"/>
  <c r="A225" i="24"/>
  <c r="R224" i="24"/>
  <c r="P224" i="24"/>
  <c r="A224" i="24"/>
  <c r="R223" i="24"/>
  <c r="P223" i="24"/>
  <c r="A223" i="24"/>
  <c r="R222" i="24"/>
  <c r="P222" i="24"/>
  <c r="A222" i="24"/>
  <c r="R221" i="24"/>
  <c r="P221" i="24"/>
  <c r="A221" i="24"/>
  <c r="R220" i="24"/>
  <c r="P220" i="24"/>
  <c r="A220" i="24"/>
  <c r="R219" i="24"/>
  <c r="P219" i="24"/>
  <c r="A219" i="24"/>
  <c r="R218" i="24"/>
  <c r="P218" i="24"/>
  <c r="A218" i="24"/>
  <c r="R217" i="24"/>
  <c r="P217" i="24"/>
  <c r="A217" i="24"/>
  <c r="R216" i="24"/>
  <c r="P216" i="24"/>
  <c r="A216" i="24"/>
  <c r="R215" i="24"/>
  <c r="P215" i="24"/>
  <c r="A215" i="24"/>
  <c r="R214" i="24"/>
  <c r="P214" i="24"/>
  <c r="A214" i="24"/>
  <c r="R213" i="24"/>
  <c r="P213" i="24"/>
  <c r="A213" i="24"/>
  <c r="R212" i="24"/>
  <c r="P212" i="24"/>
  <c r="A212" i="24"/>
  <c r="R211" i="24"/>
  <c r="P211" i="24"/>
  <c r="A211" i="24"/>
  <c r="R210" i="24"/>
  <c r="P210" i="24"/>
  <c r="A210" i="24"/>
  <c r="R209" i="24"/>
  <c r="P209" i="24"/>
  <c r="A209" i="24"/>
  <c r="R208" i="24"/>
  <c r="P208" i="24"/>
  <c r="A208" i="24"/>
  <c r="R207" i="24"/>
  <c r="P207" i="24"/>
  <c r="A207" i="24"/>
  <c r="R206" i="24"/>
  <c r="P206" i="24"/>
  <c r="A206" i="24"/>
  <c r="R205" i="24"/>
  <c r="P205" i="24"/>
  <c r="A205" i="24"/>
  <c r="R204" i="24"/>
  <c r="P204" i="24"/>
  <c r="G204" i="24"/>
  <c r="A204" i="24"/>
  <c r="R203" i="24"/>
  <c r="P203" i="24"/>
  <c r="G203" i="24"/>
  <c r="A203" i="24"/>
  <c r="R202" i="24"/>
  <c r="P202" i="24"/>
  <c r="G202" i="24"/>
  <c r="A202" i="24"/>
  <c r="R201" i="24"/>
  <c r="P201" i="24"/>
  <c r="G201" i="24"/>
  <c r="A201" i="24"/>
  <c r="R200" i="24"/>
  <c r="P200" i="24"/>
  <c r="G200" i="24"/>
  <c r="A200" i="24"/>
  <c r="R199" i="24"/>
  <c r="P199" i="24"/>
  <c r="G199" i="24"/>
  <c r="A199" i="24"/>
  <c r="R198" i="24"/>
  <c r="P198" i="24"/>
  <c r="G198" i="24"/>
  <c r="A198" i="24"/>
  <c r="R197" i="24"/>
  <c r="P197" i="24"/>
  <c r="G197" i="24"/>
  <c r="A197" i="24"/>
  <c r="R196" i="24"/>
  <c r="P196" i="24"/>
  <c r="G196" i="24"/>
  <c r="A196" i="24"/>
  <c r="R195" i="24"/>
  <c r="P195" i="24"/>
  <c r="G195" i="24"/>
  <c r="A195" i="24"/>
  <c r="R194" i="24"/>
  <c r="P194" i="24"/>
  <c r="G194" i="24"/>
  <c r="A194" i="24"/>
  <c r="R193" i="24"/>
  <c r="P193" i="24"/>
  <c r="G193" i="24"/>
  <c r="A193" i="24"/>
  <c r="R192" i="24"/>
  <c r="P192" i="24"/>
  <c r="G192" i="24"/>
  <c r="A192" i="24"/>
  <c r="R191" i="24"/>
  <c r="P191" i="24"/>
  <c r="G191" i="24"/>
  <c r="A191" i="24"/>
  <c r="R190" i="24"/>
  <c r="P190" i="24"/>
  <c r="A190" i="24"/>
  <c r="R189" i="24"/>
  <c r="P189" i="24"/>
  <c r="A189" i="24"/>
  <c r="R188" i="24"/>
  <c r="P188" i="24"/>
  <c r="A188" i="24"/>
  <c r="R187" i="24"/>
  <c r="P187" i="24"/>
  <c r="A187" i="24"/>
  <c r="R186" i="24"/>
  <c r="P186" i="24"/>
  <c r="A186" i="24"/>
  <c r="R185" i="24"/>
  <c r="P185" i="24"/>
  <c r="A185" i="24"/>
  <c r="R184" i="24"/>
  <c r="P184" i="24"/>
  <c r="A184" i="24"/>
  <c r="R183" i="24"/>
  <c r="P183" i="24"/>
  <c r="G183" i="24"/>
  <c r="A183" i="24"/>
  <c r="R182" i="24"/>
  <c r="P182" i="24"/>
  <c r="G182" i="24"/>
  <c r="A182" i="24"/>
  <c r="R181" i="24"/>
  <c r="P181" i="24"/>
  <c r="G181" i="24"/>
  <c r="A181" i="24"/>
  <c r="R180" i="24"/>
  <c r="P180" i="24"/>
  <c r="G180" i="24"/>
  <c r="A180" i="24"/>
  <c r="R179" i="24"/>
  <c r="P179" i="24"/>
  <c r="G179" i="24"/>
  <c r="A179" i="24"/>
  <c r="R178" i="24"/>
  <c r="P178" i="24"/>
  <c r="G178" i="24"/>
  <c r="A178" i="24"/>
  <c r="R177" i="24"/>
  <c r="P177" i="24"/>
  <c r="G177" i="24"/>
  <c r="A177" i="24"/>
  <c r="R176" i="24"/>
  <c r="P176" i="24"/>
  <c r="G176" i="24"/>
  <c r="A176" i="24"/>
  <c r="R175" i="24"/>
  <c r="P175" i="24"/>
  <c r="G175" i="24"/>
  <c r="A175" i="24"/>
  <c r="R174" i="24"/>
  <c r="P174" i="24"/>
  <c r="G174" i="24"/>
  <c r="A174" i="24"/>
  <c r="R173" i="24"/>
  <c r="P173" i="24"/>
  <c r="G173" i="24"/>
  <c r="A173" i="24"/>
  <c r="R172" i="24"/>
  <c r="P172" i="24"/>
  <c r="G172" i="24"/>
  <c r="A172" i="24"/>
  <c r="R171" i="24"/>
  <c r="P171" i="24"/>
  <c r="G171" i="24"/>
  <c r="A171" i="24"/>
  <c r="R170" i="24"/>
  <c r="P170" i="24"/>
  <c r="G170" i="24"/>
  <c r="A170" i="24"/>
  <c r="R169" i="24"/>
  <c r="P169" i="24"/>
  <c r="G169" i="24"/>
  <c r="A169" i="24"/>
  <c r="R168" i="24"/>
  <c r="P168" i="24"/>
  <c r="G168" i="24"/>
  <c r="A168" i="24"/>
  <c r="R167" i="24"/>
  <c r="P167" i="24"/>
  <c r="A167" i="24"/>
  <c r="R166" i="24"/>
  <c r="P166" i="24"/>
  <c r="A166" i="24"/>
  <c r="R165" i="24"/>
  <c r="P165" i="24"/>
  <c r="A165" i="24"/>
  <c r="R164" i="24"/>
  <c r="P164" i="24"/>
  <c r="A164" i="24"/>
  <c r="R163" i="24"/>
  <c r="P163" i="24"/>
  <c r="A163" i="24"/>
  <c r="R162" i="24"/>
  <c r="P162" i="24"/>
  <c r="A162" i="24"/>
  <c r="R161" i="24"/>
  <c r="P161" i="24"/>
  <c r="A161" i="24"/>
  <c r="R160" i="24"/>
  <c r="P160" i="24"/>
  <c r="A160" i="24"/>
  <c r="R159" i="24"/>
  <c r="P159" i="24"/>
  <c r="A159" i="24"/>
  <c r="R158" i="24"/>
  <c r="P158" i="24"/>
  <c r="A158" i="24"/>
  <c r="R157" i="24"/>
  <c r="P157" i="24"/>
  <c r="A157" i="24"/>
  <c r="R156" i="24"/>
  <c r="P156" i="24"/>
  <c r="A156" i="24"/>
  <c r="R155" i="24"/>
  <c r="P155" i="24"/>
  <c r="A155" i="24"/>
  <c r="R154" i="24"/>
  <c r="P154" i="24"/>
  <c r="A154" i="24"/>
  <c r="R153" i="24"/>
  <c r="P153" i="24"/>
  <c r="A153" i="24"/>
  <c r="R152" i="24"/>
  <c r="P152" i="24"/>
  <c r="A152" i="24"/>
  <c r="R151" i="24"/>
  <c r="P151" i="24"/>
  <c r="A151" i="24"/>
  <c r="R150" i="24"/>
  <c r="P150" i="24"/>
  <c r="A150" i="24"/>
  <c r="R149" i="24"/>
  <c r="P149" i="24"/>
  <c r="A149" i="24"/>
  <c r="R148" i="24"/>
  <c r="P148" i="24"/>
  <c r="A148" i="24"/>
  <c r="R147" i="24"/>
  <c r="P147" i="24"/>
  <c r="A147" i="24"/>
  <c r="R146" i="24"/>
  <c r="P146" i="24"/>
  <c r="A146" i="24"/>
  <c r="R145" i="24"/>
  <c r="P145" i="24"/>
  <c r="A145" i="24"/>
  <c r="R144" i="24"/>
  <c r="P144" i="24"/>
  <c r="A144" i="24"/>
  <c r="R143" i="24"/>
  <c r="P143" i="24"/>
  <c r="A143" i="24"/>
  <c r="R142" i="24"/>
  <c r="P142" i="24"/>
  <c r="A142" i="24"/>
  <c r="R141" i="24"/>
  <c r="P141" i="24"/>
  <c r="A141" i="24"/>
  <c r="R140" i="24"/>
  <c r="P140" i="24"/>
  <c r="A140" i="24"/>
  <c r="R139" i="24"/>
  <c r="P139" i="24"/>
  <c r="A139" i="24"/>
  <c r="R138" i="24"/>
  <c r="P138" i="24"/>
  <c r="A138" i="24"/>
  <c r="R137" i="24"/>
  <c r="P137" i="24"/>
  <c r="A137" i="24"/>
  <c r="R136" i="24"/>
  <c r="P136" i="24"/>
  <c r="A136" i="24"/>
  <c r="R135" i="24"/>
  <c r="P135" i="24"/>
  <c r="A135" i="24"/>
  <c r="R134" i="24"/>
  <c r="P134" i="24"/>
  <c r="A134" i="24"/>
  <c r="R133" i="24"/>
  <c r="P133" i="24"/>
  <c r="A133" i="24"/>
  <c r="R132" i="24"/>
  <c r="P132" i="24"/>
  <c r="A132" i="24"/>
  <c r="R131" i="24"/>
  <c r="P131" i="24"/>
  <c r="A131" i="24"/>
  <c r="R130" i="24"/>
  <c r="P130" i="24"/>
  <c r="A130" i="24"/>
  <c r="R129" i="24"/>
  <c r="P129" i="24"/>
  <c r="A129" i="24"/>
  <c r="R128" i="24"/>
  <c r="P128" i="24"/>
  <c r="A128" i="24"/>
  <c r="R127" i="24"/>
  <c r="P127" i="24"/>
  <c r="A127" i="24"/>
  <c r="R126" i="24"/>
  <c r="P126" i="24"/>
  <c r="A126" i="24"/>
  <c r="R125" i="24"/>
  <c r="P125" i="24"/>
  <c r="A125" i="24"/>
  <c r="R124" i="24"/>
  <c r="P124" i="24"/>
  <c r="A124" i="24"/>
  <c r="R123" i="24"/>
  <c r="P123" i="24"/>
  <c r="A123" i="24"/>
  <c r="R122" i="24"/>
  <c r="P122" i="24"/>
  <c r="A122" i="24"/>
  <c r="R121" i="24"/>
  <c r="P121" i="24"/>
  <c r="A121" i="24"/>
  <c r="R120" i="24"/>
  <c r="P120" i="24"/>
  <c r="A120" i="24"/>
  <c r="R119" i="24"/>
  <c r="P119" i="24"/>
  <c r="A119" i="24"/>
  <c r="R118" i="24"/>
  <c r="P118" i="24"/>
  <c r="A118" i="24"/>
  <c r="R117" i="24"/>
  <c r="P117" i="24"/>
  <c r="A117" i="24"/>
  <c r="R116" i="24"/>
  <c r="P116" i="24"/>
  <c r="A116" i="24"/>
  <c r="R115" i="24"/>
  <c r="P115" i="24"/>
  <c r="A115" i="24"/>
  <c r="R114" i="24"/>
  <c r="P114" i="24"/>
  <c r="A114" i="24"/>
  <c r="R113" i="24"/>
  <c r="P113" i="24"/>
  <c r="A113" i="24"/>
  <c r="R112" i="24"/>
  <c r="P112" i="24"/>
  <c r="A112" i="24"/>
  <c r="R111" i="24"/>
  <c r="P111" i="24"/>
  <c r="A111" i="24"/>
  <c r="R110" i="24"/>
  <c r="P110" i="24"/>
  <c r="A110" i="24"/>
  <c r="R109" i="24"/>
  <c r="P109" i="24"/>
  <c r="A109" i="24"/>
  <c r="R108" i="24"/>
  <c r="P108" i="24"/>
  <c r="A108" i="24"/>
  <c r="R107" i="24"/>
  <c r="P107" i="24"/>
  <c r="A107" i="24"/>
  <c r="R106" i="24"/>
  <c r="P106" i="24"/>
  <c r="A106" i="24"/>
  <c r="R105" i="24"/>
  <c r="P105" i="24"/>
  <c r="A105" i="24"/>
  <c r="R104" i="24"/>
  <c r="P104" i="24"/>
  <c r="A104" i="24"/>
  <c r="R103" i="24"/>
  <c r="P103" i="24"/>
  <c r="A103" i="24"/>
  <c r="R102" i="24"/>
  <c r="P102" i="24"/>
  <c r="A102" i="24"/>
  <c r="R101" i="24"/>
  <c r="P101" i="24"/>
  <c r="A101" i="24"/>
  <c r="R100" i="24"/>
  <c r="P100" i="24"/>
  <c r="A100" i="24"/>
  <c r="R99" i="24"/>
  <c r="P99" i="24"/>
  <c r="A99" i="24"/>
  <c r="R98" i="24"/>
  <c r="P98" i="24"/>
  <c r="A98" i="24"/>
  <c r="R97" i="24"/>
  <c r="P97" i="24"/>
  <c r="A97" i="24"/>
  <c r="R96" i="24"/>
  <c r="P96" i="24"/>
  <c r="A96" i="24"/>
  <c r="R95" i="24"/>
  <c r="P95" i="24"/>
  <c r="A95" i="24"/>
  <c r="R94" i="24"/>
  <c r="P94" i="24"/>
  <c r="A94" i="24"/>
  <c r="R93" i="24"/>
  <c r="P93" i="24"/>
  <c r="A93" i="24"/>
  <c r="R92" i="24"/>
  <c r="P92" i="24"/>
  <c r="A92" i="24"/>
  <c r="R91" i="24"/>
  <c r="P91" i="24"/>
  <c r="A91" i="24"/>
  <c r="R90" i="24"/>
  <c r="P90" i="24"/>
  <c r="A90" i="24"/>
  <c r="R89" i="24"/>
  <c r="P89" i="24"/>
  <c r="A89" i="24"/>
  <c r="R88" i="24"/>
  <c r="P88" i="24"/>
  <c r="A88" i="24"/>
  <c r="R87" i="24"/>
  <c r="P87" i="24"/>
  <c r="A87" i="24"/>
  <c r="R86" i="24"/>
  <c r="P86" i="24"/>
  <c r="A86" i="24"/>
  <c r="R85" i="24"/>
  <c r="P85" i="24"/>
  <c r="A85" i="24"/>
  <c r="R84" i="24"/>
  <c r="P84" i="24"/>
  <c r="A84" i="24"/>
  <c r="R83" i="24"/>
  <c r="P83" i="24"/>
  <c r="A83" i="24"/>
  <c r="R82" i="24"/>
  <c r="P82" i="24"/>
  <c r="A82" i="24"/>
  <c r="R81" i="24"/>
  <c r="P81" i="24"/>
  <c r="A81" i="24"/>
  <c r="R80" i="24"/>
  <c r="P80" i="24"/>
  <c r="A80" i="24"/>
  <c r="R79" i="24"/>
  <c r="P79" i="24"/>
  <c r="A79" i="24"/>
  <c r="R78" i="24"/>
  <c r="P78" i="24"/>
  <c r="A78" i="24"/>
  <c r="R77" i="24"/>
  <c r="P77" i="24"/>
  <c r="A77" i="24"/>
  <c r="R76" i="24"/>
  <c r="P76" i="24"/>
  <c r="A76" i="24"/>
  <c r="R75" i="24"/>
  <c r="P75" i="24"/>
  <c r="A75" i="24"/>
  <c r="R74" i="24"/>
  <c r="P74" i="24"/>
  <c r="A74" i="24"/>
  <c r="R73" i="24"/>
  <c r="P73" i="24"/>
  <c r="A73" i="24"/>
  <c r="R72" i="24"/>
  <c r="P72" i="24"/>
  <c r="A72" i="24"/>
  <c r="R71" i="24"/>
  <c r="P71" i="24"/>
  <c r="A71" i="24"/>
  <c r="R70" i="24"/>
  <c r="P70" i="24"/>
  <c r="A70" i="24"/>
  <c r="R69" i="24"/>
  <c r="P69" i="24"/>
  <c r="A69" i="24"/>
  <c r="R68" i="24"/>
  <c r="P68" i="24"/>
  <c r="A68" i="24"/>
  <c r="R67" i="24"/>
  <c r="P67" i="24"/>
  <c r="A67" i="24"/>
  <c r="R66" i="24"/>
  <c r="P66" i="24"/>
  <c r="A66" i="24"/>
  <c r="R65" i="24"/>
  <c r="P65" i="24"/>
  <c r="A65" i="24"/>
  <c r="R64" i="24"/>
  <c r="P64" i="24"/>
  <c r="A64" i="24"/>
  <c r="R63" i="24"/>
  <c r="P63" i="24"/>
  <c r="A63" i="24"/>
  <c r="R62" i="24"/>
  <c r="P62" i="24"/>
  <c r="A62" i="24"/>
  <c r="R61" i="24"/>
  <c r="P61" i="24"/>
  <c r="A61" i="24"/>
  <c r="R60" i="24"/>
  <c r="P60" i="24"/>
  <c r="A60" i="24"/>
  <c r="R59" i="24"/>
  <c r="P59" i="24"/>
  <c r="A59" i="24"/>
  <c r="R58" i="24"/>
  <c r="P58" i="24"/>
  <c r="A58" i="24"/>
  <c r="R57" i="24"/>
  <c r="P57" i="24"/>
  <c r="A57" i="24"/>
  <c r="R56" i="24"/>
  <c r="P56" i="24"/>
  <c r="A56" i="24"/>
  <c r="R55" i="24"/>
  <c r="P55" i="24"/>
  <c r="A55" i="24"/>
  <c r="R54" i="24"/>
  <c r="P54" i="24"/>
  <c r="A54" i="24"/>
  <c r="R53" i="24"/>
  <c r="P53" i="24"/>
  <c r="A53" i="24"/>
  <c r="R52" i="24"/>
  <c r="P52" i="24"/>
  <c r="A52" i="24"/>
  <c r="R51" i="24"/>
  <c r="P51" i="24"/>
  <c r="A51" i="24"/>
  <c r="R50" i="24"/>
  <c r="P50" i="24"/>
  <c r="A50" i="24"/>
  <c r="R49" i="24"/>
  <c r="P49" i="24"/>
  <c r="A49" i="24"/>
  <c r="R48" i="24"/>
  <c r="P48" i="24"/>
  <c r="A48" i="24"/>
  <c r="R47" i="24"/>
  <c r="P47" i="24"/>
  <c r="A47" i="24"/>
  <c r="R46" i="24"/>
  <c r="P46" i="24"/>
  <c r="A46" i="24"/>
  <c r="R45" i="24"/>
  <c r="P45" i="24"/>
  <c r="A45" i="24"/>
  <c r="R44" i="24"/>
  <c r="P44" i="24"/>
  <c r="A44" i="24"/>
  <c r="R43" i="24"/>
  <c r="P43" i="24"/>
  <c r="A43" i="24"/>
  <c r="R42" i="24"/>
  <c r="P42" i="24"/>
  <c r="A42" i="24"/>
  <c r="R41" i="24"/>
  <c r="P41" i="24"/>
  <c r="A41" i="24"/>
  <c r="R40" i="24"/>
  <c r="P40" i="24"/>
  <c r="A40" i="24"/>
  <c r="R39" i="24"/>
  <c r="P39" i="24"/>
  <c r="A39" i="24"/>
  <c r="R38" i="24"/>
  <c r="P38" i="24"/>
  <c r="A38" i="24"/>
  <c r="R37" i="24"/>
  <c r="P37" i="24"/>
  <c r="A37" i="24"/>
  <c r="R36" i="24"/>
  <c r="P36" i="24"/>
  <c r="A36" i="24"/>
  <c r="R35" i="24"/>
  <c r="P35" i="24"/>
  <c r="A35" i="24"/>
  <c r="R34" i="24"/>
  <c r="P34" i="24"/>
  <c r="A34" i="24"/>
  <c r="R33" i="24"/>
  <c r="P33" i="24"/>
  <c r="A33" i="24"/>
  <c r="R32" i="24"/>
  <c r="P32" i="24"/>
  <c r="A32" i="24"/>
  <c r="R31" i="24"/>
  <c r="P31" i="24"/>
  <c r="A31" i="24"/>
  <c r="R30" i="24"/>
  <c r="P30" i="24"/>
  <c r="A30" i="24"/>
  <c r="R29" i="24"/>
  <c r="P29" i="24"/>
  <c r="A29" i="24"/>
  <c r="R28" i="24"/>
  <c r="P28" i="24"/>
  <c r="A28" i="24"/>
  <c r="R27" i="24"/>
  <c r="P27" i="24"/>
  <c r="A27" i="24"/>
  <c r="R26" i="24"/>
  <c r="P26" i="24"/>
  <c r="A26" i="24"/>
  <c r="R25" i="24"/>
  <c r="P25" i="24"/>
  <c r="A25" i="24"/>
  <c r="R24" i="24"/>
  <c r="P24" i="24"/>
  <c r="A24" i="24"/>
  <c r="R23" i="24"/>
  <c r="P23" i="24"/>
  <c r="A23" i="24"/>
  <c r="R22" i="24"/>
  <c r="P22" i="24"/>
  <c r="A22" i="24"/>
  <c r="R21" i="24"/>
  <c r="P21" i="24"/>
  <c r="A21" i="24"/>
  <c r="R20" i="24"/>
  <c r="P20" i="24"/>
  <c r="A20" i="24"/>
  <c r="R19" i="24"/>
  <c r="P19" i="24"/>
  <c r="A19" i="24"/>
  <c r="R18" i="24"/>
  <c r="P18" i="24"/>
  <c r="A18" i="24"/>
  <c r="R17" i="24"/>
  <c r="P17" i="24"/>
  <c r="A17" i="24"/>
  <c r="R16" i="24"/>
  <c r="P16" i="24"/>
  <c r="A16" i="24"/>
  <c r="R15" i="24"/>
  <c r="P15" i="24"/>
  <c r="A15" i="24"/>
  <c r="R14" i="24"/>
  <c r="P14" i="24"/>
  <c r="A14" i="24"/>
  <c r="R13" i="24"/>
  <c r="P13" i="24"/>
  <c r="A13" i="24"/>
  <c r="R12" i="24"/>
  <c r="P12" i="24"/>
  <c r="A12" i="24"/>
  <c r="R11" i="24"/>
  <c r="P11" i="24"/>
  <c r="A11" i="24"/>
  <c r="A10" i="24"/>
  <c r="B6" i="24"/>
  <c r="B5" i="24"/>
  <c r="W4" i="24"/>
  <c r="V4" i="24"/>
  <c r="U4" i="24"/>
  <c r="T4" i="24"/>
  <c r="R4" i="24"/>
  <c r="Q4" i="24"/>
  <c r="P4" i="24"/>
  <c r="O4" i="24"/>
  <c r="M4" i="24"/>
  <c r="L4" i="24"/>
  <c r="J4" i="24"/>
  <c r="I4" i="24"/>
  <c r="G4" i="24"/>
  <c r="F4" i="24"/>
  <c r="E4" i="24"/>
  <c r="D4" i="24"/>
  <c r="C4" i="24"/>
  <c r="A2057" i="23"/>
  <c r="A2056" i="23"/>
  <c r="A2055" i="23"/>
  <c r="A2054" i="23"/>
  <c r="A2053" i="23"/>
  <c r="A2052" i="23"/>
  <c r="A2051" i="23"/>
  <c r="A2050" i="23"/>
  <c r="A2049" i="23"/>
  <c r="A2048" i="23"/>
  <c r="A2047" i="23"/>
  <c r="A2046" i="23"/>
  <c r="A2045" i="23"/>
  <c r="A2044" i="23"/>
  <c r="A2043" i="23"/>
  <c r="A2042" i="23"/>
  <c r="R2041" i="23"/>
  <c r="P2041" i="23"/>
  <c r="A2041" i="23"/>
  <c r="R2040" i="23"/>
  <c r="P2040" i="23"/>
  <c r="A2040" i="23"/>
  <c r="R2039" i="23"/>
  <c r="P2039" i="23"/>
  <c r="A2039" i="23"/>
  <c r="R2038" i="23"/>
  <c r="P2038" i="23"/>
  <c r="A2038" i="23"/>
  <c r="R2037" i="23"/>
  <c r="P2037" i="23"/>
  <c r="A2037" i="23"/>
  <c r="R2036" i="23"/>
  <c r="P2036" i="23"/>
  <c r="A2036" i="23"/>
  <c r="R2035" i="23"/>
  <c r="P2035" i="23"/>
  <c r="A2035" i="23"/>
  <c r="R2034" i="23"/>
  <c r="P2034" i="23"/>
  <c r="A2034" i="23"/>
  <c r="R2033" i="23"/>
  <c r="P2033" i="23"/>
  <c r="A2033" i="23"/>
  <c r="R2032" i="23"/>
  <c r="P2032" i="23"/>
  <c r="A2032" i="23"/>
  <c r="R2031" i="23"/>
  <c r="P2031" i="23"/>
  <c r="A2031" i="23"/>
  <c r="R2030" i="23"/>
  <c r="P2030" i="23"/>
  <c r="A2030" i="23"/>
  <c r="R2029" i="23"/>
  <c r="P2029" i="23"/>
  <c r="A2029" i="23"/>
  <c r="R2028" i="23"/>
  <c r="P2028" i="23"/>
  <c r="A2028" i="23"/>
  <c r="R2027" i="23"/>
  <c r="P2027" i="23"/>
  <c r="A2027" i="23"/>
  <c r="R2026" i="23"/>
  <c r="P2026" i="23"/>
  <c r="A2026" i="23"/>
  <c r="R2025" i="23"/>
  <c r="P2025" i="23"/>
  <c r="A2025" i="23"/>
  <c r="R2024" i="23"/>
  <c r="P2024" i="23"/>
  <c r="A2024" i="23"/>
  <c r="R2023" i="23"/>
  <c r="P2023" i="23"/>
  <c r="A2023" i="23"/>
  <c r="R2022" i="23"/>
  <c r="P2022" i="23"/>
  <c r="A2022" i="23"/>
  <c r="R2021" i="23"/>
  <c r="P2021" i="23"/>
  <c r="A2021" i="23"/>
  <c r="R2020" i="23"/>
  <c r="P2020" i="23"/>
  <c r="A2020" i="23"/>
  <c r="R2019" i="23"/>
  <c r="P2019" i="23"/>
  <c r="A2019" i="23"/>
  <c r="R2018" i="23"/>
  <c r="P2018" i="23"/>
  <c r="A2018" i="23"/>
  <c r="R2017" i="23"/>
  <c r="P2017" i="23"/>
  <c r="A2017" i="23"/>
  <c r="R2016" i="23"/>
  <c r="P2016" i="23"/>
  <c r="A2016" i="23"/>
  <c r="R2015" i="23"/>
  <c r="P2015" i="23"/>
  <c r="A2015" i="23"/>
  <c r="R2014" i="23"/>
  <c r="P2014" i="23"/>
  <c r="A2014" i="23"/>
  <c r="R2013" i="23"/>
  <c r="P2013" i="23"/>
  <c r="A2013" i="23"/>
  <c r="R2012" i="23"/>
  <c r="P2012" i="23"/>
  <c r="A2012" i="23"/>
  <c r="R2011" i="23"/>
  <c r="P2011" i="23"/>
  <c r="A2011" i="23"/>
  <c r="R2010" i="23"/>
  <c r="P2010" i="23"/>
  <c r="A2010" i="23"/>
  <c r="R2009" i="23"/>
  <c r="P2009" i="23"/>
  <c r="A2009" i="23"/>
  <c r="R2008" i="23"/>
  <c r="P2008" i="23"/>
  <c r="A2008" i="23"/>
  <c r="R2007" i="23"/>
  <c r="P2007" i="23"/>
  <c r="A2007" i="23"/>
  <c r="R2006" i="23"/>
  <c r="P2006" i="23"/>
  <c r="A2006" i="23"/>
  <c r="R2005" i="23"/>
  <c r="P2005" i="23"/>
  <c r="A2005" i="23"/>
  <c r="R2004" i="23"/>
  <c r="P2004" i="23"/>
  <c r="A2004" i="23"/>
  <c r="R2003" i="23"/>
  <c r="P2003" i="23"/>
  <c r="A2003" i="23"/>
  <c r="R2002" i="23"/>
  <c r="P2002" i="23"/>
  <c r="A2002" i="23"/>
  <c r="R2001" i="23"/>
  <c r="P2001" i="23"/>
  <c r="A2001" i="23"/>
  <c r="R2000" i="23"/>
  <c r="P2000" i="23"/>
  <c r="A2000" i="23"/>
  <c r="R1999" i="23"/>
  <c r="P1999" i="23"/>
  <c r="A1999" i="23"/>
  <c r="R1998" i="23"/>
  <c r="P1998" i="23"/>
  <c r="A1998" i="23"/>
  <c r="R1997" i="23"/>
  <c r="P1997" i="23"/>
  <c r="A1997" i="23"/>
  <c r="R1996" i="23"/>
  <c r="P1996" i="23"/>
  <c r="A1996" i="23"/>
  <c r="R1995" i="23"/>
  <c r="P1995" i="23"/>
  <c r="A1995" i="23"/>
  <c r="R1994" i="23"/>
  <c r="P1994" i="23"/>
  <c r="A1994" i="23"/>
  <c r="R1993" i="23"/>
  <c r="P1993" i="23"/>
  <c r="A1993" i="23"/>
  <c r="R1992" i="23"/>
  <c r="P1992" i="23"/>
  <c r="A1992" i="23"/>
  <c r="R1991" i="23"/>
  <c r="P1991" i="23"/>
  <c r="A1991" i="23"/>
  <c r="R1990" i="23"/>
  <c r="P1990" i="23"/>
  <c r="A1990" i="23"/>
  <c r="R1989" i="23"/>
  <c r="P1989" i="23"/>
  <c r="A1989" i="23"/>
  <c r="R1988" i="23"/>
  <c r="P1988" i="23"/>
  <c r="A1988" i="23"/>
  <c r="R1987" i="23"/>
  <c r="P1987" i="23"/>
  <c r="A1987" i="23"/>
  <c r="R1986" i="23"/>
  <c r="P1986" i="23"/>
  <c r="A1986" i="23"/>
  <c r="R1985" i="23"/>
  <c r="P1985" i="23"/>
  <c r="A1985" i="23"/>
  <c r="R1984" i="23"/>
  <c r="P1984" i="23"/>
  <c r="A1984" i="23"/>
  <c r="R1983" i="23"/>
  <c r="P1983" i="23"/>
  <c r="A1983" i="23"/>
  <c r="R1982" i="23"/>
  <c r="P1982" i="23"/>
  <c r="A1982" i="23"/>
  <c r="R1981" i="23"/>
  <c r="P1981" i="23"/>
  <c r="A1981" i="23"/>
  <c r="R1980" i="23"/>
  <c r="P1980" i="23"/>
  <c r="A1980" i="23"/>
  <c r="R1979" i="23"/>
  <c r="P1979" i="23"/>
  <c r="A1979" i="23"/>
  <c r="R1978" i="23"/>
  <c r="P1978" i="23"/>
  <c r="A1978" i="23"/>
  <c r="R1977" i="23"/>
  <c r="P1977" i="23"/>
  <c r="A1977" i="23"/>
  <c r="R1976" i="23"/>
  <c r="P1976" i="23"/>
  <c r="A1976" i="23"/>
  <c r="R1975" i="23"/>
  <c r="P1975" i="23"/>
  <c r="A1975" i="23"/>
  <c r="R1974" i="23"/>
  <c r="P1974" i="23"/>
  <c r="A1974" i="23"/>
  <c r="R1973" i="23"/>
  <c r="P1973" i="23"/>
  <c r="A1973" i="23"/>
  <c r="R1972" i="23"/>
  <c r="P1972" i="23"/>
  <c r="A1972" i="23"/>
  <c r="R1971" i="23"/>
  <c r="P1971" i="23"/>
  <c r="A1971" i="23"/>
  <c r="R1970" i="23"/>
  <c r="P1970" i="23"/>
  <c r="A1970" i="23"/>
  <c r="R1969" i="23"/>
  <c r="P1969" i="23"/>
  <c r="A1969" i="23"/>
  <c r="R1968" i="23"/>
  <c r="P1968" i="23"/>
  <c r="A1968" i="23"/>
  <c r="R1967" i="23"/>
  <c r="P1967" i="23"/>
  <c r="A1967" i="23"/>
  <c r="R1966" i="23"/>
  <c r="P1966" i="23"/>
  <c r="A1966" i="23"/>
  <c r="R1965" i="23"/>
  <c r="P1965" i="23"/>
  <c r="A1965" i="23"/>
  <c r="R1964" i="23"/>
  <c r="P1964" i="23"/>
  <c r="A1964" i="23"/>
  <c r="R1963" i="23"/>
  <c r="P1963" i="23"/>
  <c r="A1963" i="23"/>
  <c r="R1962" i="23"/>
  <c r="P1962" i="23"/>
  <c r="A1962" i="23"/>
  <c r="R1961" i="23"/>
  <c r="P1961" i="23"/>
  <c r="A1961" i="23"/>
  <c r="R1960" i="23"/>
  <c r="P1960" i="23"/>
  <c r="A1960" i="23"/>
  <c r="R1959" i="23"/>
  <c r="P1959" i="23"/>
  <c r="A1959" i="23"/>
  <c r="R1958" i="23"/>
  <c r="P1958" i="23"/>
  <c r="A1958" i="23"/>
  <c r="R1957" i="23"/>
  <c r="P1957" i="23"/>
  <c r="A1957" i="23"/>
  <c r="R1956" i="23"/>
  <c r="P1956" i="23"/>
  <c r="A1956" i="23"/>
  <c r="R1955" i="23"/>
  <c r="P1955" i="23"/>
  <c r="A1955" i="23"/>
  <c r="R1954" i="23"/>
  <c r="P1954" i="23"/>
  <c r="A1954" i="23"/>
  <c r="R1953" i="23"/>
  <c r="P1953" i="23"/>
  <c r="A1953" i="23"/>
  <c r="R1952" i="23"/>
  <c r="P1952" i="23"/>
  <c r="A1952" i="23"/>
  <c r="R1951" i="23"/>
  <c r="P1951" i="23"/>
  <c r="A1951" i="23"/>
  <c r="R1950" i="23"/>
  <c r="P1950" i="23"/>
  <c r="A1950" i="23"/>
  <c r="R1949" i="23"/>
  <c r="P1949" i="23"/>
  <c r="A1949" i="23"/>
  <c r="R1948" i="23"/>
  <c r="P1948" i="23"/>
  <c r="A1948" i="23"/>
  <c r="R1947" i="23"/>
  <c r="P1947" i="23"/>
  <c r="A1947" i="23"/>
  <c r="R1946" i="23"/>
  <c r="P1946" i="23"/>
  <c r="A1946" i="23"/>
  <c r="R1945" i="23"/>
  <c r="P1945" i="23"/>
  <c r="A1945" i="23"/>
  <c r="R1944" i="23"/>
  <c r="P1944" i="23"/>
  <c r="A1944" i="23"/>
  <c r="R1943" i="23"/>
  <c r="P1943" i="23"/>
  <c r="A1943" i="23"/>
  <c r="R1942" i="23"/>
  <c r="P1942" i="23"/>
  <c r="A1942" i="23"/>
  <c r="R1941" i="23"/>
  <c r="P1941" i="23"/>
  <c r="A1941" i="23"/>
  <c r="R1940" i="23"/>
  <c r="P1940" i="23"/>
  <c r="A1940" i="23"/>
  <c r="R1939" i="23"/>
  <c r="P1939" i="23"/>
  <c r="A1939" i="23"/>
  <c r="R1938" i="23"/>
  <c r="P1938" i="23"/>
  <c r="A1938" i="23"/>
  <c r="R1937" i="23"/>
  <c r="P1937" i="23"/>
  <c r="A1937" i="23"/>
  <c r="R1936" i="23"/>
  <c r="P1936" i="23"/>
  <c r="A1936" i="23"/>
  <c r="R1935" i="23"/>
  <c r="P1935" i="23"/>
  <c r="A1935" i="23"/>
  <c r="R1934" i="23"/>
  <c r="P1934" i="23"/>
  <c r="A1934" i="23"/>
  <c r="R1933" i="23"/>
  <c r="P1933" i="23"/>
  <c r="A1933" i="23"/>
  <c r="R1932" i="23"/>
  <c r="P1932" i="23"/>
  <c r="A1932" i="23"/>
  <c r="R1931" i="23"/>
  <c r="P1931" i="23"/>
  <c r="A1931" i="23"/>
  <c r="R1930" i="23"/>
  <c r="P1930" i="23"/>
  <c r="A1930" i="23"/>
  <c r="R1929" i="23"/>
  <c r="P1929" i="23"/>
  <c r="A1929" i="23"/>
  <c r="R1928" i="23"/>
  <c r="P1928" i="23"/>
  <c r="A1928" i="23"/>
  <c r="R1927" i="23"/>
  <c r="P1927" i="23"/>
  <c r="A1927" i="23"/>
  <c r="R1926" i="23"/>
  <c r="P1926" i="23"/>
  <c r="A1926" i="23"/>
  <c r="R1925" i="23"/>
  <c r="P1925" i="23"/>
  <c r="A1925" i="23"/>
  <c r="R1924" i="23"/>
  <c r="P1924" i="23"/>
  <c r="A1924" i="23"/>
  <c r="R1923" i="23"/>
  <c r="P1923" i="23"/>
  <c r="A1923" i="23"/>
  <c r="R1922" i="23"/>
  <c r="P1922" i="23"/>
  <c r="A1922" i="23"/>
  <c r="R1921" i="23"/>
  <c r="P1921" i="23"/>
  <c r="A1921" i="23"/>
  <c r="R1920" i="23"/>
  <c r="P1920" i="23"/>
  <c r="A1920" i="23"/>
  <c r="R1919" i="23"/>
  <c r="P1919" i="23"/>
  <c r="A1919" i="23"/>
  <c r="R1918" i="23"/>
  <c r="P1918" i="23"/>
  <c r="A1918" i="23"/>
  <c r="R1917" i="23"/>
  <c r="P1917" i="23"/>
  <c r="A1917" i="23"/>
  <c r="R1916" i="23"/>
  <c r="P1916" i="23"/>
  <c r="A1916" i="23"/>
  <c r="R1915" i="23"/>
  <c r="P1915" i="23"/>
  <c r="A1915" i="23"/>
  <c r="R1914" i="23"/>
  <c r="P1914" i="23"/>
  <c r="A1914" i="23"/>
  <c r="R1913" i="23"/>
  <c r="P1913" i="23"/>
  <c r="A1913" i="23"/>
  <c r="R1912" i="23"/>
  <c r="P1912" i="23"/>
  <c r="A1912" i="23"/>
  <c r="R1911" i="23"/>
  <c r="P1911" i="23"/>
  <c r="A1911" i="23"/>
  <c r="R1910" i="23"/>
  <c r="P1910" i="23"/>
  <c r="A1910" i="23"/>
  <c r="R1909" i="23"/>
  <c r="P1909" i="23"/>
  <c r="A1909" i="23"/>
  <c r="R1908" i="23"/>
  <c r="P1908" i="23"/>
  <c r="A1908" i="23"/>
  <c r="R1907" i="23"/>
  <c r="P1907" i="23"/>
  <c r="A1907" i="23"/>
  <c r="R1906" i="23"/>
  <c r="P1906" i="23"/>
  <c r="A1906" i="23"/>
  <c r="R1905" i="23"/>
  <c r="P1905" i="23"/>
  <c r="A1905" i="23"/>
  <c r="R1904" i="23"/>
  <c r="P1904" i="23"/>
  <c r="A1904" i="23"/>
  <c r="R1903" i="23"/>
  <c r="P1903" i="23"/>
  <c r="A1903" i="23"/>
  <c r="R1902" i="23"/>
  <c r="P1902" i="23"/>
  <c r="A1902" i="23"/>
  <c r="R1901" i="23"/>
  <c r="P1901" i="23"/>
  <c r="A1901" i="23"/>
  <c r="R1900" i="23"/>
  <c r="P1900" i="23"/>
  <c r="A1900" i="23"/>
  <c r="R1899" i="23"/>
  <c r="P1899" i="23"/>
  <c r="A1899" i="23"/>
  <c r="R1898" i="23"/>
  <c r="P1898" i="23"/>
  <c r="A1898" i="23"/>
  <c r="R1897" i="23"/>
  <c r="P1897" i="23"/>
  <c r="A1897" i="23"/>
  <c r="R1896" i="23"/>
  <c r="P1896" i="23"/>
  <c r="A1896" i="23"/>
  <c r="R1895" i="23"/>
  <c r="P1895" i="23"/>
  <c r="A1895" i="23"/>
  <c r="R1894" i="23"/>
  <c r="P1894" i="23"/>
  <c r="A1894" i="23"/>
  <c r="R1893" i="23"/>
  <c r="P1893" i="23"/>
  <c r="A1893" i="23"/>
  <c r="R1892" i="23"/>
  <c r="P1892" i="23"/>
  <c r="A1892" i="23"/>
  <c r="R1891" i="23"/>
  <c r="P1891" i="23"/>
  <c r="A1891" i="23"/>
  <c r="R1890" i="23"/>
  <c r="P1890" i="23"/>
  <c r="A1890" i="23"/>
  <c r="R1889" i="23"/>
  <c r="P1889" i="23"/>
  <c r="A1889" i="23"/>
  <c r="R1888" i="23"/>
  <c r="P1888" i="23"/>
  <c r="A1888" i="23"/>
  <c r="R1887" i="23"/>
  <c r="P1887" i="23"/>
  <c r="A1887" i="23"/>
  <c r="R1886" i="23"/>
  <c r="P1886" i="23"/>
  <c r="A1886" i="23"/>
  <c r="R1885" i="23"/>
  <c r="P1885" i="23"/>
  <c r="A1885" i="23"/>
  <c r="R1884" i="23"/>
  <c r="P1884" i="23"/>
  <c r="A1884" i="23"/>
  <c r="R1883" i="23"/>
  <c r="P1883" i="23"/>
  <c r="A1883" i="23"/>
  <c r="R1882" i="23"/>
  <c r="P1882" i="23"/>
  <c r="A1882" i="23"/>
  <c r="R1881" i="23"/>
  <c r="P1881" i="23"/>
  <c r="A1881" i="23"/>
  <c r="R1880" i="23"/>
  <c r="P1880" i="23"/>
  <c r="A1880" i="23"/>
  <c r="R1879" i="23"/>
  <c r="P1879" i="23"/>
  <c r="A1879" i="23"/>
  <c r="R1878" i="23"/>
  <c r="P1878" i="23"/>
  <c r="A1878" i="23"/>
  <c r="R1877" i="23"/>
  <c r="P1877" i="23"/>
  <c r="A1877" i="23"/>
  <c r="R1876" i="23"/>
  <c r="P1876" i="23"/>
  <c r="A1876" i="23"/>
  <c r="R1875" i="23"/>
  <c r="P1875" i="23"/>
  <c r="A1875" i="23"/>
  <c r="R1874" i="23"/>
  <c r="P1874" i="23"/>
  <c r="A1874" i="23"/>
  <c r="R1873" i="23"/>
  <c r="P1873" i="23"/>
  <c r="A1873" i="23"/>
  <c r="R1872" i="23"/>
  <c r="P1872" i="23"/>
  <c r="A1872" i="23"/>
  <c r="R1871" i="23"/>
  <c r="P1871" i="23"/>
  <c r="A1871" i="23"/>
  <c r="R1870" i="23"/>
  <c r="P1870" i="23"/>
  <c r="A1870" i="23"/>
  <c r="R1869" i="23"/>
  <c r="P1869" i="23"/>
  <c r="A1869" i="23"/>
  <c r="R1868" i="23"/>
  <c r="P1868" i="23"/>
  <c r="A1868" i="23"/>
  <c r="R1867" i="23"/>
  <c r="P1867" i="23"/>
  <c r="A1867" i="23"/>
  <c r="R1866" i="23"/>
  <c r="P1866" i="23"/>
  <c r="A1866" i="23"/>
  <c r="R1865" i="23"/>
  <c r="P1865" i="23"/>
  <c r="A1865" i="23"/>
  <c r="R1864" i="23"/>
  <c r="P1864" i="23"/>
  <c r="A1864" i="23"/>
  <c r="R1863" i="23"/>
  <c r="P1863" i="23"/>
  <c r="A1863" i="23"/>
  <c r="R1862" i="23"/>
  <c r="P1862" i="23"/>
  <c r="A1862" i="23"/>
  <c r="R1861" i="23"/>
  <c r="P1861" i="23"/>
  <c r="A1861" i="23"/>
  <c r="R1860" i="23"/>
  <c r="P1860" i="23"/>
  <c r="A1860" i="23"/>
  <c r="R1859" i="23"/>
  <c r="P1859" i="23"/>
  <c r="A1859" i="23"/>
  <c r="R1858" i="23"/>
  <c r="P1858" i="23"/>
  <c r="A1858" i="23"/>
  <c r="R1857" i="23"/>
  <c r="P1857" i="23"/>
  <c r="A1857" i="23"/>
  <c r="R1856" i="23"/>
  <c r="P1856" i="23"/>
  <c r="A1856" i="23"/>
  <c r="R1855" i="23"/>
  <c r="P1855" i="23"/>
  <c r="A1855" i="23"/>
  <c r="R1854" i="23"/>
  <c r="P1854" i="23"/>
  <c r="A1854" i="23"/>
  <c r="R1853" i="23"/>
  <c r="P1853" i="23"/>
  <c r="A1853" i="23"/>
  <c r="R1852" i="23"/>
  <c r="P1852" i="23"/>
  <c r="A1852" i="23"/>
  <c r="R1851" i="23"/>
  <c r="P1851" i="23"/>
  <c r="A1851" i="23"/>
  <c r="R1850" i="23"/>
  <c r="P1850" i="23"/>
  <c r="A1850" i="23"/>
  <c r="R1849" i="23"/>
  <c r="P1849" i="23"/>
  <c r="A1849" i="23"/>
  <c r="R1848" i="23"/>
  <c r="P1848" i="23"/>
  <c r="A1848" i="23"/>
  <c r="R1847" i="23"/>
  <c r="P1847" i="23"/>
  <c r="A1847" i="23"/>
  <c r="R1846" i="23"/>
  <c r="P1846" i="23"/>
  <c r="A1846" i="23"/>
  <c r="R1845" i="23"/>
  <c r="P1845" i="23"/>
  <c r="A1845" i="23"/>
  <c r="R1844" i="23"/>
  <c r="P1844" i="23"/>
  <c r="A1844" i="23"/>
  <c r="R1843" i="23"/>
  <c r="P1843" i="23"/>
  <c r="A1843" i="23"/>
  <c r="R1842" i="23"/>
  <c r="P1842" i="23"/>
  <c r="A1842" i="23"/>
  <c r="R1841" i="23"/>
  <c r="P1841" i="23"/>
  <c r="A1841" i="23"/>
  <c r="R1840" i="23"/>
  <c r="P1840" i="23"/>
  <c r="A1840" i="23"/>
  <c r="R1839" i="23"/>
  <c r="P1839" i="23"/>
  <c r="A1839" i="23"/>
  <c r="R1838" i="23"/>
  <c r="P1838" i="23"/>
  <c r="A1838" i="23"/>
  <c r="R1837" i="23"/>
  <c r="P1837" i="23"/>
  <c r="A1837" i="23"/>
  <c r="R1836" i="23"/>
  <c r="P1836" i="23"/>
  <c r="A1836" i="23"/>
  <c r="R1835" i="23"/>
  <c r="P1835" i="23"/>
  <c r="A1835" i="23"/>
  <c r="R1834" i="23"/>
  <c r="P1834" i="23"/>
  <c r="A1834" i="23"/>
  <c r="R1833" i="23"/>
  <c r="P1833" i="23"/>
  <c r="A1833" i="23"/>
  <c r="R1832" i="23"/>
  <c r="P1832" i="23"/>
  <c r="A1832" i="23"/>
  <c r="R1831" i="23"/>
  <c r="P1831" i="23"/>
  <c r="A1831" i="23"/>
  <c r="R1830" i="23"/>
  <c r="P1830" i="23"/>
  <c r="A1830" i="23"/>
  <c r="R1829" i="23"/>
  <c r="P1829" i="23"/>
  <c r="A1829" i="23"/>
  <c r="R1828" i="23"/>
  <c r="P1828" i="23"/>
  <c r="A1828" i="23"/>
  <c r="R1827" i="23"/>
  <c r="P1827" i="23"/>
  <c r="A1827" i="23"/>
  <c r="R1826" i="23"/>
  <c r="P1826" i="23"/>
  <c r="A1826" i="23"/>
  <c r="R1825" i="23"/>
  <c r="P1825" i="23"/>
  <c r="A1825" i="23"/>
  <c r="R1824" i="23"/>
  <c r="P1824" i="23"/>
  <c r="A1824" i="23"/>
  <c r="R1823" i="23"/>
  <c r="P1823" i="23"/>
  <c r="A1823" i="23"/>
  <c r="R1822" i="23"/>
  <c r="P1822" i="23"/>
  <c r="A1822" i="23"/>
  <c r="R1821" i="23"/>
  <c r="P1821" i="23"/>
  <c r="A1821" i="23"/>
  <c r="R1820" i="23"/>
  <c r="P1820" i="23"/>
  <c r="A1820" i="23"/>
  <c r="R1819" i="23"/>
  <c r="P1819" i="23"/>
  <c r="A1819" i="23"/>
  <c r="R1818" i="23"/>
  <c r="P1818" i="23"/>
  <c r="A1818" i="23"/>
  <c r="R1817" i="23"/>
  <c r="P1817" i="23"/>
  <c r="A1817" i="23"/>
  <c r="R1816" i="23"/>
  <c r="P1816" i="23"/>
  <c r="A1816" i="23"/>
  <c r="R1815" i="23"/>
  <c r="P1815" i="23"/>
  <c r="A1815" i="23"/>
  <c r="R1814" i="23"/>
  <c r="P1814" i="23"/>
  <c r="A1814" i="23"/>
  <c r="R1813" i="23"/>
  <c r="P1813" i="23"/>
  <c r="A1813" i="23"/>
  <c r="R1812" i="23"/>
  <c r="P1812" i="23"/>
  <c r="A1812" i="23"/>
  <c r="R1811" i="23"/>
  <c r="P1811" i="23"/>
  <c r="A1811" i="23"/>
  <c r="R1810" i="23"/>
  <c r="P1810" i="23"/>
  <c r="A1810" i="23"/>
  <c r="R1809" i="23"/>
  <c r="P1809" i="23"/>
  <c r="A1809" i="23"/>
  <c r="R1808" i="23"/>
  <c r="P1808" i="23"/>
  <c r="A1808" i="23"/>
  <c r="R1807" i="23"/>
  <c r="P1807" i="23"/>
  <c r="A1807" i="23"/>
  <c r="R1806" i="23"/>
  <c r="P1806" i="23"/>
  <c r="A1806" i="23"/>
  <c r="R1805" i="23"/>
  <c r="P1805" i="23"/>
  <c r="A1805" i="23"/>
  <c r="R1804" i="23"/>
  <c r="P1804" i="23"/>
  <c r="A1804" i="23"/>
  <c r="R1803" i="23"/>
  <c r="P1803" i="23"/>
  <c r="A1803" i="23"/>
  <c r="R1802" i="23"/>
  <c r="P1802" i="23"/>
  <c r="A1802" i="23"/>
  <c r="R1801" i="23"/>
  <c r="P1801" i="23"/>
  <c r="A1801" i="23"/>
  <c r="R1800" i="23"/>
  <c r="P1800" i="23"/>
  <c r="A1800" i="23"/>
  <c r="R1799" i="23"/>
  <c r="P1799" i="23"/>
  <c r="A1799" i="23"/>
  <c r="R1798" i="23"/>
  <c r="P1798" i="23"/>
  <c r="A1798" i="23"/>
  <c r="R1797" i="23"/>
  <c r="P1797" i="23"/>
  <c r="A1797" i="23"/>
  <c r="R1796" i="23"/>
  <c r="P1796" i="23"/>
  <c r="A1796" i="23"/>
  <c r="R1795" i="23"/>
  <c r="P1795" i="23"/>
  <c r="A1795" i="23"/>
  <c r="R1794" i="23"/>
  <c r="P1794" i="23"/>
  <c r="A1794" i="23"/>
  <c r="R1793" i="23"/>
  <c r="P1793" i="23"/>
  <c r="A1793" i="23"/>
  <c r="R1792" i="23"/>
  <c r="P1792" i="23"/>
  <c r="A1792" i="23"/>
  <c r="R1791" i="23"/>
  <c r="P1791" i="23"/>
  <c r="A1791" i="23"/>
  <c r="R1790" i="23"/>
  <c r="P1790" i="23"/>
  <c r="A1790" i="23"/>
  <c r="R1789" i="23"/>
  <c r="P1789" i="23"/>
  <c r="A1789" i="23"/>
  <c r="R1788" i="23"/>
  <c r="P1788" i="23"/>
  <c r="A1788" i="23"/>
  <c r="R1787" i="23"/>
  <c r="P1787" i="23"/>
  <c r="A1787" i="23"/>
  <c r="R1786" i="23"/>
  <c r="P1786" i="23"/>
  <c r="A1786" i="23"/>
  <c r="R1785" i="23"/>
  <c r="P1785" i="23"/>
  <c r="A1785" i="23"/>
  <c r="R1784" i="23"/>
  <c r="P1784" i="23"/>
  <c r="A1784" i="23"/>
  <c r="R1783" i="23"/>
  <c r="P1783" i="23"/>
  <c r="A1783" i="23"/>
  <c r="R1782" i="23"/>
  <c r="P1782" i="23"/>
  <c r="A1782" i="23"/>
  <c r="R1781" i="23"/>
  <c r="P1781" i="23"/>
  <c r="A1781" i="23"/>
  <c r="R1780" i="23"/>
  <c r="P1780" i="23"/>
  <c r="A1780" i="23"/>
  <c r="R1779" i="23"/>
  <c r="P1779" i="23"/>
  <c r="A1779" i="23"/>
  <c r="R1778" i="23"/>
  <c r="P1778" i="23"/>
  <c r="A1778" i="23"/>
  <c r="R1777" i="23"/>
  <c r="P1777" i="23"/>
  <c r="A1777" i="23"/>
  <c r="R1776" i="23"/>
  <c r="P1776" i="23"/>
  <c r="A1776" i="23"/>
  <c r="R1775" i="23"/>
  <c r="P1775" i="23"/>
  <c r="A1775" i="23"/>
  <c r="R1774" i="23"/>
  <c r="P1774" i="23"/>
  <c r="A1774" i="23"/>
  <c r="R1773" i="23"/>
  <c r="P1773" i="23"/>
  <c r="A1773" i="23"/>
  <c r="R1772" i="23"/>
  <c r="P1772" i="23"/>
  <c r="A1772" i="23"/>
  <c r="R1771" i="23"/>
  <c r="P1771" i="23"/>
  <c r="A1771" i="23"/>
  <c r="R1770" i="23"/>
  <c r="P1770" i="23"/>
  <c r="A1770" i="23"/>
  <c r="R1769" i="23"/>
  <c r="P1769" i="23"/>
  <c r="A1769" i="23"/>
  <c r="R1768" i="23"/>
  <c r="P1768" i="23"/>
  <c r="A1768" i="23"/>
  <c r="R1767" i="23"/>
  <c r="P1767" i="23"/>
  <c r="A1767" i="23"/>
  <c r="R1766" i="23"/>
  <c r="P1766" i="23"/>
  <c r="A1766" i="23"/>
  <c r="R1765" i="23"/>
  <c r="P1765" i="23"/>
  <c r="A1765" i="23"/>
  <c r="R1764" i="23"/>
  <c r="P1764" i="23"/>
  <c r="A1764" i="23"/>
  <c r="R1763" i="23"/>
  <c r="P1763" i="23"/>
  <c r="A1763" i="23"/>
  <c r="R1762" i="23"/>
  <c r="P1762" i="23"/>
  <c r="A1762" i="23"/>
  <c r="R1761" i="23"/>
  <c r="P1761" i="23"/>
  <c r="A1761" i="23"/>
  <c r="R1760" i="23"/>
  <c r="P1760" i="23"/>
  <c r="A1760" i="23"/>
  <c r="R1759" i="23"/>
  <c r="P1759" i="23"/>
  <c r="A1759" i="23"/>
  <c r="R1758" i="23"/>
  <c r="P1758" i="23"/>
  <c r="A1758" i="23"/>
  <c r="R1757" i="23"/>
  <c r="P1757" i="23"/>
  <c r="A1757" i="23"/>
  <c r="R1756" i="23"/>
  <c r="P1756" i="23"/>
  <c r="A1756" i="23"/>
  <c r="R1755" i="23"/>
  <c r="P1755" i="23"/>
  <c r="A1755" i="23"/>
  <c r="R1754" i="23"/>
  <c r="P1754" i="23"/>
  <c r="A1754" i="23"/>
  <c r="R1753" i="23"/>
  <c r="P1753" i="23"/>
  <c r="A1753" i="23"/>
  <c r="R1752" i="23"/>
  <c r="P1752" i="23"/>
  <c r="A1752" i="23"/>
  <c r="R1751" i="23"/>
  <c r="P1751" i="23"/>
  <c r="A1751" i="23"/>
  <c r="R1750" i="23"/>
  <c r="P1750" i="23"/>
  <c r="A1750" i="23"/>
  <c r="R1749" i="23"/>
  <c r="P1749" i="23"/>
  <c r="A1749" i="23"/>
  <c r="R1748" i="23"/>
  <c r="P1748" i="23"/>
  <c r="A1748" i="23"/>
  <c r="R1747" i="23"/>
  <c r="P1747" i="23"/>
  <c r="A1747" i="23"/>
  <c r="R1746" i="23"/>
  <c r="P1746" i="23"/>
  <c r="A1746" i="23"/>
  <c r="R1745" i="23"/>
  <c r="P1745" i="23"/>
  <c r="A1745" i="23"/>
  <c r="R1744" i="23"/>
  <c r="P1744" i="23"/>
  <c r="A1744" i="23"/>
  <c r="R1743" i="23"/>
  <c r="P1743" i="23"/>
  <c r="A1743" i="23"/>
  <c r="R1742" i="23"/>
  <c r="P1742" i="23"/>
  <c r="A1742" i="23"/>
  <c r="R1741" i="23"/>
  <c r="P1741" i="23"/>
  <c r="A1741" i="23"/>
  <c r="R1740" i="23"/>
  <c r="P1740" i="23"/>
  <c r="A1740" i="23"/>
  <c r="R1739" i="23"/>
  <c r="P1739" i="23"/>
  <c r="A1739" i="23"/>
  <c r="R1738" i="23"/>
  <c r="P1738" i="23"/>
  <c r="A1738" i="23"/>
  <c r="R1737" i="23"/>
  <c r="P1737" i="23"/>
  <c r="A1737" i="23"/>
  <c r="R1736" i="23"/>
  <c r="P1736" i="23"/>
  <c r="A1736" i="23"/>
  <c r="R1735" i="23"/>
  <c r="P1735" i="23"/>
  <c r="A1735" i="23"/>
  <c r="R1734" i="23"/>
  <c r="P1734" i="23"/>
  <c r="A1734" i="23"/>
  <c r="R1733" i="23"/>
  <c r="P1733" i="23"/>
  <c r="A1733" i="23"/>
  <c r="R1732" i="23"/>
  <c r="P1732" i="23"/>
  <c r="A1732" i="23"/>
  <c r="R1731" i="23"/>
  <c r="P1731" i="23"/>
  <c r="A1731" i="23"/>
  <c r="R1730" i="23"/>
  <c r="P1730" i="23"/>
  <c r="A1730" i="23"/>
  <c r="R1729" i="23"/>
  <c r="P1729" i="23"/>
  <c r="A1729" i="23"/>
  <c r="R1728" i="23"/>
  <c r="P1728" i="23"/>
  <c r="A1728" i="23"/>
  <c r="R1727" i="23"/>
  <c r="P1727" i="23"/>
  <c r="A1727" i="23"/>
  <c r="R1726" i="23"/>
  <c r="P1726" i="23"/>
  <c r="A1726" i="23"/>
  <c r="R1725" i="23"/>
  <c r="P1725" i="23"/>
  <c r="A1725" i="23"/>
  <c r="R1724" i="23"/>
  <c r="P1724" i="23"/>
  <c r="A1724" i="23"/>
  <c r="R1723" i="23"/>
  <c r="P1723" i="23"/>
  <c r="A1723" i="23"/>
  <c r="R1722" i="23"/>
  <c r="P1722" i="23"/>
  <c r="A1722" i="23"/>
  <c r="R1721" i="23"/>
  <c r="P1721" i="23"/>
  <c r="A1721" i="23"/>
  <c r="R1720" i="23"/>
  <c r="P1720" i="23"/>
  <c r="A1720" i="23"/>
  <c r="R1719" i="23"/>
  <c r="P1719" i="23"/>
  <c r="A1719" i="23"/>
  <c r="R1718" i="23"/>
  <c r="P1718" i="23"/>
  <c r="A1718" i="23"/>
  <c r="R1717" i="23"/>
  <c r="P1717" i="23"/>
  <c r="A1717" i="23"/>
  <c r="R1716" i="23"/>
  <c r="P1716" i="23"/>
  <c r="A1716" i="23"/>
  <c r="R1715" i="23"/>
  <c r="P1715" i="23"/>
  <c r="A1715" i="23"/>
  <c r="R1714" i="23"/>
  <c r="P1714" i="23"/>
  <c r="A1714" i="23"/>
  <c r="R1713" i="23"/>
  <c r="P1713" i="23"/>
  <c r="A1713" i="23"/>
  <c r="R1712" i="23"/>
  <c r="P1712" i="23"/>
  <c r="A1712" i="23"/>
  <c r="R1711" i="23"/>
  <c r="P1711" i="23"/>
  <c r="A1711" i="23"/>
  <c r="R1710" i="23"/>
  <c r="P1710" i="23"/>
  <c r="A1710" i="23"/>
  <c r="R1709" i="23"/>
  <c r="P1709" i="23"/>
  <c r="A1709" i="23"/>
  <c r="R1708" i="23"/>
  <c r="P1708" i="23"/>
  <c r="A1708" i="23"/>
  <c r="R1707" i="23"/>
  <c r="P1707" i="23"/>
  <c r="A1707" i="23"/>
  <c r="R1706" i="23"/>
  <c r="P1706" i="23"/>
  <c r="A1706" i="23"/>
  <c r="R1705" i="23"/>
  <c r="P1705" i="23"/>
  <c r="A1705" i="23"/>
  <c r="R1704" i="23"/>
  <c r="P1704" i="23"/>
  <c r="A1704" i="23"/>
  <c r="R1703" i="23"/>
  <c r="P1703" i="23"/>
  <c r="A1703" i="23"/>
  <c r="R1702" i="23"/>
  <c r="P1702" i="23"/>
  <c r="A1702" i="23"/>
  <c r="R1701" i="23"/>
  <c r="P1701" i="23"/>
  <c r="A1701" i="23"/>
  <c r="R1700" i="23"/>
  <c r="P1700" i="23"/>
  <c r="A1700" i="23"/>
  <c r="R1699" i="23"/>
  <c r="P1699" i="23"/>
  <c r="A1699" i="23"/>
  <c r="R1698" i="23"/>
  <c r="P1698" i="23"/>
  <c r="A1698" i="23"/>
  <c r="R1697" i="23"/>
  <c r="P1697" i="23"/>
  <c r="A1697" i="23"/>
  <c r="R1696" i="23"/>
  <c r="P1696" i="23"/>
  <c r="A1696" i="23"/>
  <c r="R1695" i="23"/>
  <c r="P1695" i="23"/>
  <c r="A1695" i="23"/>
  <c r="R1694" i="23"/>
  <c r="P1694" i="23"/>
  <c r="A1694" i="23"/>
  <c r="R1693" i="23"/>
  <c r="P1693" i="23"/>
  <c r="A1693" i="23"/>
  <c r="R1692" i="23"/>
  <c r="P1692" i="23"/>
  <c r="A1692" i="23"/>
  <c r="R1691" i="23"/>
  <c r="P1691" i="23"/>
  <c r="A1691" i="23"/>
  <c r="R1690" i="23"/>
  <c r="P1690" i="23"/>
  <c r="A1690" i="23"/>
  <c r="R1689" i="23"/>
  <c r="P1689" i="23"/>
  <c r="A1689" i="23"/>
  <c r="R1688" i="23"/>
  <c r="P1688" i="23"/>
  <c r="A1688" i="23"/>
  <c r="R1687" i="23"/>
  <c r="P1687" i="23"/>
  <c r="A1687" i="23"/>
  <c r="R1686" i="23"/>
  <c r="P1686" i="23"/>
  <c r="A1686" i="23"/>
  <c r="R1685" i="23"/>
  <c r="P1685" i="23"/>
  <c r="A1685" i="23"/>
  <c r="R1684" i="23"/>
  <c r="P1684" i="23"/>
  <c r="A1684" i="23"/>
  <c r="R1683" i="23"/>
  <c r="P1683" i="23"/>
  <c r="A1683" i="23"/>
  <c r="R1682" i="23"/>
  <c r="P1682" i="23"/>
  <c r="A1682" i="23"/>
  <c r="R1681" i="23"/>
  <c r="P1681" i="23"/>
  <c r="A1681" i="23"/>
  <c r="R1680" i="23"/>
  <c r="P1680" i="23"/>
  <c r="A1680" i="23"/>
  <c r="R1679" i="23"/>
  <c r="P1679" i="23"/>
  <c r="A1679" i="23"/>
  <c r="R1678" i="23"/>
  <c r="P1678" i="23"/>
  <c r="A1678" i="23"/>
  <c r="R1677" i="23"/>
  <c r="P1677" i="23"/>
  <c r="A1677" i="23"/>
  <c r="R1676" i="23"/>
  <c r="P1676" i="23"/>
  <c r="A1676" i="23"/>
  <c r="R1675" i="23"/>
  <c r="P1675" i="23"/>
  <c r="A1675" i="23"/>
  <c r="R1674" i="23"/>
  <c r="P1674" i="23"/>
  <c r="A1674" i="23"/>
  <c r="R1673" i="23"/>
  <c r="P1673" i="23"/>
  <c r="A1673" i="23"/>
  <c r="R1672" i="23"/>
  <c r="P1672" i="23"/>
  <c r="A1672" i="23"/>
  <c r="R1671" i="23"/>
  <c r="P1671" i="23"/>
  <c r="A1671" i="23"/>
  <c r="R1670" i="23"/>
  <c r="P1670" i="23"/>
  <c r="A1670" i="23"/>
  <c r="R1669" i="23"/>
  <c r="P1669" i="23"/>
  <c r="A1669" i="23"/>
  <c r="R1668" i="23"/>
  <c r="P1668" i="23"/>
  <c r="A1668" i="23"/>
  <c r="R1667" i="23"/>
  <c r="P1667" i="23"/>
  <c r="A1667" i="23"/>
  <c r="R1666" i="23"/>
  <c r="P1666" i="23"/>
  <c r="A1666" i="23"/>
  <c r="R1665" i="23"/>
  <c r="P1665" i="23"/>
  <c r="A1665" i="23"/>
  <c r="R1664" i="23"/>
  <c r="P1664" i="23"/>
  <c r="A1664" i="23"/>
  <c r="R1663" i="23"/>
  <c r="P1663" i="23"/>
  <c r="A1663" i="23"/>
  <c r="R1662" i="23"/>
  <c r="P1662" i="23"/>
  <c r="A1662" i="23"/>
  <c r="R1661" i="23"/>
  <c r="P1661" i="23"/>
  <c r="A1661" i="23"/>
  <c r="R1660" i="23"/>
  <c r="P1660" i="23"/>
  <c r="A1660" i="23"/>
  <c r="R1659" i="23"/>
  <c r="P1659" i="23"/>
  <c r="A1659" i="23"/>
  <c r="R1658" i="23"/>
  <c r="P1658" i="23"/>
  <c r="A1658" i="23"/>
  <c r="R1657" i="23"/>
  <c r="P1657" i="23"/>
  <c r="A1657" i="23"/>
  <c r="R1656" i="23"/>
  <c r="P1656" i="23"/>
  <c r="A1656" i="23"/>
  <c r="R1655" i="23"/>
  <c r="P1655" i="23"/>
  <c r="A1655" i="23"/>
  <c r="R1654" i="23"/>
  <c r="P1654" i="23"/>
  <c r="A1654" i="23"/>
  <c r="R1653" i="23"/>
  <c r="P1653" i="23"/>
  <c r="A1653" i="23"/>
  <c r="R1652" i="23"/>
  <c r="P1652" i="23"/>
  <c r="A1652" i="23"/>
  <c r="R1651" i="23"/>
  <c r="P1651" i="23"/>
  <c r="A1651" i="23"/>
  <c r="R1650" i="23"/>
  <c r="P1650" i="23"/>
  <c r="A1650" i="23"/>
  <c r="R1649" i="23"/>
  <c r="P1649" i="23"/>
  <c r="A1649" i="23"/>
  <c r="R1648" i="23"/>
  <c r="P1648" i="23"/>
  <c r="A1648" i="23"/>
  <c r="R1647" i="23"/>
  <c r="P1647" i="23"/>
  <c r="A1647" i="23"/>
  <c r="R1646" i="23"/>
  <c r="P1646" i="23"/>
  <c r="A1646" i="23"/>
  <c r="R1645" i="23"/>
  <c r="P1645" i="23"/>
  <c r="A1645" i="23"/>
  <c r="R1644" i="23"/>
  <c r="P1644" i="23"/>
  <c r="A1644" i="23"/>
  <c r="R1643" i="23"/>
  <c r="P1643" i="23"/>
  <c r="A1643" i="23"/>
  <c r="R1642" i="23"/>
  <c r="P1642" i="23"/>
  <c r="A1642" i="23"/>
  <c r="R1641" i="23"/>
  <c r="P1641" i="23"/>
  <c r="A1641" i="23"/>
  <c r="R1640" i="23"/>
  <c r="P1640" i="23"/>
  <c r="A1640" i="23"/>
  <c r="R1639" i="23"/>
  <c r="P1639" i="23"/>
  <c r="A1639" i="23"/>
  <c r="R1638" i="23"/>
  <c r="P1638" i="23"/>
  <c r="A1638" i="23"/>
  <c r="R1637" i="23"/>
  <c r="P1637" i="23"/>
  <c r="A1637" i="23"/>
  <c r="R1636" i="23"/>
  <c r="P1636" i="23"/>
  <c r="A1636" i="23"/>
  <c r="R1635" i="23"/>
  <c r="P1635" i="23"/>
  <c r="A1635" i="23"/>
  <c r="R1634" i="23"/>
  <c r="P1634" i="23"/>
  <c r="A1634" i="23"/>
  <c r="R1633" i="23"/>
  <c r="P1633" i="23"/>
  <c r="A1633" i="23"/>
  <c r="R1632" i="23"/>
  <c r="P1632" i="23"/>
  <c r="A1632" i="23"/>
  <c r="R1631" i="23"/>
  <c r="P1631" i="23"/>
  <c r="A1631" i="23"/>
  <c r="R1630" i="23"/>
  <c r="P1630" i="23"/>
  <c r="A1630" i="23"/>
  <c r="R1629" i="23"/>
  <c r="P1629" i="23"/>
  <c r="A1629" i="23"/>
  <c r="R1628" i="23"/>
  <c r="P1628" i="23"/>
  <c r="A1628" i="23"/>
  <c r="R1627" i="23"/>
  <c r="P1627" i="23"/>
  <c r="A1627" i="23"/>
  <c r="R1626" i="23"/>
  <c r="P1626" i="23"/>
  <c r="A1626" i="23"/>
  <c r="R1625" i="23"/>
  <c r="P1625" i="23"/>
  <c r="A1625" i="23"/>
  <c r="R1624" i="23"/>
  <c r="P1624" i="23"/>
  <c r="A1624" i="23"/>
  <c r="R1623" i="23"/>
  <c r="P1623" i="23"/>
  <c r="A1623" i="23"/>
  <c r="R1622" i="23"/>
  <c r="P1622" i="23"/>
  <c r="A1622" i="23"/>
  <c r="R1621" i="23"/>
  <c r="P1621" i="23"/>
  <c r="A1621" i="23"/>
  <c r="R1620" i="23"/>
  <c r="P1620" i="23"/>
  <c r="A1620" i="23"/>
  <c r="R1619" i="23"/>
  <c r="P1619" i="23"/>
  <c r="A1619" i="23"/>
  <c r="R1618" i="23"/>
  <c r="P1618" i="23"/>
  <c r="A1618" i="23"/>
  <c r="R1617" i="23"/>
  <c r="P1617" i="23"/>
  <c r="A1617" i="23"/>
  <c r="R1616" i="23"/>
  <c r="P1616" i="23"/>
  <c r="A1616" i="23"/>
  <c r="R1615" i="23"/>
  <c r="P1615" i="23"/>
  <c r="A1615" i="23"/>
  <c r="R1614" i="23"/>
  <c r="P1614" i="23"/>
  <c r="A1614" i="23"/>
  <c r="R1613" i="23"/>
  <c r="P1613" i="23"/>
  <c r="A1613" i="23"/>
  <c r="R1612" i="23"/>
  <c r="P1612" i="23"/>
  <c r="A1612" i="23"/>
  <c r="R1611" i="23"/>
  <c r="P1611" i="23"/>
  <c r="A1611" i="23"/>
  <c r="R1610" i="23"/>
  <c r="P1610" i="23"/>
  <c r="A1610" i="23"/>
  <c r="R1609" i="23"/>
  <c r="P1609" i="23"/>
  <c r="A1609" i="23"/>
  <c r="R1608" i="23"/>
  <c r="P1608" i="23"/>
  <c r="A1608" i="23"/>
  <c r="R1607" i="23"/>
  <c r="P1607" i="23"/>
  <c r="A1607" i="23"/>
  <c r="R1606" i="23"/>
  <c r="P1606" i="23"/>
  <c r="A1606" i="23"/>
  <c r="R1605" i="23"/>
  <c r="P1605" i="23"/>
  <c r="A1605" i="23"/>
  <c r="R1604" i="23"/>
  <c r="P1604" i="23"/>
  <c r="A1604" i="23"/>
  <c r="R1603" i="23"/>
  <c r="P1603" i="23"/>
  <c r="A1603" i="23"/>
  <c r="R1602" i="23"/>
  <c r="P1602" i="23"/>
  <c r="A1602" i="23"/>
  <c r="R1601" i="23"/>
  <c r="P1601" i="23"/>
  <c r="A1601" i="23"/>
  <c r="R1600" i="23"/>
  <c r="P1600" i="23"/>
  <c r="A1600" i="23"/>
  <c r="R1599" i="23"/>
  <c r="P1599" i="23"/>
  <c r="A1599" i="23"/>
  <c r="R1598" i="23"/>
  <c r="P1598" i="23"/>
  <c r="A1598" i="23"/>
  <c r="R1597" i="23"/>
  <c r="P1597" i="23"/>
  <c r="A1597" i="23"/>
  <c r="R1596" i="23"/>
  <c r="P1596" i="23"/>
  <c r="A1596" i="23"/>
  <c r="R1595" i="23"/>
  <c r="P1595" i="23"/>
  <c r="A1595" i="23"/>
  <c r="R1594" i="23"/>
  <c r="P1594" i="23"/>
  <c r="A1594" i="23"/>
  <c r="R1593" i="23"/>
  <c r="P1593" i="23"/>
  <c r="A1593" i="23"/>
  <c r="R1592" i="23"/>
  <c r="P1592" i="23"/>
  <c r="A1592" i="23"/>
  <c r="R1591" i="23"/>
  <c r="P1591" i="23"/>
  <c r="A1591" i="23"/>
  <c r="R1590" i="23"/>
  <c r="P1590" i="23"/>
  <c r="A1590" i="23"/>
  <c r="R1589" i="23"/>
  <c r="P1589" i="23"/>
  <c r="A1589" i="23"/>
  <c r="R1588" i="23"/>
  <c r="P1588" i="23"/>
  <c r="A1588" i="23"/>
  <c r="R1587" i="23"/>
  <c r="P1587" i="23"/>
  <c r="A1587" i="23"/>
  <c r="R1586" i="23"/>
  <c r="P1586" i="23"/>
  <c r="A1586" i="23"/>
  <c r="R1585" i="23"/>
  <c r="P1585" i="23"/>
  <c r="A1585" i="23"/>
  <c r="R1584" i="23"/>
  <c r="P1584" i="23"/>
  <c r="A1584" i="23"/>
  <c r="R1583" i="23"/>
  <c r="P1583" i="23"/>
  <c r="A1583" i="23"/>
  <c r="R1582" i="23"/>
  <c r="P1582" i="23"/>
  <c r="A1582" i="23"/>
  <c r="R1581" i="23"/>
  <c r="P1581" i="23"/>
  <c r="A1581" i="23"/>
  <c r="R1580" i="23"/>
  <c r="P1580" i="23"/>
  <c r="A1580" i="23"/>
  <c r="R1579" i="23"/>
  <c r="P1579" i="23"/>
  <c r="A1579" i="23"/>
  <c r="R1578" i="23"/>
  <c r="P1578" i="23"/>
  <c r="A1578" i="23"/>
  <c r="R1577" i="23"/>
  <c r="P1577" i="23"/>
  <c r="A1577" i="23"/>
  <c r="R1576" i="23"/>
  <c r="P1576" i="23"/>
  <c r="A1576" i="23"/>
  <c r="R1575" i="23"/>
  <c r="P1575" i="23"/>
  <c r="A1575" i="23"/>
  <c r="R1574" i="23"/>
  <c r="P1574" i="23"/>
  <c r="A1574" i="23"/>
  <c r="R1573" i="23"/>
  <c r="P1573" i="23"/>
  <c r="A1573" i="23"/>
  <c r="R1572" i="23"/>
  <c r="P1572" i="23"/>
  <c r="A1572" i="23"/>
  <c r="R1571" i="23"/>
  <c r="P1571" i="23"/>
  <c r="A1571" i="23"/>
  <c r="R1570" i="23"/>
  <c r="P1570" i="23"/>
  <c r="A1570" i="23"/>
  <c r="R1569" i="23"/>
  <c r="P1569" i="23"/>
  <c r="A1569" i="23"/>
  <c r="R1568" i="23"/>
  <c r="P1568" i="23"/>
  <c r="A1568" i="23"/>
  <c r="R1567" i="23"/>
  <c r="P1567" i="23"/>
  <c r="A1567" i="23"/>
  <c r="R1566" i="23"/>
  <c r="P1566" i="23"/>
  <c r="A1566" i="23"/>
  <c r="R1565" i="23"/>
  <c r="P1565" i="23"/>
  <c r="A1565" i="23"/>
  <c r="R1564" i="23"/>
  <c r="P1564" i="23"/>
  <c r="A1564" i="23"/>
  <c r="R1563" i="23"/>
  <c r="P1563" i="23"/>
  <c r="A1563" i="23"/>
  <c r="R1562" i="23"/>
  <c r="P1562" i="23"/>
  <c r="A1562" i="23"/>
  <c r="R1561" i="23"/>
  <c r="P1561" i="23"/>
  <c r="A1561" i="23"/>
  <c r="R1560" i="23"/>
  <c r="P1560" i="23"/>
  <c r="A1560" i="23"/>
  <c r="R1559" i="23"/>
  <c r="P1559" i="23"/>
  <c r="A1559" i="23"/>
  <c r="R1558" i="23"/>
  <c r="P1558" i="23"/>
  <c r="A1558" i="23"/>
  <c r="R1557" i="23"/>
  <c r="P1557" i="23"/>
  <c r="A1557" i="23"/>
  <c r="R1556" i="23"/>
  <c r="P1556" i="23"/>
  <c r="A1556" i="23"/>
  <c r="R1555" i="23"/>
  <c r="P1555" i="23"/>
  <c r="A1555" i="23"/>
  <c r="R1554" i="23"/>
  <c r="P1554" i="23"/>
  <c r="A1554" i="23"/>
  <c r="R1553" i="23"/>
  <c r="P1553" i="23"/>
  <c r="A1553" i="23"/>
  <c r="R1552" i="23"/>
  <c r="P1552" i="23"/>
  <c r="A1552" i="23"/>
  <c r="R1551" i="23"/>
  <c r="P1551" i="23"/>
  <c r="A1551" i="23"/>
  <c r="R1550" i="23"/>
  <c r="P1550" i="23"/>
  <c r="A1550" i="23"/>
  <c r="R1549" i="23"/>
  <c r="P1549" i="23"/>
  <c r="A1549" i="23"/>
  <c r="R1548" i="23"/>
  <c r="P1548" i="23"/>
  <c r="A1548" i="23"/>
  <c r="R1547" i="23"/>
  <c r="P1547" i="23"/>
  <c r="A1547" i="23"/>
  <c r="R1546" i="23"/>
  <c r="P1546" i="23"/>
  <c r="A1546" i="23"/>
  <c r="R1545" i="23"/>
  <c r="P1545" i="23"/>
  <c r="A1545" i="23"/>
  <c r="R1544" i="23"/>
  <c r="P1544" i="23"/>
  <c r="A1544" i="23"/>
  <c r="R1543" i="23"/>
  <c r="P1543" i="23"/>
  <c r="A1543" i="23"/>
  <c r="R1542" i="23"/>
  <c r="P1542" i="23"/>
  <c r="A1542" i="23"/>
  <c r="R1541" i="23"/>
  <c r="P1541" i="23"/>
  <c r="A1541" i="23"/>
  <c r="R1540" i="23"/>
  <c r="P1540" i="23"/>
  <c r="A1540" i="23"/>
  <c r="R1539" i="23"/>
  <c r="P1539" i="23"/>
  <c r="A1539" i="23"/>
  <c r="R1538" i="23"/>
  <c r="P1538" i="23"/>
  <c r="A1538" i="23"/>
  <c r="R1537" i="23"/>
  <c r="P1537" i="23"/>
  <c r="A1537" i="23"/>
  <c r="R1536" i="23"/>
  <c r="P1536" i="23"/>
  <c r="A1536" i="23"/>
  <c r="R1535" i="23"/>
  <c r="P1535" i="23"/>
  <c r="A1535" i="23"/>
  <c r="R1534" i="23"/>
  <c r="P1534" i="23"/>
  <c r="A1534" i="23"/>
  <c r="R1533" i="23"/>
  <c r="P1533" i="23"/>
  <c r="A1533" i="23"/>
  <c r="R1532" i="23"/>
  <c r="P1532" i="23"/>
  <c r="A1532" i="23"/>
  <c r="R1531" i="23"/>
  <c r="P1531" i="23"/>
  <c r="A1531" i="23"/>
  <c r="R1530" i="23"/>
  <c r="P1530" i="23"/>
  <c r="A1530" i="23"/>
  <c r="R1529" i="23"/>
  <c r="P1529" i="23"/>
  <c r="A1529" i="23"/>
  <c r="R1528" i="23"/>
  <c r="P1528" i="23"/>
  <c r="A1528" i="23"/>
  <c r="R1527" i="23"/>
  <c r="P1527" i="23"/>
  <c r="A1527" i="23"/>
  <c r="R1526" i="23"/>
  <c r="P1526" i="23"/>
  <c r="A1526" i="23"/>
  <c r="R1525" i="23"/>
  <c r="P1525" i="23"/>
  <c r="A1525" i="23"/>
  <c r="R1524" i="23"/>
  <c r="P1524" i="23"/>
  <c r="A1524" i="23"/>
  <c r="R1523" i="23"/>
  <c r="P1523" i="23"/>
  <c r="A1523" i="23"/>
  <c r="R1522" i="23"/>
  <c r="P1522" i="23"/>
  <c r="A1522" i="23"/>
  <c r="R1521" i="23"/>
  <c r="P1521" i="23"/>
  <c r="A1521" i="23"/>
  <c r="R1520" i="23"/>
  <c r="P1520" i="23"/>
  <c r="A1520" i="23"/>
  <c r="R1519" i="23"/>
  <c r="P1519" i="23"/>
  <c r="A1519" i="23"/>
  <c r="R1518" i="23"/>
  <c r="P1518" i="23"/>
  <c r="A1518" i="23"/>
  <c r="R1517" i="23"/>
  <c r="P1517" i="23"/>
  <c r="A1517" i="23"/>
  <c r="R1516" i="23"/>
  <c r="P1516" i="23"/>
  <c r="A1516" i="23"/>
  <c r="R1515" i="23"/>
  <c r="P1515" i="23"/>
  <c r="A1515" i="23"/>
  <c r="R1514" i="23"/>
  <c r="P1514" i="23"/>
  <c r="A1514" i="23"/>
  <c r="R1513" i="23"/>
  <c r="P1513" i="23"/>
  <c r="A1513" i="23"/>
  <c r="R1512" i="23"/>
  <c r="P1512" i="23"/>
  <c r="A1512" i="23"/>
  <c r="R1511" i="23"/>
  <c r="P1511" i="23"/>
  <c r="A1511" i="23"/>
  <c r="R1510" i="23"/>
  <c r="P1510" i="23"/>
  <c r="A1510" i="23"/>
  <c r="R1509" i="23"/>
  <c r="P1509" i="23"/>
  <c r="A1509" i="23"/>
  <c r="R1508" i="23"/>
  <c r="P1508" i="23"/>
  <c r="A1508" i="23"/>
  <c r="R1507" i="23"/>
  <c r="P1507" i="23"/>
  <c r="A1507" i="23"/>
  <c r="R1506" i="23"/>
  <c r="P1506" i="23"/>
  <c r="A1506" i="23"/>
  <c r="R1505" i="23"/>
  <c r="P1505" i="23"/>
  <c r="A1505" i="23"/>
  <c r="R1504" i="23"/>
  <c r="P1504" i="23"/>
  <c r="A1504" i="23"/>
  <c r="R1503" i="23"/>
  <c r="P1503" i="23"/>
  <c r="A1503" i="23"/>
  <c r="R1502" i="23"/>
  <c r="P1502" i="23"/>
  <c r="A1502" i="23"/>
  <c r="R1501" i="23"/>
  <c r="P1501" i="23"/>
  <c r="A1501" i="23"/>
  <c r="R1500" i="23"/>
  <c r="P1500" i="23"/>
  <c r="A1500" i="23"/>
  <c r="R1499" i="23"/>
  <c r="P1499" i="23"/>
  <c r="A1499" i="23"/>
  <c r="R1498" i="23"/>
  <c r="P1498" i="23"/>
  <c r="A1498" i="23"/>
  <c r="R1497" i="23"/>
  <c r="P1497" i="23"/>
  <c r="A1497" i="23"/>
  <c r="R1496" i="23"/>
  <c r="P1496" i="23"/>
  <c r="A1496" i="23"/>
  <c r="R1495" i="23"/>
  <c r="P1495" i="23"/>
  <c r="A1495" i="23"/>
  <c r="R1494" i="23"/>
  <c r="P1494" i="23"/>
  <c r="A1494" i="23"/>
  <c r="R1493" i="23"/>
  <c r="P1493" i="23"/>
  <c r="A1493" i="23"/>
  <c r="R1492" i="23"/>
  <c r="P1492" i="23"/>
  <c r="A1492" i="23"/>
  <c r="R1491" i="23"/>
  <c r="P1491" i="23"/>
  <c r="A1491" i="23"/>
  <c r="R1490" i="23"/>
  <c r="P1490" i="23"/>
  <c r="A1490" i="23"/>
  <c r="R1489" i="23"/>
  <c r="P1489" i="23"/>
  <c r="A1489" i="23"/>
  <c r="R1488" i="23"/>
  <c r="P1488" i="23"/>
  <c r="A1488" i="23"/>
  <c r="R1487" i="23"/>
  <c r="P1487" i="23"/>
  <c r="A1487" i="23"/>
  <c r="R1486" i="23"/>
  <c r="P1486" i="23"/>
  <c r="A1486" i="23"/>
  <c r="R1485" i="23"/>
  <c r="P1485" i="23"/>
  <c r="A1485" i="23"/>
  <c r="R1484" i="23"/>
  <c r="P1484" i="23"/>
  <c r="A1484" i="23"/>
  <c r="R1483" i="23"/>
  <c r="P1483" i="23"/>
  <c r="A1483" i="23"/>
  <c r="R1482" i="23"/>
  <c r="P1482" i="23"/>
  <c r="A1482" i="23"/>
  <c r="R1481" i="23"/>
  <c r="P1481" i="23"/>
  <c r="A1481" i="23"/>
  <c r="R1480" i="23"/>
  <c r="P1480" i="23"/>
  <c r="A1480" i="23"/>
  <c r="R1479" i="23"/>
  <c r="P1479" i="23"/>
  <c r="A1479" i="23"/>
  <c r="R1478" i="23"/>
  <c r="P1478" i="23"/>
  <c r="A1478" i="23"/>
  <c r="R1477" i="23"/>
  <c r="P1477" i="23"/>
  <c r="A1477" i="23"/>
  <c r="R1476" i="23"/>
  <c r="P1476" i="23"/>
  <c r="A1476" i="23"/>
  <c r="R1475" i="23"/>
  <c r="P1475" i="23"/>
  <c r="A1475" i="23"/>
  <c r="R1474" i="23"/>
  <c r="P1474" i="23"/>
  <c r="A1474" i="23"/>
  <c r="R1473" i="23"/>
  <c r="P1473" i="23"/>
  <c r="A1473" i="23"/>
  <c r="R1472" i="23"/>
  <c r="P1472" i="23"/>
  <c r="A1472" i="23"/>
  <c r="R1471" i="23"/>
  <c r="P1471" i="23"/>
  <c r="A1471" i="23"/>
  <c r="R1470" i="23"/>
  <c r="P1470" i="23"/>
  <c r="A1470" i="23"/>
  <c r="R1469" i="23"/>
  <c r="P1469" i="23"/>
  <c r="A1469" i="23"/>
  <c r="R1468" i="23"/>
  <c r="P1468" i="23"/>
  <c r="A1468" i="23"/>
  <c r="R1467" i="23"/>
  <c r="P1467" i="23"/>
  <c r="A1467" i="23"/>
  <c r="R1466" i="23"/>
  <c r="P1466" i="23"/>
  <c r="A1466" i="23"/>
  <c r="R1465" i="23"/>
  <c r="P1465" i="23"/>
  <c r="A1465" i="23"/>
  <c r="R1464" i="23"/>
  <c r="P1464" i="23"/>
  <c r="A1464" i="23"/>
  <c r="R1463" i="23"/>
  <c r="P1463" i="23"/>
  <c r="A1463" i="23"/>
  <c r="R1462" i="23"/>
  <c r="P1462" i="23"/>
  <c r="A1462" i="23"/>
  <c r="R1461" i="23"/>
  <c r="P1461" i="23"/>
  <c r="A1461" i="23"/>
  <c r="R1460" i="23"/>
  <c r="P1460" i="23"/>
  <c r="A1460" i="23"/>
  <c r="R1459" i="23"/>
  <c r="P1459" i="23"/>
  <c r="A1459" i="23"/>
  <c r="R1458" i="23"/>
  <c r="P1458" i="23"/>
  <c r="A1458" i="23"/>
  <c r="R1457" i="23"/>
  <c r="P1457" i="23"/>
  <c r="A1457" i="23"/>
  <c r="R1456" i="23"/>
  <c r="P1456" i="23"/>
  <c r="A1456" i="23"/>
  <c r="R1455" i="23"/>
  <c r="P1455" i="23"/>
  <c r="A1455" i="23"/>
  <c r="R1454" i="23"/>
  <c r="P1454" i="23"/>
  <c r="A1454" i="23"/>
  <c r="R1453" i="23"/>
  <c r="P1453" i="23"/>
  <c r="A1453" i="23"/>
  <c r="R1452" i="23"/>
  <c r="P1452" i="23"/>
  <c r="A1452" i="23"/>
  <c r="R1451" i="23"/>
  <c r="P1451" i="23"/>
  <c r="A1451" i="23"/>
  <c r="R1450" i="23"/>
  <c r="P1450" i="23"/>
  <c r="A1450" i="23"/>
  <c r="R1449" i="23"/>
  <c r="P1449" i="23"/>
  <c r="A1449" i="23"/>
  <c r="R1448" i="23"/>
  <c r="P1448" i="23"/>
  <c r="A1448" i="23"/>
  <c r="R1447" i="23"/>
  <c r="P1447" i="23"/>
  <c r="A1447" i="23"/>
  <c r="R1446" i="23"/>
  <c r="P1446" i="23"/>
  <c r="A1446" i="23"/>
  <c r="R1445" i="23"/>
  <c r="P1445" i="23"/>
  <c r="A1445" i="23"/>
  <c r="R1444" i="23"/>
  <c r="P1444" i="23"/>
  <c r="A1444" i="23"/>
  <c r="R1443" i="23"/>
  <c r="P1443" i="23"/>
  <c r="A1443" i="23"/>
  <c r="R1442" i="23"/>
  <c r="P1442" i="23"/>
  <c r="A1442" i="23"/>
  <c r="R1441" i="23"/>
  <c r="P1441" i="23"/>
  <c r="A1441" i="23"/>
  <c r="R1440" i="23"/>
  <c r="P1440" i="23"/>
  <c r="A1440" i="23"/>
  <c r="R1439" i="23"/>
  <c r="P1439" i="23"/>
  <c r="A1439" i="23"/>
  <c r="R1438" i="23"/>
  <c r="P1438" i="23"/>
  <c r="A1438" i="23"/>
  <c r="R1437" i="23"/>
  <c r="P1437" i="23"/>
  <c r="A1437" i="23"/>
  <c r="R1436" i="23"/>
  <c r="P1436" i="23"/>
  <c r="A1436" i="23"/>
  <c r="R1435" i="23"/>
  <c r="P1435" i="23"/>
  <c r="A1435" i="23"/>
  <c r="R1434" i="23"/>
  <c r="P1434" i="23"/>
  <c r="A1434" i="23"/>
  <c r="R1433" i="23"/>
  <c r="P1433" i="23"/>
  <c r="A1433" i="23"/>
  <c r="R1432" i="23"/>
  <c r="P1432" i="23"/>
  <c r="A1432" i="23"/>
  <c r="R1431" i="23"/>
  <c r="P1431" i="23"/>
  <c r="A1431" i="23"/>
  <c r="R1430" i="23"/>
  <c r="P1430" i="23"/>
  <c r="A1430" i="23"/>
  <c r="R1429" i="23"/>
  <c r="P1429" i="23"/>
  <c r="A1429" i="23"/>
  <c r="R1428" i="23"/>
  <c r="P1428" i="23"/>
  <c r="A1428" i="23"/>
  <c r="R1427" i="23"/>
  <c r="P1427" i="23"/>
  <c r="A1427" i="23"/>
  <c r="R1426" i="23"/>
  <c r="P1426" i="23"/>
  <c r="A1426" i="23"/>
  <c r="R1425" i="23"/>
  <c r="P1425" i="23"/>
  <c r="A1425" i="23"/>
  <c r="R1424" i="23"/>
  <c r="P1424" i="23"/>
  <c r="A1424" i="23"/>
  <c r="R1423" i="23"/>
  <c r="P1423" i="23"/>
  <c r="A1423" i="23"/>
  <c r="R1422" i="23"/>
  <c r="P1422" i="23"/>
  <c r="A1422" i="23"/>
  <c r="R1421" i="23"/>
  <c r="P1421" i="23"/>
  <c r="A1421" i="23"/>
  <c r="R1420" i="23"/>
  <c r="P1420" i="23"/>
  <c r="A1420" i="23"/>
  <c r="R1419" i="23"/>
  <c r="P1419" i="23"/>
  <c r="A1419" i="23"/>
  <c r="R1418" i="23"/>
  <c r="P1418" i="23"/>
  <c r="A1418" i="23"/>
  <c r="R1417" i="23"/>
  <c r="P1417" i="23"/>
  <c r="A1417" i="23"/>
  <c r="R1416" i="23"/>
  <c r="P1416" i="23"/>
  <c r="A1416" i="23"/>
  <c r="R1415" i="23"/>
  <c r="P1415" i="23"/>
  <c r="A1415" i="23"/>
  <c r="R1414" i="23"/>
  <c r="P1414" i="23"/>
  <c r="A1414" i="23"/>
  <c r="R1413" i="23"/>
  <c r="P1413" i="23"/>
  <c r="A1413" i="23"/>
  <c r="R1412" i="23"/>
  <c r="P1412" i="23"/>
  <c r="A1412" i="23"/>
  <c r="R1411" i="23"/>
  <c r="P1411" i="23"/>
  <c r="A1411" i="23"/>
  <c r="R1410" i="23"/>
  <c r="P1410" i="23"/>
  <c r="A1410" i="23"/>
  <c r="R1409" i="23"/>
  <c r="P1409" i="23"/>
  <c r="A1409" i="23"/>
  <c r="R1408" i="23"/>
  <c r="P1408" i="23"/>
  <c r="A1408" i="23"/>
  <c r="R1407" i="23"/>
  <c r="P1407" i="23"/>
  <c r="A1407" i="23"/>
  <c r="R1406" i="23"/>
  <c r="P1406" i="23"/>
  <c r="A1406" i="23"/>
  <c r="R1405" i="23"/>
  <c r="P1405" i="23"/>
  <c r="A1405" i="23"/>
  <c r="R1404" i="23"/>
  <c r="P1404" i="23"/>
  <c r="A1404" i="23"/>
  <c r="R1403" i="23"/>
  <c r="P1403" i="23"/>
  <c r="A1403" i="23"/>
  <c r="R1402" i="23"/>
  <c r="P1402" i="23"/>
  <c r="A1402" i="23"/>
  <c r="R1401" i="23"/>
  <c r="P1401" i="23"/>
  <c r="A1401" i="23"/>
  <c r="R1400" i="23"/>
  <c r="P1400" i="23"/>
  <c r="A1400" i="23"/>
  <c r="R1399" i="23"/>
  <c r="P1399" i="23"/>
  <c r="A1399" i="23"/>
  <c r="R1398" i="23"/>
  <c r="P1398" i="23"/>
  <c r="A1398" i="23"/>
  <c r="R1397" i="23"/>
  <c r="P1397" i="23"/>
  <c r="A1397" i="23"/>
  <c r="R1396" i="23"/>
  <c r="P1396" i="23"/>
  <c r="A1396" i="23"/>
  <c r="R1395" i="23"/>
  <c r="P1395" i="23"/>
  <c r="A1395" i="23"/>
  <c r="R1394" i="23"/>
  <c r="P1394" i="23"/>
  <c r="A1394" i="23"/>
  <c r="R1393" i="23"/>
  <c r="P1393" i="23"/>
  <c r="A1393" i="23"/>
  <c r="R1392" i="23"/>
  <c r="P1392" i="23"/>
  <c r="A1392" i="23"/>
  <c r="R1391" i="23"/>
  <c r="P1391" i="23"/>
  <c r="A1391" i="23"/>
  <c r="R1390" i="23"/>
  <c r="P1390" i="23"/>
  <c r="A1390" i="23"/>
  <c r="R1389" i="23"/>
  <c r="P1389" i="23"/>
  <c r="A1389" i="23"/>
  <c r="R1388" i="23"/>
  <c r="P1388" i="23"/>
  <c r="A1388" i="23"/>
  <c r="R1387" i="23"/>
  <c r="P1387" i="23"/>
  <c r="A1387" i="23"/>
  <c r="R1386" i="23"/>
  <c r="P1386" i="23"/>
  <c r="A1386" i="23"/>
  <c r="R1385" i="23"/>
  <c r="P1385" i="23"/>
  <c r="A1385" i="23"/>
  <c r="R1384" i="23"/>
  <c r="P1384" i="23"/>
  <c r="A1384" i="23"/>
  <c r="R1383" i="23"/>
  <c r="P1383" i="23"/>
  <c r="A1383" i="23"/>
  <c r="R1382" i="23"/>
  <c r="P1382" i="23"/>
  <c r="A1382" i="23"/>
  <c r="R1381" i="23"/>
  <c r="P1381" i="23"/>
  <c r="A1381" i="23"/>
  <c r="R1380" i="23"/>
  <c r="P1380" i="23"/>
  <c r="A1380" i="23"/>
  <c r="R1379" i="23"/>
  <c r="P1379" i="23"/>
  <c r="A1379" i="23"/>
  <c r="R1378" i="23"/>
  <c r="P1378" i="23"/>
  <c r="A1378" i="23"/>
  <c r="R1377" i="23"/>
  <c r="P1377" i="23"/>
  <c r="A1377" i="23"/>
  <c r="R1376" i="23"/>
  <c r="P1376" i="23"/>
  <c r="A1376" i="23"/>
  <c r="R1375" i="23"/>
  <c r="P1375" i="23"/>
  <c r="A1375" i="23"/>
  <c r="R1374" i="23"/>
  <c r="P1374" i="23"/>
  <c r="A1374" i="23"/>
  <c r="R1373" i="23"/>
  <c r="P1373" i="23"/>
  <c r="A1373" i="23"/>
  <c r="R1372" i="23"/>
  <c r="P1372" i="23"/>
  <c r="A1372" i="23"/>
  <c r="R1371" i="23"/>
  <c r="P1371" i="23"/>
  <c r="A1371" i="23"/>
  <c r="R1370" i="23"/>
  <c r="P1370" i="23"/>
  <c r="A1370" i="23"/>
  <c r="R1369" i="23"/>
  <c r="P1369" i="23"/>
  <c r="A1369" i="23"/>
  <c r="R1368" i="23"/>
  <c r="P1368" i="23"/>
  <c r="A1368" i="23"/>
  <c r="R1367" i="23"/>
  <c r="P1367" i="23"/>
  <c r="A1367" i="23"/>
  <c r="R1366" i="23"/>
  <c r="P1366" i="23"/>
  <c r="A1366" i="23"/>
  <c r="R1365" i="23"/>
  <c r="P1365" i="23"/>
  <c r="A1365" i="23"/>
  <c r="R1364" i="23"/>
  <c r="P1364" i="23"/>
  <c r="A1364" i="23"/>
  <c r="R1363" i="23"/>
  <c r="P1363" i="23"/>
  <c r="A1363" i="23"/>
  <c r="R1362" i="23"/>
  <c r="P1362" i="23"/>
  <c r="A1362" i="23"/>
  <c r="R1361" i="23"/>
  <c r="P1361" i="23"/>
  <c r="A1361" i="23"/>
  <c r="R1360" i="23"/>
  <c r="P1360" i="23"/>
  <c r="A1360" i="23"/>
  <c r="R1359" i="23"/>
  <c r="P1359" i="23"/>
  <c r="A1359" i="23"/>
  <c r="R1358" i="23"/>
  <c r="P1358" i="23"/>
  <c r="A1358" i="23"/>
  <c r="R1357" i="23"/>
  <c r="P1357" i="23"/>
  <c r="A1357" i="23"/>
  <c r="R1356" i="23"/>
  <c r="P1356" i="23"/>
  <c r="A1356" i="23"/>
  <c r="R1355" i="23"/>
  <c r="P1355" i="23"/>
  <c r="A1355" i="23"/>
  <c r="R1354" i="23"/>
  <c r="P1354" i="23"/>
  <c r="A1354" i="23"/>
  <c r="R1353" i="23"/>
  <c r="P1353" i="23"/>
  <c r="A1353" i="23"/>
  <c r="R1352" i="23"/>
  <c r="P1352" i="23"/>
  <c r="A1352" i="23"/>
  <c r="R1351" i="23"/>
  <c r="P1351" i="23"/>
  <c r="A1351" i="23"/>
  <c r="R1350" i="23"/>
  <c r="P1350" i="23"/>
  <c r="A1350" i="23"/>
  <c r="R1349" i="23"/>
  <c r="P1349" i="23"/>
  <c r="A1349" i="23"/>
  <c r="R1348" i="23"/>
  <c r="P1348" i="23"/>
  <c r="A1348" i="23"/>
  <c r="R1347" i="23"/>
  <c r="P1347" i="23"/>
  <c r="A1347" i="23"/>
  <c r="R1346" i="23"/>
  <c r="P1346" i="23"/>
  <c r="A1346" i="23"/>
  <c r="R1345" i="23"/>
  <c r="P1345" i="23"/>
  <c r="A1345" i="23"/>
  <c r="R1344" i="23"/>
  <c r="P1344" i="23"/>
  <c r="A1344" i="23"/>
  <c r="R1343" i="23"/>
  <c r="P1343" i="23"/>
  <c r="A1343" i="23"/>
  <c r="R1342" i="23"/>
  <c r="P1342" i="23"/>
  <c r="A1342" i="23"/>
  <c r="R1341" i="23"/>
  <c r="P1341" i="23"/>
  <c r="A1341" i="23"/>
  <c r="R1340" i="23"/>
  <c r="P1340" i="23"/>
  <c r="A1340" i="23"/>
  <c r="R1339" i="23"/>
  <c r="P1339" i="23"/>
  <c r="A1339" i="23"/>
  <c r="R1338" i="23"/>
  <c r="P1338" i="23"/>
  <c r="A1338" i="23"/>
  <c r="R1337" i="23"/>
  <c r="P1337" i="23"/>
  <c r="A1337" i="23"/>
  <c r="R1336" i="23"/>
  <c r="P1336" i="23"/>
  <c r="A1336" i="23"/>
  <c r="R1335" i="23"/>
  <c r="P1335" i="23"/>
  <c r="A1335" i="23"/>
  <c r="R1334" i="23"/>
  <c r="P1334" i="23"/>
  <c r="A1334" i="23"/>
  <c r="R1333" i="23"/>
  <c r="P1333" i="23"/>
  <c r="A1333" i="23"/>
  <c r="R1332" i="23"/>
  <c r="P1332" i="23"/>
  <c r="A1332" i="23"/>
  <c r="R1331" i="23"/>
  <c r="P1331" i="23"/>
  <c r="A1331" i="23"/>
  <c r="R1330" i="23"/>
  <c r="P1330" i="23"/>
  <c r="A1330" i="23"/>
  <c r="R1329" i="23"/>
  <c r="P1329" i="23"/>
  <c r="A1329" i="23"/>
  <c r="R1328" i="23"/>
  <c r="P1328" i="23"/>
  <c r="A1328" i="23"/>
  <c r="R1327" i="23"/>
  <c r="P1327" i="23"/>
  <c r="A1327" i="23"/>
  <c r="R1326" i="23"/>
  <c r="P1326" i="23"/>
  <c r="A1326" i="23"/>
  <c r="R1325" i="23"/>
  <c r="P1325" i="23"/>
  <c r="A1325" i="23"/>
  <c r="R1324" i="23"/>
  <c r="P1324" i="23"/>
  <c r="A1324" i="23"/>
  <c r="R1323" i="23"/>
  <c r="P1323" i="23"/>
  <c r="A1323" i="23"/>
  <c r="R1322" i="23"/>
  <c r="P1322" i="23"/>
  <c r="A1322" i="23"/>
  <c r="R1321" i="23"/>
  <c r="P1321" i="23"/>
  <c r="A1321" i="23"/>
  <c r="R1320" i="23"/>
  <c r="P1320" i="23"/>
  <c r="A1320" i="23"/>
  <c r="R1319" i="23"/>
  <c r="P1319" i="23"/>
  <c r="A1319" i="23"/>
  <c r="R1318" i="23"/>
  <c r="P1318" i="23"/>
  <c r="A1318" i="23"/>
  <c r="R1317" i="23"/>
  <c r="P1317" i="23"/>
  <c r="A1317" i="23"/>
  <c r="R1316" i="23"/>
  <c r="P1316" i="23"/>
  <c r="A1316" i="23"/>
  <c r="R1315" i="23"/>
  <c r="P1315" i="23"/>
  <c r="A1315" i="23"/>
  <c r="R1314" i="23"/>
  <c r="P1314" i="23"/>
  <c r="A1314" i="23"/>
  <c r="R1313" i="23"/>
  <c r="P1313" i="23"/>
  <c r="A1313" i="23"/>
  <c r="R1312" i="23"/>
  <c r="P1312" i="23"/>
  <c r="A1312" i="23"/>
  <c r="R1311" i="23"/>
  <c r="P1311" i="23"/>
  <c r="A1311" i="23"/>
  <c r="R1310" i="23"/>
  <c r="P1310" i="23"/>
  <c r="A1310" i="23"/>
  <c r="R1309" i="23"/>
  <c r="P1309" i="23"/>
  <c r="A1309" i="23"/>
  <c r="R1308" i="23"/>
  <c r="P1308" i="23"/>
  <c r="A1308" i="23"/>
  <c r="R1307" i="23"/>
  <c r="P1307" i="23"/>
  <c r="A1307" i="23"/>
  <c r="R1306" i="23"/>
  <c r="P1306" i="23"/>
  <c r="A1306" i="23"/>
  <c r="R1305" i="23"/>
  <c r="P1305" i="23"/>
  <c r="A1305" i="23"/>
  <c r="R1304" i="23"/>
  <c r="P1304" i="23"/>
  <c r="A1304" i="23"/>
  <c r="R1303" i="23"/>
  <c r="P1303" i="23"/>
  <c r="A1303" i="23"/>
  <c r="R1302" i="23"/>
  <c r="P1302" i="23"/>
  <c r="A1302" i="23"/>
  <c r="R1301" i="23"/>
  <c r="P1301" i="23"/>
  <c r="A1301" i="23"/>
  <c r="R1300" i="23"/>
  <c r="P1300" i="23"/>
  <c r="A1300" i="23"/>
  <c r="R1299" i="23"/>
  <c r="P1299" i="23"/>
  <c r="A1299" i="23"/>
  <c r="R1298" i="23"/>
  <c r="P1298" i="23"/>
  <c r="A1298" i="23"/>
  <c r="R1297" i="23"/>
  <c r="P1297" i="23"/>
  <c r="A1297" i="23"/>
  <c r="R1296" i="23"/>
  <c r="P1296" i="23"/>
  <c r="A1296" i="23"/>
  <c r="R1295" i="23"/>
  <c r="P1295" i="23"/>
  <c r="A1295" i="23"/>
  <c r="R1294" i="23"/>
  <c r="P1294" i="23"/>
  <c r="A1294" i="23"/>
  <c r="R1293" i="23"/>
  <c r="P1293" i="23"/>
  <c r="A1293" i="23"/>
  <c r="R1292" i="23"/>
  <c r="P1292" i="23"/>
  <c r="A1292" i="23"/>
  <c r="R1291" i="23"/>
  <c r="P1291" i="23"/>
  <c r="A1291" i="23"/>
  <c r="R1290" i="23"/>
  <c r="P1290" i="23"/>
  <c r="A1290" i="23"/>
  <c r="R1289" i="23"/>
  <c r="P1289" i="23"/>
  <c r="A1289" i="23"/>
  <c r="R1288" i="23"/>
  <c r="P1288" i="23"/>
  <c r="A1288" i="23"/>
  <c r="R1287" i="23"/>
  <c r="P1287" i="23"/>
  <c r="A1287" i="23"/>
  <c r="R1286" i="23"/>
  <c r="P1286" i="23"/>
  <c r="A1286" i="23"/>
  <c r="R1285" i="23"/>
  <c r="P1285" i="23"/>
  <c r="A1285" i="23"/>
  <c r="R1284" i="23"/>
  <c r="P1284" i="23"/>
  <c r="A1284" i="23"/>
  <c r="R1283" i="23"/>
  <c r="P1283" i="23"/>
  <c r="A1283" i="23"/>
  <c r="R1282" i="23"/>
  <c r="P1282" i="23"/>
  <c r="A1282" i="23"/>
  <c r="R1281" i="23"/>
  <c r="P1281" i="23"/>
  <c r="A1281" i="23"/>
  <c r="R1280" i="23"/>
  <c r="P1280" i="23"/>
  <c r="A1280" i="23"/>
  <c r="R1279" i="23"/>
  <c r="P1279" i="23"/>
  <c r="A1279" i="23"/>
  <c r="R1278" i="23"/>
  <c r="P1278" i="23"/>
  <c r="A1278" i="23"/>
  <c r="R1277" i="23"/>
  <c r="P1277" i="23"/>
  <c r="A1277" i="23"/>
  <c r="R1276" i="23"/>
  <c r="P1276" i="23"/>
  <c r="A1276" i="23"/>
  <c r="R1275" i="23"/>
  <c r="P1275" i="23"/>
  <c r="A1275" i="23"/>
  <c r="R1274" i="23"/>
  <c r="P1274" i="23"/>
  <c r="A1274" i="23"/>
  <c r="R1273" i="23"/>
  <c r="P1273" i="23"/>
  <c r="A1273" i="23"/>
  <c r="R1272" i="23"/>
  <c r="P1272" i="23"/>
  <c r="A1272" i="23"/>
  <c r="R1271" i="23"/>
  <c r="P1271" i="23"/>
  <c r="A1271" i="23"/>
  <c r="R1270" i="23"/>
  <c r="P1270" i="23"/>
  <c r="A1270" i="23"/>
  <c r="R1269" i="23"/>
  <c r="P1269" i="23"/>
  <c r="A1269" i="23"/>
  <c r="R1268" i="23"/>
  <c r="P1268" i="23"/>
  <c r="A1268" i="23"/>
  <c r="R1267" i="23"/>
  <c r="P1267" i="23"/>
  <c r="A1267" i="23"/>
  <c r="R1266" i="23"/>
  <c r="P1266" i="23"/>
  <c r="A1266" i="23"/>
  <c r="R1265" i="23"/>
  <c r="P1265" i="23"/>
  <c r="A1265" i="23"/>
  <c r="R1264" i="23"/>
  <c r="P1264" i="23"/>
  <c r="A1264" i="23"/>
  <c r="R1263" i="23"/>
  <c r="P1263" i="23"/>
  <c r="A1263" i="23"/>
  <c r="R1262" i="23"/>
  <c r="P1262" i="23"/>
  <c r="A1262" i="23"/>
  <c r="R1261" i="23"/>
  <c r="P1261" i="23"/>
  <c r="A1261" i="23"/>
  <c r="R1260" i="23"/>
  <c r="P1260" i="23"/>
  <c r="A1260" i="23"/>
  <c r="R1259" i="23"/>
  <c r="P1259" i="23"/>
  <c r="A1259" i="23"/>
  <c r="R1258" i="23"/>
  <c r="P1258" i="23"/>
  <c r="A1258" i="23"/>
  <c r="R1257" i="23"/>
  <c r="P1257" i="23"/>
  <c r="A1257" i="23"/>
  <c r="R1256" i="23"/>
  <c r="P1256" i="23"/>
  <c r="A1256" i="23"/>
  <c r="R1255" i="23"/>
  <c r="P1255" i="23"/>
  <c r="A1255" i="23"/>
  <c r="R1254" i="23"/>
  <c r="P1254" i="23"/>
  <c r="A1254" i="23"/>
  <c r="R1253" i="23"/>
  <c r="P1253" i="23"/>
  <c r="A1253" i="23"/>
  <c r="R1252" i="23"/>
  <c r="P1252" i="23"/>
  <c r="A1252" i="23"/>
  <c r="R1251" i="23"/>
  <c r="P1251" i="23"/>
  <c r="A1251" i="23"/>
  <c r="R1250" i="23"/>
  <c r="P1250" i="23"/>
  <c r="A1250" i="23"/>
  <c r="R1249" i="23"/>
  <c r="P1249" i="23"/>
  <c r="A1249" i="23"/>
  <c r="R1248" i="23"/>
  <c r="P1248" i="23"/>
  <c r="A1248" i="23"/>
  <c r="R1247" i="23"/>
  <c r="P1247" i="23"/>
  <c r="A1247" i="23"/>
  <c r="R1246" i="23"/>
  <c r="P1246" i="23"/>
  <c r="A1246" i="23"/>
  <c r="R1245" i="23"/>
  <c r="P1245" i="23"/>
  <c r="A1245" i="23"/>
  <c r="R1244" i="23"/>
  <c r="P1244" i="23"/>
  <c r="A1244" i="23"/>
  <c r="R1243" i="23"/>
  <c r="P1243" i="23"/>
  <c r="A1243" i="23"/>
  <c r="R1242" i="23"/>
  <c r="P1242" i="23"/>
  <c r="A1242" i="23"/>
  <c r="R1241" i="23"/>
  <c r="P1241" i="23"/>
  <c r="A1241" i="23"/>
  <c r="R1240" i="23"/>
  <c r="P1240" i="23"/>
  <c r="A1240" i="23"/>
  <c r="R1239" i="23"/>
  <c r="P1239" i="23"/>
  <c r="A1239" i="23"/>
  <c r="R1238" i="23"/>
  <c r="P1238" i="23"/>
  <c r="A1238" i="23"/>
  <c r="R1237" i="23"/>
  <c r="P1237" i="23"/>
  <c r="A1237" i="23"/>
  <c r="R1236" i="23"/>
  <c r="P1236" i="23"/>
  <c r="A1236" i="23"/>
  <c r="R1235" i="23"/>
  <c r="P1235" i="23"/>
  <c r="A1235" i="23"/>
  <c r="R1234" i="23"/>
  <c r="P1234" i="23"/>
  <c r="A1234" i="23"/>
  <c r="R1233" i="23"/>
  <c r="P1233" i="23"/>
  <c r="A1233" i="23"/>
  <c r="R1232" i="23"/>
  <c r="P1232" i="23"/>
  <c r="A1232" i="23"/>
  <c r="R1231" i="23"/>
  <c r="P1231" i="23"/>
  <c r="A1231" i="23"/>
  <c r="R1230" i="23"/>
  <c r="P1230" i="23"/>
  <c r="A1230" i="23"/>
  <c r="R1229" i="23"/>
  <c r="P1229" i="23"/>
  <c r="A1229" i="23"/>
  <c r="R1228" i="23"/>
  <c r="P1228" i="23"/>
  <c r="A1228" i="23"/>
  <c r="R1227" i="23"/>
  <c r="P1227" i="23"/>
  <c r="A1227" i="23"/>
  <c r="R1226" i="23"/>
  <c r="P1226" i="23"/>
  <c r="A1226" i="23"/>
  <c r="R1225" i="23"/>
  <c r="P1225" i="23"/>
  <c r="A1225" i="23"/>
  <c r="R1224" i="23"/>
  <c r="P1224" i="23"/>
  <c r="A1224" i="23"/>
  <c r="R1223" i="23"/>
  <c r="P1223" i="23"/>
  <c r="A1223" i="23"/>
  <c r="R1222" i="23"/>
  <c r="P1222" i="23"/>
  <c r="A1222" i="23"/>
  <c r="R1221" i="23"/>
  <c r="P1221" i="23"/>
  <c r="A1221" i="23"/>
  <c r="R1220" i="23"/>
  <c r="P1220" i="23"/>
  <c r="A1220" i="23"/>
  <c r="R1219" i="23"/>
  <c r="P1219" i="23"/>
  <c r="A1219" i="23"/>
  <c r="R1218" i="23"/>
  <c r="P1218" i="23"/>
  <c r="A1218" i="23"/>
  <c r="R1217" i="23"/>
  <c r="P1217" i="23"/>
  <c r="A1217" i="23"/>
  <c r="R1216" i="23"/>
  <c r="P1216" i="23"/>
  <c r="A1216" i="23"/>
  <c r="R1215" i="23"/>
  <c r="P1215" i="23"/>
  <c r="A1215" i="23"/>
  <c r="R1214" i="23"/>
  <c r="P1214" i="23"/>
  <c r="A1214" i="23"/>
  <c r="R1213" i="23"/>
  <c r="P1213" i="23"/>
  <c r="A1213" i="23"/>
  <c r="R1212" i="23"/>
  <c r="P1212" i="23"/>
  <c r="A1212" i="23"/>
  <c r="R1211" i="23"/>
  <c r="P1211" i="23"/>
  <c r="A1211" i="23"/>
  <c r="R1210" i="23"/>
  <c r="P1210" i="23"/>
  <c r="A1210" i="23"/>
  <c r="R1209" i="23"/>
  <c r="P1209" i="23"/>
  <c r="A1209" i="23"/>
  <c r="R1208" i="23"/>
  <c r="P1208" i="23"/>
  <c r="A1208" i="23"/>
  <c r="R1207" i="23"/>
  <c r="P1207" i="23"/>
  <c r="A1207" i="23"/>
  <c r="R1206" i="23"/>
  <c r="P1206" i="23"/>
  <c r="A1206" i="23"/>
  <c r="R1205" i="23"/>
  <c r="P1205" i="23"/>
  <c r="A1205" i="23"/>
  <c r="R1204" i="23"/>
  <c r="P1204" i="23"/>
  <c r="A1204" i="23"/>
  <c r="R1203" i="23"/>
  <c r="P1203" i="23"/>
  <c r="A1203" i="23"/>
  <c r="R1202" i="23"/>
  <c r="P1202" i="23"/>
  <c r="A1202" i="23"/>
  <c r="R1201" i="23"/>
  <c r="P1201" i="23"/>
  <c r="A1201" i="23"/>
  <c r="R1200" i="23"/>
  <c r="P1200" i="23"/>
  <c r="A1200" i="23"/>
  <c r="R1199" i="23"/>
  <c r="P1199" i="23"/>
  <c r="A1199" i="23"/>
  <c r="R1198" i="23"/>
  <c r="P1198" i="23"/>
  <c r="A1198" i="23"/>
  <c r="R1197" i="23"/>
  <c r="P1197" i="23"/>
  <c r="A1197" i="23"/>
  <c r="R1196" i="23"/>
  <c r="P1196" i="23"/>
  <c r="A1196" i="23"/>
  <c r="R1195" i="23"/>
  <c r="P1195" i="23"/>
  <c r="A1195" i="23"/>
  <c r="R1194" i="23"/>
  <c r="P1194" i="23"/>
  <c r="A1194" i="23"/>
  <c r="R1193" i="23"/>
  <c r="P1193" i="23"/>
  <c r="A1193" i="23"/>
  <c r="R1192" i="23"/>
  <c r="P1192" i="23"/>
  <c r="A1192" i="23"/>
  <c r="R1191" i="23"/>
  <c r="P1191" i="23"/>
  <c r="A1191" i="23"/>
  <c r="R1190" i="23"/>
  <c r="P1190" i="23"/>
  <c r="A1190" i="23"/>
  <c r="R1189" i="23"/>
  <c r="P1189" i="23"/>
  <c r="A1189" i="23"/>
  <c r="R1188" i="23"/>
  <c r="P1188" i="23"/>
  <c r="A1188" i="23"/>
  <c r="R1187" i="23"/>
  <c r="P1187" i="23"/>
  <c r="A1187" i="23"/>
  <c r="R1186" i="23"/>
  <c r="P1186" i="23"/>
  <c r="A1186" i="23"/>
  <c r="R1185" i="23"/>
  <c r="P1185" i="23"/>
  <c r="A1185" i="23"/>
  <c r="R1184" i="23"/>
  <c r="P1184" i="23"/>
  <c r="A1184" i="23"/>
  <c r="R1183" i="23"/>
  <c r="P1183" i="23"/>
  <c r="A1183" i="23"/>
  <c r="R1182" i="23"/>
  <c r="P1182" i="23"/>
  <c r="A1182" i="23"/>
  <c r="R1181" i="23"/>
  <c r="P1181" i="23"/>
  <c r="A1181" i="23"/>
  <c r="R1180" i="23"/>
  <c r="P1180" i="23"/>
  <c r="A1180" i="23"/>
  <c r="R1179" i="23"/>
  <c r="P1179" i="23"/>
  <c r="A1179" i="23"/>
  <c r="R1178" i="23"/>
  <c r="P1178" i="23"/>
  <c r="A1178" i="23"/>
  <c r="R1177" i="23"/>
  <c r="P1177" i="23"/>
  <c r="A1177" i="23"/>
  <c r="R1176" i="23"/>
  <c r="P1176" i="23"/>
  <c r="A1176" i="23"/>
  <c r="R1175" i="23"/>
  <c r="P1175" i="23"/>
  <c r="A1175" i="23"/>
  <c r="R1174" i="23"/>
  <c r="P1174" i="23"/>
  <c r="A1174" i="23"/>
  <c r="R1173" i="23"/>
  <c r="P1173" i="23"/>
  <c r="A1173" i="23"/>
  <c r="R1172" i="23"/>
  <c r="P1172" i="23"/>
  <c r="A1172" i="23"/>
  <c r="R1171" i="23"/>
  <c r="P1171" i="23"/>
  <c r="A1171" i="23"/>
  <c r="R1170" i="23"/>
  <c r="P1170" i="23"/>
  <c r="A1170" i="23"/>
  <c r="R1169" i="23"/>
  <c r="P1169" i="23"/>
  <c r="A1169" i="23"/>
  <c r="R1168" i="23"/>
  <c r="P1168" i="23"/>
  <c r="A1168" i="23"/>
  <c r="R1167" i="23"/>
  <c r="P1167" i="23"/>
  <c r="A1167" i="23"/>
  <c r="R1166" i="23"/>
  <c r="P1166" i="23"/>
  <c r="A1166" i="23"/>
  <c r="R1165" i="23"/>
  <c r="P1165" i="23"/>
  <c r="A1165" i="23"/>
  <c r="R1164" i="23"/>
  <c r="P1164" i="23"/>
  <c r="A1164" i="23"/>
  <c r="R1163" i="23"/>
  <c r="P1163" i="23"/>
  <c r="A1163" i="23"/>
  <c r="R1162" i="23"/>
  <c r="P1162" i="23"/>
  <c r="A1162" i="23"/>
  <c r="R1161" i="23"/>
  <c r="P1161" i="23"/>
  <c r="A1161" i="23"/>
  <c r="R1160" i="23"/>
  <c r="P1160" i="23"/>
  <c r="A1160" i="23"/>
  <c r="R1159" i="23"/>
  <c r="P1159" i="23"/>
  <c r="A1159" i="23"/>
  <c r="R1158" i="23"/>
  <c r="P1158" i="23"/>
  <c r="A1158" i="23"/>
  <c r="R1157" i="23"/>
  <c r="P1157" i="23"/>
  <c r="A1157" i="23"/>
  <c r="R1156" i="23"/>
  <c r="P1156" i="23"/>
  <c r="A1156" i="23"/>
  <c r="R1155" i="23"/>
  <c r="P1155" i="23"/>
  <c r="A1155" i="23"/>
  <c r="R1154" i="23"/>
  <c r="P1154" i="23"/>
  <c r="A1154" i="23"/>
  <c r="R1153" i="23"/>
  <c r="P1153" i="23"/>
  <c r="A1153" i="23"/>
  <c r="R1152" i="23"/>
  <c r="P1152" i="23"/>
  <c r="A1152" i="23"/>
  <c r="R1151" i="23"/>
  <c r="P1151" i="23"/>
  <c r="A1151" i="23"/>
  <c r="R1150" i="23"/>
  <c r="P1150" i="23"/>
  <c r="A1150" i="23"/>
  <c r="R1149" i="23"/>
  <c r="P1149" i="23"/>
  <c r="A1149" i="23"/>
  <c r="R1148" i="23"/>
  <c r="P1148" i="23"/>
  <c r="A1148" i="23"/>
  <c r="R1147" i="23"/>
  <c r="P1147" i="23"/>
  <c r="A1147" i="23"/>
  <c r="R1146" i="23"/>
  <c r="P1146" i="23"/>
  <c r="A1146" i="23"/>
  <c r="R1145" i="23"/>
  <c r="P1145" i="23"/>
  <c r="A1145" i="23"/>
  <c r="R1144" i="23"/>
  <c r="P1144" i="23"/>
  <c r="A1144" i="23"/>
  <c r="R1143" i="23"/>
  <c r="P1143" i="23"/>
  <c r="A1143" i="23"/>
  <c r="R1142" i="23"/>
  <c r="P1142" i="23"/>
  <c r="A1142" i="23"/>
  <c r="R1141" i="23"/>
  <c r="P1141" i="23"/>
  <c r="A1141" i="23"/>
  <c r="R1140" i="23"/>
  <c r="P1140" i="23"/>
  <c r="A1140" i="23"/>
  <c r="R1139" i="23"/>
  <c r="P1139" i="23"/>
  <c r="A1139" i="23"/>
  <c r="R1138" i="23"/>
  <c r="P1138" i="23"/>
  <c r="A1138" i="23"/>
  <c r="R1137" i="23"/>
  <c r="P1137" i="23"/>
  <c r="A1137" i="23"/>
  <c r="R1136" i="23"/>
  <c r="P1136" i="23"/>
  <c r="A1136" i="23"/>
  <c r="R1135" i="23"/>
  <c r="P1135" i="23"/>
  <c r="A1135" i="23"/>
  <c r="R1134" i="23"/>
  <c r="P1134" i="23"/>
  <c r="A1134" i="23"/>
  <c r="R1133" i="23"/>
  <c r="P1133" i="23"/>
  <c r="A1133" i="23"/>
  <c r="R1132" i="23"/>
  <c r="P1132" i="23"/>
  <c r="A1132" i="23"/>
  <c r="R1131" i="23"/>
  <c r="P1131" i="23"/>
  <c r="A1131" i="23"/>
  <c r="R1130" i="23"/>
  <c r="P1130" i="23"/>
  <c r="A1130" i="23"/>
  <c r="R1129" i="23"/>
  <c r="P1129" i="23"/>
  <c r="A1129" i="23"/>
  <c r="R1128" i="23"/>
  <c r="P1128" i="23"/>
  <c r="A1128" i="23"/>
  <c r="R1127" i="23"/>
  <c r="P1127" i="23"/>
  <c r="A1127" i="23"/>
  <c r="R1126" i="23"/>
  <c r="P1126" i="23"/>
  <c r="A1126" i="23"/>
  <c r="R1125" i="23"/>
  <c r="P1125" i="23"/>
  <c r="A1125" i="23"/>
  <c r="R1124" i="23"/>
  <c r="P1124" i="23"/>
  <c r="A1124" i="23"/>
  <c r="R1123" i="23"/>
  <c r="P1123" i="23"/>
  <c r="A1123" i="23"/>
  <c r="R1122" i="23"/>
  <c r="P1122" i="23"/>
  <c r="A1122" i="23"/>
  <c r="R1121" i="23"/>
  <c r="P1121" i="23"/>
  <c r="A1121" i="23"/>
  <c r="R1120" i="23"/>
  <c r="P1120" i="23"/>
  <c r="A1120" i="23"/>
  <c r="R1119" i="23"/>
  <c r="P1119" i="23"/>
  <c r="A1119" i="23"/>
  <c r="R1118" i="23"/>
  <c r="P1118" i="23"/>
  <c r="A1118" i="23"/>
  <c r="R1117" i="23"/>
  <c r="P1117" i="23"/>
  <c r="A1117" i="23"/>
  <c r="R1116" i="23"/>
  <c r="P1116" i="23"/>
  <c r="A1116" i="23"/>
  <c r="R1115" i="23"/>
  <c r="P1115" i="23"/>
  <c r="A1115" i="23"/>
  <c r="R1114" i="23"/>
  <c r="P1114" i="23"/>
  <c r="A1114" i="23"/>
  <c r="R1113" i="23"/>
  <c r="P1113" i="23"/>
  <c r="A1113" i="23"/>
  <c r="R1112" i="23"/>
  <c r="P1112" i="23"/>
  <c r="A1112" i="23"/>
  <c r="R1111" i="23"/>
  <c r="P1111" i="23"/>
  <c r="A1111" i="23"/>
  <c r="R1110" i="23"/>
  <c r="P1110" i="23"/>
  <c r="A1110" i="23"/>
  <c r="R1109" i="23"/>
  <c r="P1109" i="23"/>
  <c r="A1109" i="23"/>
  <c r="R1108" i="23"/>
  <c r="P1108" i="23"/>
  <c r="A1108" i="23"/>
  <c r="R1107" i="23"/>
  <c r="P1107" i="23"/>
  <c r="A1107" i="23"/>
  <c r="R1106" i="23"/>
  <c r="P1106" i="23"/>
  <c r="A1106" i="23"/>
  <c r="R1105" i="23"/>
  <c r="P1105" i="23"/>
  <c r="A1105" i="23"/>
  <c r="R1104" i="23"/>
  <c r="P1104" i="23"/>
  <c r="A1104" i="23"/>
  <c r="R1103" i="23"/>
  <c r="P1103" i="23"/>
  <c r="A1103" i="23"/>
  <c r="R1102" i="23"/>
  <c r="P1102" i="23"/>
  <c r="A1102" i="23"/>
  <c r="R1101" i="23"/>
  <c r="P1101" i="23"/>
  <c r="A1101" i="23"/>
  <c r="R1100" i="23"/>
  <c r="P1100" i="23"/>
  <c r="A1100" i="23"/>
  <c r="R1099" i="23"/>
  <c r="P1099" i="23"/>
  <c r="A1099" i="23"/>
  <c r="R1098" i="23"/>
  <c r="P1098" i="23"/>
  <c r="A1098" i="23"/>
  <c r="R1097" i="23"/>
  <c r="P1097" i="23"/>
  <c r="A1097" i="23"/>
  <c r="R1096" i="23"/>
  <c r="P1096" i="23"/>
  <c r="A1096" i="23"/>
  <c r="R1095" i="23"/>
  <c r="P1095" i="23"/>
  <c r="A1095" i="23"/>
  <c r="R1094" i="23"/>
  <c r="P1094" i="23"/>
  <c r="A1094" i="23"/>
  <c r="R1093" i="23"/>
  <c r="P1093" i="23"/>
  <c r="A1093" i="23"/>
  <c r="R1092" i="23"/>
  <c r="P1092" i="23"/>
  <c r="A1092" i="23"/>
  <c r="R1091" i="23"/>
  <c r="P1091" i="23"/>
  <c r="A1091" i="23"/>
  <c r="R1090" i="23"/>
  <c r="P1090" i="23"/>
  <c r="A1090" i="23"/>
  <c r="R1089" i="23"/>
  <c r="P1089" i="23"/>
  <c r="A1089" i="23"/>
  <c r="R1088" i="23"/>
  <c r="P1088" i="23"/>
  <c r="A1088" i="23"/>
  <c r="R1087" i="23"/>
  <c r="P1087" i="23"/>
  <c r="A1087" i="23"/>
  <c r="R1086" i="23"/>
  <c r="P1086" i="23"/>
  <c r="A1086" i="23"/>
  <c r="R1085" i="23"/>
  <c r="P1085" i="23"/>
  <c r="A1085" i="23"/>
  <c r="R1084" i="23"/>
  <c r="P1084" i="23"/>
  <c r="A1084" i="23"/>
  <c r="R1083" i="23"/>
  <c r="P1083" i="23"/>
  <c r="A1083" i="23"/>
  <c r="R1082" i="23"/>
  <c r="P1082" i="23"/>
  <c r="A1082" i="23"/>
  <c r="R1081" i="23"/>
  <c r="P1081" i="23"/>
  <c r="A1081" i="23"/>
  <c r="R1080" i="23"/>
  <c r="P1080" i="23"/>
  <c r="A1080" i="23"/>
  <c r="R1079" i="23"/>
  <c r="P1079" i="23"/>
  <c r="A1079" i="23"/>
  <c r="R1078" i="23"/>
  <c r="P1078" i="23"/>
  <c r="A1078" i="23"/>
  <c r="R1077" i="23"/>
  <c r="P1077" i="23"/>
  <c r="A1077" i="23"/>
  <c r="R1076" i="23"/>
  <c r="P1076" i="23"/>
  <c r="A1076" i="23"/>
  <c r="R1075" i="23"/>
  <c r="P1075" i="23"/>
  <c r="A1075" i="23"/>
  <c r="R1074" i="23"/>
  <c r="P1074" i="23"/>
  <c r="A1074" i="23"/>
  <c r="R1073" i="23"/>
  <c r="P1073" i="23"/>
  <c r="A1073" i="23"/>
  <c r="R1072" i="23"/>
  <c r="P1072" i="23"/>
  <c r="A1072" i="23"/>
  <c r="R1071" i="23"/>
  <c r="P1071" i="23"/>
  <c r="A1071" i="23"/>
  <c r="R1070" i="23"/>
  <c r="P1070" i="23"/>
  <c r="A1070" i="23"/>
  <c r="R1069" i="23"/>
  <c r="P1069" i="23"/>
  <c r="A1069" i="23"/>
  <c r="R1068" i="23"/>
  <c r="P1068" i="23"/>
  <c r="A1068" i="23"/>
  <c r="R1067" i="23"/>
  <c r="P1067" i="23"/>
  <c r="A1067" i="23"/>
  <c r="R1066" i="23"/>
  <c r="P1066" i="23"/>
  <c r="A1066" i="23"/>
  <c r="R1065" i="23"/>
  <c r="P1065" i="23"/>
  <c r="A1065" i="23"/>
  <c r="R1064" i="23"/>
  <c r="P1064" i="23"/>
  <c r="A1064" i="23"/>
  <c r="R1063" i="23"/>
  <c r="P1063" i="23"/>
  <c r="A1063" i="23"/>
  <c r="R1062" i="23"/>
  <c r="P1062" i="23"/>
  <c r="A1062" i="23"/>
  <c r="R1061" i="23"/>
  <c r="P1061" i="23"/>
  <c r="A1061" i="23"/>
  <c r="R1060" i="23"/>
  <c r="P1060" i="23"/>
  <c r="A1060" i="23"/>
  <c r="R1059" i="23"/>
  <c r="P1059" i="23"/>
  <c r="A1059" i="23"/>
  <c r="R1058" i="23"/>
  <c r="P1058" i="23"/>
  <c r="A1058" i="23"/>
  <c r="R1057" i="23"/>
  <c r="P1057" i="23"/>
  <c r="A1057" i="23"/>
  <c r="R1056" i="23"/>
  <c r="P1056" i="23"/>
  <c r="A1056" i="23"/>
  <c r="R1055" i="23"/>
  <c r="P1055" i="23"/>
  <c r="A1055" i="23"/>
  <c r="R1054" i="23"/>
  <c r="P1054" i="23"/>
  <c r="A1054" i="23"/>
  <c r="R1053" i="23"/>
  <c r="P1053" i="23"/>
  <c r="A1053" i="23"/>
  <c r="R1052" i="23"/>
  <c r="P1052" i="23"/>
  <c r="A1052" i="23"/>
  <c r="R1051" i="23"/>
  <c r="P1051" i="23"/>
  <c r="A1051" i="23"/>
  <c r="R1050" i="23"/>
  <c r="P1050" i="23"/>
  <c r="A1050" i="23"/>
  <c r="R1049" i="23"/>
  <c r="P1049" i="23"/>
  <c r="A1049" i="23"/>
  <c r="R1048" i="23"/>
  <c r="P1048" i="23"/>
  <c r="A1048" i="23"/>
  <c r="R1047" i="23"/>
  <c r="P1047" i="23"/>
  <c r="A1047" i="23"/>
  <c r="R1046" i="23"/>
  <c r="P1046" i="23"/>
  <c r="A1046" i="23"/>
  <c r="R1045" i="23"/>
  <c r="P1045" i="23"/>
  <c r="A1045" i="23"/>
  <c r="R1044" i="23"/>
  <c r="P1044" i="23"/>
  <c r="A1044" i="23"/>
  <c r="R1043" i="23"/>
  <c r="P1043" i="23"/>
  <c r="A1043" i="23"/>
  <c r="R1042" i="23"/>
  <c r="P1042" i="23"/>
  <c r="A1042" i="23"/>
  <c r="R1041" i="23"/>
  <c r="P1041" i="23"/>
  <c r="A1041" i="23"/>
  <c r="R1040" i="23"/>
  <c r="P1040" i="23"/>
  <c r="A1040" i="23"/>
  <c r="R1039" i="23"/>
  <c r="P1039" i="23"/>
  <c r="A1039" i="23"/>
  <c r="R1038" i="23"/>
  <c r="P1038" i="23"/>
  <c r="A1038" i="23"/>
  <c r="R1037" i="23"/>
  <c r="P1037" i="23"/>
  <c r="A1037" i="23"/>
  <c r="R1036" i="23"/>
  <c r="P1036" i="23"/>
  <c r="A1036" i="23"/>
  <c r="R1035" i="23"/>
  <c r="P1035" i="23"/>
  <c r="A1035" i="23"/>
  <c r="R1034" i="23"/>
  <c r="P1034" i="23"/>
  <c r="A1034" i="23"/>
  <c r="R1033" i="23"/>
  <c r="P1033" i="23"/>
  <c r="A1033" i="23"/>
  <c r="R1032" i="23"/>
  <c r="P1032" i="23"/>
  <c r="A1032" i="23"/>
  <c r="R1031" i="23"/>
  <c r="P1031" i="23"/>
  <c r="A1031" i="23"/>
  <c r="R1030" i="23"/>
  <c r="P1030" i="23"/>
  <c r="A1030" i="23"/>
  <c r="R1029" i="23"/>
  <c r="P1029" i="23"/>
  <c r="A1029" i="23"/>
  <c r="R1028" i="23"/>
  <c r="P1028" i="23"/>
  <c r="A1028" i="23"/>
  <c r="R1027" i="23"/>
  <c r="P1027" i="23"/>
  <c r="A1027" i="23"/>
  <c r="R1026" i="23"/>
  <c r="P1026" i="23"/>
  <c r="A1026" i="23"/>
  <c r="R1025" i="23"/>
  <c r="P1025" i="23"/>
  <c r="A1025" i="23"/>
  <c r="R1024" i="23"/>
  <c r="P1024" i="23"/>
  <c r="A1024" i="23"/>
  <c r="R1023" i="23"/>
  <c r="P1023" i="23"/>
  <c r="A1023" i="23"/>
  <c r="R1022" i="23"/>
  <c r="P1022" i="23"/>
  <c r="A1022" i="23"/>
  <c r="R1021" i="23"/>
  <c r="P1021" i="23"/>
  <c r="A1021" i="23"/>
  <c r="R1020" i="23"/>
  <c r="P1020" i="23"/>
  <c r="A1020" i="23"/>
  <c r="R1019" i="23"/>
  <c r="P1019" i="23"/>
  <c r="A1019" i="23"/>
  <c r="R1018" i="23"/>
  <c r="P1018" i="23"/>
  <c r="A1018" i="23"/>
  <c r="R1017" i="23"/>
  <c r="P1017" i="23"/>
  <c r="A1017" i="23"/>
  <c r="R1016" i="23"/>
  <c r="P1016" i="23"/>
  <c r="A1016" i="23"/>
  <c r="R1015" i="23"/>
  <c r="P1015" i="23"/>
  <c r="A1015" i="23"/>
  <c r="R1014" i="23"/>
  <c r="P1014" i="23"/>
  <c r="A1014" i="23"/>
  <c r="R1013" i="23"/>
  <c r="P1013" i="23"/>
  <c r="A1013" i="23"/>
  <c r="R1012" i="23"/>
  <c r="P1012" i="23"/>
  <c r="A1012" i="23"/>
  <c r="R1011" i="23"/>
  <c r="P1011" i="23"/>
  <c r="A1011" i="23"/>
  <c r="R1010" i="23"/>
  <c r="P1010" i="23"/>
  <c r="A1010" i="23"/>
  <c r="R1009" i="23"/>
  <c r="P1009" i="23"/>
  <c r="A1009" i="23"/>
  <c r="R1008" i="23"/>
  <c r="P1008" i="23"/>
  <c r="A1008" i="23"/>
  <c r="R1007" i="23"/>
  <c r="P1007" i="23"/>
  <c r="A1007" i="23"/>
  <c r="R1006" i="23"/>
  <c r="P1006" i="23"/>
  <c r="A1006" i="23"/>
  <c r="R1005" i="23"/>
  <c r="P1005" i="23"/>
  <c r="A1005" i="23"/>
  <c r="R1004" i="23"/>
  <c r="P1004" i="23"/>
  <c r="A1004" i="23"/>
  <c r="R1003" i="23"/>
  <c r="P1003" i="23"/>
  <c r="A1003" i="23"/>
  <c r="R1002" i="23"/>
  <c r="P1002" i="23"/>
  <c r="A1002" i="23"/>
  <c r="R1001" i="23"/>
  <c r="P1001" i="23"/>
  <c r="A1001" i="23"/>
  <c r="R1000" i="23"/>
  <c r="P1000" i="23"/>
  <c r="A1000" i="23"/>
  <c r="R999" i="23"/>
  <c r="P999" i="23"/>
  <c r="A999" i="23"/>
  <c r="R998" i="23"/>
  <c r="P998" i="23"/>
  <c r="A998" i="23"/>
  <c r="R997" i="23"/>
  <c r="P997" i="23"/>
  <c r="A997" i="23"/>
  <c r="R996" i="23"/>
  <c r="P996" i="23"/>
  <c r="A996" i="23"/>
  <c r="R995" i="23"/>
  <c r="P995" i="23"/>
  <c r="A995" i="23"/>
  <c r="R994" i="23"/>
  <c r="P994" i="23"/>
  <c r="A994" i="23"/>
  <c r="R993" i="23"/>
  <c r="P993" i="23"/>
  <c r="A993" i="23"/>
  <c r="R992" i="23"/>
  <c r="P992" i="23"/>
  <c r="A992" i="23"/>
  <c r="R991" i="23"/>
  <c r="P991" i="23"/>
  <c r="A991" i="23"/>
  <c r="R990" i="23"/>
  <c r="P990" i="23"/>
  <c r="A990" i="23"/>
  <c r="R989" i="23"/>
  <c r="P989" i="23"/>
  <c r="A989" i="23"/>
  <c r="R988" i="23"/>
  <c r="P988" i="23"/>
  <c r="A988" i="23"/>
  <c r="R987" i="23"/>
  <c r="P987" i="23"/>
  <c r="A987" i="23"/>
  <c r="R986" i="23"/>
  <c r="P986" i="23"/>
  <c r="A986" i="23"/>
  <c r="R985" i="23"/>
  <c r="P985" i="23"/>
  <c r="A985" i="23"/>
  <c r="R984" i="23"/>
  <c r="P984" i="23"/>
  <c r="A984" i="23"/>
  <c r="R983" i="23"/>
  <c r="P983" i="23"/>
  <c r="A983" i="23"/>
  <c r="R982" i="23"/>
  <c r="P982" i="23"/>
  <c r="A982" i="23"/>
  <c r="R981" i="23"/>
  <c r="P981" i="23"/>
  <c r="A981" i="23"/>
  <c r="R980" i="23"/>
  <c r="P980" i="23"/>
  <c r="A980" i="23"/>
  <c r="R979" i="23"/>
  <c r="P979" i="23"/>
  <c r="A979" i="23"/>
  <c r="R978" i="23"/>
  <c r="P978" i="23"/>
  <c r="A978" i="23"/>
  <c r="R977" i="23"/>
  <c r="P977" i="23"/>
  <c r="A977" i="23"/>
  <c r="R976" i="23"/>
  <c r="P976" i="23"/>
  <c r="A976" i="23"/>
  <c r="R975" i="23"/>
  <c r="P975" i="23"/>
  <c r="A975" i="23"/>
  <c r="R974" i="23"/>
  <c r="P974" i="23"/>
  <c r="A974" i="23"/>
  <c r="R973" i="23"/>
  <c r="P973" i="23"/>
  <c r="A973" i="23"/>
  <c r="R972" i="23"/>
  <c r="P972" i="23"/>
  <c r="A972" i="23"/>
  <c r="R971" i="23"/>
  <c r="P971" i="23"/>
  <c r="A971" i="23"/>
  <c r="R970" i="23"/>
  <c r="P970" i="23"/>
  <c r="A970" i="23"/>
  <c r="R969" i="23"/>
  <c r="P969" i="23"/>
  <c r="A969" i="23"/>
  <c r="R968" i="23"/>
  <c r="P968" i="23"/>
  <c r="A968" i="23"/>
  <c r="R967" i="23"/>
  <c r="P967" i="23"/>
  <c r="A967" i="23"/>
  <c r="R966" i="23"/>
  <c r="P966" i="23"/>
  <c r="A966" i="23"/>
  <c r="R965" i="23"/>
  <c r="P965" i="23"/>
  <c r="A965" i="23"/>
  <c r="R964" i="23"/>
  <c r="P964" i="23"/>
  <c r="A964" i="23"/>
  <c r="R963" i="23"/>
  <c r="P963" i="23"/>
  <c r="A963" i="23"/>
  <c r="R962" i="23"/>
  <c r="P962" i="23"/>
  <c r="A962" i="23"/>
  <c r="R961" i="23"/>
  <c r="P961" i="23"/>
  <c r="A961" i="23"/>
  <c r="R960" i="23"/>
  <c r="P960" i="23"/>
  <c r="A960" i="23"/>
  <c r="R959" i="23"/>
  <c r="P959" i="23"/>
  <c r="A959" i="23"/>
  <c r="R958" i="23"/>
  <c r="P958" i="23"/>
  <c r="A958" i="23"/>
  <c r="R957" i="23"/>
  <c r="P957" i="23"/>
  <c r="A957" i="23"/>
  <c r="R956" i="23"/>
  <c r="P956" i="23"/>
  <c r="A956" i="23"/>
  <c r="R955" i="23"/>
  <c r="P955" i="23"/>
  <c r="A955" i="23"/>
  <c r="R954" i="23"/>
  <c r="P954" i="23"/>
  <c r="A954" i="23"/>
  <c r="R953" i="23"/>
  <c r="P953" i="23"/>
  <c r="A953" i="23"/>
  <c r="R952" i="23"/>
  <c r="P952" i="23"/>
  <c r="A952" i="23"/>
  <c r="R951" i="23"/>
  <c r="P951" i="23"/>
  <c r="A951" i="23"/>
  <c r="R950" i="23"/>
  <c r="P950" i="23"/>
  <c r="A950" i="23"/>
  <c r="R949" i="23"/>
  <c r="P949" i="23"/>
  <c r="A949" i="23"/>
  <c r="R948" i="23"/>
  <c r="P948" i="23"/>
  <c r="A948" i="23"/>
  <c r="R947" i="23"/>
  <c r="P947" i="23"/>
  <c r="A947" i="23"/>
  <c r="R946" i="23"/>
  <c r="P946" i="23"/>
  <c r="A946" i="23"/>
  <c r="R945" i="23"/>
  <c r="P945" i="23"/>
  <c r="A945" i="23"/>
  <c r="R944" i="23"/>
  <c r="P944" i="23"/>
  <c r="A944" i="23"/>
  <c r="R943" i="23"/>
  <c r="P943" i="23"/>
  <c r="A943" i="23"/>
  <c r="R942" i="23"/>
  <c r="P942" i="23"/>
  <c r="A942" i="23"/>
  <c r="R941" i="23"/>
  <c r="P941" i="23"/>
  <c r="A941" i="23"/>
  <c r="R940" i="23"/>
  <c r="P940" i="23"/>
  <c r="A940" i="23"/>
  <c r="R939" i="23"/>
  <c r="P939" i="23"/>
  <c r="A939" i="23"/>
  <c r="R938" i="23"/>
  <c r="P938" i="23"/>
  <c r="A938" i="23"/>
  <c r="R937" i="23"/>
  <c r="P937" i="23"/>
  <c r="A937" i="23"/>
  <c r="R936" i="23"/>
  <c r="P936" i="23"/>
  <c r="A936" i="23"/>
  <c r="R935" i="23"/>
  <c r="P935" i="23"/>
  <c r="A935" i="23"/>
  <c r="R934" i="23"/>
  <c r="P934" i="23"/>
  <c r="A934" i="23"/>
  <c r="R933" i="23"/>
  <c r="P933" i="23"/>
  <c r="A933" i="23"/>
  <c r="R932" i="23"/>
  <c r="P932" i="23"/>
  <c r="A932" i="23"/>
  <c r="R931" i="23"/>
  <c r="P931" i="23"/>
  <c r="A931" i="23"/>
  <c r="R930" i="23"/>
  <c r="P930" i="23"/>
  <c r="A930" i="23"/>
  <c r="R929" i="23"/>
  <c r="P929" i="23"/>
  <c r="A929" i="23"/>
  <c r="R928" i="23"/>
  <c r="P928" i="23"/>
  <c r="A928" i="23"/>
  <c r="R927" i="23"/>
  <c r="P927" i="23"/>
  <c r="A927" i="23"/>
  <c r="R926" i="23"/>
  <c r="P926" i="23"/>
  <c r="A926" i="23"/>
  <c r="R925" i="23"/>
  <c r="P925" i="23"/>
  <c r="A925" i="23"/>
  <c r="R924" i="23"/>
  <c r="P924" i="23"/>
  <c r="A924" i="23"/>
  <c r="R923" i="23"/>
  <c r="P923" i="23"/>
  <c r="A923" i="23"/>
  <c r="R922" i="23"/>
  <c r="P922" i="23"/>
  <c r="A922" i="23"/>
  <c r="R921" i="23"/>
  <c r="P921" i="23"/>
  <c r="A921" i="23"/>
  <c r="R920" i="23"/>
  <c r="P920" i="23"/>
  <c r="A920" i="23"/>
  <c r="R919" i="23"/>
  <c r="P919" i="23"/>
  <c r="A919" i="23"/>
  <c r="R918" i="23"/>
  <c r="P918" i="23"/>
  <c r="A918" i="23"/>
  <c r="R917" i="23"/>
  <c r="P917" i="23"/>
  <c r="A917" i="23"/>
  <c r="R916" i="23"/>
  <c r="P916" i="23"/>
  <c r="A916" i="23"/>
  <c r="R915" i="23"/>
  <c r="P915" i="23"/>
  <c r="A915" i="23"/>
  <c r="R914" i="23"/>
  <c r="P914" i="23"/>
  <c r="A914" i="23"/>
  <c r="R913" i="23"/>
  <c r="P913" i="23"/>
  <c r="A913" i="23"/>
  <c r="R912" i="23"/>
  <c r="P912" i="23"/>
  <c r="A912" i="23"/>
  <c r="R911" i="23"/>
  <c r="P911" i="23"/>
  <c r="A911" i="23"/>
  <c r="R910" i="23"/>
  <c r="P910" i="23"/>
  <c r="A910" i="23"/>
  <c r="R909" i="23"/>
  <c r="P909" i="23"/>
  <c r="A909" i="23"/>
  <c r="R908" i="23"/>
  <c r="P908" i="23"/>
  <c r="A908" i="23"/>
  <c r="R907" i="23"/>
  <c r="P907" i="23"/>
  <c r="A907" i="23"/>
  <c r="R906" i="23"/>
  <c r="P906" i="23"/>
  <c r="A906" i="23"/>
  <c r="R905" i="23"/>
  <c r="P905" i="23"/>
  <c r="A905" i="23"/>
  <c r="R904" i="23"/>
  <c r="P904" i="23"/>
  <c r="A904" i="23"/>
  <c r="R903" i="23"/>
  <c r="P903" i="23"/>
  <c r="A903" i="23"/>
  <c r="R902" i="23"/>
  <c r="P902" i="23"/>
  <c r="A902" i="23"/>
  <c r="R901" i="23"/>
  <c r="P901" i="23"/>
  <c r="A901" i="23"/>
  <c r="R900" i="23"/>
  <c r="P900" i="23"/>
  <c r="A900" i="23"/>
  <c r="R899" i="23"/>
  <c r="P899" i="23"/>
  <c r="A899" i="23"/>
  <c r="R898" i="23"/>
  <c r="P898" i="23"/>
  <c r="A898" i="23"/>
  <c r="R897" i="23"/>
  <c r="P897" i="23"/>
  <c r="A897" i="23"/>
  <c r="R896" i="23"/>
  <c r="P896" i="23"/>
  <c r="A896" i="23"/>
  <c r="R895" i="23"/>
  <c r="P895" i="23"/>
  <c r="A895" i="23"/>
  <c r="R894" i="23"/>
  <c r="P894" i="23"/>
  <c r="A894" i="23"/>
  <c r="R893" i="23"/>
  <c r="P893" i="23"/>
  <c r="A893" i="23"/>
  <c r="R892" i="23"/>
  <c r="P892" i="23"/>
  <c r="A892" i="23"/>
  <c r="R891" i="23"/>
  <c r="P891" i="23"/>
  <c r="A891" i="23"/>
  <c r="R890" i="23"/>
  <c r="P890" i="23"/>
  <c r="A890" i="23"/>
  <c r="R889" i="23"/>
  <c r="P889" i="23"/>
  <c r="A889" i="23"/>
  <c r="R888" i="23"/>
  <c r="P888" i="23"/>
  <c r="A888" i="23"/>
  <c r="R887" i="23"/>
  <c r="P887" i="23"/>
  <c r="A887" i="23"/>
  <c r="R886" i="23"/>
  <c r="P886" i="23"/>
  <c r="A886" i="23"/>
  <c r="R885" i="23"/>
  <c r="P885" i="23"/>
  <c r="A885" i="23"/>
  <c r="R884" i="23"/>
  <c r="P884" i="23"/>
  <c r="A884" i="23"/>
  <c r="R883" i="23"/>
  <c r="P883" i="23"/>
  <c r="A883" i="23"/>
  <c r="R882" i="23"/>
  <c r="P882" i="23"/>
  <c r="A882" i="23"/>
  <c r="R881" i="23"/>
  <c r="P881" i="23"/>
  <c r="A881" i="23"/>
  <c r="R880" i="23"/>
  <c r="P880" i="23"/>
  <c r="A880" i="23"/>
  <c r="R879" i="23"/>
  <c r="P879" i="23"/>
  <c r="A879" i="23"/>
  <c r="R878" i="23"/>
  <c r="P878" i="23"/>
  <c r="A878" i="23"/>
  <c r="R877" i="23"/>
  <c r="P877" i="23"/>
  <c r="A877" i="23"/>
  <c r="R876" i="23"/>
  <c r="P876" i="23"/>
  <c r="A876" i="23"/>
  <c r="R875" i="23"/>
  <c r="P875" i="23"/>
  <c r="A875" i="23"/>
  <c r="R874" i="23"/>
  <c r="P874" i="23"/>
  <c r="A874" i="23"/>
  <c r="R873" i="23"/>
  <c r="P873" i="23"/>
  <c r="A873" i="23"/>
  <c r="R872" i="23"/>
  <c r="P872" i="23"/>
  <c r="A872" i="23"/>
  <c r="R871" i="23"/>
  <c r="P871" i="23"/>
  <c r="A871" i="23"/>
  <c r="R870" i="23"/>
  <c r="P870" i="23"/>
  <c r="A870" i="23"/>
  <c r="R869" i="23"/>
  <c r="P869" i="23"/>
  <c r="A869" i="23"/>
  <c r="R868" i="23"/>
  <c r="P868" i="23"/>
  <c r="A868" i="23"/>
  <c r="R867" i="23"/>
  <c r="P867" i="23"/>
  <c r="A867" i="23"/>
  <c r="R866" i="23"/>
  <c r="P866" i="23"/>
  <c r="A866" i="23"/>
  <c r="R865" i="23"/>
  <c r="P865" i="23"/>
  <c r="A865" i="23"/>
  <c r="R864" i="23"/>
  <c r="P864" i="23"/>
  <c r="A864" i="23"/>
  <c r="R863" i="23"/>
  <c r="P863" i="23"/>
  <c r="A863" i="23"/>
  <c r="R862" i="23"/>
  <c r="P862" i="23"/>
  <c r="A862" i="23"/>
  <c r="R861" i="23"/>
  <c r="P861" i="23"/>
  <c r="A861" i="23"/>
  <c r="R860" i="23"/>
  <c r="P860" i="23"/>
  <c r="A860" i="23"/>
  <c r="R859" i="23"/>
  <c r="P859" i="23"/>
  <c r="A859" i="23"/>
  <c r="R858" i="23"/>
  <c r="P858" i="23"/>
  <c r="A858" i="23"/>
  <c r="R857" i="23"/>
  <c r="P857" i="23"/>
  <c r="A857" i="23"/>
  <c r="R856" i="23"/>
  <c r="P856" i="23"/>
  <c r="A856" i="23"/>
  <c r="R855" i="23"/>
  <c r="P855" i="23"/>
  <c r="A855" i="23"/>
  <c r="R854" i="23"/>
  <c r="P854" i="23"/>
  <c r="A854" i="23"/>
  <c r="R853" i="23"/>
  <c r="P853" i="23"/>
  <c r="A853" i="23"/>
  <c r="R852" i="23"/>
  <c r="P852" i="23"/>
  <c r="A852" i="23"/>
  <c r="R851" i="23"/>
  <c r="P851" i="23"/>
  <c r="A851" i="23"/>
  <c r="R850" i="23"/>
  <c r="P850" i="23"/>
  <c r="A850" i="23"/>
  <c r="R849" i="23"/>
  <c r="P849" i="23"/>
  <c r="A849" i="23"/>
  <c r="R848" i="23"/>
  <c r="P848" i="23"/>
  <c r="A848" i="23"/>
  <c r="R847" i="23"/>
  <c r="P847" i="23"/>
  <c r="A847" i="23"/>
  <c r="R846" i="23"/>
  <c r="P846" i="23"/>
  <c r="A846" i="23"/>
  <c r="R845" i="23"/>
  <c r="P845" i="23"/>
  <c r="A845" i="23"/>
  <c r="R844" i="23"/>
  <c r="P844" i="23"/>
  <c r="A844" i="23"/>
  <c r="R843" i="23"/>
  <c r="P843" i="23"/>
  <c r="A843" i="23"/>
  <c r="R842" i="23"/>
  <c r="P842" i="23"/>
  <c r="A842" i="23"/>
  <c r="R841" i="23"/>
  <c r="P841" i="23"/>
  <c r="A841" i="23"/>
  <c r="R840" i="23"/>
  <c r="P840" i="23"/>
  <c r="A840" i="23"/>
  <c r="R839" i="23"/>
  <c r="P839" i="23"/>
  <c r="A839" i="23"/>
  <c r="R838" i="23"/>
  <c r="P838" i="23"/>
  <c r="A838" i="23"/>
  <c r="R837" i="23"/>
  <c r="P837" i="23"/>
  <c r="A837" i="23"/>
  <c r="R836" i="23"/>
  <c r="P836" i="23"/>
  <c r="A836" i="23"/>
  <c r="R835" i="23"/>
  <c r="P835" i="23"/>
  <c r="A835" i="23"/>
  <c r="R834" i="23"/>
  <c r="P834" i="23"/>
  <c r="A834" i="23"/>
  <c r="R833" i="23"/>
  <c r="P833" i="23"/>
  <c r="A833" i="23"/>
  <c r="R832" i="23"/>
  <c r="P832" i="23"/>
  <c r="A832" i="23"/>
  <c r="R831" i="23"/>
  <c r="P831" i="23"/>
  <c r="A831" i="23"/>
  <c r="R830" i="23"/>
  <c r="P830" i="23"/>
  <c r="A830" i="23"/>
  <c r="R829" i="23"/>
  <c r="P829" i="23"/>
  <c r="A829" i="23"/>
  <c r="R828" i="23"/>
  <c r="P828" i="23"/>
  <c r="A828" i="23"/>
  <c r="R827" i="23"/>
  <c r="P827" i="23"/>
  <c r="A827" i="23"/>
  <c r="R826" i="23"/>
  <c r="P826" i="23"/>
  <c r="A826" i="23"/>
  <c r="R825" i="23"/>
  <c r="P825" i="23"/>
  <c r="A825" i="23"/>
  <c r="R824" i="23"/>
  <c r="P824" i="23"/>
  <c r="A824" i="23"/>
  <c r="R823" i="23"/>
  <c r="P823" i="23"/>
  <c r="A823" i="23"/>
  <c r="R822" i="23"/>
  <c r="P822" i="23"/>
  <c r="A822" i="23"/>
  <c r="R821" i="23"/>
  <c r="P821" i="23"/>
  <c r="A821" i="23"/>
  <c r="R820" i="23"/>
  <c r="P820" i="23"/>
  <c r="A820" i="23"/>
  <c r="R819" i="23"/>
  <c r="P819" i="23"/>
  <c r="A819" i="23"/>
  <c r="R818" i="23"/>
  <c r="P818" i="23"/>
  <c r="A818" i="23"/>
  <c r="R817" i="23"/>
  <c r="P817" i="23"/>
  <c r="A817" i="23"/>
  <c r="R816" i="23"/>
  <c r="P816" i="23"/>
  <c r="A816" i="23"/>
  <c r="R815" i="23"/>
  <c r="P815" i="23"/>
  <c r="A815" i="23"/>
  <c r="R814" i="23"/>
  <c r="P814" i="23"/>
  <c r="A814" i="23"/>
  <c r="R813" i="23"/>
  <c r="P813" i="23"/>
  <c r="A813" i="23"/>
  <c r="R812" i="23"/>
  <c r="P812" i="23"/>
  <c r="A812" i="23"/>
  <c r="R811" i="23"/>
  <c r="P811" i="23"/>
  <c r="A811" i="23"/>
  <c r="R810" i="23"/>
  <c r="P810" i="23"/>
  <c r="A810" i="23"/>
  <c r="R809" i="23"/>
  <c r="P809" i="23"/>
  <c r="A809" i="23"/>
  <c r="R808" i="23"/>
  <c r="P808" i="23"/>
  <c r="A808" i="23"/>
  <c r="R807" i="23"/>
  <c r="P807" i="23"/>
  <c r="A807" i="23"/>
  <c r="R806" i="23"/>
  <c r="P806" i="23"/>
  <c r="A806" i="23"/>
  <c r="R805" i="23"/>
  <c r="P805" i="23"/>
  <c r="A805" i="23"/>
  <c r="R804" i="23"/>
  <c r="P804" i="23"/>
  <c r="A804" i="23"/>
  <c r="R803" i="23"/>
  <c r="P803" i="23"/>
  <c r="A803" i="23"/>
  <c r="R802" i="23"/>
  <c r="P802" i="23"/>
  <c r="A802" i="23"/>
  <c r="R801" i="23"/>
  <c r="P801" i="23"/>
  <c r="A801" i="23"/>
  <c r="R800" i="23"/>
  <c r="P800" i="23"/>
  <c r="A800" i="23"/>
  <c r="R799" i="23"/>
  <c r="P799" i="23"/>
  <c r="A799" i="23"/>
  <c r="R798" i="23"/>
  <c r="P798" i="23"/>
  <c r="A798" i="23"/>
  <c r="R797" i="23"/>
  <c r="P797" i="23"/>
  <c r="A797" i="23"/>
  <c r="R796" i="23"/>
  <c r="P796" i="23"/>
  <c r="A796" i="23"/>
  <c r="R795" i="23"/>
  <c r="P795" i="23"/>
  <c r="A795" i="23"/>
  <c r="R794" i="23"/>
  <c r="P794" i="23"/>
  <c r="A794" i="23"/>
  <c r="R793" i="23"/>
  <c r="P793" i="23"/>
  <c r="A793" i="23"/>
  <c r="R792" i="23"/>
  <c r="P792" i="23"/>
  <c r="A792" i="23"/>
  <c r="R791" i="23"/>
  <c r="P791" i="23"/>
  <c r="A791" i="23"/>
  <c r="R790" i="23"/>
  <c r="P790" i="23"/>
  <c r="A790" i="23"/>
  <c r="R789" i="23"/>
  <c r="P789" i="23"/>
  <c r="A789" i="23"/>
  <c r="R788" i="23"/>
  <c r="P788" i="23"/>
  <c r="A788" i="23"/>
  <c r="R787" i="23"/>
  <c r="P787" i="23"/>
  <c r="A787" i="23"/>
  <c r="R786" i="23"/>
  <c r="P786" i="23"/>
  <c r="A786" i="23"/>
  <c r="R785" i="23"/>
  <c r="P785" i="23"/>
  <c r="A785" i="23"/>
  <c r="R784" i="23"/>
  <c r="P784" i="23"/>
  <c r="A784" i="23"/>
  <c r="R783" i="23"/>
  <c r="P783" i="23"/>
  <c r="A783" i="23"/>
  <c r="R782" i="23"/>
  <c r="P782" i="23"/>
  <c r="A782" i="23"/>
  <c r="R781" i="23"/>
  <c r="P781" i="23"/>
  <c r="A781" i="23"/>
  <c r="R780" i="23"/>
  <c r="P780" i="23"/>
  <c r="A780" i="23"/>
  <c r="R779" i="23"/>
  <c r="P779" i="23"/>
  <c r="A779" i="23"/>
  <c r="R778" i="23"/>
  <c r="P778" i="23"/>
  <c r="A778" i="23"/>
  <c r="R777" i="23"/>
  <c r="P777" i="23"/>
  <c r="A777" i="23"/>
  <c r="R776" i="23"/>
  <c r="P776" i="23"/>
  <c r="A776" i="23"/>
  <c r="R775" i="23"/>
  <c r="P775" i="23"/>
  <c r="A775" i="23"/>
  <c r="R774" i="23"/>
  <c r="P774" i="23"/>
  <c r="A774" i="23"/>
  <c r="R773" i="23"/>
  <c r="P773" i="23"/>
  <c r="A773" i="23"/>
  <c r="R772" i="23"/>
  <c r="P772" i="23"/>
  <c r="A772" i="23"/>
  <c r="R771" i="23"/>
  <c r="P771" i="23"/>
  <c r="A771" i="23"/>
  <c r="R770" i="23"/>
  <c r="P770" i="23"/>
  <c r="A770" i="23"/>
  <c r="R769" i="23"/>
  <c r="P769" i="23"/>
  <c r="A769" i="23"/>
  <c r="R768" i="23"/>
  <c r="P768" i="23"/>
  <c r="A768" i="23"/>
  <c r="R767" i="23"/>
  <c r="P767" i="23"/>
  <c r="A767" i="23"/>
  <c r="R766" i="23"/>
  <c r="P766" i="23"/>
  <c r="A766" i="23"/>
  <c r="R765" i="23"/>
  <c r="P765" i="23"/>
  <c r="A765" i="23"/>
  <c r="R764" i="23"/>
  <c r="P764" i="23"/>
  <c r="A764" i="23"/>
  <c r="R763" i="23"/>
  <c r="P763" i="23"/>
  <c r="A763" i="23"/>
  <c r="R762" i="23"/>
  <c r="P762" i="23"/>
  <c r="A762" i="23"/>
  <c r="R761" i="23"/>
  <c r="P761" i="23"/>
  <c r="A761" i="23"/>
  <c r="R760" i="23"/>
  <c r="P760" i="23"/>
  <c r="A760" i="23"/>
  <c r="R759" i="23"/>
  <c r="P759" i="23"/>
  <c r="A759" i="23"/>
  <c r="R758" i="23"/>
  <c r="P758" i="23"/>
  <c r="A758" i="23"/>
  <c r="R757" i="23"/>
  <c r="P757" i="23"/>
  <c r="A757" i="23"/>
  <c r="R756" i="23"/>
  <c r="P756" i="23"/>
  <c r="A756" i="23"/>
  <c r="R755" i="23"/>
  <c r="P755" i="23"/>
  <c r="A755" i="23"/>
  <c r="R754" i="23"/>
  <c r="P754" i="23"/>
  <c r="A754" i="23"/>
  <c r="R753" i="23"/>
  <c r="P753" i="23"/>
  <c r="A753" i="23"/>
  <c r="R752" i="23"/>
  <c r="P752" i="23"/>
  <c r="A752" i="23"/>
  <c r="R751" i="23"/>
  <c r="P751" i="23"/>
  <c r="A751" i="23"/>
  <c r="R750" i="23"/>
  <c r="P750" i="23"/>
  <c r="A750" i="23"/>
  <c r="R749" i="23"/>
  <c r="P749" i="23"/>
  <c r="A749" i="23"/>
  <c r="R748" i="23"/>
  <c r="P748" i="23"/>
  <c r="A748" i="23"/>
  <c r="R747" i="23"/>
  <c r="P747" i="23"/>
  <c r="A747" i="23"/>
  <c r="R746" i="23"/>
  <c r="P746" i="23"/>
  <c r="A746" i="23"/>
  <c r="R745" i="23"/>
  <c r="P745" i="23"/>
  <c r="A745" i="23"/>
  <c r="R744" i="23"/>
  <c r="P744" i="23"/>
  <c r="A744" i="23"/>
  <c r="R743" i="23"/>
  <c r="P743" i="23"/>
  <c r="A743" i="23"/>
  <c r="R742" i="23"/>
  <c r="P742" i="23"/>
  <c r="A742" i="23"/>
  <c r="R741" i="23"/>
  <c r="P741" i="23"/>
  <c r="A741" i="23"/>
  <c r="R740" i="23"/>
  <c r="P740" i="23"/>
  <c r="A740" i="23"/>
  <c r="R739" i="23"/>
  <c r="P739" i="23"/>
  <c r="A739" i="23"/>
  <c r="R738" i="23"/>
  <c r="P738" i="23"/>
  <c r="A738" i="23"/>
  <c r="R737" i="23"/>
  <c r="P737" i="23"/>
  <c r="A737" i="23"/>
  <c r="R736" i="23"/>
  <c r="P736" i="23"/>
  <c r="A736" i="23"/>
  <c r="R735" i="23"/>
  <c r="P735" i="23"/>
  <c r="A735" i="23"/>
  <c r="R734" i="23"/>
  <c r="P734" i="23"/>
  <c r="A734" i="23"/>
  <c r="R733" i="23"/>
  <c r="P733" i="23"/>
  <c r="A733" i="23"/>
  <c r="R732" i="23"/>
  <c r="P732" i="23"/>
  <c r="A732" i="23"/>
  <c r="R731" i="23"/>
  <c r="P731" i="23"/>
  <c r="A731" i="23"/>
  <c r="R730" i="23"/>
  <c r="P730" i="23"/>
  <c r="A730" i="23"/>
  <c r="R729" i="23"/>
  <c r="P729" i="23"/>
  <c r="A729" i="23"/>
  <c r="R728" i="23"/>
  <c r="P728" i="23"/>
  <c r="A728" i="23"/>
  <c r="R727" i="23"/>
  <c r="P727" i="23"/>
  <c r="A727" i="23"/>
  <c r="R726" i="23"/>
  <c r="P726" i="23"/>
  <c r="A726" i="23"/>
  <c r="R725" i="23"/>
  <c r="P725" i="23"/>
  <c r="A725" i="23"/>
  <c r="R724" i="23"/>
  <c r="P724" i="23"/>
  <c r="A724" i="23"/>
  <c r="R723" i="23"/>
  <c r="P723" i="23"/>
  <c r="A723" i="23"/>
  <c r="R722" i="23"/>
  <c r="P722" i="23"/>
  <c r="A722" i="23"/>
  <c r="R721" i="23"/>
  <c r="P721" i="23"/>
  <c r="A721" i="23"/>
  <c r="R720" i="23"/>
  <c r="P720" i="23"/>
  <c r="A720" i="23"/>
  <c r="R719" i="23"/>
  <c r="P719" i="23"/>
  <c r="A719" i="23"/>
  <c r="R718" i="23"/>
  <c r="P718" i="23"/>
  <c r="A718" i="23"/>
  <c r="R717" i="23"/>
  <c r="P717" i="23"/>
  <c r="A717" i="23"/>
  <c r="R716" i="23"/>
  <c r="P716" i="23"/>
  <c r="A716" i="23"/>
  <c r="R715" i="23"/>
  <c r="P715" i="23"/>
  <c r="A715" i="23"/>
  <c r="R714" i="23"/>
  <c r="P714" i="23"/>
  <c r="A714" i="23"/>
  <c r="R713" i="23"/>
  <c r="P713" i="23"/>
  <c r="A713" i="23"/>
  <c r="R712" i="23"/>
  <c r="P712" i="23"/>
  <c r="A712" i="23"/>
  <c r="R711" i="23"/>
  <c r="P711" i="23"/>
  <c r="A711" i="23"/>
  <c r="R710" i="23"/>
  <c r="P710" i="23"/>
  <c r="A710" i="23"/>
  <c r="R709" i="23"/>
  <c r="P709" i="23"/>
  <c r="A709" i="23"/>
  <c r="R708" i="23"/>
  <c r="P708" i="23"/>
  <c r="A708" i="23"/>
  <c r="R707" i="23"/>
  <c r="P707" i="23"/>
  <c r="A707" i="23"/>
  <c r="R706" i="23"/>
  <c r="P706" i="23"/>
  <c r="A706" i="23"/>
  <c r="R705" i="23"/>
  <c r="P705" i="23"/>
  <c r="A705" i="23"/>
  <c r="R704" i="23"/>
  <c r="P704" i="23"/>
  <c r="A704" i="23"/>
  <c r="R703" i="23"/>
  <c r="P703" i="23"/>
  <c r="A703" i="23"/>
  <c r="R702" i="23"/>
  <c r="P702" i="23"/>
  <c r="A702" i="23"/>
  <c r="R701" i="23"/>
  <c r="P701" i="23"/>
  <c r="A701" i="23"/>
  <c r="R700" i="23"/>
  <c r="P700" i="23"/>
  <c r="A700" i="23"/>
  <c r="R699" i="23"/>
  <c r="P699" i="23"/>
  <c r="A699" i="23"/>
  <c r="R698" i="23"/>
  <c r="P698" i="23"/>
  <c r="A698" i="23"/>
  <c r="R697" i="23"/>
  <c r="P697" i="23"/>
  <c r="A697" i="23"/>
  <c r="R696" i="23"/>
  <c r="P696" i="23"/>
  <c r="A696" i="23"/>
  <c r="R695" i="23"/>
  <c r="P695" i="23"/>
  <c r="A695" i="23"/>
  <c r="R694" i="23"/>
  <c r="P694" i="23"/>
  <c r="A694" i="23"/>
  <c r="R693" i="23"/>
  <c r="P693" i="23"/>
  <c r="A693" i="23"/>
  <c r="R692" i="23"/>
  <c r="P692" i="23"/>
  <c r="A692" i="23"/>
  <c r="R691" i="23"/>
  <c r="P691" i="23"/>
  <c r="A691" i="23"/>
  <c r="R690" i="23"/>
  <c r="P690" i="23"/>
  <c r="A690" i="23"/>
  <c r="R689" i="23"/>
  <c r="P689" i="23"/>
  <c r="A689" i="23"/>
  <c r="R688" i="23"/>
  <c r="P688" i="23"/>
  <c r="A688" i="23"/>
  <c r="R687" i="23"/>
  <c r="P687" i="23"/>
  <c r="A687" i="23"/>
  <c r="R686" i="23"/>
  <c r="P686" i="23"/>
  <c r="A686" i="23"/>
  <c r="R685" i="23"/>
  <c r="P685" i="23"/>
  <c r="A685" i="23"/>
  <c r="R684" i="23"/>
  <c r="P684" i="23"/>
  <c r="A684" i="23"/>
  <c r="R683" i="23"/>
  <c r="P683" i="23"/>
  <c r="A683" i="23"/>
  <c r="R682" i="23"/>
  <c r="P682" i="23"/>
  <c r="A682" i="23"/>
  <c r="R681" i="23"/>
  <c r="P681" i="23"/>
  <c r="A681" i="23"/>
  <c r="R680" i="23"/>
  <c r="P680" i="23"/>
  <c r="A680" i="23"/>
  <c r="R679" i="23"/>
  <c r="P679" i="23"/>
  <c r="A679" i="23"/>
  <c r="R678" i="23"/>
  <c r="P678" i="23"/>
  <c r="A678" i="23"/>
  <c r="R677" i="23"/>
  <c r="P677" i="23"/>
  <c r="A677" i="23"/>
  <c r="R676" i="23"/>
  <c r="P676" i="23"/>
  <c r="A676" i="23"/>
  <c r="R675" i="23"/>
  <c r="P675" i="23"/>
  <c r="A675" i="23"/>
  <c r="R674" i="23"/>
  <c r="P674" i="23"/>
  <c r="A674" i="23"/>
  <c r="R673" i="23"/>
  <c r="P673" i="23"/>
  <c r="A673" i="23"/>
  <c r="R672" i="23"/>
  <c r="P672" i="23"/>
  <c r="A672" i="23"/>
  <c r="R671" i="23"/>
  <c r="P671" i="23"/>
  <c r="A671" i="23"/>
  <c r="R670" i="23"/>
  <c r="P670" i="23"/>
  <c r="A670" i="23"/>
  <c r="R669" i="23"/>
  <c r="P669" i="23"/>
  <c r="A669" i="23"/>
  <c r="R668" i="23"/>
  <c r="P668" i="23"/>
  <c r="A668" i="23"/>
  <c r="R667" i="23"/>
  <c r="P667" i="23"/>
  <c r="A667" i="23"/>
  <c r="R666" i="23"/>
  <c r="P666" i="23"/>
  <c r="A666" i="23"/>
  <c r="R665" i="23"/>
  <c r="P665" i="23"/>
  <c r="A665" i="23"/>
  <c r="R664" i="23"/>
  <c r="P664" i="23"/>
  <c r="A664" i="23"/>
  <c r="R663" i="23"/>
  <c r="P663" i="23"/>
  <c r="A663" i="23"/>
  <c r="R662" i="23"/>
  <c r="P662" i="23"/>
  <c r="A662" i="23"/>
  <c r="R661" i="23"/>
  <c r="P661" i="23"/>
  <c r="A661" i="23"/>
  <c r="R660" i="23"/>
  <c r="P660" i="23"/>
  <c r="A660" i="23"/>
  <c r="R659" i="23"/>
  <c r="P659" i="23"/>
  <c r="A659" i="23"/>
  <c r="R658" i="23"/>
  <c r="P658" i="23"/>
  <c r="A658" i="23"/>
  <c r="R657" i="23"/>
  <c r="P657" i="23"/>
  <c r="A657" i="23"/>
  <c r="R656" i="23"/>
  <c r="P656" i="23"/>
  <c r="A656" i="23"/>
  <c r="R655" i="23"/>
  <c r="P655" i="23"/>
  <c r="A655" i="23"/>
  <c r="R654" i="23"/>
  <c r="P654" i="23"/>
  <c r="A654" i="23"/>
  <c r="R653" i="23"/>
  <c r="P653" i="23"/>
  <c r="A653" i="23"/>
  <c r="R652" i="23"/>
  <c r="P652" i="23"/>
  <c r="A652" i="23"/>
  <c r="R651" i="23"/>
  <c r="P651" i="23"/>
  <c r="A651" i="23"/>
  <c r="R650" i="23"/>
  <c r="P650" i="23"/>
  <c r="A650" i="23"/>
  <c r="R649" i="23"/>
  <c r="P649" i="23"/>
  <c r="A649" i="23"/>
  <c r="R648" i="23"/>
  <c r="P648" i="23"/>
  <c r="A648" i="23"/>
  <c r="R647" i="23"/>
  <c r="P647" i="23"/>
  <c r="A647" i="23"/>
  <c r="R646" i="23"/>
  <c r="P646" i="23"/>
  <c r="A646" i="23"/>
  <c r="R645" i="23"/>
  <c r="P645" i="23"/>
  <c r="A645" i="23"/>
  <c r="R644" i="23"/>
  <c r="P644" i="23"/>
  <c r="A644" i="23"/>
  <c r="R643" i="23"/>
  <c r="P643" i="23"/>
  <c r="A643" i="23"/>
  <c r="R642" i="23"/>
  <c r="P642" i="23"/>
  <c r="A642" i="23"/>
  <c r="R641" i="23"/>
  <c r="P641" i="23"/>
  <c r="A641" i="23"/>
  <c r="R640" i="23"/>
  <c r="P640" i="23"/>
  <c r="A640" i="23"/>
  <c r="R639" i="23"/>
  <c r="P639" i="23"/>
  <c r="A639" i="23"/>
  <c r="R638" i="23"/>
  <c r="P638" i="23"/>
  <c r="A638" i="23"/>
  <c r="R637" i="23"/>
  <c r="P637" i="23"/>
  <c r="A637" i="23"/>
  <c r="R636" i="23"/>
  <c r="P636" i="23"/>
  <c r="A636" i="23"/>
  <c r="R635" i="23"/>
  <c r="P635" i="23"/>
  <c r="A635" i="23"/>
  <c r="R634" i="23"/>
  <c r="P634" i="23"/>
  <c r="A634" i="23"/>
  <c r="R633" i="23"/>
  <c r="P633" i="23"/>
  <c r="A633" i="23"/>
  <c r="R632" i="23"/>
  <c r="P632" i="23"/>
  <c r="A632" i="23"/>
  <c r="R631" i="23"/>
  <c r="P631" i="23"/>
  <c r="A631" i="23"/>
  <c r="R630" i="23"/>
  <c r="P630" i="23"/>
  <c r="A630" i="23"/>
  <c r="R629" i="23"/>
  <c r="P629" i="23"/>
  <c r="A629" i="23"/>
  <c r="R628" i="23"/>
  <c r="P628" i="23"/>
  <c r="A628" i="23"/>
  <c r="R627" i="23"/>
  <c r="P627" i="23"/>
  <c r="A627" i="23"/>
  <c r="R626" i="23"/>
  <c r="P626" i="23"/>
  <c r="A626" i="23"/>
  <c r="R625" i="23"/>
  <c r="P625" i="23"/>
  <c r="A625" i="23"/>
  <c r="R624" i="23"/>
  <c r="P624" i="23"/>
  <c r="A624" i="23"/>
  <c r="R623" i="23"/>
  <c r="P623" i="23"/>
  <c r="A623" i="23"/>
  <c r="R622" i="23"/>
  <c r="P622" i="23"/>
  <c r="A622" i="23"/>
  <c r="R621" i="23"/>
  <c r="P621" i="23"/>
  <c r="A621" i="23"/>
  <c r="R620" i="23"/>
  <c r="P620" i="23"/>
  <c r="A620" i="23"/>
  <c r="R619" i="23"/>
  <c r="P619" i="23"/>
  <c r="A619" i="23"/>
  <c r="R618" i="23"/>
  <c r="P618" i="23"/>
  <c r="A618" i="23"/>
  <c r="R617" i="23"/>
  <c r="P617" i="23"/>
  <c r="A617" i="23"/>
  <c r="R616" i="23"/>
  <c r="P616" i="23"/>
  <c r="A616" i="23"/>
  <c r="R615" i="23"/>
  <c r="P615" i="23"/>
  <c r="A615" i="23"/>
  <c r="R614" i="23"/>
  <c r="P614" i="23"/>
  <c r="A614" i="23"/>
  <c r="R613" i="23"/>
  <c r="P613" i="23"/>
  <c r="A613" i="23"/>
  <c r="R612" i="23"/>
  <c r="P612" i="23"/>
  <c r="A612" i="23"/>
  <c r="R611" i="23"/>
  <c r="P611" i="23"/>
  <c r="A611" i="23"/>
  <c r="R610" i="23"/>
  <c r="P610" i="23"/>
  <c r="A610" i="23"/>
  <c r="R609" i="23"/>
  <c r="P609" i="23"/>
  <c r="A609" i="23"/>
  <c r="R608" i="23"/>
  <c r="P608" i="23"/>
  <c r="A608" i="23"/>
  <c r="R607" i="23"/>
  <c r="P607" i="23"/>
  <c r="A607" i="23"/>
  <c r="R606" i="23"/>
  <c r="P606" i="23"/>
  <c r="A606" i="23"/>
  <c r="R605" i="23"/>
  <c r="P605" i="23"/>
  <c r="A605" i="23"/>
  <c r="R604" i="23"/>
  <c r="P604" i="23"/>
  <c r="A604" i="23"/>
  <c r="R603" i="23"/>
  <c r="P603" i="23"/>
  <c r="A603" i="23"/>
  <c r="R602" i="23"/>
  <c r="P602" i="23"/>
  <c r="A602" i="23"/>
  <c r="R601" i="23"/>
  <c r="P601" i="23"/>
  <c r="A601" i="23"/>
  <c r="R600" i="23"/>
  <c r="P600" i="23"/>
  <c r="A600" i="23"/>
  <c r="R599" i="23"/>
  <c r="P599" i="23"/>
  <c r="A599" i="23"/>
  <c r="R598" i="23"/>
  <c r="P598" i="23"/>
  <c r="A598" i="23"/>
  <c r="R597" i="23"/>
  <c r="P597" i="23"/>
  <c r="A597" i="23"/>
  <c r="R596" i="23"/>
  <c r="P596" i="23"/>
  <c r="A596" i="23"/>
  <c r="R595" i="23"/>
  <c r="P595" i="23"/>
  <c r="A595" i="23"/>
  <c r="R594" i="23"/>
  <c r="P594" i="23"/>
  <c r="A594" i="23"/>
  <c r="R593" i="23"/>
  <c r="P593" i="23"/>
  <c r="A593" i="23"/>
  <c r="R592" i="23"/>
  <c r="P592" i="23"/>
  <c r="A592" i="23"/>
  <c r="R591" i="23"/>
  <c r="P591" i="23"/>
  <c r="A591" i="23"/>
  <c r="R590" i="23"/>
  <c r="P590" i="23"/>
  <c r="A590" i="23"/>
  <c r="R589" i="23"/>
  <c r="P589" i="23"/>
  <c r="A589" i="23"/>
  <c r="R588" i="23"/>
  <c r="P588" i="23"/>
  <c r="A588" i="23"/>
  <c r="R587" i="23"/>
  <c r="P587" i="23"/>
  <c r="A587" i="23"/>
  <c r="R586" i="23"/>
  <c r="P586" i="23"/>
  <c r="A586" i="23"/>
  <c r="R585" i="23"/>
  <c r="P585" i="23"/>
  <c r="A585" i="23"/>
  <c r="R584" i="23"/>
  <c r="P584" i="23"/>
  <c r="A584" i="23"/>
  <c r="R583" i="23"/>
  <c r="P583" i="23"/>
  <c r="A583" i="23"/>
  <c r="R582" i="23"/>
  <c r="P582" i="23"/>
  <c r="A582" i="23"/>
  <c r="R581" i="23"/>
  <c r="P581" i="23"/>
  <c r="A581" i="23"/>
  <c r="R580" i="23"/>
  <c r="P580" i="23"/>
  <c r="A580" i="23"/>
  <c r="R579" i="23"/>
  <c r="P579" i="23"/>
  <c r="A579" i="23"/>
  <c r="R578" i="23"/>
  <c r="P578" i="23"/>
  <c r="A578" i="23"/>
  <c r="R577" i="23"/>
  <c r="P577" i="23"/>
  <c r="A577" i="23"/>
  <c r="R576" i="23"/>
  <c r="P576" i="23"/>
  <c r="A576" i="23"/>
  <c r="R575" i="23"/>
  <c r="P575" i="23"/>
  <c r="A575" i="23"/>
  <c r="R574" i="23"/>
  <c r="P574" i="23"/>
  <c r="A574" i="23"/>
  <c r="R573" i="23"/>
  <c r="P573" i="23"/>
  <c r="A573" i="23"/>
  <c r="R572" i="23"/>
  <c r="P572" i="23"/>
  <c r="A572" i="23"/>
  <c r="R571" i="23"/>
  <c r="P571" i="23"/>
  <c r="A571" i="23"/>
  <c r="R570" i="23"/>
  <c r="P570" i="23"/>
  <c r="A570" i="23"/>
  <c r="R569" i="23"/>
  <c r="P569" i="23"/>
  <c r="A569" i="23"/>
  <c r="R568" i="23"/>
  <c r="P568" i="23"/>
  <c r="A568" i="23"/>
  <c r="R567" i="23"/>
  <c r="P567" i="23"/>
  <c r="A567" i="23"/>
  <c r="R566" i="23"/>
  <c r="P566" i="23"/>
  <c r="A566" i="23"/>
  <c r="R565" i="23"/>
  <c r="P565" i="23"/>
  <c r="A565" i="23"/>
  <c r="R564" i="23"/>
  <c r="P564" i="23"/>
  <c r="A564" i="23"/>
  <c r="R563" i="23"/>
  <c r="P563" i="23"/>
  <c r="A563" i="23"/>
  <c r="R562" i="23"/>
  <c r="P562" i="23"/>
  <c r="A562" i="23"/>
  <c r="R561" i="23"/>
  <c r="P561" i="23"/>
  <c r="A561" i="23"/>
  <c r="R560" i="23"/>
  <c r="P560" i="23"/>
  <c r="A560" i="23"/>
  <c r="R559" i="23"/>
  <c r="P559" i="23"/>
  <c r="A559" i="23"/>
  <c r="R558" i="23"/>
  <c r="P558" i="23"/>
  <c r="A558" i="23"/>
  <c r="R557" i="23"/>
  <c r="P557" i="23"/>
  <c r="A557" i="23"/>
  <c r="R556" i="23"/>
  <c r="P556" i="23"/>
  <c r="A556" i="23"/>
  <c r="R555" i="23"/>
  <c r="P555" i="23"/>
  <c r="A555" i="23"/>
  <c r="R554" i="23"/>
  <c r="P554" i="23"/>
  <c r="A554" i="23"/>
  <c r="R553" i="23"/>
  <c r="P553" i="23"/>
  <c r="A553" i="23"/>
  <c r="R552" i="23"/>
  <c r="P552" i="23"/>
  <c r="A552" i="23"/>
  <c r="R551" i="23"/>
  <c r="P551" i="23"/>
  <c r="A551" i="23"/>
  <c r="R550" i="23"/>
  <c r="P550" i="23"/>
  <c r="A550" i="23"/>
  <c r="R549" i="23"/>
  <c r="P549" i="23"/>
  <c r="A549" i="23"/>
  <c r="R548" i="23"/>
  <c r="P548" i="23"/>
  <c r="A548" i="23"/>
  <c r="R547" i="23"/>
  <c r="P547" i="23"/>
  <c r="A547" i="23"/>
  <c r="R546" i="23"/>
  <c r="P546" i="23"/>
  <c r="A546" i="23"/>
  <c r="R545" i="23"/>
  <c r="P545" i="23"/>
  <c r="A545" i="23"/>
  <c r="R544" i="23"/>
  <c r="P544" i="23"/>
  <c r="A544" i="23"/>
  <c r="R543" i="23"/>
  <c r="P543" i="23"/>
  <c r="A543" i="23"/>
  <c r="R542" i="23"/>
  <c r="P542" i="23"/>
  <c r="A542" i="23"/>
  <c r="R541" i="23"/>
  <c r="P541" i="23"/>
  <c r="A541" i="23"/>
  <c r="R540" i="23"/>
  <c r="P540" i="23"/>
  <c r="A540" i="23"/>
  <c r="R539" i="23"/>
  <c r="P539" i="23"/>
  <c r="A539" i="23"/>
  <c r="R538" i="23"/>
  <c r="P538" i="23"/>
  <c r="A538" i="23"/>
  <c r="R537" i="23"/>
  <c r="P537" i="23"/>
  <c r="A537" i="23"/>
  <c r="R536" i="23"/>
  <c r="P536" i="23"/>
  <c r="A536" i="23"/>
  <c r="R535" i="23"/>
  <c r="P535" i="23"/>
  <c r="A535" i="23"/>
  <c r="R534" i="23"/>
  <c r="P534" i="23"/>
  <c r="A534" i="23"/>
  <c r="R533" i="23"/>
  <c r="P533" i="23"/>
  <c r="A533" i="23"/>
  <c r="R532" i="23"/>
  <c r="P532" i="23"/>
  <c r="A532" i="23"/>
  <c r="R531" i="23"/>
  <c r="P531" i="23"/>
  <c r="A531" i="23"/>
  <c r="R530" i="23"/>
  <c r="P530" i="23"/>
  <c r="A530" i="23"/>
  <c r="R529" i="23"/>
  <c r="P529" i="23"/>
  <c r="A529" i="23"/>
  <c r="R528" i="23"/>
  <c r="P528" i="23"/>
  <c r="A528" i="23"/>
  <c r="R527" i="23"/>
  <c r="P527" i="23"/>
  <c r="A527" i="23"/>
  <c r="R526" i="23"/>
  <c r="P526" i="23"/>
  <c r="A526" i="23"/>
  <c r="R525" i="23"/>
  <c r="P525" i="23"/>
  <c r="A525" i="23"/>
  <c r="R524" i="23"/>
  <c r="P524" i="23"/>
  <c r="A524" i="23"/>
  <c r="R523" i="23"/>
  <c r="P523" i="23"/>
  <c r="A523" i="23"/>
  <c r="R522" i="23"/>
  <c r="P522" i="23"/>
  <c r="A522" i="23"/>
  <c r="R521" i="23"/>
  <c r="P521" i="23"/>
  <c r="A521" i="23"/>
  <c r="R520" i="23"/>
  <c r="P520" i="23"/>
  <c r="A520" i="23"/>
  <c r="R519" i="23"/>
  <c r="P519" i="23"/>
  <c r="A519" i="23"/>
  <c r="R518" i="23"/>
  <c r="P518" i="23"/>
  <c r="A518" i="23"/>
  <c r="R517" i="23"/>
  <c r="P517" i="23"/>
  <c r="A517" i="23"/>
  <c r="R516" i="23"/>
  <c r="P516" i="23"/>
  <c r="A516" i="23"/>
  <c r="R515" i="23"/>
  <c r="P515" i="23"/>
  <c r="A515" i="23"/>
  <c r="R514" i="23"/>
  <c r="P514" i="23"/>
  <c r="A514" i="23"/>
  <c r="R513" i="23"/>
  <c r="P513" i="23"/>
  <c r="A513" i="23"/>
  <c r="R512" i="23"/>
  <c r="P512" i="23"/>
  <c r="A512" i="23"/>
  <c r="R511" i="23"/>
  <c r="P511" i="23"/>
  <c r="A511" i="23"/>
  <c r="R510" i="23"/>
  <c r="P510" i="23"/>
  <c r="A510" i="23"/>
  <c r="R509" i="23"/>
  <c r="P509" i="23"/>
  <c r="A509" i="23"/>
  <c r="R508" i="23"/>
  <c r="P508" i="23"/>
  <c r="A508" i="23"/>
  <c r="R507" i="23"/>
  <c r="P507" i="23"/>
  <c r="A507" i="23"/>
  <c r="R506" i="23"/>
  <c r="P506" i="23"/>
  <c r="A506" i="23"/>
  <c r="R505" i="23"/>
  <c r="P505" i="23"/>
  <c r="A505" i="23"/>
  <c r="R504" i="23"/>
  <c r="P504" i="23"/>
  <c r="A504" i="23"/>
  <c r="R503" i="23"/>
  <c r="P503" i="23"/>
  <c r="A503" i="23"/>
  <c r="R502" i="23"/>
  <c r="P502" i="23"/>
  <c r="A502" i="23"/>
  <c r="R501" i="23"/>
  <c r="P501" i="23"/>
  <c r="A501" i="23"/>
  <c r="R500" i="23"/>
  <c r="P500" i="23"/>
  <c r="A500" i="23"/>
  <c r="R499" i="23"/>
  <c r="P499" i="23"/>
  <c r="A499" i="23"/>
  <c r="R498" i="23"/>
  <c r="P498" i="23"/>
  <c r="A498" i="23"/>
  <c r="R497" i="23"/>
  <c r="P497" i="23"/>
  <c r="A497" i="23"/>
  <c r="R496" i="23"/>
  <c r="P496" i="23"/>
  <c r="A496" i="23"/>
  <c r="R495" i="23"/>
  <c r="P495" i="23"/>
  <c r="A495" i="23"/>
  <c r="R494" i="23"/>
  <c r="P494" i="23"/>
  <c r="A494" i="23"/>
  <c r="R493" i="23"/>
  <c r="P493" i="23"/>
  <c r="A493" i="23"/>
  <c r="R492" i="23"/>
  <c r="P492" i="23"/>
  <c r="A492" i="23"/>
  <c r="R491" i="23"/>
  <c r="P491" i="23"/>
  <c r="A491" i="23"/>
  <c r="R490" i="23"/>
  <c r="P490" i="23"/>
  <c r="A490" i="23"/>
  <c r="R489" i="23"/>
  <c r="P489" i="23"/>
  <c r="A489" i="23"/>
  <c r="R488" i="23"/>
  <c r="P488" i="23"/>
  <c r="A488" i="23"/>
  <c r="R487" i="23"/>
  <c r="P487" i="23"/>
  <c r="A487" i="23"/>
  <c r="R486" i="23"/>
  <c r="P486" i="23"/>
  <c r="A486" i="23"/>
  <c r="R485" i="23"/>
  <c r="P485" i="23"/>
  <c r="A485" i="23"/>
  <c r="R484" i="23"/>
  <c r="P484" i="23"/>
  <c r="A484" i="23"/>
  <c r="R483" i="23"/>
  <c r="P483" i="23"/>
  <c r="A483" i="23"/>
  <c r="R482" i="23"/>
  <c r="P482" i="23"/>
  <c r="A482" i="23"/>
  <c r="R481" i="23"/>
  <c r="P481" i="23"/>
  <c r="A481" i="23"/>
  <c r="R480" i="23"/>
  <c r="P480" i="23"/>
  <c r="A480" i="23"/>
  <c r="R479" i="23"/>
  <c r="P479" i="23"/>
  <c r="A479" i="23"/>
  <c r="R478" i="23"/>
  <c r="P478" i="23"/>
  <c r="A478" i="23"/>
  <c r="R477" i="23"/>
  <c r="P477" i="23"/>
  <c r="A477" i="23"/>
  <c r="R476" i="23"/>
  <c r="P476" i="23"/>
  <c r="A476" i="23"/>
  <c r="R475" i="23"/>
  <c r="P475" i="23"/>
  <c r="A475" i="23"/>
  <c r="R474" i="23"/>
  <c r="P474" i="23"/>
  <c r="A474" i="23"/>
  <c r="R473" i="23"/>
  <c r="P473" i="23"/>
  <c r="A473" i="23"/>
  <c r="R472" i="23"/>
  <c r="P472" i="23"/>
  <c r="A472" i="23"/>
  <c r="R471" i="23"/>
  <c r="P471" i="23"/>
  <c r="A471" i="23"/>
  <c r="R470" i="23"/>
  <c r="P470" i="23"/>
  <c r="A470" i="23"/>
  <c r="R469" i="23"/>
  <c r="P469" i="23"/>
  <c r="A469" i="23"/>
  <c r="R468" i="23"/>
  <c r="P468" i="23"/>
  <c r="A468" i="23"/>
  <c r="R467" i="23"/>
  <c r="P467" i="23"/>
  <c r="A467" i="23"/>
  <c r="R466" i="23"/>
  <c r="P466" i="23"/>
  <c r="A466" i="23"/>
  <c r="R465" i="23"/>
  <c r="P465" i="23"/>
  <c r="A465" i="23"/>
  <c r="R464" i="23"/>
  <c r="P464" i="23"/>
  <c r="A464" i="23"/>
  <c r="R463" i="23"/>
  <c r="P463" i="23"/>
  <c r="A463" i="23"/>
  <c r="R462" i="23"/>
  <c r="P462" i="23"/>
  <c r="A462" i="23"/>
  <c r="R461" i="23"/>
  <c r="P461" i="23"/>
  <c r="A461" i="23"/>
  <c r="R460" i="23"/>
  <c r="P460" i="23"/>
  <c r="A460" i="23"/>
  <c r="R459" i="23"/>
  <c r="P459" i="23"/>
  <c r="A459" i="23"/>
  <c r="R458" i="23"/>
  <c r="P458" i="23"/>
  <c r="A458" i="23"/>
  <c r="R457" i="23"/>
  <c r="P457" i="23"/>
  <c r="A457" i="23"/>
  <c r="R456" i="23"/>
  <c r="P456" i="23"/>
  <c r="A456" i="23"/>
  <c r="R455" i="23"/>
  <c r="P455" i="23"/>
  <c r="A455" i="23"/>
  <c r="R454" i="23"/>
  <c r="P454" i="23"/>
  <c r="A454" i="23"/>
  <c r="R453" i="23"/>
  <c r="P453" i="23"/>
  <c r="A453" i="23"/>
  <c r="R452" i="23"/>
  <c r="P452" i="23"/>
  <c r="A452" i="23"/>
  <c r="R451" i="23"/>
  <c r="P451" i="23"/>
  <c r="A451" i="23"/>
  <c r="R450" i="23"/>
  <c r="P450" i="23"/>
  <c r="A450" i="23"/>
  <c r="R449" i="23"/>
  <c r="P449" i="23"/>
  <c r="A449" i="23"/>
  <c r="R448" i="23"/>
  <c r="P448" i="23"/>
  <c r="A448" i="23"/>
  <c r="R447" i="23"/>
  <c r="P447" i="23"/>
  <c r="A447" i="23"/>
  <c r="R446" i="23"/>
  <c r="P446" i="23"/>
  <c r="A446" i="23"/>
  <c r="R445" i="23"/>
  <c r="P445" i="23"/>
  <c r="A445" i="23"/>
  <c r="R444" i="23"/>
  <c r="P444" i="23"/>
  <c r="A444" i="23"/>
  <c r="R443" i="23"/>
  <c r="P443" i="23"/>
  <c r="A443" i="23"/>
  <c r="R442" i="23"/>
  <c r="P442" i="23"/>
  <c r="A442" i="23"/>
  <c r="R441" i="23"/>
  <c r="P441" i="23"/>
  <c r="A441" i="23"/>
  <c r="R440" i="23"/>
  <c r="P440" i="23"/>
  <c r="A440" i="23"/>
  <c r="R439" i="23"/>
  <c r="P439" i="23"/>
  <c r="A439" i="23"/>
  <c r="R438" i="23"/>
  <c r="P438" i="23"/>
  <c r="A438" i="23"/>
  <c r="R437" i="23"/>
  <c r="P437" i="23"/>
  <c r="A437" i="23"/>
  <c r="R436" i="23"/>
  <c r="P436" i="23"/>
  <c r="A436" i="23"/>
  <c r="R435" i="23"/>
  <c r="P435" i="23"/>
  <c r="A435" i="23"/>
  <c r="R434" i="23"/>
  <c r="P434" i="23"/>
  <c r="A434" i="23"/>
  <c r="R433" i="23"/>
  <c r="P433" i="23"/>
  <c r="A433" i="23"/>
  <c r="R432" i="23"/>
  <c r="P432" i="23"/>
  <c r="A432" i="23"/>
  <c r="R431" i="23"/>
  <c r="P431" i="23"/>
  <c r="A431" i="23"/>
  <c r="R430" i="23"/>
  <c r="P430" i="23"/>
  <c r="A430" i="23"/>
  <c r="R429" i="23"/>
  <c r="P429" i="23"/>
  <c r="A429" i="23"/>
  <c r="R428" i="23"/>
  <c r="P428" i="23"/>
  <c r="A428" i="23"/>
  <c r="R427" i="23"/>
  <c r="P427" i="23"/>
  <c r="A427" i="23"/>
  <c r="R426" i="23"/>
  <c r="P426" i="23"/>
  <c r="A426" i="23"/>
  <c r="R425" i="23"/>
  <c r="P425" i="23"/>
  <c r="A425" i="23"/>
  <c r="R424" i="23"/>
  <c r="P424" i="23"/>
  <c r="A424" i="23"/>
  <c r="R423" i="23"/>
  <c r="P423" i="23"/>
  <c r="A423" i="23"/>
  <c r="R422" i="23"/>
  <c r="P422" i="23"/>
  <c r="A422" i="23"/>
  <c r="R421" i="23"/>
  <c r="P421" i="23"/>
  <c r="A421" i="23"/>
  <c r="R420" i="23"/>
  <c r="P420" i="23"/>
  <c r="A420" i="23"/>
  <c r="R419" i="23"/>
  <c r="P419" i="23"/>
  <c r="A419" i="23"/>
  <c r="R418" i="23"/>
  <c r="P418" i="23"/>
  <c r="A418" i="23"/>
  <c r="R417" i="23"/>
  <c r="P417" i="23"/>
  <c r="A417" i="23"/>
  <c r="R416" i="23"/>
  <c r="P416" i="23"/>
  <c r="A416" i="23"/>
  <c r="R415" i="23"/>
  <c r="P415" i="23"/>
  <c r="A415" i="23"/>
  <c r="R414" i="23"/>
  <c r="P414" i="23"/>
  <c r="A414" i="23"/>
  <c r="R413" i="23"/>
  <c r="P413" i="23"/>
  <c r="A413" i="23"/>
  <c r="R412" i="23"/>
  <c r="P412" i="23"/>
  <c r="A412" i="23"/>
  <c r="R411" i="23"/>
  <c r="P411" i="23"/>
  <c r="A411" i="23"/>
  <c r="R410" i="23"/>
  <c r="P410" i="23"/>
  <c r="A410" i="23"/>
  <c r="R409" i="23"/>
  <c r="P409" i="23"/>
  <c r="A409" i="23"/>
  <c r="R408" i="23"/>
  <c r="P408" i="23"/>
  <c r="A408" i="23"/>
  <c r="R407" i="23"/>
  <c r="P407" i="23"/>
  <c r="A407" i="23"/>
  <c r="R406" i="23"/>
  <c r="P406" i="23"/>
  <c r="A406" i="23"/>
  <c r="R405" i="23"/>
  <c r="P405" i="23"/>
  <c r="A405" i="23"/>
  <c r="R404" i="23"/>
  <c r="P404" i="23"/>
  <c r="A404" i="23"/>
  <c r="R403" i="23"/>
  <c r="P403" i="23"/>
  <c r="A403" i="23"/>
  <c r="R402" i="23"/>
  <c r="P402" i="23"/>
  <c r="A402" i="23"/>
  <c r="R401" i="23"/>
  <c r="P401" i="23"/>
  <c r="A401" i="23"/>
  <c r="R400" i="23"/>
  <c r="P400" i="23"/>
  <c r="A400" i="23"/>
  <c r="R399" i="23"/>
  <c r="P399" i="23"/>
  <c r="A399" i="23"/>
  <c r="R398" i="23"/>
  <c r="P398" i="23"/>
  <c r="A398" i="23"/>
  <c r="R397" i="23"/>
  <c r="P397" i="23"/>
  <c r="A397" i="23"/>
  <c r="R396" i="23"/>
  <c r="P396" i="23"/>
  <c r="A396" i="23"/>
  <c r="R395" i="23"/>
  <c r="P395" i="23"/>
  <c r="A395" i="23"/>
  <c r="R394" i="23"/>
  <c r="P394" i="23"/>
  <c r="A394" i="23"/>
  <c r="R393" i="23"/>
  <c r="P393" i="23"/>
  <c r="A393" i="23"/>
  <c r="R392" i="23"/>
  <c r="P392" i="23"/>
  <c r="A392" i="23"/>
  <c r="R391" i="23"/>
  <c r="P391" i="23"/>
  <c r="A391" i="23"/>
  <c r="R390" i="23"/>
  <c r="P390" i="23"/>
  <c r="A390" i="23"/>
  <c r="R389" i="23"/>
  <c r="P389" i="23"/>
  <c r="A389" i="23"/>
  <c r="R388" i="23"/>
  <c r="P388" i="23"/>
  <c r="A388" i="23"/>
  <c r="R387" i="23"/>
  <c r="P387" i="23"/>
  <c r="A387" i="23"/>
  <c r="R386" i="23"/>
  <c r="P386" i="23"/>
  <c r="A386" i="23"/>
  <c r="R385" i="23"/>
  <c r="P385" i="23"/>
  <c r="A385" i="23"/>
  <c r="R384" i="23"/>
  <c r="P384" i="23"/>
  <c r="A384" i="23"/>
  <c r="R383" i="23"/>
  <c r="P383" i="23"/>
  <c r="A383" i="23"/>
  <c r="R382" i="23"/>
  <c r="P382" i="23"/>
  <c r="A382" i="23"/>
  <c r="R381" i="23"/>
  <c r="P381" i="23"/>
  <c r="A381" i="23"/>
  <c r="R380" i="23"/>
  <c r="P380" i="23"/>
  <c r="A380" i="23"/>
  <c r="R379" i="23"/>
  <c r="P379" i="23"/>
  <c r="A379" i="23"/>
  <c r="R378" i="23"/>
  <c r="P378" i="23"/>
  <c r="A378" i="23"/>
  <c r="R377" i="23"/>
  <c r="P377" i="23"/>
  <c r="A377" i="23"/>
  <c r="R376" i="23"/>
  <c r="P376" i="23"/>
  <c r="A376" i="23"/>
  <c r="R375" i="23"/>
  <c r="P375" i="23"/>
  <c r="A375" i="23"/>
  <c r="R374" i="23"/>
  <c r="P374" i="23"/>
  <c r="A374" i="23"/>
  <c r="R373" i="23"/>
  <c r="P373" i="23"/>
  <c r="A373" i="23"/>
  <c r="R372" i="23"/>
  <c r="P372" i="23"/>
  <c r="A372" i="23"/>
  <c r="R371" i="23"/>
  <c r="P371" i="23"/>
  <c r="A371" i="23"/>
  <c r="R370" i="23"/>
  <c r="P370" i="23"/>
  <c r="A370" i="23"/>
  <c r="R369" i="23"/>
  <c r="P369" i="23"/>
  <c r="A369" i="23"/>
  <c r="R368" i="23"/>
  <c r="P368" i="23"/>
  <c r="A368" i="23"/>
  <c r="R367" i="23"/>
  <c r="P367" i="23"/>
  <c r="A367" i="23"/>
  <c r="R366" i="23"/>
  <c r="P366" i="23"/>
  <c r="A366" i="23"/>
  <c r="R365" i="23"/>
  <c r="P365" i="23"/>
  <c r="A365" i="23"/>
  <c r="R364" i="23"/>
  <c r="P364" i="23"/>
  <c r="A364" i="23"/>
  <c r="R363" i="23"/>
  <c r="P363" i="23"/>
  <c r="A363" i="23"/>
  <c r="R362" i="23"/>
  <c r="P362" i="23"/>
  <c r="A362" i="23"/>
  <c r="R361" i="23"/>
  <c r="P361" i="23"/>
  <c r="A361" i="23"/>
  <c r="R360" i="23"/>
  <c r="P360" i="23"/>
  <c r="A360" i="23"/>
  <c r="R359" i="23"/>
  <c r="P359" i="23"/>
  <c r="A359" i="23"/>
  <c r="R358" i="23"/>
  <c r="P358" i="23"/>
  <c r="A358" i="23"/>
  <c r="R357" i="23"/>
  <c r="P357" i="23"/>
  <c r="A357" i="23"/>
  <c r="R356" i="23"/>
  <c r="P356" i="23"/>
  <c r="A356" i="23"/>
  <c r="R355" i="23"/>
  <c r="P355" i="23"/>
  <c r="A355" i="23"/>
  <c r="R354" i="23"/>
  <c r="P354" i="23"/>
  <c r="A354" i="23"/>
  <c r="R353" i="23"/>
  <c r="P353" i="23"/>
  <c r="A353" i="23"/>
  <c r="R352" i="23"/>
  <c r="P352" i="23"/>
  <c r="A352" i="23"/>
  <c r="R351" i="23"/>
  <c r="P351" i="23"/>
  <c r="A351" i="23"/>
  <c r="R350" i="23"/>
  <c r="P350" i="23"/>
  <c r="A350" i="23"/>
  <c r="R349" i="23"/>
  <c r="P349" i="23"/>
  <c r="A349" i="23"/>
  <c r="R348" i="23"/>
  <c r="P348" i="23"/>
  <c r="A348" i="23"/>
  <c r="R347" i="23"/>
  <c r="P347" i="23"/>
  <c r="A347" i="23"/>
  <c r="R346" i="23"/>
  <c r="P346" i="23"/>
  <c r="A346" i="23"/>
  <c r="R345" i="23"/>
  <c r="P345" i="23"/>
  <c r="A345" i="23"/>
  <c r="R344" i="23"/>
  <c r="P344" i="23"/>
  <c r="A344" i="23"/>
  <c r="R343" i="23"/>
  <c r="P343" i="23"/>
  <c r="A343" i="23"/>
  <c r="R342" i="23"/>
  <c r="P342" i="23"/>
  <c r="A342" i="23"/>
  <c r="R341" i="23"/>
  <c r="P341" i="23"/>
  <c r="A341" i="23"/>
  <c r="R340" i="23"/>
  <c r="P340" i="23"/>
  <c r="A340" i="23"/>
  <c r="R339" i="23"/>
  <c r="P339" i="23"/>
  <c r="A339" i="23"/>
  <c r="R338" i="23"/>
  <c r="P338" i="23"/>
  <c r="A338" i="23"/>
  <c r="R337" i="23"/>
  <c r="P337" i="23"/>
  <c r="A337" i="23"/>
  <c r="R336" i="23"/>
  <c r="P336" i="23"/>
  <c r="A336" i="23"/>
  <c r="R335" i="23"/>
  <c r="P335" i="23"/>
  <c r="A335" i="23"/>
  <c r="R334" i="23"/>
  <c r="P334" i="23"/>
  <c r="A334" i="23"/>
  <c r="R333" i="23"/>
  <c r="P333" i="23"/>
  <c r="A333" i="23"/>
  <c r="R332" i="23"/>
  <c r="P332" i="23"/>
  <c r="A332" i="23"/>
  <c r="R331" i="23"/>
  <c r="P331" i="23"/>
  <c r="A331" i="23"/>
  <c r="R330" i="23"/>
  <c r="P330" i="23"/>
  <c r="A330" i="23"/>
  <c r="R329" i="23"/>
  <c r="P329" i="23"/>
  <c r="A329" i="23"/>
  <c r="R328" i="23"/>
  <c r="P328" i="23"/>
  <c r="A328" i="23"/>
  <c r="R327" i="23"/>
  <c r="P327" i="23"/>
  <c r="A327" i="23"/>
  <c r="R326" i="23"/>
  <c r="P326" i="23"/>
  <c r="A326" i="23"/>
  <c r="R325" i="23"/>
  <c r="P325" i="23"/>
  <c r="A325" i="23"/>
  <c r="R324" i="23"/>
  <c r="P324" i="23"/>
  <c r="A324" i="23"/>
  <c r="R323" i="23"/>
  <c r="P323" i="23"/>
  <c r="A323" i="23"/>
  <c r="R322" i="23"/>
  <c r="P322" i="23"/>
  <c r="A322" i="23"/>
  <c r="R321" i="23"/>
  <c r="P321" i="23"/>
  <c r="A321" i="23"/>
  <c r="R320" i="23"/>
  <c r="P320" i="23"/>
  <c r="A320" i="23"/>
  <c r="R319" i="23"/>
  <c r="P319" i="23"/>
  <c r="A319" i="23"/>
  <c r="R318" i="23"/>
  <c r="P318" i="23"/>
  <c r="A318" i="23"/>
  <c r="R317" i="23"/>
  <c r="P317" i="23"/>
  <c r="A317" i="23"/>
  <c r="R316" i="23"/>
  <c r="P316" i="23"/>
  <c r="A316" i="23"/>
  <c r="R315" i="23"/>
  <c r="P315" i="23"/>
  <c r="A315" i="23"/>
  <c r="R314" i="23"/>
  <c r="P314" i="23"/>
  <c r="A314" i="23"/>
  <c r="R313" i="23"/>
  <c r="P313" i="23"/>
  <c r="A313" i="23"/>
  <c r="R312" i="23"/>
  <c r="P312" i="23"/>
  <c r="A312" i="23"/>
  <c r="R311" i="23"/>
  <c r="P311" i="23"/>
  <c r="A311" i="23"/>
  <c r="R310" i="23"/>
  <c r="P310" i="23"/>
  <c r="A310" i="23"/>
  <c r="R309" i="23"/>
  <c r="P309" i="23"/>
  <c r="A309" i="23"/>
  <c r="R308" i="23"/>
  <c r="P308" i="23"/>
  <c r="A308" i="23"/>
  <c r="R307" i="23"/>
  <c r="P307" i="23"/>
  <c r="A307" i="23"/>
  <c r="R306" i="23"/>
  <c r="P306" i="23"/>
  <c r="A306" i="23"/>
  <c r="R305" i="23"/>
  <c r="P305" i="23"/>
  <c r="A305" i="23"/>
  <c r="R304" i="23"/>
  <c r="P304" i="23"/>
  <c r="A304" i="23"/>
  <c r="R303" i="23"/>
  <c r="P303" i="23"/>
  <c r="A303" i="23"/>
  <c r="R302" i="23"/>
  <c r="P302" i="23"/>
  <c r="A302" i="23"/>
  <c r="R301" i="23"/>
  <c r="P301" i="23"/>
  <c r="A301" i="23"/>
  <c r="R300" i="23"/>
  <c r="P300" i="23"/>
  <c r="A300" i="23"/>
  <c r="R299" i="23"/>
  <c r="P299" i="23"/>
  <c r="A299" i="23"/>
  <c r="R298" i="23"/>
  <c r="P298" i="23"/>
  <c r="A298" i="23"/>
  <c r="R297" i="23"/>
  <c r="P297" i="23"/>
  <c r="A297" i="23"/>
  <c r="R296" i="23"/>
  <c r="P296" i="23"/>
  <c r="A296" i="23"/>
  <c r="R295" i="23"/>
  <c r="P295" i="23"/>
  <c r="A295" i="23"/>
  <c r="R294" i="23"/>
  <c r="P294" i="23"/>
  <c r="A294" i="23"/>
  <c r="R293" i="23"/>
  <c r="P293" i="23"/>
  <c r="A293" i="23"/>
  <c r="R292" i="23"/>
  <c r="P292" i="23"/>
  <c r="A292" i="23"/>
  <c r="R291" i="23"/>
  <c r="P291" i="23"/>
  <c r="A291" i="23"/>
  <c r="R290" i="23"/>
  <c r="P290" i="23"/>
  <c r="A290" i="23"/>
  <c r="R289" i="23"/>
  <c r="P289" i="23"/>
  <c r="A289" i="23"/>
  <c r="R288" i="23"/>
  <c r="P288" i="23"/>
  <c r="A288" i="23"/>
  <c r="R287" i="23"/>
  <c r="P287" i="23"/>
  <c r="A287" i="23"/>
  <c r="R286" i="23"/>
  <c r="P286" i="23"/>
  <c r="A286" i="23"/>
  <c r="R285" i="23"/>
  <c r="P285" i="23"/>
  <c r="A285" i="23"/>
  <c r="R284" i="23"/>
  <c r="P284" i="23"/>
  <c r="A284" i="23"/>
  <c r="R283" i="23"/>
  <c r="P283" i="23"/>
  <c r="A283" i="23"/>
  <c r="R282" i="23"/>
  <c r="P282" i="23"/>
  <c r="A282" i="23"/>
  <c r="R281" i="23"/>
  <c r="P281" i="23"/>
  <c r="A281" i="23"/>
  <c r="R280" i="23"/>
  <c r="P280" i="23"/>
  <c r="A280" i="23"/>
  <c r="R279" i="23"/>
  <c r="P279" i="23"/>
  <c r="A279" i="23"/>
  <c r="R278" i="23"/>
  <c r="P278" i="23"/>
  <c r="A278" i="23"/>
  <c r="R277" i="23"/>
  <c r="P277" i="23"/>
  <c r="A277" i="23"/>
  <c r="R276" i="23"/>
  <c r="P276" i="23"/>
  <c r="A276" i="23"/>
  <c r="R275" i="23"/>
  <c r="P275" i="23"/>
  <c r="A275" i="23"/>
  <c r="R274" i="23"/>
  <c r="P274" i="23"/>
  <c r="G274" i="23"/>
  <c r="A274" i="23"/>
  <c r="R273" i="23"/>
  <c r="P273" i="23"/>
  <c r="G273" i="23"/>
  <c r="A273" i="23"/>
  <c r="R272" i="23"/>
  <c r="P272" i="23"/>
  <c r="G272" i="23"/>
  <c r="A272" i="23"/>
  <c r="R271" i="23"/>
  <c r="P271" i="23"/>
  <c r="G271" i="23"/>
  <c r="A271" i="23"/>
  <c r="R270" i="23"/>
  <c r="P270" i="23"/>
  <c r="G270" i="23"/>
  <c r="A270" i="23"/>
  <c r="R269" i="23"/>
  <c r="P269" i="23"/>
  <c r="G269" i="23"/>
  <c r="A269" i="23"/>
  <c r="R268" i="23"/>
  <c r="P268" i="23"/>
  <c r="G268" i="23"/>
  <c r="A268" i="23"/>
  <c r="R267" i="23"/>
  <c r="P267" i="23"/>
  <c r="G267" i="23"/>
  <c r="A267" i="23"/>
  <c r="R266" i="23"/>
  <c r="P266" i="23"/>
  <c r="G266" i="23"/>
  <c r="A266" i="23"/>
  <c r="R265" i="23"/>
  <c r="P265" i="23"/>
  <c r="G265" i="23"/>
  <c r="A265" i="23"/>
  <c r="R264" i="23"/>
  <c r="P264" i="23"/>
  <c r="G264" i="23"/>
  <c r="A264" i="23"/>
  <c r="R263" i="23"/>
  <c r="P263" i="23"/>
  <c r="A263" i="23"/>
  <c r="R262" i="23"/>
  <c r="P262" i="23"/>
  <c r="G262" i="23"/>
  <c r="A262" i="23"/>
  <c r="R261" i="23"/>
  <c r="P261" i="23"/>
  <c r="G261" i="23"/>
  <c r="A261" i="23"/>
  <c r="R260" i="23"/>
  <c r="P260" i="23"/>
  <c r="G260" i="23"/>
  <c r="A260" i="23"/>
  <c r="R259" i="23"/>
  <c r="P259" i="23"/>
  <c r="G259" i="23"/>
  <c r="A259" i="23"/>
  <c r="R258" i="23"/>
  <c r="P258" i="23"/>
  <c r="G258" i="23"/>
  <c r="A258" i="23"/>
  <c r="R257" i="23"/>
  <c r="P257" i="23"/>
  <c r="G257" i="23"/>
  <c r="A257" i="23"/>
  <c r="R256" i="23"/>
  <c r="P256" i="23"/>
  <c r="G256" i="23"/>
  <c r="A256" i="23"/>
  <c r="R255" i="23"/>
  <c r="P255" i="23"/>
  <c r="G255" i="23"/>
  <c r="A255" i="23"/>
  <c r="R254" i="23"/>
  <c r="P254" i="23"/>
  <c r="G254" i="23"/>
  <c r="A254" i="23"/>
  <c r="R253" i="23"/>
  <c r="P253" i="23"/>
  <c r="G253" i="23"/>
  <c r="A253" i="23"/>
  <c r="R252" i="23"/>
  <c r="P252" i="23"/>
  <c r="G252" i="23"/>
  <c r="A252" i="23"/>
  <c r="R251" i="23"/>
  <c r="P251" i="23"/>
  <c r="G251" i="23"/>
  <c r="A251" i="23"/>
  <c r="R250" i="23"/>
  <c r="P250" i="23"/>
  <c r="A250" i="23"/>
  <c r="R249" i="23"/>
  <c r="P249" i="23"/>
  <c r="G249" i="23"/>
  <c r="A249" i="23"/>
  <c r="R248" i="23"/>
  <c r="P248" i="23"/>
  <c r="G248" i="23"/>
  <c r="A248" i="23"/>
  <c r="R247" i="23"/>
  <c r="P247" i="23"/>
  <c r="G247" i="23"/>
  <c r="A247" i="23"/>
  <c r="R246" i="23"/>
  <c r="P246" i="23"/>
  <c r="G246" i="23"/>
  <c r="A246" i="23"/>
  <c r="R245" i="23"/>
  <c r="P245" i="23"/>
  <c r="G245" i="23"/>
  <c r="A245" i="23"/>
  <c r="R244" i="23"/>
  <c r="P244" i="23"/>
  <c r="G244" i="23"/>
  <c r="A244" i="23"/>
  <c r="R243" i="23"/>
  <c r="P243" i="23"/>
  <c r="G243" i="23"/>
  <c r="A243" i="23"/>
  <c r="R242" i="23"/>
  <c r="P242" i="23"/>
  <c r="G242" i="23"/>
  <c r="A242" i="23"/>
  <c r="R241" i="23"/>
  <c r="P241" i="23"/>
  <c r="G241" i="23"/>
  <c r="A241" i="23"/>
  <c r="R240" i="23"/>
  <c r="P240" i="23"/>
  <c r="G240" i="23"/>
  <c r="A240" i="23"/>
  <c r="R239" i="23"/>
  <c r="P239" i="23"/>
  <c r="G239" i="23"/>
  <c r="A239" i="23"/>
  <c r="R238" i="23"/>
  <c r="P238" i="23"/>
  <c r="G238" i="23"/>
  <c r="A238" i="23"/>
  <c r="R237" i="23"/>
  <c r="P237" i="23"/>
  <c r="A237" i="23"/>
  <c r="R236" i="23"/>
  <c r="P236" i="23"/>
  <c r="G236" i="23"/>
  <c r="A236" i="23"/>
  <c r="R235" i="23"/>
  <c r="P235" i="23"/>
  <c r="G235" i="23"/>
  <c r="A235" i="23"/>
  <c r="R234" i="23"/>
  <c r="P234" i="23"/>
  <c r="A234" i="23"/>
  <c r="R233" i="23"/>
  <c r="P233" i="23"/>
  <c r="G233" i="23"/>
  <c r="A233" i="23"/>
  <c r="R232" i="23"/>
  <c r="P232" i="23"/>
  <c r="G232" i="23"/>
  <c r="A232" i="23"/>
  <c r="R231" i="23"/>
  <c r="P231" i="23"/>
  <c r="G231" i="23"/>
  <c r="A231" i="23"/>
  <c r="R230" i="23"/>
  <c r="P230" i="23"/>
  <c r="G230" i="23"/>
  <c r="A230" i="23"/>
  <c r="R229" i="23"/>
  <c r="P229" i="23"/>
  <c r="G229" i="23"/>
  <c r="A229" i="23"/>
  <c r="R228" i="23"/>
  <c r="P228" i="23"/>
  <c r="G228" i="23"/>
  <c r="A228" i="23"/>
  <c r="R227" i="23"/>
  <c r="P227" i="23"/>
  <c r="G227" i="23"/>
  <c r="A227" i="23"/>
  <c r="R226" i="23"/>
  <c r="P226" i="23"/>
  <c r="G226" i="23"/>
  <c r="A226" i="23"/>
  <c r="R225" i="23"/>
  <c r="P225" i="23"/>
  <c r="G225" i="23"/>
  <c r="A225" i="23"/>
  <c r="R224" i="23"/>
  <c r="P224" i="23"/>
  <c r="A224" i="23"/>
  <c r="R223" i="23"/>
  <c r="P223" i="23"/>
  <c r="A223" i="23"/>
  <c r="R222" i="23"/>
  <c r="P222" i="23"/>
  <c r="A222" i="23"/>
  <c r="R221" i="23"/>
  <c r="P221" i="23"/>
  <c r="A221" i="23"/>
  <c r="R220" i="23"/>
  <c r="P220" i="23"/>
  <c r="A220" i="23"/>
  <c r="R219" i="23"/>
  <c r="P219" i="23"/>
  <c r="A219" i="23"/>
  <c r="R218" i="23"/>
  <c r="P218" i="23"/>
  <c r="A218" i="23"/>
  <c r="R217" i="23"/>
  <c r="P217" i="23"/>
  <c r="A217" i="23"/>
  <c r="R216" i="23"/>
  <c r="P216" i="23"/>
  <c r="A216" i="23"/>
  <c r="R215" i="23"/>
  <c r="P215" i="23"/>
  <c r="A215" i="23"/>
  <c r="R214" i="23"/>
  <c r="P214" i="23"/>
  <c r="A214" i="23"/>
  <c r="R213" i="23"/>
  <c r="P213" i="23"/>
  <c r="A213" i="23"/>
  <c r="R212" i="23"/>
  <c r="P212" i="23"/>
  <c r="A212" i="23"/>
  <c r="R211" i="23"/>
  <c r="P211" i="23"/>
  <c r="A211" i="23"/>
  <c r="R210" i="23"/>
  <c r="P210" i="23"/>
  <c r="A210" i="23"/>
  <c r="R209" i="23"/>
  <c r="P209" i="23"/>
  <c r="A209" i="23"/>
  <c r="R208" i="23"/>
  <c r="P208" i="23"/>
  <c r="A208" i="23"/>
  <c r="R207" i="23"/>
  <c r="P207" i="23"/>
  <c r="A207" i="23"/>
  <c r="R206" i="23"/>
  <c r="P206" i="23"/>
  <c r="A206" i="23"/>
  <c r="R205" i="23"/>
  <c r="P205" i="23"/>
  <c r="A205" i="23"/>
  <c r="R204" i="23"/>
  <c r="P204" i="23"/>
  <c r="G204" i="23"/>
  <c r="A204" i="23"/>
  <c r="R203" i="23"/>
  <c r="P203" i="23"/>
  <c r="G203" i="23"/>
  <c r="A203" i="23"/>
  <c r="R202" i="23"/>
  <c r="P202" i="23"/>
  <c r="G202" i="23"/>
  <c r="A202" i="23"/>
  <c r="R201" i="23"/>
  <c r="P201" i="23"/>
  <c r="G201" i="23"/>
  <c r="A201" i="23"/>
  <c r="R200" i="23"/>
  <c r="P200" i="23"/>
  <c r="G200" i="23"/>
  <c r="A200" i="23"/>
  <c r="R199" i="23"/>
  <c r="P199" i="23"/>
  <c r="G199" i="23"/>
  <c r="A199" i="23"/>
  <c r="R198" i="23"/>
  <c r="P198" i="23"/>
  <c r="G198" i="23"/>
  <c r="A198" i="23"/>
  <c r="R197" i="23"/>
  <c r="P197" i="23"/>
  <c r="G197" i="23"/>
  <c r="A197" i="23"/>
  <c r="R196" i="23"/>
  <c r="P196" i="23"/>
  <c r="G196" i="23"/>
  <c r="A196" i="23"/>
  <c r="R195" i="23"/>
  <c r="P195" i="23"/>
  <c r="G195" i="23"/>
  <c r="A195" i="23"/>
  <c r="R194" i="23"/>
  <c r="P194" i="23"/>
  <c r="G194" i="23"/>
  <c r="A194" i="23"/>
  <c r="R193" i="23"/>
  <c r="P193" i="23"/>
  <c r="G193" i="23"/>
  <c r="A193" i="23"/>
  <c r="R192" i="23"/>
  <c r="P192" i="23"/>
  <c r="G192" i="23"/>
  <c r="A192" i="23"/>
  <c r="R191" i="23"/>
  <c r="P191" i="23"/>
  <c r="G191" i="23"/>
  <c r="A191" i="23"/>
  <c r="R190" i="23"/>
  <c r="P190" i="23"/>
  <c r="A190" i="23"/>
  <c r="R189" i="23"/>
  <c r="P189" i="23"/>
  <c r="A189" i="23"/>
  <c r="R188" i="23"/>
  <c r="P188" i="23"/>
  <c r="A188" i="23"/>
  <c r="R187" i="23"/>
  <c r="P187" i="23"/>
  <c r="A187" i="23"/>
  <c r="R186" i="23"/>
  <c r="P186" i="23"/>
  <c r="A186" i="23"/>
  <c r="R185" i="23"/>
  <c r="P185" i="23"/>
  <c r="A185" i="23"/>
  <c r="R184" i="23"/>
  <c r="P184" i="23"/>
  <c r="A184" i="23"/>
  <c r="R183" i="23"/>
  <c r="P183" i="23"/>
  <c r="G183" i="23"/>
  <c r="A183" i="23"/>
  <c r="R182" i="23"/>
  <c r="P182" i="23"/>
  <c r="G182" i="23"/>
  <c r="A182" i="23"/>
  <c r="R181" i="23"/>
  <c r="P181" i="23"/>
  <c r="G181" i="23"/>
  <c r="A181" i="23"/>
  <c r="R180" i="23"/>
  <c r="P180" i="23"/>
  <c r="G180" i="23"/>
  <c r="A180" i="23"/>
  <c r="R179" i="23"/>
  <c r="P179" i="23"/>
  <c r="G179" i="23"/>
  <c r="A179" i="23"/>
  <c r="R178" i="23"/>
  <c r="P178" i="23"/>
  <c r="G178" i="23"/>
  <c r="A178" i="23"/>
  <c r="R177" i="23"/>
  <c r="P177" i="23"/>
  <c r="G177" i="23"/>
  <c r="A177" i="23"/>
  <c r="R176" i="23"/>
  <c r="P176" i="23"/>
  <c r="G176" i="23"/>
  <c r="A176" i="23"/>
  <c r="R175" i="23"/>
  <c r="P175" i="23"/>
  <c r="G175" i="23"/>
  <c r="A175" i="23"/>
  <c r="R174" i="23"/>
  <c r="P174" i="23"/>
  <c r="G174" i="23"/>
  <c r="A174" i="23"/>
  <c r="R173" i="23"/>
  <c r="P173" i="23"/>
  <c r="G173" i="23"/>
  <c r="A173" i="23"/>
  <c r="R172" i="23"/>
  <c r="P172" i="23"/>
  <c r="G172" i="23"/>
  <c r="A172" i="23"/>
  <c r="R171" i="23"/>
  <c r="P171" i="23"/>
  <c r="G171" i="23"/>
  <c r="A171" i="23"/>
  <c r="R170" i="23"/>
  <c r="P170" i="23"/>
  <c r="G170" i="23"/>
  <c r="A170" i="23"/>
  <c r="R169" i="23"/>
  <c r="P169" i="23"/>
  <c r="G169" i="23"/>
  <c r="A169" i="23"/>
  <c r="R168" i="23"/>
  <c r="P168" i="23"/>
  <c r="G168" i="23"/>
  <c r="A168" i="23"/>
  <c r="R167" i="23"/>
  <c r="P167" i="23"/>
  <c r="A167" i="23"/>
  <c r="R166" i="23"/>
  <c r="P166" i="23"/>
  <c r="A166" i="23"/>
  <c r="R165" i="23"/>
  <c r="P165" i="23"/>
  <c r="A165" i="23"/>
  <c r="R164" i="23"/>
  <c r="P164" i="23"/>
  <c r="A164" i="23"/>
  <c r="R163" i="23"/>
  <c r="P163" i="23"/>
  <c r="A163" i="23"/>
  <c r="R162" i="23"/>
  <c r="P162" i="23"/>
  <c r="A162" i="23"/>
  <c r="R161" i="23"/>
  <c r="P161" i="23"/>
  <c r="A161" i="23"/>
  <c r="R160" i="23"/>
  <c r="P160" i="23"/>
  <c r="A160" i="23"/>
  <c r="R159" i="23"/>
  <c r="P159" i="23"/>
  <c r="A159" i="23"/>
  <c r="R158" i="23"/>
  <c r="P158" i="23"/>
  <c r="A158" i="23"/>
  <c r="R157" i="23"/>
  <c r="P157" i="23"/>
  <c r="A157" i="23"/>
  <c r="R156" i="23"/>
  <c r="P156" i="23"/>
  <c r="A156" i="23"/>
  <c r="R155" i="23"/>
  <c r="P155" i="23"/>
  <c r="A155" i="23"/>
  <c r="R154" i="23"/>
  <c r="P154" i="23"/>
  <c r="A154" i="23"/>
  <c r="R153" i="23"/>
  <c r="P153" i="23"/>
  <c r="A153" i="23"/>
  <c r="R152" i="23"/>
  <c r="P152" i="23"/>
  <c r="A152" i="23"/>
  <c r="R151" i="23"/>
  <c r="P151" i="23"/>
  <c r="A151" i="23"/>
  <c r="R150" i="23"/>
  <c r="P150" i="23"/>
  <c r="A150" i="23"/>
  <c r="R149" i="23"/>
  <c r="P149" i="23"/>
  <c r="A149" i="23"/>
  <c r="R148" i="23"/>
  <c r="P148" i="23"/>
  <c r="A148" i="23"/>
  <c r="R147" i="23"/>
  <c r="P147" i="23"/>
  <c r="A147" i="23"/>
  <c r="R146" i="23"/>
  <c r="P146" i="23"/>
  <c r="A146" i="23"/>
  <c r="R145" i="23"/>
  <c r="P145" i="23"/>
  <c r="A145" i="23"/>
  <c r="R144" i="23"/>
  <c r="P144" i="23"/>
  <c r="A144" i="23"/>
  <c r="R143" i="23"/>
  <c r="P143" i="23"/>
  <c r="A143" i="23"/>
  <c r="R142" i="23"/>
  <c r="P142" i="23"/>
  <c r="A142" i="23"/>
  <c r="R141" i="23"/>
  <c r="P141" i="23"/>
  <c r="A141" i="23"/>
  <c r="R140" i="23"/>
  <c r="P140" i="23"/>
  <c r="A140" i="23"/>
  <c r="R139" i="23"/>
  <c r="P139" i="23"/>
  <c r="A139" i="23"/>
  <c r="R138" i="23"/>
  <c r="P138" i="23"/>
  <c r="A138" i="23"/>
  <c r="R137" i="23"/>
  <c r="P137" i="23"/>
  <c r="A137" i="23"/>
  <c r="R136" i="23"/>
  <c r="P136" i="23"/>
  <c r="A136" i="23"/>
  <c r="R135" i="23"/>
  <c r="P135" i="23"/>
  <c r="A135" i="23"/>
  <c r="R134" i="23"/>
  <c r="P134" i="23"/>
  <c r="A134" i="23"/>
  <c r="R133" i="23"/>
  <c r="P133" i="23"/>
  <c r="A133" i="23"/>
  <c r="R132" i="23"/>
  <c r="P132" i="23"/>
  <c r="A132" i="23"/>
  <c r="R131" i="23"/>
  <c r="P131" i="23"/>
  <c r="A131" i="23"/>
  <c r="R130" i="23"/>
  <c r="P130" i="23"/>
  <c r="A130" i="23"/>
  <c r="R129" i="23"/>
  <c r="P129" i="23"/>
  <c r="A129" i="23"/>
  <c r="R128" i="23"/>
  <c r="P128" i="23"/>
  <c r="A128" i="23"/>
  <c r="R127" i="23"/>
  <c r="P127" i="23"/>
  <c r="A127" i="23"/>
  <c r="R126" i="23"/>
  <c r="P126" i="23"/>
  <c r="A126" i="23"/>
  <c r="R125" i="23"/>
  <c r="P125" i="23"/>
  <c r="A125" i="23"/>
  <c r="R124" i="23"/>
  <c r="P124" i="23"/>
  <c r="A124" i="23"/>
  <c r="R123" i="23"/>
  <c r="P123" i="23"/>
  <c r="A123" i="23"/>
  <c r="R122" i="23"/>
  <c r="P122" i="23"/>
  <c r="A122" i="23"/>
  <c r="R121" i="23"/>
  <c r="P121" i="23"/>
  <c r="A121" i="23"/>
  <c r="R120" i="23"/>
  <c r="P120" i="23"/>
  <c r="A120" i="23"/>
  <c r="R119" i="23"/>
  <c r="P119" i="23"/>
  <c r="A119" i="23"/>
  <c r="R118" i="23"/>
  <c r="P118" i="23"/>
  <c r="A118" i="23"/>
  <c r="R117" i="23"/>
  <c r="P117" i="23"/>
  <c r="A117" i="23"/>
  <c r="R116" i="23"/>
  <c r="P116" i="23"/>
  <c r="A116" i="23"/>
  <c r="R115" i="23"/>
  <c r="P115" i="23"/>
  <c r="A115" i="23"/>
  <c r="R114" i="23"/>
  <c r="P114" i="23"/>
  <c r="A114" i="23"/>
  <c r="R113" i="23"/>
  <c r="P113" i="23"/>
  <c r="A113" i="23"/>
  <c r="R112" i="23"/>
  <c r="P112" i="23"/>
  <c r="A112" i="23"/>
  <c r="R111" i="23"/>
  <c r="P111" i="23"/>
  <c r="A111" i="23"/>
  <c r="R110" i="23"/>
  <c r="P110" i="23"/>
  <c r="A110" i="23"/>
  <c r="R109" i="23"/>
  <c r="P109" i="23"/>
  <c r="A109" i="23"/>
  <c r="R108" i="23"/>
  <c r="P108" i="23"/>
  <c r="A108" i="23"/>
  <c r="R107" i="23"/>
  <c r="P107" i="23"/>
  <c r="A107" i="23"/>
  <c r="R106" i="23"/>
  <c r="P106" i="23"/>
  <c r="A106" i="23"/>
  <c r="R105" i="23"/>
  <c r="P105" i="23"/>
  <c r="A105" i="23"/>
  <c r="R104" i="23"/>
  <c r="P104" i="23"/>
  <c r="A104" i="23"/>
  <c r="R103" i="23"/>
  <c r="P103" i="23"/>
  <c r="A103" i="23"/>
  <c r="R102" i="23"/>
  <c r="P102" i="23"/>
  <c r="A102" i="23"/>
  <c r="R101" i="23"/>
  <c r="P101" i="23"/>
  <c r="A101" i="23"/>
  <c r="R100" i="23"/>
  <c r="P100" i="23"/>
  <c r="A100" i="23"/>
  <c r="R99" i="23"/>
  <c r="P99" i="23"/>
  <c r="A99" i="23"/>
  <c r="R98" i="23"/>
  <c r="P98" i="23"/>
  <c r="A98" i="23"/>
  <c r="R97" i="23"/>
  <c r="P97" i="23"/>
  <c r="A97" i="23"/>
  <c r="R96" i="23"/>
  <c r="P96" i="23"/>
  <c r="A96" i="23"/>
  <c r="R95" i="23"/>
  <c r="P95" i="23"/>
  <c r="A95" i="23"/>
  <c r="R94" i="23"/>
  <c r="P94" i="23"/>
  <c r="A94" i="23"/>
  <c r="R93" i="23"/>
  <c r="P93" i="23"/>
  <c r="A93" i="23"/>
  <c r="R92" i="23"/>
  <c r="P92" i="23"/>
  <c r="A92" i="23"/>
  <c r="R91" i="23"/>
  <c r="P91" i="23"/>
  <c r="A91" i="23"/>
  <c r="R90" i="23"/>
  <c r="P90" i="23"/>
  <c r="A90" i="23"/>
  <c r="R89" i="23"/>
  <c r="P89" i="23"/>
  <c r="A89" i="23"/>
  <c r="R88" i="23"/>
  <c r="P88" i="23"/>
  <c r="A88" i="23"/>
  <c r="R87" i="23"/>
  <c r="P87" i="23"/>
  <c r="A87" i="23"/>
  <c r="R86" i="23"/>
  <c r="P86" i="23"/>
  <c r="A86" i="23"/>
  <c r="R85" i="23"/>
  <c r="P85" i="23"/>
  <c r="A85" i="23"/>
  <c r="R84" i="23"/>
  <c r="P84" i="23"/>
  <c r="A84" i="23"/>
  <c r="R83" i="23"/>
  <c r="P83" i="23"/>
  <c r="A83" i="23"/>
  <c r="R82" i="23"/>
  <c r="P82" i="23"/>
  <c r="A82" i="23"/>
  <c r="R81" i="23"/>
  <c r="P81" i="23"/>
  <c r="A81" i="23"/>
  <c r="R80" i="23"/>
  <c r="P80" i="23"/>
  <c r="A80" i="23"/>
  <c r="R79" i="23"/>
  <c r="P79" i="23"/>
  <c r="A79" i="23"/>
  <c r="R78" i="23"/>
  <c r="P78" i="23"/>
  <c r="A78" i="23"/>
  <c r="R77" i="23"/>
  <c r="P77" i="23"/>
  <c r="A77" i="23"/>
  <c r="R76" i="23"/>
  <c r="P76" i="23"/>
  <c r="A76" i="23"/>
  <c r="R75" i="23"/>
  <c r="P75" i="23"/>
  <c r="A75" i="23"/>
  <c r="R74" i="23"/>
  <c r="P74" i="23"/>
  <c r="A74" i="23"/>
  <c r="R73" i="23"/>
  <c r="P73" i="23"/>
  <c r="A73" i="23"/>
  <c r="R72" i="23"/>
  <c r="P72" i="23"/>
  <c r="A72" i="23"/>
  <c r="R71" i="23"/>
  <c r="P71" i="23"/>
  <c r="A71" i="23"/>
  <c r="R70" i="23"/>
  <c r="P70" i="23"/>
  <c r="A70" i="23"/>
  <c r="R69" i="23"/>
  <c r="P69" i="23"/>
  <c r="A69" i="23"/>
  <c r="R68" i="23"/>
  <c r="P68" i="23"/>
  <c r="A68" i="23"/>
  <c r="R67" i="23"/>
  <c r="P67" i="23"/>
  <c r="A67" i="23"/>
  <c r="R66" i="23"/>
  <c r="P66" i="23"/>
  <c r="A66" i="23"/>
  <c r="R65" i="23"/>
  <c r="P65" i="23"/>
  <c r="A65" i="23"/>
  <c r="R64" i="23"/>
  <c r="P64" i="23"/>
  <c r="A64" i="23"/>
  <c r="R63" i="23"/>
  <c r="P63" i="23"/>
  <c r="A63" i="23"/>
  <c r="R62" i="23"/>
  <c r="P62" i="23"/>
  <c r="A62" i="23"/>
  <c r="R61" i="23"/>
  <c r="P61" i="23"/>
  <c r="A61" i="23"/>
  <c r="R60" i="23"/>
  <c r="P60" i="23"/>
  <c r="A60" i="23"/>
  <c r="R59" i="23"/>
  <c r="P59" i="23"/>
  <c r="A59" i="23"/>
  <c r="R58" i="23"/>
  <c r="P58" i="23"/>
  <c r="A58" i="23"/>
  <c r="R57" i="23"/>
  <c r="P57" i="23"/>
  <c r="A57" i="23"/>
  <c r="R56" i="23"/>
  <c r="P56" i="23"/>
  <c r="A56" i="23"/>
  <c r="R55" i="23"/>
  <c r="P55" i="23"/>
  <c r="A55" i="23"/>
  <c r="R54" i="23"/>
  <c r="P54" i="23"/>
  <c r="A54" i="23"/>
  <c r="R53" i="23"/>
  <c r="P53" i="23"/>
  <c r="A53" i="23"/>
  <c r="R52" i="23"/>
  <c r="P52" i="23"/>
  <c r="A52" i="23"/>
  <c r="R51" i="23"/>
  <c r="P51" i="23"/>
  <c r="A51" i="23"/>
  <c r="R50" i="23"/>
  <c r="P50" i="23"/>
  <c r="A50" i="23"/>
  <c r="R49" i="23"/>
  <c r="P49" i="23"/>
  <c r="A49" i="23"/>
  <c r="R48" i="23"/>
  <c r="P48" i="23"/>
  <c r="A48" i="23"/>
  <c r="R47" i="23"/>
  <c r="P47" i="23"/>
  <c r="A47" i="23"/>
  <c r="R46" i="23"/>
  <c r="P46" i="23"/>
  <c r="A46" i="23"/>
  <c r="R45" i="23"/>
  <c r="P45" i="23"/>
  <c r="A45" i="23"/>
  <c r="R44" i="23"/>
  <c r="P44" i="23"/>
  <c r="A44" i="23"/>
  <c r="R43" i="23"/>
  <c r="P43" i="23"/>
  <c r="A43" i="23"/>
  <c r="R42" i="23"/>
  <c r="P42" i="23"/>
  <c r="A42" i="23"/>
  <c r="R41" i="23"/>
  <c r="P41" i="23"/>
  <c r="A41" i="23"/>
  <c r="R40" i="23"/>
  <c r="P40" i="23"/>
  <c r="A40" i="23"/>
  <c r="R39" i="23"/>
  <c r="P39" i="23"/>
  <c r="A39" i="23"/>
  <c r="R38" i="23"/>
  <c r="P38" i="23"/>
  <c r="A38" i="23"/>
  <c r="R37" i="23"/>
  <c r="P37" i="23"/>
  <c r="A37" i="23"/>
  <c r="R36" i="23"/>
  <c r="P36" i="23"/>
  <c r="A36" i="23"/>
  <c r="R35" i="23"/>
  <c r="P35" i="23"/>
  <c r="A35" i="23"/>
  <c r="R34" i="23"/>
  <c r="P34" i="23"/>
  <c r="A34" i="23"/>
  <c r="R33" i="23"/>
  <c r="P33" i="23"/>
  <c r="A33" i="23"/>
  <c r="R32" i="23"/>
  <c r="P32" i="23"/>
  <c r="A32" i="23"/>
  <c r="R31" i="23"/>
  <c r="P31" i="23"/>
  <c r="A31" i="23"/>
  <c r="R30" i="23"/>
  <c r="P30" i="23"/>
  <c r="A30" i="23"/>
  <c r="R29" i="23"/>
  <c r="P29" i="23"/>
  <c r="A29" i="23"/>
  <c r="R28" i="23"/>
  <c r="P28" i="23"/>
  <c r="A28" i="23"/>
  <c r="R27" i="23"/>
  <c r="P27" i="23"/>
  <c r="A27" i="23"/>
  <c r="R26" i="23"/>
  <c r="P26" i="23"/>
  <c r="A26" i="23"/>
  <c r="R25" i="23"/>
  <c r="P25" i="23"/>
  <c r="A25" i="23"/>
  <c r="R24" i="23"/>
  <c r="P24" i="23"/>
  <c r="A24" i="23"/>
  <c r="R23" i="23"/>
  <c r="P23" i="23"/>
  <c r="A23" i="23"/>
  <c r="R22" i="23"/>
  <c r="P22" i="23"/>
  <c r="A22" i="23"/>
  <c r="R21" i="23"/>
  <c r="P21" i="23"/>
  <c r="A21" i="23"/>
  <c r="R20" i="23"/>
  <c r="P20" i="23"/>
  <c r="A20" i="23"/>
  <c r="R19" i="23"/>
  <c r="P19" i="23"/>
  <c r="A19" i="23"/>
  <c r="R18" i="23"/>
  <c r="P18" i="23"/>
  <c r="A18" i="23"/>
  <c r="R17" i="23"/>
  <c r="P17" i="23"/>
  <c r="A17" i="23"/>
  <c r="R16" i="23"/>
  <c r="P16" i="23"/>
  <c r="A16" i="23"/>
  <c r="R15" i="23"/>
  <c r="P15" i="23"/>
  <c r="A15" i="23"/>
  <c r="R14" i="23"/>
  <c r="P14" i="23"/>
  <c r="A14" i="23"/>
  <c r="R13" i="23"/>
  <c r="P13" i="23"/>
  <c r="A13" i="23"/>
  <c r="R12" i="23"/>
  <c r="P12" i="23"/>
  <c r="A12" i="23"/>
  <c r="R11" i="23"/>
  <c r="P11" i="23"/>
  <c r="A11" i="23"/>
  <c r="A10" i="23"/>
  <c r="B6" i="23"/>
  <c r="B5" i="23"/>
  <c r="W4" i="23"/>
  <c r="V4" i="23"/>
  <c r="U4" i="23"/>
  <c r="T4" i="23"/>
  <c r="R4" i="23"/>
  <c r="Q4" i="23"/>
  <c r="P4" i="23"/>
  <c r="O4" i="23"/>
  <c r="M4" i="23"/>
  <c r="L4" i="23"/>
  <c r="J4" i="23"/>
  <c r="I4" i="23"/>
  <c r="G4" i="23"/>
  <c r="F4" i="23"/>
  <c r="E4" i="23"/>
  <c r="D4" i="23"/>
  <c r="C4" i="23"/>
  <c r="A2057" i="22"/>
  <c r="A2056" i="22"/>
  <c r="A2055" i="22"/>
  <c r="A2054" i="22"/>
  <c r="A2053" i="22"/>
  <c r="A2052" i="22"/>
  <c r="A2051" i="22"/>
  <c r="A2050" i="22"/>
  <c r="A2049" i="22"/>
  <c r="A2048" i="22"/>
  <c r="A2047" i="22"/>
  <c r="A2046" i="22"/>
  <c r="A2045" i="22"/>
  <c r="A2044" i="22"/>
  <c r="A2043" i="22"/>
  <c r="A2042" i="22"/>
  <c r="R2041" i="22"/>
  <c r="P2041" i="22"/>
  <c r="A2041" i="22"/>
  <c r="R2040" i="22"/>
  <c r="P2040" i="22"/>
  <c r="A2040" i="22"/>
  <c r="R2039" i="22"/>
  <c r="P2039" i="22"/>
  <c r="A2039" i="22"/>
  <c r="R2038" i="22"/>
  <c r="P2038" i="22"/>
  <c r="A2038" i="22"/>
  <c r="R2037" i="22"/>
  <c r="P2037" i="22"/>
  <c r="A2037" i="22"/>
  <c r="R2036" i="22"/>
  <c r="P2036" i="22"/>
  <c r="A2036" i="22"/>
  <c r="R2035" i="22"/>
  <c r="P2035" i="22"/>
  <c r="A2035" i="22"/>
  <c r="R2034" i="22"/>
  <c r="P2034" i="22"/>
  <c r="A2034" i="22"/>
  <c r="R2033" i="22"/>
  <c r="P2033" i="22"/>
  <c r="A2033" i="22"/>
  <c r="R2032" i="22"/>
  <c r="P2032" i="22"/>
  <c r="A2032" i="22"/>
  <c r="R2031" i="22"/>
  <c r="P2031" i="22"/>
  <c r="A2031" i="22"/>
  <c r="R2030" i="22"/>
  <c r="P2030" i="22"/>
  <c r="A2030" i="22"/>
  <c r="R2029" i="22"/>
  <c r="P2029" i="22"/>
  <c r="A2029" i="22"/>
  <c r="R2028" i="22"/>
  <c r="P2028" i="22"/>
  <c r="A2028" i="22"/>
  <c r="R2027" i="22"/>
  <c r="P2027" i="22"/>
  <c r="A2027" i="22"/>
  <c r="R2026" i="22"/>
  <c r="P2026" i="22"/>
  <c r="A2026" i="22"/>
  <c r="R2025" i="22"/>
  <c r="P2025" i="22"/>
  <c r="A2025" i="22"/>
  <c r="R2024" i="22"/>
  <c r="P2024" i="22"/>
  <c r="A2024" i="22"/>
  <c r="R2023" i="22"/>
  <c r="P2023" i="22"/>
  <c r="A2023" i="22"/>
  <c r="R2022" i="22"/>
  <c r="P2022" i="22"/>
  <c r="A2022" i="22"/>
  <c r="R2021" i="22"/>
  <c r="P2021" i="22"/>
  <c r="A2021" i="22"/>
  <c r="R2020" i="22"/>
  <c r="P2020" i="22"/>
  <c r="A2020" i="22"/>
  <c r="R2019" i="22"/>
  <c r="P2019" i="22"/>
  <c r="A2019" i="22"/>
  <c r="R2018" i="22"/>
  <c r="P2018" i="22"/>
  <c r="A2018" i="22"/>
  <c r="R2017" i="22"/>
  <c r="P2017" i="22"/>
  <c r="A2017" i="22"/>
  <c r="R2016" i="22"/>
  <c r="P2016" i="22"/>
  <c r="A2016" i="22"/>
  <c r="R2015" i="22"/>
  <c r="P2015" i="22"/>
  <c r="A2015" i="22"/>
  <c r="R2014" i="22"/>
  <c r="P2014" i="22"/>
  <c r="A2014" i="22"/>
  <c r="R2013" i="22"/>
  <c r="P2013" i="22"/>
  <c r="A2013" i="22"/>
  <c r="R2012" i="22"/>
  <c r="P2012" i="22"/>
  <c r="A2012" i="22"/>
  <c r="R2011" i="22"/>
  <c r="P2011" i="22"/>
  <c r="A2011" i="22"/>
  <c r="R2010" i="22"/>
  <c r="P2010" i="22"/>
  <c r="A2010" i="22"/>
  <c r="R2009" i="22"/>
  <c r="P2009" i="22"/>
  <c r="A2009" i="22"/>
  <c r="R2008" i="22"/>
  <c r="P2008" i="22"/>
  <c r="A2008" i="22"/>
  <c r="R2007" i="22"/>
  <c r="P2007" i="22"/>
  <c r="A2007" i="22"/>
  <c r="R2006" i="22"/>
  <c r="P2006" i="22"/>
  <c r="A2006" i="22"/>
  <c r="R2005" i="22"/>
  <c r="P2005" i="22"/>
  <c r="A2005" i="22"/>
  <c r="R2004" i="22"/>
  <c r="P2004" i="22"/>
  <c r="A2004" i="22"/>
  <c r="R2003" i="22"/>
  <c r="P2003" i="22"/>
  <c r="A2003" i="22"/>
  <c r="R2002" i="22"/>
  <c r="P2002" i="22"/>
  <c r="A2002" i="22"/>
  <c r="R2001" i="22"/>
  <c r="P2001" i="22"/>
  <c r="A2001" i="22"/>
  <c r="R2000" i="22"/>
  <c r="P2000" i="22"/>
  <c r="A2000" i="22"/>
  <c r="R1999" i="22"/>
  <c r="P1999" i="22"/>
  <c r="A1999" i="22"/>
  <c r="R1998" i="22"/>
  <c r="P1998" i="22"/>
  <c r="A1998" i="22"/>
  <c r="R1997" i="22"/>
  <c r="P1997" i="22"/>
  <c r="A1997" i="22"/>
  <c r="R1996" i="22"/>
  <c r="P1996" i="22"/>
  <c r="A1996" i="22"/>
  <c r="R1995" i="22"/>
  <c r="P1995" i="22"/>
  <c r="A1995" i="22"/>
  <c r="R1994" i="22"/>
  <c r="P1994" i="22"/>
  <c r="A1994" i="22"/>
  <c r="R1993" i="22"/>
  <c r="P1993" i="22"/>
  <c r="A1993" i="22"/>
  <c r="R1992" i="22"/>
  <c r="P1992" i="22"/>
  <c r="A1992" i="22"/>
  <c r="R1991" i="22"/>
  <c r="P1991" i="22"/>
  <c r="A1991" i="22"/>
  <c r="R1990" i="22"/>
  <c r="P1990" i="22"/>
  <c r="A1990" i="22"/>
  <c r="R1989" i="22"/>
  <c r="P1989" i="22"/>
  <c r="A1989" i="22"/>
  <c r="R1988" i="22"/>
  <c r="P1988" i="22"/>
  <c r="A1988" i="22"/>
  <c r="R1987" i="22"/>
  <c r="P1987" i="22"/>
  <c r="A1987" i="22"/>
  <c r="R1986" i="22"/>
  <c r="P1986" i="22"/>
  <c r="A1986" i="22"/>
  <c r="R1985" i="22"/>
  <c r="P1985" i="22"/>
  <c r="A1985" i="22"/>
  <c r="R1984" i="22"/>
  <c r="P1984" i="22"/>
  <c r="A1984" i="22"/>
  <c r="R1983" i="22"/>
  <c r="P1983" i="22"/>
  <c r="A1983" i="22"/>
  <c r="R1982" i="22"/>
  <c r="P1982" i="22"/>
  <c r="A1982" i="22"/>
  <c r="R1981" i="22"/>
  <c r="P1981" i="22"/>
  <c r="A1981" i="22"/>
  <c r="R1980" i="22"/>
  <c r="P1980" i="22"/>
  <c r="A1980" i="22"/>
  <c r="R1979" i="22"/>
  <c r="P1979" i="22"/>
  <c r="A1979" i="22"/>
  <c r="R1978" i="22"/>
  <c r="P1978" i="22"/>
  <c r="A1978" i="22"/>
  <c r="R1977" i="22"/>
  <c r="P1977" i="22"/>
  <c r="A1977" i="22"/>
  <c r="R1976" i="22"/>
  <c r="P1976" i="22"/>
  <c r="A1976" i="22"/>
  <c r="R1975" i="22"/>
  <c r="P1975" i="22"/>
  <c r="A1975" i="22"/>
  <c r="R1974" i="22"/>
  <c r="P1974" i="22"/>
  <c r="A1974" i="22"/>
  <c r="R1973" i="22"/>
  <c r="P1973" i="22"/>
  <c r="A1973" i="22"/>
  <c r="R1972" i="22"/>
  <c r="P1972" i="22"/>
  <c r="A1972" i="22"/>
  <c r="R1971" i="22"/>
  <c r="P1971" i="22"/>
  <c r="A1971" i="22"/>
  <c r="R1970" i="22"/>
  <c r="P1970" i="22"/>
  <c r="A1970" i="22"/>
  <c r="R1969" i="22"/>
  <c r="P1969" i="22"/>
  <c r="A1969" i="22"/>
  <c r="R1968" i="22"/>
  <c r="P1968" i="22"/>
  <c r="A1968" i="22"/>
  <c r="R1967" i="22"/>
  <c r="P1967" i="22"/>
  <c r="A1967" i="22"/>
  <c r="R1966" i="22"/>
  <c r="P1966" i="22"/>
  <c r="A1966" i="22"/>
  <c r="R1965" i="22"/>
  <c r="P1965" i="22"/>
  <c r="A1965" i="22"/>
  <c r="R1964" i="22"/>
  <c r="P1964" i="22"/>
  <c r="A1964" i="22"/>
  <c r="R1963" i="22"/>
  <c r="P1963" i="22"/>
  <c r="A1963" i="22"/>
  <c r="R1962" i="22"/>
  <c r="P1962" i="22"/>
  <c r="A1962" i="22"/>
  <c r="R1961" i="22"/>
  <c r="P1961" i="22"/>
  <c r="A1961" i="22"/>
  <c r="R1960" i="22"/>
  <c r="P1960" i="22"/>
  <c r="A1960" i="22"/>
  <c r="R1959" i="22"/>
  <c r="P1959" i="22"/>
  <c r="A1959" i="22"/>
  <c r="R1958" i="22"/>
  <c r="P1958" i="22"/>
  <c r="A1958" i="22"/>
  <c r="R1957" i="22"/>
  <c r="P1957" i="22"/>
  <c r="A1957" i="22"/>
  <c r="R1956" i="22"/>
  <c r="P1956" i="22"/>
  <c r="A1956" i="22"/>
  <c r="R1955" i="22"/>
  <c r="P1955" i="22"/>
  <c r="A1955" i="22"/>
  <c r="R1954" i="22"/>
  <c r="P1954" i="22"/>
  <c r="A1954" i="22"/>
  <c r="R1953" i="22"/>
  <c r="P1953" i="22"/>
  <c r="A1953" i="22"/>
  <c r="R1952" i="22"/>
  <c r="P1952" i="22"/>
  <c r="A1952" i="22"/>
  <c r="R1951" i="22"/>
  <c r="P1951" i="22"/>
  <c r="A1951" i="22"/>
  <c r="R1950" i="22"/>
  <c r="P1950" i="22"/>
  <c r="A1950" i="22"/>
  <c r="R1949" i="22"/>
  <c r="P1949" i="22"/>
  <c r="A1949" i="22"/>
  <c r="R1948" i="22"/>
  <c r="P1948" i="22"/>
  <c r="A1948" i="22"/>
  <c r="R1947" i="22"/>
  <c r="P1947" i="22"/>
  <c r="A1947" i="22"/>
  <c r="R1946" i="22"/>
  <c r="P1946" i="22"/>
  <c r="A1946" i="22"/>
  <c r="R1945" i="22"/>
  <c r="P1945" i="22"/>
  <c r="A1945" i="22"/>
  <c r="R1944" i="22"/>
  <c r="P1944" i="22"/>
  <c r="A1944" i="22"/>
  <c r="R1943" i="22"/>
  <c r="P1943" i="22"/>
  <c r="A1943" i="22"/>
  <c r="R1942" i="22"/>
  <c r="P1942" i="22"/>
  <c r="A1942" i="22"/>
  <c r="R1941" i="22"/>
  <c r="P1941" i="22"/>
  <c r="A1941" i="22"/>
  <c r="R1940" i="22"/>
  <c r="P1940" i="22"/>
  <c r="A1940" i="22"/>
  <c r="R1939" i="22"/>
  <c r="P1939" i="22"/>
  <c r="A1939" i="22"/>
  <c r="R1938" i="22"/>
  <c r="P1938" i="22"/>
  <c r="A1938" i="22"/>
  <c r="R1937" i="22"/>
  <c r="P1937" i="22"/>
  <c r="A1937" i="22"/>
  <c r="R1936" i="22"/>
  <c r="P1936" i="22"/>
  <c r="A1936" i="22"/>
  <c r="R1935" i="22"/>
  <c r="P1935" i="22"/>
  <c r="A1935" i="22"/>
  <c r="R1934" i="22"/>
  <c r="P1934" i="22"/>
  <c r="A1934" i="22"/>
  <c r="R1933" i="22"/>
  <c r="P1933" i="22"/>
  <c r="A1933" i="22"/>
  <c r="R1932" i="22"/>
  <c r="P1932" i="22"/>
  <c r="A1932" i="22"/>
  <c r="R1931" i="22"/>
  <c r="P1931" i="22"/>
  <c r="A1931" i="22"/>
  <c r="R1930" i="22"/>
  <c r="P1930" i="22"/>
  <c r="A1930" i="22"/>
  <c r="R1929" i="22"/>
  <c r="P1929" i="22"/>
  <c r="A1929" i="22"/>
  <c r="R1928" i="22"/>
  <c r="P1928" i="22"/>
  <c r="A1928" i="22"/>
  <c r="R1927" i="22"/>
  <c r="P1927" i="22"/>
  <c r="A1927" i="22"/>
  <c r="R1926" i="22"/>
  <c r="P1926" i="22"/>
  <c r="A1926" i="22"/>
  <c r="R1925" i="22"/>
  <c r="P1925" i="22"/>
  <c r="A1925" i="22"/>
  <c r="R1924" i="22"/>
  <c r="P1924" i="22"/>
  <c r="A1924" i="22"/>
  <c r="R1923" i="22"/>
  <c r="P1923" i="22"/>
  <c r="A1923" i="22"/>
  <c r="R1922" i="22"/>
  <c r="P1922" i="22"/>
  <c r="A1922" i="22"/>
  <c r="R1921" i="22"/>
  <c r="P1921" i="22"/>
  <c r="A1921" i="22"/>
  <c r="R1920" i="22"/>
  <c r="P1920" i="22"/>
  <c r="A1920" i="22"/>
  <c r="R1919" i="22"/>
  <c r="P1919" i="22"/>
  <c r="A1919" i="22"/>
  <c r="R1918" i="22"/>
  <c r="P1918" i="22"/>
  <c r="A1918" i="22"/>
  <c r="R1917" i="22"/>
  <c r="P1917" i="22"/>
  <c r="A1917" i="22"/>
  <c r="R1916" i="22"/>
  <c r="P1916" i="22"/>
  <c r="A1916" i="22"/>
  <c r="R1915" i="22"/>
  <c r="P1915" i="22"/>
  <c r="A1915" i="22"/>
  <c r="R1914" i="22"/>
  <c r="P1914" i="22"/>
  <c r="A1914" i="22"/>
  <c r="R1913" i="22"/>
  <c r="P1913" i="22"/>
  <c r="A1913" i="22"/>
  <c r="R1912" i="22"/>
  <c r="P1912" i="22"/>
  <c r="A1912" i="22"/>
  <c r="R1911" i="22"/>
  <c r="P1911" i="22"/>
  <c r="A1911" i="22"/>
  <c r="R1910" i="22"/>
  <c r="P1910" i="22"/>
  <c r="A1910" i="22"/>
  <c r="R1909" i="22"/>
  <c r="P1909" i="22"/>
  <c r="A1909" i="22"/>
  <c r="R1908" i="22"/>
  <c r="P1908" i="22"/>
  <c r="A1908" i="22"/>
  <c r="R1907" i="22"/>
  <c r="P1907" i="22"/>
  <c r="A1907" i="22"/>
  <c r="R1906" i="22"/>
  <c r="P1906" i="22"/>
  <c r="A1906" i="22"/>
  <c r="R1905" i="22"/>
  <c r="P1905" i="22"/>
  <c r="A1905" i="22"/>
  <c r="R1904" i="22"/>
  <c r="P1904" i="22"/>
  <c r="A1904" i="22"/>
  <c r="R1903" i="22"/>
  <c r="P1903" i="22"/>
  <c r="A1903" i="22"/>
  <c r="R1902" i="22"/>
  <c r="P1902" i="22"/>
  <c r="A1902" i="22"/>
  <c r="R1901" i="22"/>
  <c r="P1901" i="22"/>
  <c r="A1901" i="22"/>
  <c r="R1900" i="22"/>
  <c r="P1900" i="22"/>
  <c r="A1900" i="22"/>
  <c r="R1899" i="22"/>
  <c r="P1899" i="22"/>
  <c r="A1899" i="22"/>
  <c r="R1898" i="22"/>
  <c r="P1898" i="22"/>
  <c r="A1898" i="22"/>
  <c r="R1897" i="22"/>
  <c r="P1897" i="22"/>
  <c r="A1897" i="22"/>
  <c r="R1896" i="22"/>
  <c r="P1896" i="22"/>
  <c r="A1896" i="22"/>
  <c r="R1895" i="22"/>
  <c r="P1895" i="22"/>
  <c r="A1895" i="22"/>
  <c r="R1894" i="22"/>
  <c r="P1894" i="22"/>
  <c r="A1894" i="22"/>
  <c r="R1893" i="22"/>
  <c r="P1893" i="22"/>
  <c r="A1893" i="22"/>
  <c r="R1892" i="22"/>
  <c r="P1892" i="22"/>
  <c r="A1892" i="22"/>
  <c r="R1891" i="22"/>
  <c r="P1891" i="22"/>
  <c r="A1891" i="22"/>
  <c r="R1890" i="22"/>
  <c r="P1890" i="22"/>
  <c r="A1890" i="22"/>
  <c r="R1889" i="22"/>
  <c r="P1889" i="22"/>
  <c r="A1889" i="22"/>
  <c r="R1888" i="22"/>
  <c r="P1888" i="22"/>
  <c r="A1888" i="22"/>
  <c r="R1887" i="22"/>
  <c r="P1887" i="22"/>
  <c r="A1887" i="22"/>
  <c r="R1886" i="22"/>
  <c r="P1886" i="22"/>
  <c r="A1886" i="22"/>
  <c r="R1885" i="22"/>
  <c r="P1885" i="22"/>
  <c r="A1885" i="22"/>
  <c r="R1884" i="22"/>
  <c r="P1884" i="22"/>
  <c r="A1884" i="22"/>
  <c r="R1883" i="22"/>
  <c r="P1883" i="22"/>
  <c r="A1883" i="22"/>
  <c r="R1882" i="22"/>
  <c r="P1882" i="22"/>
  <c r="A1882" i="22"/>
  <c r="R1881" i="22"/>
  <c r="P1881" i="22"/>
  <c r="A1881" i="22"/>
  <c r="R1880" i="22"/>
  <c r="P1880" i="22"/>
  <c r="A1880" i="22"/>
  <c r="R1879" i="22"/>
  <c r="P1879" i="22"/>
  <c r="A1879" i="22"/>
  <c r="R1878" i="22"/>
  <c r="P1878" i="22"/>
  <c r="A1878" i="22"/>
  <c r="R1877" i="22"/>
  <c r="P1877" i="22"/>
  <c r="A1877" i="22"/>
  <c r="R1876" i="22"/>
  <c r="P1876" i="22"/>
  <c r="A1876" i="22"/>
  <c r="R1875" i="22"/>
  <c r="P1875" i="22"/>
  <c r="A1875" i="22"/>
  <c r="R1874" i="22"/>
  <c r="P1874" i="22"/>
  <c r="A1874" i="22"/>
  <c r="R1873" i="22"/>
  <c r="P1873" i="22"/>
  <c r="A1873" i="22"/>
  <c r="R1872" i="22"/>
  <c r="P1872" i="22"/>
  <c r="A1872" i="22"/>
  <c r="R1871" i="22"/>
  <c r="P1871" i="22"/>
  <c r="A1871" i="22"/>
  <c r="R1870" i="22"/>
  <c r="P1870" i="22"/>
  <c r="A1870" i="22"/>
  <c r="R1869" i="22"/>
  <c r="P1869" i="22"/>
  <c r="A1869" i="22"/>
  <c r="R1868" i="22"/>
  <c r="P1868" i="22"/>
  <c r="A1868" i="22"/>
  <c r="R1867" i="22"/>
  <c r="P1867" i="22"/>
  <c r="A1867" i="22"/>
  <c r="R1866" i="22"/>
  <c r="P1866" i="22"/>
  <c r="A1866" i="22"/>
  <c r="R1865" i="22"/>
  <c r="P1865" i="22"/>
  <c r="A1865" i="22"/>
  <c r="R1864" i="22"/>
  <c r="P1864" i="22"/>
  <c r="A1864" i="22"/>
  <c r="R1863" i="22"/>
  <c r="P1863" i="22"/>
  <c r="A1863" i="22"/>
  <c r="R1862" i="22"/>
  <c r="P1862" i="22"/>
  <c r="A1862" i="22"/>
  <c r="R1861" i="22"/>
  <c r="P1861" i="22"/>
  <c r="A1861" i="22"/>
  <c r="R1860" i="22"/>
  <c r="P1860" i="22"/>
  <c r="A1860" i="22"/>
  <c r="R1859" i="22"/>
  <c r="P1859" i="22"/>
  <c r="A1859" i="22"/>
  <c r="R1858" i="22"/>
  <c r="P1858" i="22"/>
  <c r="A1858" i="22"/>
  <c r="R1857" i="22"/>
  <c r="P1857" i="22"/>
  <c r="A1857" i="22"/>
  <c r="R1856" i="22"/>
  <c r="P1856" i="22"/>
  <c r="A1856" i="22"/>
  <c r="R1855" i="22"/>
  <c r="P1855" i="22"/>
  <c r="A1855" i="22"/>
  <c r="R1854" i="22"/>
  <c r="P1854" i="22"/>
  <c r="A1854" i="22"/>
  <c r="R1853" i="22"/>
  <c r="P1853" i="22"/>
  <c r="A1853" i="22"/>
  <c r="R1852" i="22"/>
  <c r="P1852" i="22"/>
  <c r="A1852" i="22"/>
  <c r="R1851" i="22"/>
  <c r="P1851" i="22"/>
  <c r="A1851" i="22"/>
  <c r="R1850" i="22"/>
  <c r="P1850" i="22"/>
  <c r="A1850" i="22"/>
  <c r="R1849" i="22"/>
  <c r="P1849" i="22"/>
  <c r="A1849" i="22"/>
  <c r="R1848" i="22"/>
  <c r="P1848" i="22"/>
  <c r="A1848" i="22"/>
  <c r="R1847" i="22"/>
  <c r="P1847" i="22"/>
  <c r="A1847" i="22"/>
  <c r="R1846" i="22"/>
  <c r="P1846" i="22"/>
  <c r="A1846" i="22"/>
  <c r="R1845" i="22"/>
  <c r="P1845" i="22"/>
  <c r="A1845" i="22"/>
  <c r="R1844" i="22"/>
  <c r="P1844" i="22"/>
  <c r="A1844" i="22"/>
  <c r="R1843" i="22"/>
  <c r="P1843" i="22"/>
  <c r="A1843" i="22"/>
  <c r="R1842" i="22"/>
  <c r="P1842" i="22"/>
  <c r="A1842" i="22"/>
  <c r="R1841" i="22"/>
  <c r="P1841" i="22"/>
  <c r="A1841" i="22"/>
  <c r="R1840" i="22"/>
  <c r="P1840" i="22"/>
  <c r="A1840" i="22"/>
  <c r="R1839" i="22"/>
  <c r="P1839" i="22"/>
  <c r="A1839" i="22"/>
  <c r="R1838" i="22"/>
  <c r="P1838" i="22"/>
  <c r="A1838" i="22"/>
  <c r="R1837" i="22"/>
  <c r="P1837" i="22"/>
  <c r="A1837" i="22"/>
  <c r="R1836" i="22"/>
  <c r="P1836" i="22"/>
  <c r="A1836" i="22"/>
  <c r="R1835" i="22"/>
  <c r="P1835" i="22"/>
  <c r="A1835" i="22"/>
  <c r="R1834" i="22"/>
  <c r="P1834" i="22"/>
  <c r="A1834" i="22"/>
  <c r="R1833" i="22"/>
  <c r="P1833" i="22"/>
  <c r="A1833" i="22"/>
  <c r="R1832" i="22"/>
  <c r="P1832" i="22"/>
  <c r="A1832" i="22"/>
  <c r="R1831" i="22"/>
  <c r="P1831" i="22"/>
  <c r="A1831" i="22"/>
  <c r="R1830" i="22"/>
  <c r="P1830" i="22"/>
  <c r="A1830" i="22"/>
  <c r="R1829" i="22"/>
  <c r="P1829" i="22"/>
  <c r="A1829" i="22"/>
  <c r="R1828" i="22"/>
  <c r="P1828" i="22"/>
  <c r="A1828" i="22"/>
  <c r="R1827" i="22"/>
  <c r="P1827" i="22"/>
  <c r="A1827" i="22"/>
  <c r="R1826" i="22"/>
  <c r="P1826" i="22"/>
  <c r="A1826" i="22"/>
  <c r="R1825" i="22"/>
  <c r="P1825" i="22"/>
  <c r="A1825" i="22"/>
  <c r="R1824" i="22"/>
  <c r="P1824" i="22"/>
  <c r="A1824" i="22"/>
  <c r="R1823" i="22"/>
  <c r="P1823" i="22"/>
  <c r="A1823" i="22"/>
  <c r="R1822" i="22"/>
  <c r="P1822" i="22"/>
  <c r="A1822" i="22"/>
  <c r="R1821" i="22"/>
  <c r="P1821" i="22"/>
  <c r="A1821" i="22"/>
  <c r="R1820" i="22"/>
  <c r="P1820" i="22"/>
  <c r="A1820" i="22"/>
  <c r="R1819" i="22"/>
  <c r="P1819" i="22"/>
  <c r="A1819" i="22"/>
  <c r="R1818" i="22"/>
  <c r="P1818" i="22"/>
  <c r="A1818" i="22"/>
  <c r="R1817" i="22"/>
  <c r="P1817" i="22"/>
  <c r="A1817" i="22"/>
  <c r="R1816" i="22"/>
  <c r="P1816" i="22"/>
  <c r="A1816" i="22"/>
  <c r="R1815" i="22"/>
  <c r="P1815" i="22"/>
  <c r="A1815" i="22"/>
  <c r="R1814" i="22"/>
  <c r="P1814" i="22"/>
  <c r="A1814" i="22"/>
  <c r="R1813" i="22"/>
  <c r="P1813" i="22"/>
  <c r="A1813" i="22"/>
  <c r="R1812" i="22"/>
  <c r="P1812" i="22"/>
  <c r="A1812" i="22"/>
  <c r="R1811" i="22"/>
  <c r="P1811" i="22"/>
  <c r="A1811" i="22"/>
  <c r="R1810" i="22"/>
  <c r="P1810" i="22"/>
  <c r="A1810" i="22"/>
  <c r="R1809" i="22"/>
  <c r="P1809" i="22"/>
  <c r="A1809" i="22"/>
  <c r="R1808" i="22"/>
  <c r="P1808" i="22"/>
  <c r="A1808" i="22"/>
  <c r="R1807" i="22"/>
  <c r="P1807" i="22"/>
  <c r="A1807" i="22"/>
  <c r="R1806" i="22"/>
  <c r="P1806" i="22"/>
  <c r="A1806" i="22"/>
  <c r="R1805" i="22"/>
  <c r="P1805" i="22"/>
  <c r="A1805" i="22"/>
  <c r="R1804" i="22"/>
  <c r="P1804" i="22"/>
  <c r="A1804" i="22"/>
  <c r="R1803" i="22"/>
  <c r="P1803" i="22"/>
  <c r="A1803" i="22"/>
  <c r="R1802" i="22"/>
  <c r="P1802" i="22"/>
  <c r="A1802" i="22"/>
  <c r="R1801" i="22"/>
  <c r="P1801" i="22"/>
  <c r="A1801" i="22"/>
  <c r="R1800" i="22"/>
  <c r="P1800" i="22"/>
  <c r="A1800" i="22"/>
  <c r="R1799" i="22"/>
  <c r="P1799" i="22"/>
  <c r="A1799" i="22"/>
  <c r="R1798" i="22"/>
  <c r="P1798" i="22"/>
  <c r="A1798" i="22"/>
  <c r="R1797" i="22"/>
  <c r="P1797" i="22"/>
  <c r="A1797" i="22"/>
  <c r="R1796" i="22"/>
  <c r="P1796" i="22"/>
  <c r="A1796" i="22"/>
  <c r="R1795" i="22"/>
  <c r="P1795" i="22"/>
  <c r="A1795" i="22"/>
  <c r="R1794" i="22"/>
  <c r="P1794" i="22"/>
  <c r="A1794" i="22"/>
  <c r="R1793" i="22"/>
  <c r="P1793" i="22"/>
  <c r="A1793" i="22"/>
  <c r="R1792" i="22"/>
  <c r="P1792" i="22"/>
  <c r="A1792" i="22"/>
  <c r="R1791" i="22"/>
  <c r="P1791" i="22"/>
  <c r="A1791" i="22"/>
  <c r="R1790" i="22"/>
  <c r="P1790" i="22"/>
  <c r="A1790" i="22"/>
  <c r="R1789" i="22"/>
  <c r="P1789" i="22"/>
  <c r="A1789" i="22"/>
  <c r="R1788" i="22"/>
  <c r="P1788" i="22"/>
  <c r="A1788" i="22"/>
  <c r="R1787" i="22"/>
  <c r="P1787" i="22"/>
  <c r="A1787" i="22"/>
  <c r="R1786" i="22"/>
  <c r="P1786" i="22"/>
  <c r="A1786" i="22"/>
  <c r="R1785" i="22"/>
  <c r="P1785" i="22"/>
  <c r="A1785" i="22"/>
  <c r="R1784" i="22"/>
  <c r="P1784" i="22"/>
  <c r="A1784" i="22"/>
  <c r="R1783" i="22"/>
  <c r="P1783" i="22"/>
  <c r="A1783" i="22"/>
  <c r="R1782" i="22"/>
  <c r="P1782" i="22"/>
  <c r="A1782" i="22"/>
  <c r="R1781" i="22"/>
  <c r="P1781" i="22"/>
  <c r="A1781" i="22"/>
  <c r="R1780" i="22"/>
  <c r="P1780" i="22"/>
  <c r="A1780" i="22"/>
  <c r="R1779" i="22"/>
  <c r="P1779" i="22"/>
  <c r="A1779" i="22"/>
  <c r="R1778" i="22"/>
  <c r="P1778" i="22"/>
  <c r="A1778" i="22"/>
  <c r="R1777" i="22"/>
  <c r="P1777" i="22"/>
  <c r="A1777" i="22"/>
  <c r="R1776" i="22"/>
  <c r="P1776" i="22"/>
  <c r="A1776" i="22"/>
  <c r="R1775" i="22"/>
  <c r="P1775" i="22"/>
  <c r="A1775" i="22"/>
  <c r="R1774" i="22"/>
  <c r="P1774" i="22"/>
  <c r="A1774" i="22"/>
  <c r="R1773" i="22"/>
  <c r="P1773" i="22"/>
  <c r="A1773" i="22"/>
  <c r="R1772" i="22"/>
  <c r="P1772" i="22"/>
  <c r="A1772" i="22"/>
  <c r="R1771" i="22"/>
  <c r="P1771" i="22"/>
  <c r="A1771" i="22"/>
  <c r="R1770" i="22"/>
  <c r="P1770" i="22"/>
  <c r="A1770" i="22"/>
  <c r="R1769" i="22"/>
  <c r="P1769" i="22"/>
  <c r="A1769" i="22"/>
  <c r="R1768" i="22"/>
  <c r="P1768" i="22"/>
  <c r="A1768" i="22"/>
  <c r="R1767" i="22"/>
  <c r="P1767" i="22"/>
  <c r="A1767" i="22"/>
  <c r="R1766" i="22"/>
  <c r="P1766" i="22"/>
  <c r="A1766" i="22"/>
  <c r="R1765" i="22"/>
  <c r="P1765" i="22"/>
  <c r="A1765" i="22"/>
  <c r="R1764" i="22"/>
  <c r="P1764" i="22"/>
  <c r="A1764" i="22"/>
  <c r="R1763" i="22"/>
  <c r="P1763" i="22"/>
  <c r="A1763" i="22"/>
  <c r="R1762" i="22"/>
  <c r="P1762" i="22"/>
  <c r="A1762" i="22"/>
  <c r="R1761" i="22"/>
  <c r="P1761" i="22"/>
  <c r="A1761" i="22"/>
  <c r="R1760" i="22"/>
  <c r="P1760" i="22"/>
  <c r="A1760" i="22"/>
  <c r="R1759" i="22"/>
  <c r="P1759" i="22"/>
  <c r="A1759" i="22"/>
  <c r="R1758" i="22"/>
  <c r="P1758" i="22"/>
  <c r="A1758" i="22"/>
  <c r="R1757" i="22"/>
  <c r="P1757" i="22"/>
  <c r="A1757" i="22"/>
  <c r="R1756" i="22"/>
  <c r="P1756" i="22"/>
  <c r="A1756" i="22"/>
  <c r="R1755" i="22"/>
  <c r="P1755" i="22"/>
  <c r="A1755" i="22"/>
  <c r="R1754" i="22"/>
  <c r="P1754" i="22"/>
  <c r="A1754" i="22"/>
  <c r="R1753" i="22"/>
  <c r="P1753" i="22"/>
  <c r="A1753" i="22"/>
  <c r="R1752" i="22"/>
  <c r="P1752" i="22"/>
  <c r="A1752" i="22"/>
  <c r="R1751" i="22"/>
  <c r="P1751" i="22"/>
  <c r="A1751" i="22"/>
  <c r="R1750" i="22"/>
  <c r="P1750" i="22"/>
  <c r="A1750" i="22"/>
  <c r="R1749" i="22"/>
  <c r="P1749" i="22"/>
  <c r="A1749" i="22"/>
  <c r="R1748" i="22"/>
  <c r="P1748" i="22"/>
  <c r="A1748" i="22"/>
  <c r="R1747" i="22"/>
  <c r="P1747" i="22"/>
  <c r="A1747" i="22"/>
  <c r="R1746" i="22"/>
  <c r="P1746" i="22"/>
  <c r="A1746" i="22"/>
  <c r="R1745" i="22"/>
  <c r="P1745" i="22"/>
  <c r="A1745" i="22"/>
  <c r="R1744" i="22"/>
  <c r="P1744" i="22"/>
  <c r="A1744" i="22"/>
  <c r="R1743" i="22"/>
  <c r="P1743" i="22"/>
  <c r="A1743" i="22"/>
  <c r="R1742" i="22"/>
  <c r="P1742" i="22"/>
  <c r="A1742" i="22"/>
  <c r="R1741" i="22"/>
  <c r="P1741" i="22"/>
  <c r="A1741" i="22"/>
  <c r="R1740" i="22"/>
  <c r="P1740" i="22"/>
  <c r="A1740" i="22"/>
  <c r="R1739" i="22"/>
  <c r="P1739" i="22"/>
  <c r="A1739" i="22"/>
  <c r="R1738" i="22"/>
  <c r="P1738" i="22"/>
  <c r="A1738" i="22"/>
  <c r="R1737" i="22"/>
  <c r="P1737" i="22"/>
  <c r="A1737" i="22"/>
  <c r="R1736" i="22"/>
  <c r="P1736" i="22"/>
  <c r="A1736" i="22"/>
  <c r="R1735" i="22"/>
  <c r="P1735" i="22"/>
  <c r="A1735" i="22"/>
  <c r="R1734" i="22"/>
  <c r="P1734" i="22"/>
  <c r="A1734" i="22"/>
  <c r="R1733" i="22"/>
  <c r="P1733" i="22"/>
  <c r="A1733" i="22"/>
  <c r="R1732" i="22"/>
  <c r="P1732" i="22"/>
  <c r="A1732" i="22"/>
  <c r="R1731" i="22"/>
  <c r="P1731" i="22"/>
  <c r="A1731" i="22"/>
  <c r="R1730" i="22"/>
  <c r="P1730" i="22"/>
  <c r="A1730" i="22"/>
  <c r="R1729" i="22"/>
  <c r="P1729" i="22"/>
  <c r="A1729" i="22"/>
  <c r="R1728" i="22"/>
  <c r="P1728" i="22"/>
  <c r="A1728" i="22"/>
  <c r="R1727" i="22"/>
  <c r="P1727" i="22"/>
  <c r="A1727" i="22"/>
  <c r="R1726" i="22"/>
  <c r="P1726" i="22"/>
  <c r="A1726" i="22"/>
  <c r="R1725" i="22"/>
  <c r="P1725" i="22"/>
  <c r="A1725" i="22"/>
  <c r="R1724" i="22"/>
  <c r="P1724" i="22"/>
  <c r="A1724" i="22"/>
  <c r="R1723" i="22"/>
  <c r="P1723" i="22"/>
  <c r="A1723" i="22"/>
  <c r="R1722" i="22"/>
  <c r="P1722" i="22"/>
  <c r="A1722" i="22"/>
  <c r="R1721" i="22"/>
  <c r="P1721" i="22"/>
  <c r="A1721" i="22"/>
  <c r="R1720" i="22"/>
  <c r="P1720" i="22"/>
  <c r="A1720" i="22"/>
  <c r="R1719" i="22"/>
  <c r="P1719" i="22"/>
  <c r="A1719" i="22"/>
  <c r="R1718" i="22"/>
  <c r="P1718" i="22"/>
  <c r="A1718" i="22"/>
  <c r="R1717" i="22"/>
  <c r="P1717" i="22"/>
  <c r="A1717" i="22"/>
  <c r="R1716" i="22"/>
  <c r="P1716" i="22"/>
  <c r="A1716" i="22"/>
  <c r="R1715" i="22"/>
  <c r="P1715" i="22"/>
  <c r="A1715" i="22"/>
  <c r="R1714" i="22"/>
  <c r="P1714" i="22"/>
  <c r="A1714" i="22"/>
  <c r="R1713" i="22"/>
  <c r="P1713" i="22"/>
  <c r="A1713" i="22"/>
  <c r="R1712" i="22"/>
  <c r="P1712" i="22"/>
  <c r="A1712" i="22"/>
  <c r="R1711" i="22"/>
  <c r="P1711" i="22"/>
  <c r="A1711" i="22"/>
  <c r="R1710" i="22"/>
  <c r="P1710" i="22"/>
  <c r="A1710" i="22"/>
  <c r="R1709" i="22"/>
  <c r="P1709" i="22"/>
  <c r="A1709" i="22"/>
  <c r="R1708" i="22"/>
  <c r="P1708" i="22"/>
  <c r="A1708" i="22"/>
  <c r="R1707" i="22"/>
  <c r="P1707" i="22"/>
  <c r="A1707" i="22"/>
  <c r="R1706" i="22"/>
  <c r="P1706" i="22"/>
  <c r="A1706" i="22"/>
  <c r="R1705" i="22"/>
  <c r="P1705" i="22"/>
  <c r="A1705" i="22"/>
  <c r="R1704" i="22"/>
  <c r="P1704" i="22"/>
  <c r="A1704" i="22"/>
  <c r="R1703" i="22"/>
  <c r="P1703" i="22"/>
  <c r="A1703" i="22"/>
  <c r="R1702" i="22"/>
  <c r="P1702" i="22"/>
  <c r="A1702" i="22"/>
  <c r="R1701" i="22"/>
  <c r="P1701" i="22"/>
  <c r="A1701" i="22"/>
  <c r="R1700" i="22"/>
  <c r="P1700" i="22"/>
  <c r="A1700" i="22"/>
  <c r="R1699" i="22"/>
  <c r="P1699" i="22"/>
  <c r="A1699" i="22"/>
  <c r="R1698" i="22"/>
  <c r="P1698" i="22"/>
  <c r="A1698" i="22"/>
  <c r="R1697" i="22"/>
  <c r="P1697" i="22"/>
  <c r="A1697" i="22"/>
  <c r="R1696" i="22"/>
  <c r="P1696" i="22"/>
  <c r="A1696" i="22"/>
  <c r="R1695" i="22"/>
  <c r="P1695" i="22"/>
  <c r="A1695" i="22"/>
  <c r="R1694" i="22"/>
  <c r="P1694" i="22"/>
  <c r="A1694" i="22"/>
  <c r="R1693" i="22"/>
  <c r="P1693" i="22"/>
  <c r="A1693" i="22"/>
  <c r="R1692" i="22"/>
  <c r="P1692" i="22"/>
  <c r="A1692" i="22"/>
  <c r="R1691" i="22"/>
  <c r="P1691" i="22"/>
  <c r="A1691" i="22"/>
  <c r="R1690" i="22"/>
  <c r="P1690" i="22"/>
  <c r="A1690" i="22"/>
  <c r="R1689" i="22"/>
  <c r="P1689" i="22"/>
  <c r="A1689" i="22"/>
  <c r="R1688" i="22"/>
  <c r="P1688" i="22"/>
  <c r="A1688" i="22"/>
  <c r="R1687" i="22"/>
  <c r="P1687" i="22"/>
  <c r="A1687" i="22"/>
  <c r="R1686" i="22"/>
  <c r="P1686" i="22"/>
  <c r="A1686" i="22"/>
  <c r="R1685" i="22"/>
  <c r="P1685" i="22"/>
  <c r="A1685" i="22"/>
  <c r="R1684" i="22"/>
  <c r="P1684" i="22"/>
  <c r="A1684" i="22"/>
  <c r="R1683" i="22"/>
  <c r="P1683" i="22"/>
  <c r="A1683" i="22"/>
  <c r="R1682" i="22"/>
  <c r="P1682" i="22"/>
  <c r="A1682" i="22"/>
  <c r="R1681" i="22"/>
  <c r="P1681" i="22"/>
  <c r="A1681" i="22"/>
  <c r="R1680" i="22"/>
  <c r="P1680" i="22"/>
  <c r="A1680" i="22"/>
  <c r="R1679" i="22"/>
  <c r="P1679" i="22"/>
  <c r="A1679" i="22"/>
  <c r="R1678" i="22"/>
  <c r="P1678" i="22"/>
  <c r="A1678" i="22"/>
  <c r="R1677" i="22"/>
  <c r="P1677" i="22"/>
  <c r="A1677" i="22"/>
  <c r="R1676" i="22"/>
  <c r="P1676" i="22"/>
  <c r="A1676" i="22"/>
  <c r="R1675" i="22"/>
  <c r="P1675" i="22"/>
  <c r="A1675" i="22"/>
  <c r="R1674" i="22"/>
  <c r="P1674" i="22"/>
  <c r="A1674" i="22"/>
  <c r="R1673" i="22"/>
  <c r="P1673" i="22"/>
  <c r="A1673" i="22"/>
  <c r="R1672" i="22"/>
  <c r="P1672" i="22"/>
  <c r="A1672" i="22"/>
  <c r="R1671" i="22"/>
  <c r="P1671" i="22"/>
  <c r="A1671" i="22"/>
  <c r="R1670" i="22"/>
  <c r="P1670" i="22"/>
  <c r="A1670" i="22"/>
  <c r="R1669" i="22"/>
  <c r="P1669" i="22"/>
  <c r="A1669" i="22"/>
  <c r="R1668" i="22"/>
  <c r="P1668" i="22"/>
  <c r="A1668" i="22"/>
  <c r="R1667" i="22"/>
  <c r="P1667" i="22"/>
  <c r="A1667" i="22"/>
  <c r="R1666" i="22"/>
  <c r="P1666" i="22"/>
  <c r="A1666" i="22"/>
  <c r="R1665" i="22"/>
  <c r="P1665" i="22"/>
  <c r="A1665" i="22"/>
  <c r="R1664" i="22"/>
  <c r="P1664" i="22"/>
  <c r="A1664" i="22"/>
  <c r="R1663" i="22"/>
  <c r="P1663" i="22"/>
  <c r="A1663" i="22"/>
  <c r="R1662" i="22"/>
  <c r="P1662" i="22"/>
  <c r="A1662" i="22"/>
  <c r="R1661" i="22"/>
  <c r="P1661" i="22"/>
  <c r="A1661" i="22"/>
  <c r="R1660" i="22"/>
  <c r="P1660" i="22"/>
  <c r="A1660" i="22"/>
  <c r="R1659" i="22"/>
  <c r="P1659" i="22"/>
  <c r="A1659" i="22"/>
  <c r="R1658" i="22"/>
  <c r="P1658" i="22"/>
  <c r="A1658" i="22"/>
  <c r="R1657" i="22"/>
  <c r="P1657" i="22"/>
  <c r="A1657" i="22"/>
  <c r="R1656" i="22"/>
  <c r="P1656" i="22"/>
  <c r="A1656" i="22"/>
  <c r="R1655" i="22"/>
  <c r="P1655" i="22"/>
  <c r="A1655" i="22"/>
  <c r="R1654" i="22"/>
  <c r="P1654" i="22"/>
  <c r="A1654" i="22"/>
  <c r="R1653" i="22"/>
  <c r="P1653" i="22"/>
  <c r="A1653" i="22"/>
  <c r="R1652" i="22"/>
  <c r="P1652" i="22"/>
  <c r="A1652" i="22"/>
  <c r="R1651" i="22"/>
  <c r="P1651" i="22"/>
  <c r="A1651" i="22"/>
  <c r="R1650" i="22"/>
  <c r="P1650" i="22"/>
  <c r="A1650" i="22"/>
  <c r="R1649" i="22"/>
  <c r="P1649" i="22"/>
  <c r="A1649" i="22"/>
  <c r="R1648" i="22"/>
  <c r="P1648" i="22"/>
  <c r="A1648" i="22"/>
  <c r="R1647" i="22"/>
  <c r="P1647" i="22"/>
  <c r="A1647" i="22"/>
  <c r="R1646" i="22"/>
  <c r="P1646" i="22"/>
  <c r="A1646" i="22"/>
  <c r="R1645" i="22"/>
  <c r="P1645" i="22"/>
  <c r="A1645" i="22"/>
  <c r="R1644" i="22"/>
  <c r="P1644" i="22"/>
  <c r="A1644" i="22"/>
  <c r="R1643" i="22"/>
  <c r="P1643" i="22"/>
  <c r="A1643" i="22"/>
  <c r="R1642" i="22"/>
  <c r="P1642" i="22"/>
  <c r="A1642" i="22"/>
  <c r="R1641" i="22"/>
  <c r="P1641" i="22"/>
  <c r="A1641" i="22"/>
  <c r="R1640" i="22"/>
  <c r="P1640" i="22"/>
  <c r="A1640" i="22"/>
  <c r="R1639" i="22"/>
  <c r="P1639" i="22"/>
  <c r="A1639" i="22"/>
  <c r="R1638" i="22"/>
  <c r="P1638" i="22"/>
  <c r="A1638" i="22"/>
  <c r="R1637" i="22"/>
  <c r="P1637" i="22"/>
  <c r="A1637" i="22"/>
  <c r="R1636" i="22"/>
  <c r="P1636" i="22"/>
  <c r="A1636" i="22"/>
  <c r="R1635" i="22"/>
  <c r="P1635" i="22"/>
  <c r="A1635" i="22"/>
  <c r="R1634" i="22"/>
  <c r="P1634" i="22"/>
  <c r="A1634" i="22"/>
  <c r="R1633" i="22"/>
  <c r="P1633" i="22"/>
  <c r="A1633" i="22"/>
  <c r="R1632" i="22"/>
  <c r="P1632" i="22"/>
  <c r="A1632" i="22"/>
  <c r="R1631" i="22"/>
  <c r="P1631" i="22"/>
  <c r="A1631" i="22"/>
  <c r="R1630" i="22"/>
  <c r="P1630" i="22"/>
  <c r="A1630" i="22"/>
  <c r="R1629" i="22"/>
  <c r="P1629" i="22"/>
  <c r="A1629" i="22"/>
  <c r="R1628" i="22"/>
  <c r="P1628" i="22"/>
  <c r="A1628" i="22"/>
  <c r="R1627" i="22"/>
  <c r="P1627" i="22"/>
  <c r="A1627" i="22"/>
  <c r="R1626" i="22"/>
  <c r="P1626" i="22"/>
  <c r="A1626" i="22"/>
  <c r="R1625" i="22"/>
  <c r="P1625" i="22"/>
  <c r="A1625" i="22"/>
  <c r="R1624" i="22"/>
  <c r="P1624" i="22"/>
  <c r="A1624" i="22"/>
  <c r="R1623" i="22"/>
  <c r="P1623" i="22"/>
  <c r="A1623" i="22"/>
  <c r="R1622" i="22"/>
  <c r="P1622" i="22"/>
  <c r="A1622" i="22"/>
  <c r="R1621" i="22"/>
  <c r="P1621" i="22"/>
  <c r="A1621" i="22"/>
  <c r="R1620" i="22"/>
  <c r="P1620" i="22"/>
  <c r="A1620" i="22"/>
  <c r="R1619" i="22"/>
  <c r="P1619" i="22"/>
  <c r="A1619" i="22"/>
  <c r="R1618" i="22"/>
  <c r="P1618" i="22"/>
  <c r="A1618" i="22"/>
  <c r="R1617" i="22"/>
  <c r="P1617" i="22"/>
  <c r="A1617" i="22"/>
  <c r="R1616" i="22"/>
  <c r="P1616" i="22"/>
  <c r="A1616" i="22"/>
  <c r="R1615" i="22"/>
  <c r="P1615" i="22"/>
  <c r="A1615" i="22"/>
  <c r="R1614" i="22"/>
  <c r="P1614" i="22"/>
  <c r="A1614" i="22"/>
  <c r="R1613" i="22"/>
  <c r="P1613" i="22"/>
  <c r="A1613" i="22"/>
  <c r="R1612" i="22"/>
  <c r="P1612" i="22"/>
  <c r="A1612" i="22"/>
  <c r="R1611" i="22"/>
  <c r="P1611" i="22"/>
  <c r="A1611" i="22"/>
  <c r="R1610" i="22"/>
  <c r="P1610" i="22"/>
  <c r="A1610" i="22"/>
  <c r="R1609" i="22"/>
  <c r="P1609" i="22"/>
  <c r="A1609" i="22"/>
  <c r="R1608" i="22"/>
  <c r="P1608" i="22"/>
  <c r="A1608" i="22"/>
  <c r="R1607" i="22"/>
  <c r="P1607" i="22"/>
  <c r="A1607" i="22"/>
  <c r="R1606" i="22"/>
  <c r="P1606" i="22"/>
  <c r="A1606" i="22"/>
  <c r="R1605" i="22"/>
  <c r="P1605" i="22"/>
  <c r="A1605" i="22"/>
  <c r="R1604" i="22"/>
  <c r="P1604" i="22"/>
  <c r="A1604" i="22"/>
  <c r="R1603" i="22"/>
  <c r="P1603" i="22"/>
  <c r="A1603" i="22"/>
  <c r="R1602" i="22"/>
  <c r="P1602" i="22"/>
  <c r="A1602" i="22"/>
  <c r="R1601" i="22"/>
  <c r="P1601" i="22"/>
  <c r="A1601" i="22"/>
  <c r="R1600" i="22"/>
  <c r="P1600" i="22"/>
  <c r="A1600" i="22"/>
  <c r="R1599" i="22"/>
  <c r="P1599" i="22"/>
  <c r="A1599" i="22"/>
  <c r="R1598" i="22"/>
  <c r="P1598" i="22"/>
  <c r="A1598" i="22"/>
  <c r="R1597" i="22"/>
  <c r="P1597" i="22"/>
  <c r="A1597" i="22"/>
  <c r="R1596" i="22"/>
  <c r="P1596" i="22"/>
  <c r="A1596" i="22"/>
  <c r="R1595" i="22"/>
  <c r="P1595" i="22"/>
  <c r="A1595" i="22"/>
  <c r="R1594" i="22"/>
  <c r="P1594" i="22"/>
  <c r="A1594" i="22"/>
  <c r="R1593" i="22"/>
  <c r="P1593" i="22"/>
  <c r="A1593" i="22"/>
  <c r="R1592" i="22"/>
  <c r="P1592" i="22"/>
  <c r="A1592" i="22"/>
  <c r="R1591" i="22"/>
  <c r="P1591" i="22"/>
  <c r="A1591" i="22"/>
  <c r="R1590" i="22"/>
  <c r="P1590" i="22"/>
  <c r="A1590" i="22"/>
  <c r="R1589" i="22"/>
  <c r="P1589" i="22"/>
  <c r="A1589" i="22"/>
  <c r="R1588" i="22"/>
  <c r="P1588" i="22"/>
  <c r="A1588" i="22"/>
  <c r="R1587" i="22"/>
  <c r="P1587" i="22"/>
  <c r="A1587" i="22"/>
  <c r="R1586" i="22"/>
  <c r="P1586" i="22"/>
  <c r="A1586" i="22"/>
  <c r="R1585" i="22"/>
  <c r="P1585" i="22"/>
  <c r="A1585" i="22"/>
  <c r="R1584" i="22"/>
  <c r="P1584" i="22"/>
  <c r="A1584" i="22"/>
  <c r="R1583" i="22"/>
  <c r="P1583" i="22"/>
  <c r="A1583" i="22"/>
  <c r="R1582" i="22"/>
  <c r="P1582" i="22"/>
  <c r="A1582" i="22"/>
  <c r="R1581" i="22"/>
  <c r="P1581" i="22"/>
  <c r="A1581" i="22"/>
  <c r="R1580" i="22"/>
  <c r="P1580" i="22"/>
  <c r="A1580" i="22"/>
  <c r="R1579" i="22"/>
  <c r="P1579" i="22"/>
  <c r="A1579" i="22"/>
  <c r="R1578" i="22"/>
  <c r="P1578" i="22"/>
  <c r="A1578" i="22"/>
  <c r="R1577" i="22"/>
  <c r="P1577" i="22"/>
  <c r="A1577" i="22"/>
  <c r="R1576" i="22"/>
  <c r="P1576" i="22"/>
  <c r="A1576" i="22"/>
  <c r="R1575" i="22"/>
  <c r="P1575" i="22"/>
  <c r="A1575" i="22"/>
  <c r="R1574" i="22"/>
  <c r="P1574" i="22"/>
  <c r="A1574" i="22"/>
  <c r="R1573" i="22"/>
  <c r="P1573" i="22"/>
  <c r="A1573" i="22"/>
  <c r="R1572" i="22"/>
  <c r="P1572" i="22"/>
  <c r="A1572" i="22"/>
  <c r="R1571" i="22"/>
  <c r="P1571" i="22"/>
  <c r="A1571" i="22"/>
  <c r="R1570" i="22"/>
  <c r="P1570" i="22"/>
  <c r="A1570" i="22"/>
  <c r="R1569" i="22"/>
  <c r="P1569" i="22"/>
  <c r="A1569" i="22"/>
  <c r="R1568" i="22"/>
  <c r="P1568" i="22"/>
  <c r="A1568" i="22"/>
  <c r="R1567" i="22"/>
  <c r="P1567" i="22"/>
  <c r="A1567" i="22"/>
  <c r="R1566" i="22"/>
  <c r="P1566" i="22"/>
  <c r="A1566" i="22"/>
  <c r="R1565" i="22"/>
  <c r="P1565" i="22"/>
  <c r="A1565" i="22"/>
  <c r="R1564" i="22"/>
  <c r="P1564" i="22"/>
  <c r="A1564" i="22"/>
  <c r="R1563" i="22"/>
  <c r="P1563" i="22"/>
  <c r="A1563" i="22"/>
  <c r="R1562" i="22"/>
  <c r="P1562" i="22"/>
  <c r="A1562" i="22"/>
  <c r="R1561" i="22"/>
  <c r="P1561" i="22"/>
  <c r="A1561" i="22"/>
  <c r="R1560" i="22"/>
  <c r="P1560" i="22"/>
  <c r="A1560" i="22"/>
  <c r="R1559" i="22"/>
  <c r="P1559" i="22"/>
  <c r="A1559" i="22"/>
  <c r="R1558" i="22"/>
  <c r="P1558" i="22"/>
  <c r="A1558" i="22"/>
  <c r="R1557" i="22"/>
  <c r="P1557" i="22"/>
  <c r="A1557" i="22"/>
  <c r="R1556" i="22"/>
  <c r="P1556" i="22"/>
  <c r="A1556" i="22"/>
  <c r="R1555" i="22"/>
  <c r="P1555" i="22"/>
  <c r="A1555" i="22"/>
  <c r="R1554" i="22"/>
  <c r="P1554" i="22"/>
  <c r="A1554" i="22"/>
  <c r="R1553" i="22"/>
  <c r="P1553" i="22"/>
  <c r="A1553" i="22"/>
  <c r="R1552" i="22"/>
  <c r="P1552" i="22"/>
  <c r="A1552" i="22"/>
  <c r="R1551" i="22"/>
  <c r="P1551" i="22"/>
  <c r="A1551" i="22"/>
  <c r="R1550" i="22"/>
  <c r="P1550" i="22"/>
  <c r="A1550" i="22"/>
  <c r="R1549" i="22"/>
  <c r="P1549" i="22"/>
  <c r="A1549" i="22"/>
  <c r="R1548" i="22"/>
  <c r="P1548" i="22"/>
  <c r="A1548" i="22"/>
  <c r="R1547" i="22"/>
  <c r="P1547" i="22"/>
  <c r="A1547" i="22"/>
  <c r="R1546" i="22"/>
  <c r="P1546" i="22"/>
  <c r="A1546" i="22"/>
  <c r="R1545" i="22"/>
  <c r="P1545" i="22"/>
  <c r="A1545" i="22"/>
  <c r="R1544" i="22"/>
  <c r="P1544" i="22"/>
  <c r="A1544" i="22"/>
  <c r="R1543" i="22"/>
  <c r="P1543" i="22"/>
  <c r="A1543" i="22"/>
  <c r="R1542" i="22"/>
  <c r="P1542" i="22"/>
  <c r="A1542" i="22"/>
  <c r="R1541" i="22"/>
  <c r="P1541" i="22"/>
  <c r="A1541" i="22"/>
  <c r="R1540" i="22"/>
  <c r="P1540" i="22"/>
  <c r="A1540" i="22"/>
  <c r="R1539" i="22"/>
  <c r="P1539" i="22"/>
  <c r="A1539" i="22"/>
  <c r="R1538" i="22"/>
  <c r="P1538" i="22"/>
  <c r="A1538" i="22"/>
  <c r="R1537" i="22"/>
  <c r="P1537" i="22"/>
  <c r="A1537" i="22"/>
  <c r="R1536" i="22"/>
  <c r="P1536" i="22"/>
  <c r="A1536" i="22"/>
  <c r="R1535" i="22"/>
  <c r="P1535" i="22"/>
  <c r="A1535" i="22"/>
  <c r="R1534" i="22"/>
  <c r="P1534" i="22"/>
  <c r="A1534" i="22"/>
  <c r="R1533" i="22"/>
  <c r="P1533" i="22"/>
  <c r="A1533" i="22"/>
  <c r="R1532" i="22"/>
  <c r="P1532" i="22"/>
  <c r="A1532" i="22"/>
  <c r="R1531" i="22"/>
  <c r="P1531" i="22"/>
  <c r="A1531" i="22"/>
  <c r="R1530" i="22"/>
  <c r="P1530" i="22"/>
  <c r="A1530" i="22"/>
  <c r="R1529" i="22"/>
  <c r="P1529" i="22"/>
  <c r="A1529" i="22"/>
  <c r="R1528" i="22"/>
  <c r="P1528" i="22"/>
  <c r="A1528" i="22"/>
  <c r="R1527" i="22"/>
  <c r="P1527" i="22"/>
  <c r="A1527" i="22"/>
  <c r="R1526" i="22"/>
  <c r="P1526" i="22"/>
  <c r="A1526" i="22"/>
  <c r="R1525" i="22"/>
  <c r="P1525" i="22"/>
  <c r="A1525" i="22"/>
  <c r="R1524" i="22"/>
  <c r="P1524" i="22"/>
  <c r="A1524" i="22"/>
  <c r="R1523" i="22"/>
  <c r="P1523" i="22"/>
  <c r="A1523" i="22"/>
  <c r="R1522" i="22"/>
  <c r="P1522" i="22"/>
  <c r="A1522" i="22"/>
  <c r="R1521" i="22"/>
  <c r="P1521" i="22"/>
  <c r="A1521" i="22"/>
  <c r="R1520" i="22"/>
  <c r="P1520" i="22"/>
  <c r="A1520" i="22"/>
  <c r="R1519" i="22"/>
  <c r="P1519" i="22"/>
  <c r="A1519" i="22"/>
  <c r="R1518" i="22"/>
  <c r="P1518" i="22"/>
  <c r="A1518" i="22"/>
  <c r="R1517" i="22"/>
  <c r="P1517" i="22"/>
  <c r="A1517" i="22"/>
  <c r="R1516" i="22"/>
  <c r="P1516" i="22"/>
  <c r="A1516" i="22"/>
  <c r="R1515" i="22"/>
  <c r="P1515" i="22"/>
  <c r="A1515" i="22"/>
  <c r="R1514" i="22"/>
  <c r="P1514" i="22"/>
  <c r="A1514" i="22"/>
  <c r="R1513" i="22"/>
  <c r="P1513" i="22"/>
  <c r="A1513" i="22"/>
  <c r="R1512" i="22"/>
  <c r="P1512" i="22"/>
  <c r="A1512" i="22"/>
  <c r="R1511" i="22"/>
  <c r="P1511" i="22"/>
  <c r="A1511" i="22"/>
  <c r="R1510" i="22"/>
  <c r="P1510" i="22"/>
  <c r="A1510" i="22"/>
  <c r="R1509" i="22"/>
  <c r="P1509" i="22"/>
  <c r="A1509" i="22"/>
  <c r="R1508" i="22"/>
  <c r="P1508" i="22"/>
  <c r="A1508" i="22"/>
  <c r="R1507" i="22"/>
  <c r="P1507" i="22"/>
  <c r="A1507" i="22"/>
  <c r="R1506" i="22"/>
  <c r="P1506" i="22"/>
  <c r="A1506" i="22"/>
  <c r="R1505" i="22"/>
  <c r="P1505" i="22"/>
  <c r="A1505" i="22"/>
  <c r="R1504" i="22"/>
  <c r="P1504" i="22"/>
  <c r="A1504" i="22"/>
  <c r="R1503" i="22"/>
  <c r="P1503" i="22"/>
  <c r="A1503" i="22"/>
  <c r="R1502" i="22"/>
  <c r="P1502" i="22"/>
  <c r="A1502" i="22"/>
  <c r="R1501" i="22"/>
  <c r="P1501" i="22"/>
  <c r="A1501" i="22"/>
  <c r="R1500" i="22"/>
  <c r="P1500" i="22"/>
  <c r="A1500" i="22"/>
  <c r="R1499" i="22"/>
  <c r="P1499" i="22"/>
  <c r="A1499" i="22"/>
  <c r="R1498" i="22"/>
  <c r="P1498" i="22"/>
  <c r="A1498" i="22"/>
  <c r="R1497" i="22"/>
  <c r="P1497" i="22"/>
  <c r="A1497" i="22"/>
  <c r="R1496" i="22"/>
  <c r="P1496" i="22"/>
  <c r="A1496" i="22"/>
  <c r="R1495" i="22"/>
  <c r="P1495" i="22"/>
  <c r="A1495" i="22"/>
  <c r="R1494" i="22"/>
  <c r="P1494" i="22"/>
  <c r="A1494" i="22"/>
  <c r="R1493" i="22"/>
  <c r="P1493" i="22"/>
  <c r="A1493" i="22"/>
  <c r="R1492" i="22"/>
  <c r="P1492" i="22"/>
  <c r="A1492" i="22"/>
  <c r="R1491" i="22"/>
  <c r="P1491" i="22"/>
  <c r="A1491" i="22"/>
  <c r="R1490" i="22"/>
  <c r="P1490" i="22"/>
  <c r="A1490" i="22"/>
  <c r="R1489" i="22"/>
  <c r="P1489" i="22"/>
  <c r="A1489" i="22"/>
  <c r="R1488" i="22"/>
  <c r="P1488" i="22"/>
  <c r="A1488" i="22"/>
  <c r="R1487" i="22"/>
  <c r="P1487" i="22"/>
  <c r="A1487" i="22"/>
  <c r="R1486" i="22"/>
  <c r="P1486" i="22"/>
  <c r="A1486" i="22"/>
  <c r="R1485" i="22"/>
  <c r="P1485" i="22"/>
  <c r="A1485" i="22"/>
  <c r="R1484" i="22"/>
  <c r="P1484" i="22"/>
  <c r="A1484" i="22"/>
  <c r="R1483" i="22"/>
  <c r="P1483" i="22"/>
  <c r="A1483" i="22"/>
  <c r="R1482" i="22"/>
  <c r="P1482" i="22"/>
  <c r="A1482" i="22"/>
  <c r="R1481" i="22"/>
  <c r="P1481" i="22"/>
  <c r="A1481" i="22"/>
  <c r="R1480" i="22"/>
  <c r="P1480" i="22"/>
  <c r="A1480" i="22"/>
  <c r="R1479" i="22"/>
  <c r="P1479" i="22"/>
  <c r="A1479" i="22"/>
  <c r="R1478" i="22"/>
  <c r="P1478" i="22"/>
  <c r="A1478" i="22"/>
  <c r="R1477" i="22"/>
  <c r="P1477" i="22"/>
  <c r="A1477" i="22"/>
  <c r="R1476" i="22"/>
  <c r="P1476" i="22"/>
  <c r="A1476" i="22"/>
  <c r="R1475" i="22"/>
  <c r="P1475" i="22"/>
  <c r="A1475" i="22"/>
  <c r="R1474" i="22"/>
  <c r="P1474" i="22"/>
  <c r="A1474" i="22"/>
  <c r="R1473" i="22"/>
  <c r="P1473" i="22"/>
  <c r="A1473" i="22"/>
  <c r="R1472" i="22"/>
  <c r="P1472" i="22"/>
  <c r="A1472" i="22"/>
  <c r="R1471" i="22"/>
  <c r="P1471" i="22"/>
  <c r="A1471" i="22"/>
  <c r="R1470" i="22"/>
  <c r="P1470" i="22"/>
  <c r="A1470" i="22"/>
  <c r="R1469" i="22"/>
  <c r="P1469" i="22"/>
  <c r="A1469" i="22"/>
  <c r="R1468" i="22"/>
  <c r="P1468" i="22"/>
  <c r="A1468" i="22"/>
  <c r="R1467" i="22"/>
  <c r="P1467" i="22"/>
  <c r="A1467" i="22"/>
  <c r="R1466" i="22"/>
  <c r="P1466" i="22"/>
  <c r="A1466" i="22"/>
  <c r="R1465" i="22"/>
  <c r="P1465" i="22"/>
  <c r="A1465" i="22"/>
  <c r="R1464" i="22"/>
  <c r="P1464" i="22"/>
  <c r="A1464" i="22"/>
  <c r="R1463" i="22"/>
  <c r="P1463" i="22"/>
  <c r="A1463" i="22"/>
  <c r="R1462" i="22"/>
  <c r="P1462" i="22"/>
  <c r="A1462" i="22"/>
  <c r="R1461" i="22"/>
  <c r="P1461" i="22"/>
  <c r="A1461" i="22"/>
  <c r="R1460" i="22"/>
  <c r="P1460" i="22"/>
  <c r="A1460" i="22"/>
  <c r="R1459" i="22"/>
  <c r="P1459" i="22"/>
  <c r="A1459" i="22"/>
  <c r="R1458" i="22"/>
  <c r="P1458" i="22"/>
  <c r="A1458" i="22"/>
  <c r="R1457" i="22"/>
  <c r="P1457" i="22"/>
  <c r="A1457" i="22"/>
  <c r="R1456" i="22"/>
  <c r="P1456" i="22"/>
  <c r="A1456" i="22"/>
  <c r="R1455" i="22"/>
  <c r="P1455" i="22"/>
  <c r="A1455" i="22"/>
  <c r="R1454" i="22"/>
  <c r="P1454" i="22"/>
  <c r="A1454" i="22"/>
  <c r="R1453" i="22"/>
  <c r="P1453" i="22"/>
  <c r="A1453" i="22"/>
  <c r="R1452" i="22"/>
  <c r="P1452" i="22"/>
  <c r="A1452" i="22"/>
  <c r="R1451" i="22"/>
  <c r="P1451" i="22"/>
  <c r="A1451" i="22"/>
  <c r="R1450" i="22"/>
  <c r="P1450" i="22"/>
  <c r="A1450" i="22"/>
  <c r="R1449" i="22"/>
  <c r="P1449" i="22"/>
  <c r="A1449" i="22"/>
  <c r="R1448" i="22"/>
  <c r="P1448" i="22"/>
  <c r="A1448" i="22"/>
  <c r="R1447" i="22"/>
  <c r="P1447" i="22"/>
  <c r="A1447" i="22"/>
  <c r="R1446" i="22"/>
  <c r="P1446" i="22"/>
  <c r="A1446" i="22"/>
  <c r="R1445" i="22"/>
  <c r="P1445" i="22"/>
  <c r="A1445" i="22"/>
  <c r="R1444" i="22"/>
  <c r="P1444" i="22"/>
  <c r="A1444" i="22"/>
  <c r="R1443" i="22"/>
  <c r="P1443" i="22"/>
  <c r="A1443" i="22"/>
  <c r="R1442" i="22"/>
  <c r="P1442" i="22"/>
  <c r="A1442" i="22"/>
  <c r="R1441" i="22"/>
  <c r="P1441" i="22"/>
  <c r="A1441" i="22"/>
  <c r="R1440" i="22"/>
  <c r="P1440" i="22"/>
  <c r="A1440" i="22"/>
  <c r="R1439" i="22"/>
  <c r="P1439" i="22"/>
  <c r="A1439" i="22"/>
  <c r="R1438" i="22"/>
  <c r="P1438" i="22"/>
  <c r="A1438" i="22"/>
  <c r="R1437" i="22"/>
  <c r="P1437" i="22"/>
  <c r="A1437" i="22"/>
  <c r="R1436" i="22"/>
  <c r="P1436" i="22"/>
  <c r="A1436" i="22"/>
  <c r="R1435" i="22"/>
  <c r="P1435" i="22"/>
  <c r="A1435" i="22"/>
  <c r="R1434" i="22"/>
  <c r="P1434" i="22"/>
  <c r="A1434" i="22"/>
  <c r="R1433" i="22"/>
  <c r="P1433" i="22"/>
  <c r="A1433" i="22"/>
  <c r="R1432" i="22"/>
  <c r="P1432" i="22"/>
  <c r="A1432" i="22"/>
  <c r="R1431" i="22"/>
  <c r="P1431" i="22"/>
  <c r="A1431" i="22"/>
  <c r="R1430" i="22"/>
  <c r="P1430" i="22"/>
  <c r="A1430" i="22"/>
  <c r="R1429" i="22"/>
  <c r="P1429" i="22"/>
  <c r="A1429" i="22"/>
  <c r="R1428" i="22"/>
  <c r="P1428" i="22"/>
  <c r="A1428" i="22"/>
  <c r="R1427" i="22"/>
  <c r="P1427" i="22"/>
  <c r="A1427" i="22"/>
  <c r="R1426" i="22"/>
  <c r="P1426" i="22"/>
  <c r="A1426" i="22"/>
  <c r="R1425" i="22"/>
  <c r="P1425" i="22"/>
  <c r="A1425" i="22"/>
  <c r="R1424" i="22"/>
  <c r="P1424" i="22"/>
  <c r="A1424" i="22"/>
  <c r="R1423" i="22"/>
  <c r="P1423" i="22"/>
  <c r="A1423" i="22"/>
  <c r="R1422" i="22"/>
  <c r="P1422" i="22"/>
  <c r="A1422" i="22"/>
  <c r="R1421" i="22"/>
  <c r="P1421" i="22"/>
  <c r="A1421" i="22"/>
  <c r="R1420" i="22"/>
  <c r="P1420" i="22"/>
  <c r="A1420" i="22"/>
  <c r="R1419" i="22"/>
  <c r="P1419" i="22"/>
  <c r="A1419" i="22"/>
  <c r="R1418" i="22"/>
  <c r="P1418" i="22"/>
  <c r="A1418" i="22"/>
  <c r="R1417" i="22"/>
  <c r="P1417" i="22"/>
  <c r="A1417" i="22"/>
  <c r="R1416" i="22"/>
  <c r="P1416" i="22"/>
  <c r="A1416" i="22"/>
  <c r="R1415" i="22"/>
  <c r="P1415" i="22"/>
  <c r="A1415" i="22"/>
  <c r="R1414" i="22"/>
  <c r="P1414" i="22"/>
  <c r="A1414" i="22"/>
  <c r="R1413" i="22"/>
  <c r="P1413" i="22"/>
  <c r="A1413" i="22"/>
  <c r="R1412" i="22"/>
  <c r="P1412" i="22"/>
  <c r="A1412" i="22"/>
  <c r="R1411" i="22"/>
  <c r="P1411" i="22"/>
  <c r="A1411" i="22"/>
  <c r="R1410" i="22"/>
  <c r="P1410" i="22"/>
  <c r="A1410" i="22"/>
  <c r="R1409" i="22"/>
  <c r="P1409" i="22"/>
  <c r="A1409" i="22"/>
  <c r="R1408" i="22"/>
  <c r="P1408" i="22"/>
  <c r="A1408" i="22"/>
  <c r="R1407" i="22"/>
  <c r="P1407" i="22"/>
  <c r="A1407" i="22"/>
  <c r="R1406" i="22"/>
  <c r="P1406" i="22"/>
  <c r="A1406" i="22"/>
  <c r="R1405" i="22"/>
  <c r="P1405" i="22"/>
  <c r="A1405" i="22"/>
  <c r="R1404" i="22"/>
  <c r="P1404" i="22"/>
  <c r="A1404" i="22"/>
  <c r="R1403" i="22"/>
  <c r="P1403" i="22"/>
  <c r="A1403" i="22"/>
  <c r="R1402" i="22"/>
  <c r="P1402" i="22"/>
  <c r="A1402" i="22"/>
  <c r="R1401" i="22"/>
  <c r="P1401" i="22"/>
  <c r="A1401" i="22"/>
  <c r="R1400" i="22"/>
  <c r="P1400" i="22"/>
  <c r="A1400" i="22"/>
  <c r="R1399" i="22"/>
  <c r="P1399" i="22"/>
  <c r="A1399" i="22"/>
  <c r="R1398" i="22"/>
  <c r="P1398" i="22"/>
  <c r="A1398" i="22"/>
  <c r="R1397" i="22"/>
  <c r="P1397" i="22"/>
  <c r="A1397" i="22"/>
  <c r="R1396" i="22"/>
  <c r="P1396" i="22"/>
  <c r="A1396" i="22"/>
  <c r="R1395" i="22"/>
  <c r="P1395" i="22"/>
  <c r="A1395" i="22"/>
  <c r="R1394" i="22"/>
  <c r="P1394" i="22"/>
  <c r="A1394" i="22"/>
  <c r="R1393" i="22"/>
  <c r="P1393" i="22"/>
  <c r="A1393" i="22"/>
  <c r="R1392" i="22"/>
  <c r="P1392" i="22"/>
  <c r="A1392" i="22"/>
  <c r="R1391" i="22"/>
  <c r="P1391" i="22"/>
  <c r="A1391" i="22"/>
  <c r="R1390" i="22"/>
  <c r="P1390" i="22"/>
  <c r="A1390" i="22"/>
  <c r="R1389" i="22"/>
  <c r="P1389" i="22"/>
  <c r="A1389" i="22"/>
  <c r="R1388" i="22"/>
  <c r="P1388" i="22"/>
  <c r="A1388" i="22"/>
  <c r="R1387" i="22"/>
  <c r="P1387" i="22"/>
  <c r="A1387" i="22"/>
  <c r="R1386" i="22"/>
  <c r="P1386" i="22"/>
  <c r="A1386" i="22"/>
  <c r="R1385" i="22"/>
  <c r="P1385" i="22"/>
  <c r="A1385" i="22"/>
  <c r="R1384" i="22"/>
  <c r="P1384" i="22"/>
  <c r="A1384" i="22"/>
  <c r="R1383" i="22"/>
  <c r="P1383" i="22"/>
  <c r="A1383" i="22"/>
  <c r="R1382" i="22"/>
  <c r="P1382" i="22"/>
  <c r="A1382" i="22"/>
  <c r="R1381" i="22"/>
  <c r="P1381" i="22"/>
  <c r="A1381" i="22"/>
  <c r="R1380" i="22"/>
  <c r="P1380" i="22"/>
  <c r="A1380" i="22"/>
  <c r="R1379" i="22"/>
  <c r="P1379" i="22"/>
  <c r="A1379" i="22"/>
  <c r="R1378" i="22"/>
  <c r="P1378" i="22"/>
  <c r="A1378" i="22"/>
  <c r="R1377" i="22"/>
  <c r="P1377" i="22"/>
  <c r="A1377" i="22"/>
  <c r="R1376" i="22"/>
  <c r="P1376" i="22"/>
  <c r="A1376" i="22"/>
  <c r="R1375" i="22"/>
  <c r="P1375" i="22"/>
  <c r="A1375" i="22"/>
  <c r="R1374" i="22"/>
  <c r="P1374" i="22"/>
  <c r="A1374" i="22"/>
  <c r="R1373" i="22"/>
  <c r="P1373" i="22"/>
  <c r="A1373" i="22"/>
  <c r="R1372" i="22"/>
  <c r="P1372" i="22"/>
  <c r="A1372" i="22"/>
  <c r="R1371" i="22"/>
  <c r="P1371" i="22"/>
  <c r="A1371" i="22"/>
  <c r="R1370" i="22"/>
  <c r="P1370" i="22"/>
  <c r="A1370" i="22"/>
  <c r="R1369" i="22"/>
  <c r="P1369" i="22"/>
  <c r="A1369" i="22"/>
  <c r="R1368" i="22"/>
  <c r="P1368" i="22"/>
  <c r="A1368" i="22"/>
  <c r="R1367" i="22"/>
  <c r="P1367" i="22"/>
  <c r="A1367" i="22"/>
  <c r="R1366" i="22"/>
  <c r="P1366" i="22"/>
  <c r="A1366" i="22"/>
  <c r="R1365" i="22"/>
  <c r="P1365" i="22"/>
  <c r="A1365" i="22"/>
  <c r="R1364" i="22"/>
  <c r="P1364" i="22"/>
  <c r="A1364" i="22"/>
  <c r="R1363" i="22"/>
  <c r="P1363" i="22"/>
  <c r="A1363" i="22"/>
  <c r="R1362" i="22"/>
  <c r="P1362" i="22"/>
  <c r="A1362" i="22"/>
  <c r="R1361" i="22"/>
  <c r="P1361" i="22"/>
  <c r="A1361" i="22"/>
  <c r="R1360" i="22"/>
  <c r="P1360" i="22"/>
  <c r="A1360" i="22"/>
  <c r="R1359" i="22"/>
  <c r="P1359" i="22"/>
  <c r="A1359" i="22"/>
  <c r="R1358" i="22"/>
  <c r="P1358" i="22"/>
  <c r="A1358" i="22"/>
  <c r="R1357" i="22"/>
  <c r="P1357" i="22"/>
  <c r="A1357" i="22"/>
  <c r="R1356" i="22"/>
  <c r="P1356" i="22"/>
  <c r="A1356" i="22"/>
  <c r="R1355" i="22"/>
  <c r="P1355" i="22"/>
  <c r="A1355" i="22"/>
  <c r="R1354" i="22"/>
  <c r="P1354" i="22"/>
  <c r="A1354" i="22"/>
  <c r="R1353" i="22"/>
  <c r="P1353" i="22"/>
  <c r="A1353" i="22"/>
  <c r="R1352" i="22"/>
  <c r="P1352" i="22"/>
  <c r="A1352" i="22"/>
  <c r="R1351" i="22"/>
  <c r="P1351" i="22"/>
  <c r="A1351" i="22"/>
  <c r="R1350" i="22"/>
  <c r="P1350" i="22"/>
  <c r="A1350" i="22"/>
  <c r="R1349" i="22"/>
  <c r="P1349" i="22"/>
  <c r="A1349" i="22"/>
  <c r="R1348" i="22"/>
  <c r="P1348" i="22"/>
  <c r="A1348" i="22"/>
  <c r="R1347" i="22"/>
  <c r="P1347" i="22"/>
  <c r="A1347" i="22"/>
  <c r="R1346" i="22"/>
  <c r="P1346" i="22"/>
  <c r="A1346" i="22"/>
  <c r="R1345" i="22"/>
  <c r="P1345" i="22"/>
  <c r="A1345" i="22"/>
  <c r="R1344" i="22"/>
  <c r="P1344" i="22"/>
  <c r="A1344" i="22"/>
  <c r="R1343" i="22"/>
  <c r="P1343" i="22"/>
  <c r="A1343" i="22"/>
  <c r="R1342" i="22"/>
  <c r="P1342" i="22"/>
  <c r="A1342" i="22"/>
  <c r="R1341" i="22"/>
  <c r="P1341" i="22"/>
  <c r="A1341" i="22"/>
  <c r="R1340" i="22"/>
  <c r="P1340" i="22"/>
  <c r="A1340" i="22"/>
  <c r="R1339" i="22"/>
  <c r="P1339" i="22"/>
  <c r="A1339" i="22"/>
  <c r="R1338" i="22"/>
  <c r="P1338" i="22"/>
  <c r="A1338" i="22"/>
  <c r="R1337" i="22"/>
  <c r="P1337" i="22"/>
  <c r="A1337" i="22"/>
  <c r="R1336" i="22"/>
  <c r="P1336" i="22"/>
  <c r="A1336" i="22"/>
  <c r="R1335" i="22"/>
  <c r="P1335" i="22"/>
  <c r="A1335" i="22"/>
  <c r="R1334" i="22"/>
  <c r="P1334" i="22"/>
  <c r="A1334" i="22"/>
  <c r="R1333" i="22"/>
  <c r="P1333" i="22"/>
  <c r="A1333" i="22"/>
  <c r="R1332" i="22"/>
  <c r="P1332" i="22"/>
  <c r="A1332" i="22"/>
  <c r="R1331" i="22"/>
  <c r="P1331" i="22"/>
  <c r="A1331" i="22"/>
  <c r="R1330" i="22"/>
  <c r="P1330" i="22"/>
  <c r="A1330" i="22"/>
  <c r="R1329" i="22"/>
  <c r="P1329" i="22"/>
  <c r="A1329" i="22"/>
  <c r="R1328" i="22"/>
  <c r="P1328" i="22"/>
  <c r="A1328" i="22"/>
  <c r="R1327" i="22"/>
  <c r="P1327" i="22"/>
  <c r="A1327" i="22"/>
  <c r="R1326" i="22"/>
  <c r="P1326" i="22"/>
  <c r="A1326" i="22"/>
  <c r="R1325" i="22"/>
  <c r="P1325" i="22"/>
  <c r="A1325" i="22"/>
  <c r="R1324" i="22"/>
  <c r="P1324" i="22"/>
  <c r="A1324" i="22"/>
  <c r="R1323" i="22"/>
  <c r="P1323" i="22"/>
  <c r="A1323" i="22"/>
  <c r="R1322" i="22"/>
  <c r="P1322" i="22"/>
  <c r="A1322" i="22"/>
  <c r="R1321" i="22"/>
  <c r="P1321" i="22"/>
  <c r="A1321" i="22"/>
  <c r="R1320" i="22"/>
  <c r="P1320" i="22"/>
  <c r="A1320" i="22"/>
  <c r="R1319" i="22"/>
  <c r="P1319" i="22"/>
  <c r="A1319" i="22"/>
  <c r="R1318" i="22"/>
  <c r="P1318" i="22"/>
  <c r="A1318" i="22"/>
  <c r="R1317" i="22"/>
  <c r="P1317" i="22"/>
  <c r="A1317" i="22"/>
  <c r="R1316" i="22"/>
  <c r="P1316" i="22"/>
  <c r="A1316" i="22"/>
  <c r="R1315" i="22"/>
  <c r="P1315" i="22"/>
  <c r="A1315" i="22"/>
  <c r="R1314" i="22"/>
  <c r="P1314" i="22"/>
  <c r="A1314" i="22"/>
  <c r="R1313" i="22"/>
  <c r="P1313" i="22"/>
  <c r="A1313" i="22"/>
  <c r="R1312" i="22"/>
  <c r="P1312" i="22"/>
  <c r="A1312" i="22"/>
  <c r="R1311" i="22"/>
  <c r="P1311" i="22"/>
  <c r="A1311" i="22"/>
  <c r="R1310" i="22"/>
  <c r="P1310" i="22"/>
  <c r="A1310" i="22"/>
  <c r="R1309" i="22"/>
  <c r="P1309" i="22"/>
  <c r="A1309" i="22"/>
  <c r="R1308" i="22"/>
  <c r="P1308" i="22"/>
  <c r="A1308" i="22"/>
  <c r="R1307" i="22"/>
  <c r="P1307" i="22"/>
  <c r="A1307" i="22"/>
  <c r="R1306" i="22"/>
  <c r="P1306" i="22"/>
  <c r="A1306" i="22"/>
  <c r="R1305" i="22"/>
  <c r="P1305" i="22"/>
  <c r="A1305" i="22"/>
  <c r="R1304" i="22"/>
  <c r="P1304" i="22"/>
  <c r="A1304" i="22"/>
  <c r="R1303" i="22"/>
  <c r="P1303" i="22"/>
  <c r="A1303" i="22"/>
  <c r="R1302" i="22"/>
  <c r="P1302" i="22"/>
  <c r="A1302" i="22"/>
  <c r="R1301" i="22"/>
  <c r="P1301" i="22"/>
  <c r="A1301" i="22"/>
  <c r="R1300" i="22"/>
  <c r="P1300" i="22"/>
  <c r="A1300" i="22"/>
  <c r="R1299" i="22"/>
  <c r="P1299" i="22"/>
  <c r="A1299" i="22"/>
  <c r="R1298" i="22"/>
  <c r="P1298" i="22"/>
  <c r="A1298" i="22"/>
  <c r="R1297" i="22"/>
  <c r="P1297" i="22"/>
  <c r="A1297" i="22"/>
  <c r="R1296" i="22"/>
  <c r="P1296" i="22"/>
  <c r="A1296" i="22"/>
  <c r="R1295" i="22"/>
  <c r="P1295" i="22"/>
  <c r="A1295" i="22"/>
  <c r="R1294" i="22"/>
  <c r="P1294" i="22"/>
  <c r="A1294" i="22"/>
  <c r="R1293" i="22"/>
  <c r="P1293" i="22"/>
  <c r="A1293" i="22"/>
  <c r="R1292" i="22"/>
  <c r="P1292" i="22"/>
  <c r="A1292" i="22"/>
  <c r="R1291" i="22"/>
  <c r="P1291" i="22"/>
  <c r="A1291" i="22"/>
  <c r="R1290" i="22"/>
  <c r="P1290" i="22"/>
  <c r="A1290" i="22"/>
  <c r="R1289" i="22"/>
  <c r="P1289" i="22"/>
  <c r="A1289" i="22"/>
  <c r="R1288" i="22"/>
  <c r="P1288" i="22"/>
  <c r="A1288" i="22"/>
  <c r="R1287" i="22"/>
  <c r="P1287" i="22"/>
  <c r="A1287" i="22"/>
  <c r="R1286" i="22"/>
  <c r="P1286" i="22"/>
  <c r="A1286" i="22"/>
  <c r="R1285" i="22"/>
  <c r="P1285" i="22"/>
  <c r="A1285" i="22"/>
  <c r="R1284" i="22"/>
  <c r="P1284" i="22"/>
  <c r="A1284" i="22"/>
  <c r="R1283" i="22"/>
  <c r="P1283" i="22"/>
  <c r="A1283" i="22"/>
  <c r="R1282" i="22"/>
  <c r="P1282" i="22"/>
  <c r="A1282" i="22"/>
  <c r="R1281" i="22"/>
  <c r="P1281" i="22"/>
  <c r="A1281" i="22"/>
  <c r="R1280" i="22"/>
  <c r="P1280" i="22"/>
  <c r="A1280" i="22"/>
  <c r="R1279" i="22"/>
  <c r="P1279" i="22"/>
  <c r="A1279" i="22"/>
  <c r="R1278" i="22"/>
  <c r="P1278" i="22"/>
  <c r="A1278" i="22"/>
  <c r="R1277" i="22"/>
  <c r="P1277" i="22"/>
  <c r="A1277" i="22"/>
  <c r="R1276" i="22"/>
  <c r="P1276" i="22"/>
  <c r="A1276" i="22"/>
  <c r="R1275" i="22"/>
  <c r="P1275" i="22"/>
  <c r="A1275" i="22"/>
  <c r="R1274" i="22"/>
  <c r="P1274" i="22"/>
  <c r="A1274" i="22"/>
  <c r="R1273" i="22"/>
  <c r="P1273" i="22"/>
  <c r="A1273" i="22"/>
  <c r="R1272" i="22"/>
  <c r="P1272" i="22"/>
  <c r="A1272" i="22"/>
  <c r="R1271" i="22"/>
  <c r="P1271" i="22"/>
  <c r="A1271" i="22"/>
  <c r="R1270" i="22"/>
  <c r="P1270" i="22"/>
  <c r="A1270" i="22"/>
  <c r="R1269" i="22"/>
  <c r="P1269" i="22"/>
  <c r="A1269" i="22"/>
  <c r="R1268" i="22"/>
  <c r="P1268" i="22"/>
  <c r="A1268" i="22"/>
  <c r="R1267" i="22"/>
  <c r="P1267" i="22"/>
  <c r="A1267" i="22"/>
  <c r="R1266" i="22"/>
  <c r="P1266" i="22"/>
  <c r="A1266" i="22"/>
  <c r="R1265" i="22"/>
  <c r="P1265" i="22"/>
  <c r="A1265" i="22"/>
  <c r="R1264" i="22"/>
  <c r="P1264" i="22"/>
  <c r="A1264" i="22"/>
  <c r="R1263" i="22"/>
  <c r="P1263" i="22"/>
  <c r="A1263" i="22"/>
  <c r="R1262" i="22"/>
  <c r="P1262" i="22"/>
  <c r="A1262" i="22"/>
  <c r="R1261" i="22"/>
  <c r="P1261" i="22"/>
  <c r="A1261" i="22"/>
  <c r="R1260" i="22"/>
  <c r="P1260" i="22"/>
  <c r="A1260" i="22"/>
  <c r="R1259" i="22"/>
  <c r="P1259" i="22"/>
  <c r="A1259" i="22"/>
  <c r="R1258" i="22"/>
  <c r="P1258" i="22"/>
  <c r="A1258" i="22"/>
  <c r="R1257" i="22"/>
  <c r="P1257" i="22"/>
  <c r="A1257" i="22"/>
  <c r="R1256" i="22"/>
  <c r="P1256" i="22"/>
  <c r="A1256" i="22"/>
  <c r="R1255" i="22"/>
  <c r="P1255" i="22"/>
  <c r="A1255" i="22"/>
  <c r="R1254" i="22"/>
  <c r="P1254" i="22"/>
  <c r="A1254" i="22"/>
  <c r="R1253" i="22"/>
  <c r="P1253" i="22"/>
  <c r="A1253" i="22"/>
  <c r="R1252" i="22"/>
  <c r="P1252" i="22"/>
  <c r="A1252" i="22"/>
  <c r="R1251" i="22"/>
  <c r="P1251" i="22"/>
  <c r="A1251" i="22"/>
  <c r="R1250" i="22"/>
  <c r="P1250" i="22"/>
  <c r="A1250" i="22"/>
  <c r="R1249" i="22"/>
  <c r="P1249" i="22"/>
  <c r="A1249" i="22"/>
  <c r="R1248" i="22"/>
  <c r="P1248" i="22"/>
  <c r="A1248" i="22"/>
  <c r="R1247" i="22"/>
  <c r="P1247" i="22"/>
  <c r="A1247" i="22"/>
  <c r="R1246" i="22"/>
  <c r="P1246" i="22"/>
  <c r="A1246" i="22"/>
  <c r="R1245" i="22"/>
  <c r="P1245" i="22"/>
  <c r="A1245" i="22"/>
  <c r="R1244" i="22"/>
  <c r="P1244" i="22"/>
  <c r="A1244" i="22"/>
  <c r="R1243" i="22"/>
  <c r="P1243" i="22"/>
  <c r="A1243" i="22"/>
  <c r="R1242" i="22"/>
  <c r="P1242" i="22"/>
  <c r="A1242" i="22"/>
  <c r="R1241" i="22"/>
  <c r="P1241" i="22"/>
  <c r="A1241" i="22"/>
  <c r="R1240" i="22"/>
  <c r="P1240" i="22"/>
  <c r="A1240" i="22"/>
  <c r="R1239" i="22"/>
  <c r="P1239" i="22"/>
  <c r="A1239" i="22"/>
  <c r="R1238" i="22"/>
  <c r="P1238" i="22"/>
  <c r="A1238" i="22"/>
  <c r="R1237" i="22"/>
  <c r="P1237" i="22"/>
  <c r="A1237" i="22"/>
  <c r="R1236" i="22"/>
  <c r="P1236" i="22"/>
  <c r="A1236" i="22"/>
  <c r="R1235" i="22"/>
  <c r="P1235" i="22"/>
  <c r="A1235" i="22"/>
  <c r="R1234" i="22"/>
  <c r="P1234" i="22"/>
  <c r="A1234" i="22"/>
  <c r="R1233" i="22"/>
  <c r="P1233" i="22"/>
  <c r="A1233" i="22"/>
  <c r="R1232" i="22"/>
  <c r="P1232" i="22"/>
  <c r="A1232" i="22"/>
  <c r="R1231" i="22"/>
  <c r="P1231" i="22"/>
  <c r="A1231" i="22"/>
  <c r="R1230" i="22"/>
  <c r="P1230" i="22"/>
  <c r="A1230" i="22"/>
  <c r="R1229" i="22"/>
  <c r="P1229" i="22"/>
  <c r="A1229" i="22"/>
  <c r="R1228" i="22"/>
  <c r="P1228" i="22"/>
  <c r="A1228" i="22"/>
  <c r="R1227" i="22"/>
  <c r="P1227" i="22"/>
  <c r="A1227" i="22"/>
  <c r="R1226" i="22"/>
  <c r="P1226" i="22"/>
  <c r="A1226" i="22"/>
  <c r="R1225" i="22"/>
  <c r="P1225" i="22"/>
  <c r="A1225" i="22"/>
  <c r="R1224" i="22"/>
  <c r="P1224" i="22"/>
  <c r="A1224" i="22"/>
  <c r="R1223" i="22"/>
  <c r="P1223" i="22"/>
  <c r="A1223" i="22"/>
  <c r="R1222" i="22"/>
  <c r="P1222" i="22"/>
  <c r="A1222" i="22"/>
  <c r="R1221" i="22"/>
  <c r="P1221" i="22"/>
  <c r="A1221" i="22"/>
  <c r="R1220" i="22"/>
  <c r="P1220" i="22"/>
  <c r="A1220" i="22"/>
  <c r="R1219" i="22"/>
  <c r="P1219" i="22"/>
  <c r="A1219" i="22"/>
  <c r="R1218" i="22"/>
  <c r="P1218" i="22"/>
  <c r="A1218" i="22"/>
  <c r="R1217" i="22"/>
  <c r="P1217" i="22"/>
  <c r="A1217" i="22"/>
  <c r="R1216" i="22"/>
  <c r="P1216" i="22"/>
  <c r="A1216" i="22"/>
  <c r="R1215" i="22"/>
  <c r="P1215" i="22"/>
  <c r="A1215" i="22"/>
  <c r="R1214" i="22"/>
  <c r="P1214" i="22"/>
  <c r="A1214" i="22"/>
  <c r="R1213" i="22"/>
  <c r="P1213" i="22"/>
  <c r="A1213" i="22"/>
  <c r="R1212" i="22"/>
  <c r="P1212" i="22"/>
  <c r="A1212" i="22"/>
  <c r="R1211" i="22"/>
  <c r="P1211" i="22"/>
  <c r="A1211" i="22"/>
  <c r="R1210" i="22"/>
  <c r="P1210" i="22"/>
  <c r="A1210" i="22"/>
  <c r="R1209" i="22"/>
  <c r="P1209" i="22"/>
  <c r="A1209" i="22"/>
  <c r="R1208" i="22"/>
  <c r="P1208" i="22"/>
  <c r="A1208" i="22"/>
  <c r="R1207" i="22"/>
  <c r="P1207" i="22"/>
  <c r="A1207" i="22"/>
  <c r="R1206" i="22"/>
  <c r="P1206" i="22"/>
  <c r="A1206" i="22"/>
  <c r="R1205" i="22"/>
  <c r="P1205" i="22"/>
  <c r="A1205" i="22"/>
  <c r="R1204" i="22"/>
  <c r="P1204" i="22"/>
  <c r="A1204" i="22"/>
  <c r="R1203" i="22"/>
  <c r="P1203" i="22"/>
  <c r="A1203" i="22"/>
  <c r="R1202" i="22"/>
  <c r="P1202" i="22"/>
  <c r="A1202" i="22"/>
  <c r="R1201" i="22"/>
  <c r="P1201" i="22"/>
  <c r="A1201" i="22"/>
  <c r="R1200" i="22"/>
  <c r="P1200" i="22"/>
  <c r="A1200" i="22"/>
  <c r="R1199" i="22"/>
  <c r="P1199" i="22"/>
  <c r="A1199" i="22"/>
  <c r="R1198" i="22"/>
  <c r="P1198" i="22"/>
  <c r="A1198" i="22"/>
  <c r="R1197" i="22"/>
  <c r="P1197" i="22"/>
  <c r="A1197" i="22"/>
  <c r="R1196" i="22"/>
  <c r="P1196" i="22"/>
  <c r="A1196" i="22"/>
  <c r="R1195" i="22"/>
  <c r="P1195" i="22"/>
  <c r="A1195" i="22"/>
  <c r="R1194" i="22"/>
  <c r="P1194" i="22"/>
  <c r="A1194" i="22"/>
  <c r="R1193" i="22"/>
  <c r="P1193" i="22"/>
  <c r="A1193" i="22"/>
  <c r="R1192" i="22"/>
  <c r="P1192" i="22"/>
  <c r="A1192" i="22"/>
  <c r="R1191" i="22"/>
  <c r="P1191" i="22"/>
  <c r="A1191" i="22"/>
  <c r="R1190" i="22"/>
  <c r="P1190" i="22"/>
  <c r="A1190" i="22"/>
  <c r="R1189" i="22"/>
  <c r="P1189" i="22"/>
  <c r="A1189" i="22"/>
  <c r="R1188" i="22"/>
  <c r="P1188" i="22"/>
  <c r="A1188" i="22"/>
  <c r="R1187" i="22"/>
  <c r="P1187" i="22"/>
  <c r="A1187" i="22"/>
  <c r="R1186" i="22"/>
  <c r="P1186" i="22"/>
  <c r="A1186" i="22"/>
  <c r="R1185" i="22"/>
  <c r="P1185" i="22"/>
  <c r="A1185" i="22"/>
  <c r="R1184" i="22"/>
  <c r="P1184" i="22"/>
  <c r="A1184" i="22"/>
  <c r="R1183" i="22"/>
  <c r="P1183" i="22"/>
  <c r="A1183" i="22"/>
  <c r="R1182" i="22"/>
  <c r="P1182" i="22"/>
  <c r="A1182" i="22"/>
  <c r="R1181" i="22"/>
  <c r="P1181" i="22"/>
  <c r="A1181" i="22"/>
  <c r="R1180" i="22"/>
  <c r="P1180" i="22"/>
  <c r="A1180" i="22"/>
  <c r="R1179" i="22"/>
  <c r="P1179" i="22"/>
  <c r="A1179" i="22"/>
  <c r="R1178" i="22"/>
  <c r="P1178" i="22"/>
  <c r="A1178" i="22"/>
  <c r="R1177" i="22"/>
  <c r="P1177" i="22"/>
  <c r="A1177" i="22"/>
  <c r="R1176" i="22"/>
  <c r="P1176" i="22"/>
  <c r="A1176" i="22"/>
  <c r="R1175" i="22"/>
  <c r="P1175" i="22"/>
  <c r="A1175" i="22"/>
  <c r="R1174" i="22"/>
  <c r="P1174" i="22"/>
  <c r="A1174" i="22"/>
  <c r="R1173" i="22"/>
  <c r="P1173" i="22"/>
  <c r="A1173" i="22"/>
  <c r="R1172" i="22"/>
  <c r="P1172" i="22"/>
  <c r="A1172" i="22"/>
  <c r="R1171" i="22"/>
  <c r="P1171" i="22"/>
  <c r="A1171" i="22"/>
  <c r="R1170" i="22"/>
  <c r="P1170" i="22"/>
  <c r="A1170" i="22"/>
  <c r="R1169" i="22"/>
  <c r="P1169" i="22"/>
  <c r="A1169" i="22"/>
  <c r="R1168" i="22"/>
  <c r="P1168" i="22"/>
  <c r="A1168" i="22"/>
  <c r="R1167" i="22"/>
  <c r="P1167" i="22"/>
  <c r="A1167" i="22"/>
  <c r="R1166" i="22"/>
  <c r="P1166" i="22"/>
  <c r="A1166" i="22"/>
  <c r="R1165" i="22"/>
  <c r="P1165" i="22"/>
  <c r="A1165" i="22"/>
  <c r="R1164" i="22"/>
  <c r="P1164" i="22"/>
  <c r="A1164" i="22"/>
  <c r="R1163" i="22"/>
  <c r="P1163" i="22"/>
  <c r="A1163" i="22"/>
  <c r="R1162" i="22"/>
  <c r="P1162" i="22"/>
  <c r="A1162" i="22"/>
  <c r="R1161" i="22"/>
  <c r="P1161" i="22"/>
  <c r="A1161" i="22"/>
  <c r="R1160" i="22"/>
  <c r="P1160" i="22"/>
  <c r="A1160" i="22"/>
  <c r="R1159" i="22"/>
  <c r="P1159" i="22"/>
  <c r="A1159" i="22"/>
  <c r="R1158" i="22"/>
  <c r="P1158" i="22"/>
  <c r="A1158" i="22"/>
  <c r="R1157" i="22"/>
  <c r="P1157" i="22"/>
  <c r="A1157" i="22"/>
  <c r="R1156" i="22"/>
  <c r="P1156" i="22"/>
  <c r="A1156" i="22"/>
  <c r="R1155" i="22"/>
  <c r="P1155" i="22"/>
  <c r="A1155" i="22"/>
  <c r="R1154" i="22"/>
  <c r="P1154" i="22"/>
  <c r="A1154" i="22"/>
  <c r="R1153" i="22"/>
  <c r="P1153" i="22"/>
  <c r="A1153" i="22"/>
  <c r="R1152" i="22"/>
  <c r="P1152" i="22"/>
  <c r="A1152" i="22"/>
  <c r="R1151" i="22"/>
  <c r="P1151" i="22"/>
  <c r="A1151" i="22"/>
  <c r="R1150" i="22"/>
  <c r="P1150" i="22"/>
  <c r="A1150" i="22"/>
  <c r="R1149" i="22"/>
  <c r="P1149" i="22"/>
  <c r="A1149" i="22"/>
  <c r="R1148" i="22"/>
  <c r="P1148" i="22"/>
  <c r="A1148" i="22"/>
  <c r="R1147" i="22"/>
  <c r="P1147" i="22"/>
  <c r="A1147" i="22"/>
  <c r="R1146" i="22"/>
  <c r="P1146" i="22"/>
  <c r="A1146" i="22"/>
  <c r="R1145" i="22"/>
  <c r="P1145" i="22"/>
  <c r="A1145" i="22"/>
  <c r="R1144" i="22"/>
  <c r="P1144" i="22"/>
  <c r="A1144" i="22"/>
  <c r="R1143" i="22"/>
  <c r="P1143" i="22"/>
  <c r="A1143" i="22"/>
  <c r="R1142" i="22"/>
  <c r="P1142" i="22"/>
  <c r="A1142" i="22"/>
  <c r="R1141" i="22"/>
  <c r="P1141" i="22"/>
  <c r="A1141" i="22"/>
  <c r="R1140" i="22"/>
  <c r="P1140" i="22"/>
  <c r="A1140" i="22"/>
  <c r="R1139" i="22"/>
  <c r="P1139" i="22"/>
  <c r="A1139" i="22"/>
  <c r="R1138" i="22"/>
  <c r="P1138" i="22"/>
  <c r="A1138" i="22"/>
  <c r="R1137" i="22"/>
  <c r="P1137" i="22"/>
  <c r="A1137" i="22"/>
  <c r="R1136" i="22"/>
  <c r="P1136" i="22"/>
  <c r="A1136" i="22"/>
  <c r="R1135" i="22"/>
  <c r="P1135" i="22"/>
  <c r="A1135" i="22"/>
  <c r="R1134" i="22"/>
  <c r="P1134" i="22"/>
  <c r="A1134" i="22"/>
  <c r="R1133" i="22"/>
  <c r="P1133" i="22"/>
  <c r="A1133" i="22"/>
  <c r="R1132" i="22"/>
  <c r="P1132" i="22"/>
  <c r="A1132" i="22"/>
  <c r="R1131" i="22"/>
  <c r="P1131" i="22"/>
  <c r="A1131" i="22"/>
  <c r="R1130" i="22"/>
  <c r="P1130" i="22"/>
  <c r="A1130" i="22"/>
  <c r="R1129" i="22"/>
  <c r="P1129" i="22"/>
  <c r="A1129" i="22"/>
  <c r="R1128" i="22"/>
  <c r="P1128" i="22"/>
  <c r="A1128" i="22"/>
  <c r="R1127" i="22"/>
  <c r="P1127" i="22"/>
  <c r="A1127" i="22"/>
  <c r="R1126" i="22"/>
  <c r="P1126" i="22"/>
  <c r="A1126" i="22"/>
  <c r="R1125" i="22"/>
  <c r="P1125" i="22"/>
  <c r="A1125" i="22"/>
  <c r="R1124" i="22"/>
  <c r="P1124" i="22"/>
  <c r="A1124" i="22"/>
  <c r="R1123" i="22"/>
  <c r="P1123" i="22"/>
  <c r="A1123" i="22"/>
  <c r="R1122" i="22"/>
  <c r="P1122" i="22"/>
  <c r="A1122" i="22"/>
  <c r="R1121" i="22"/>
  <c r="P1121" i="22"/>
  <c r="A1121" i="22"/>
  <c r="R1120" i="22"/>
  <c r="P1120" i="22"/>
  <c r="A1120" i="22"/>
  <c r="R1119" i="22"/>
  <c r="P1119" i="22"/>
  <c r="A1119" i="22"/>
  <c r="R1118" i="22"/>
  <c r="P1118" i="22"/>
  <c r="A1118" i="22"/>
  <c r="R1117" i="22"/>
  <c r="P1117" i="22"/>
  <c r="A1117" i="22"/>
  <c r="R1116" i="22"/>
  <c r="P1116" i="22"/>
  <c r="A1116" i="22"/>
  <c r="R1115" i="22"/>
  <c r="P1115" i="22"/>
  <c r="A1115" i="22"/>
  <c r="R1114" i="22"/>
  <c r="P1114" i="22"/>
  <c r="A1114" i="22"/>
  <c r="R1113" i="22"/>
  <c r="P1113" i="22"/>
  <c r="A1113" i="22"/>
  <c r="R1112" i="22"/>
  <c r="P1112" i="22"/>
  <c r="A1112" i="22"/>
  <c r="R1111" i="22"/>
  <c r="P1111" i="22"/>
  <c r="A1111" i="22"/>
  <c r="R1110" i="22"/>
  <c r="P1110" i="22"/>
  <c r="A1110" i="22"/>
  <c r="R1109" i="22"/>
  <c r="P1109" i="22"/>
  <c r="A1109" i="22"/>
  <c r="R1108" i="22"/>
  <c r="P1108" i="22"/>
  <c r="A1108" i="22"/>
  <c r="R1107" i="22"/>
  <c r="P1107" i="22"/>
  <c r="A1107" i="22"/>
  <c r="R1106" i="22"/>
  <c r="P1106" i="22"/>
  <c r="A1106" i="22"/>
  <c r="R1105" i="22"/>
  <c r="P1105" i="22"/>
  <c r="A1105" i="22"/>
  <c r="R1104" i="22"/>
  <c r="P1104" i="22"/>
  <c r="A1104" i="22"/>
  <c r="R1103" i="22"/>
  <c r="P1103" i="22"/>
  <c r="A1103" i="22"/>
  <c r="R1102" i="22"/>
  <c r="P1102" i="22"/>
  <c r="A1102" i="22"/>
  <c r="R1101" i="22"/>
  <c r="P1101" i="22"/>
  <c r="A1101" i="22"/>
  <c r="R1100" i="22"/>
  <c r="P1100" i="22"/>
  <c r="A1100" i="22"/>
  <c r="R1099" i="22"/>
  <c r="P1099" i="22"/>
  <c r="A1099" i="22"/>
  <c r="R1098" i="22"/>
  <c r="P1098" i="22"/>
  <c r="A1098" i="22"/>
  <c r="R1097" i="22"/>
  <c r="P1097" i="22"/>
  <c r="A1097" i="22"/>
  <c r="R1096" i="22"/>
  <c r="P1096" i="22"/>
  <c r="A1096" i="22"/>
  <c r="R1095" i="22"/>
  <c r="P1095" i="22"/>
  <c r="A1095" i="22"/>
  <c r="R1094" i="22"/>
  <c r="P1094" i="22"/>
  <c r="A1094" i="22"/>
  <c r="R1093" i="22"/>
  <c r="P1093" i="22"/>
  <c r="A1093" i="22"/>
  <c r="R1092" i="22"/>
  <c r="P1092" i="22"/>
  <c r="A1092" i="22"/>
  <c r="R1091" i="22"/>
  <c r="P1091" i="22"/>
  <c r="A1091" i="22"/>
  <c r="R1090" i="22"/>
  <c r="P1090" i="22"/>
  <c r="A1090" i="22"/>
  <c r="R1089" i="22"/>
  <c r="P1089" i="22"/>
  <c r="A1089" i="22"/>
  <c r="R1088" i="22"/>
  <c r="P1088" i="22"/>
  <c r="A1088" i="22"/>
  <c r="R1087" i="22"/>
  <c r="P1087" i="22"/>
  <c r="A1087" i="22"/>
  <c r="R1086" i="22"/>
  <c r="P1086" i="22"/>
  <c r="A1086" i="22"/>
  <c r="R1085" i="22"/>
  <c r="P1085" i="22"/>
  <c r="A1085" i="22"/>
  <c r="R1084" i="22"/>
  <c r="P1084" i="22"/>
  <c r="A1084" i="22"/>
  <c r="R1083" i="22"/>
  <c r="P1083" i="22"/>
  <c r="A1083" i="22"/>
  <c r="R1082" i="22"/>
  <c r="P1082" i="22"/>
  <c r="A1082" i="22"/>
  <c r="R1081" i="22"/>
  <c r="P1081" i="22"/>
  <c r="A1081" i="22"/>
  <c r="R1080" i="22"/>
  <c r="P1080" i="22"/>
  <c r="A1080" i="22"/>
  <c r="R1079" i="22"/>
  <c r="P1079" i="22"/>
  <c r="A1079" i="22"/>
  <c r="R1078" i="22"/>
  <c r="P1078" i="22"/>
  <c r="A1078" i="22"/>
  <c r="R1077" i="22"/>
  <c r="P1077" i="22"/>
  <c r="A1077" i="22"/>
  <c r="R1076" i="22"/>
  <c r="P1076" i="22"/>
  <c r="A1076" i="22"/>
  <c r="R1075" i="22"/>
  <c r="P1075" i="22"/>
  <c r="A1075" i="22"/>
  <c r="R1074" i="22"/>
  <c r="P1074" i="22"/>
  <c r="A1074" i="22"/>
  <c r="R1073" i="22"/>
  <c r="P1073" i="22"/>
  <c r="A1073" i="22"/>
  <c r="R1072" i="22"/>
  <c r="P1072" i="22"/>
  <c r="A1072" i="22"/>
  <c r="R1071" i="22"/>
  <c r="P1071" i="22"/>
  <c r="A1071" i="22"/>
  <c r="R1070" i="22"/>
  <c r="P1070" i="22"/>
  <c r="A1070" i="22"/>
  <c r="R1069" i="22"/>
  <c r="P1069" i="22"/>
  <c r="A1069" i="22"/>
  <c r="R1068" i="22"/>
  <c r="P1068" i="22"/>
  <c r="A1068" i="22"/>
  <c r="R1067" i="22"/>
  <c r="P1067" i="22"/>
  <c r="A1067" i="22"/>
  <c r="R1066" i="22"/>
  <c r="P1066" i="22"/>
  <c r="A1066" i="22"/>
  <c r="R1065" i="22"/>
  <c r="P1065" i="22"/>
  <c r="A1065" i="22"/>
  <c r="R1064" i="22"/>
  <c r="P1064" i="22"/>
  <c r="A1064" i="22"/>
  <c r="R1063" i="22"/>
  <c r="P1063" i="22"/>
  <c r="A1063" i="22"/>
  <c r="R1062" i="22"/>
  <c r="P1062" i="22"/>
  <c r="A1062" i="22"/>
  <c r="R1061" i="22"/>
  <c r="P1061" i="22"/>
  <c r="A1061" i="22"/>
  <c r="R1060" i="22"/>
  <c r="P1060" i="22"/>
  <c r="A1060" i="22"/>
  <c r="R1059" i="22"/>
  <c r="P1059" i="22"/>
  <c r="A1059" i="22"/>
  <c r="R1058" i="22"/>
  <c r="P1058" i="22"/>
  <c r="A1058" i="22"/>
  <c r="R1057" i="22"/>
  <c r="P1057" i="22"/>
  <c r="A1057" i="22"/>
  <c r="R1056" i="22"/>
  <c r="P1056" i="22"/>
  <c r="A1056" i="22"/>
  <c r="R1055" i="22"/>
  <c r="P1055" i="22"/>
  <c r="A1055" i="22"/>
  <c r="R1054" i="22"/>
  <c r="P1054" i="22"/>
  <c r="A1054" i="22"/>
  <c r="R1053" i="22"/>
  <c r="P1053" i="22"/>
  <c r="A1053" i="22"/>
  <c r="R1052" i="22"/>
  <c r="P1052" i="22"/>
  <c r="A1052" i="22"/>
  <c r="R1051" i="22"/>
  <c r="P1051" i="22"/>
  <c r="A1051" i="22"/>
  <c r="R1050" i="22"/>
  <c r="P1050" i="22"/>
  <c r="A1050" i="22"/>
  <c r="R1049" i="22"/>
  <c r="P1049" i="22"/>
  <c r="A1049" i="22"/>
  <c r="R1048" i="22"/>
  <c r="P1048" i="22"/>
  <c r="A1048" i="22"/>
  <c r="R1047" i="22"/>
  <c r="P1047" i="22"/>
  <c r="A1047" i="22"/>
  <c r="R1046" i="22"/>
  <c r="P1046" i="22"/>
  <c r="A1046" i="22"/>
  <c r="R1045" i="22"/>
  <c r="P1045" i="22"/>
  <c r="A1045" i="22"/>
  <c r="R1044" i="22"/>
  <c r="P1044" i="22"/>
  <c r="A1044" i="22"/>
  <c r="R1043" i="22"/>
  <c r="P1043" i="22"/>
  <c r="A1043" i="22"/>
  <c r="R1042" i="22"/>
  <c r="P1042" i="22"/>
  <c r="A1042" i="22"/>
  <c r="R1041" i="22"/>
  <c r="P1041" i="22"/>
  <c r="A1041" i="22"/>
  <c r="R1040" i="22"/>
  <c r="P1040" i="22"/>
  <c r="A1040" i="22"/>
  <c r="R1039" i="22"/>
  <c r="P1039" i="22"/>
  <c r="A1039" i="22"/>
  <c r="R1038" i="22"/>
  <c r="P1038" i="22"/>
  <c r="A1038" i="22"/>
  <c r="R1037" i="22"/>
  <c r="P1037" i="22"/>
  <c r="A1037" i="22"/>
  <c r="R1036" i="22"/>
  <c r="P1036" i="22"/>
  <c r="A1036" i="22"/>
  <c r="R1035" i="22"/>
  <c r="P1035" i="22"/>
  <c r="A1035" i="22"/>
  <c r="R1034" i="22"/>
  <c r="P1034" i="22"/>
  <c r="A1034" i="22"/>
  <c r="R1033" i="22"/>
  <c r="P1033" i="22"/>
  <c r="A1033" i="22"/>
  <c r="R1032" i="22"/>
  <c r="P1032" i="22"/>
  <c r="A1032" i="22"/>
  <c r="R1031" i="22"/>
  <c r="P1031" i="22"/>
  <c r="A1031" i="22"/>
  <c r="R1030" i="22"/>
  <c r="P1030" i="22"/>
  <c r="A1030" i="22"/>
  <c r="R1029" i="22"/>
  <c r="P1029" i="22"/>
  <c r="A1029" i="22"/>
  <c r="R1028" i="22"/>
  <c r="P1028" i="22"/>
  <c r="A1028" i="22"/>
  <c r="R1027" i="22"/>
  <c r="P1027" i="22"/>
  <c r="A1027" i="22"/>
  <c r="R1026" i="22"/>
  <c r="P1026" i="22"/>
  <c r="A1026" i="22"/>
  <c r="R1025" i="22"/>
  <c r="P1025" i="22"/>
  <c r="A1025" i="22"/>
  <c r="R1024" i="22"/>
  <c r="P1024" i="22"/>
  <c r="A1024" i="22"/>
  <c r="R1023" i="22"/>
  <c r="P1023" i="22"/>
  <c r="A1023" i="22"/>
  <c r="R1022" i="22"/>
  <c r="P1022" i="22"/>
  <c r="A1022" i="22"/>
  <c r="R1021" i="22"/>
  <c r="P1021" i="22"/>
  <c r="A1021" i="22"/>
  <c r="R1020" i="22"/>
  <c r="P1020" i="22"/>
  <c r="A1020" i="22"/>
  <c r="R1019" i="22"/>
  <c r="P1019" i="22"/>
  <c r="A1019" i="22"/>
  <c r="R1018" i="22"/>
  <c r="P1018" i="22"/>
  <c r="A1018" i="22"/>
  <c r="R1017" i="22"/>
  <c r="P1017" i="22"/>
  <c r="A1017" i="22"/>
  <c r="R1016" i="22"/>
  <c r="P1016" i="22"/>
  <c r="A1016" i="22"/>
  <c r="R1015" i="22"/>
  <c r="P1015" i="22"/>
  <c r="A1015" i="22"/>
  <c r="R1014" i="22"/>
  <c r="P1014" i="22"/>
  <c r="A1014" i="22"/>
  <c r="R1013" i="22"/>
  <c r="P1013" i="22"/>
  <c r="A1013" i="22"/>
  <c r="R1012" i="22"/>
  <c r="P1012" i="22"/>
  <c r="A1012" i="22"/>
  <c r="R1011" i="22"/>
  <c r="P1011" i="22"/>
  <c r="A1011" i="22"/>
  <c r="R1010" i="22"/>
  <c r="P1010" i="22"/>
  <c r="A1010" i="22"/>
  <c r="R1009" i="22"/>
  <c r="P1009" i="22"/>
  <c r="A1009" i="22"/>
  <c r="R1008" i="22"/>
  <c r="P1008" i="22"/>
  <c r="A1008" i="22"/>
  <c r="R1007" i="22"/>
  <c r="P1007" i="22"/>
  <c r="A1007" i="22"/>
  <c r="R1006" i="22"/>
  <c r="P1006" i="22"/>
  <c r="A1006" i="22"/>
  <c r="R1005" i="22"/>
  <c r="P1005" i="22"/>
  <c r="A1005" i="22"/>
  <c r="R1004" i="22"/>
  <c r="P1004" i="22"/>
  <c r="A1004" i="22"/>
  <c r="R1003" i="22"/>
  <c r="P1003" i="22"/>
  <c r="A1003" i="22"/>
  <c r="R1002" i="22"/>
  <c r="P1002" i="22"/>
  <c r="A1002" i="22"/>
  <c r="R1001" i="22"/>
  <c r="P1001" i="22"/>
  <c r="A1001" i="22"/>
  <c r="R1000" i="22"/>
  <c r="P1000" i="22"/>
  <c r="A1000" i="22"/>
  <c r="R999" i="22"/>
  <c r="P999" i="22"/>
  <c r="A999" i="22"/>
  <c r="R998" i="22"/>
  <c r="P998" i="22"/>
  <c r="A998" i="22"/>
  <c r="R997" i="22"/>
  <c r="P997" i="22"/>
  <c r="A997" i="22"/>
  <c r="R996" i="22"/>
  <c r="P996" i="22"/>
  <c r="A996" i="22"/>
  <c r="R995" i="22"/>
  <c r="P995" i="22"/>
  <c r="A995" i="22"/>
  <c r="R994" i="22"/>
  <c r="P994" i="22"/>
  <c r="A994" i="22"/>
  <c r="R993" i="22"/>
  <c r="P993" i="22"/>
  <c r="A993" i="22"/>
  <c r="R992" i="22"/>
  <c r="P992" i="22"/>
  <c r="A992" i="22"/>
  <c r="R991" i="22"/>
  <c r="P991" i="22"/>
  <c r="A991" i="22"/>
  <c r="R990" i="22"/>
  <c r="P990" i="22"/>
  <c r="A990" i="22"/>
  <c r="R989" i="22"/>
  <c r="P989" i="22"/>
  <c r="A989" i="22"/>
  <c r="R988" i="22"/>
  <c r="P988" i="22"/>
  <c r="A988" i="22"/>
  <c r="R987" i="22"/>
  <c r="P987" i="22"/>
  <c r="A987" i="22"/>
  <c r="R986" i="22"/>
  <c r="P986" i="22"/>
  <c r="A986" i="22"/>
  <c r="R985" i="22"/>
  <c r="P985" i="22"/>
  <c r="A985" i="22"/>
  <c r="R984" i="22"/>
  <c r="P984" i="22"/>
  <c r="A984" i="22"/>
  <c r="R983" i="22"/>
  <c r="P983" i="22"/>
  <c r="A983" i="22"/>
  <c r="R982" i="22"/>
  <c r="P982" i="22"/>
  <c r="A982" i="22"/>
  <c r="R981" i="22"/>
  <c r="P981" i="22"/>
  <c r="A981" i="22"/>
  <c r="R980" i="22"/>
  <c r="P980" i="22"/>
  <c r="A980" i="22"/>
  <c r="R979" i="22"/>
  <c r="P979" i="22"/>
  <c r="A979" i="22"/>
  <c r="R978" i="22"/>
  <c r="P978" i="22"/>
  <c r="A978" i="22"/>
  <c r="R977" i="22"/>
  <c r="P977" i="22"/>
  <c r="A977" i="22"/>
  <c r="R976" i="22"/>
  <c r="P976" i="22"/>
  <c r="A976" i="22"/>
  <c r="R975" i="22"/>
  <c r="P975" i="22"/>
  <c r="A975" i="22"/>
  <c r="R974" i="22"/>
  <c r="P974" i="22"/>
  <c r="A974" i="22"/>
  <c r="R973" i="22"/>
  <c r="P973" i="22"/>
  <c r="A973" i="22"/>
  <c r="R972" i="22"/>
  <c r="P972" i="22"/>
  <c r="A972" i="22"/>
  <c r="R971" i="22"/>
  <c r="P971" i="22"/>
  <c r="A971" i="22"/>
  <c r="R970" i="22"/>
  <c r="P970" i="22"/>
  <c r="A970" i="22"/>
  <c r="R969" i="22"/>
  <c r="P969" i="22"/>
  <c r="A969" i="22"/>
  <c r="R968" i="22"/>
  <c r="P968" i="22"/>
  <c r="A968" i="22"/>
  <c r="R967" i="22"/>
  <c r="P967" i="22"/>
  <c r="A967" i="22"/>
  <c r="R966" i="22"/>
  <c r="P966" i="22"/>
  <c r="A966" i="22"/>
  <c r="R965" i="22"/>
  <c r="P965" i="22"/>
  <c r="A965" i="22"/>
  <c r="R964" i="22"/>
  <c r="P964" i="22"/>
  <c r="A964" i="22"/>
  <c r="R963" i="22"/>
  <c r="P963" i="22"/>
  <c r="A963" i="22"/>
  <c r="R962" i="22"/>
  <c r="P962" i="22"/>
  <c r="A962" i="22"/>
  <c r="R961" i="22"/>
  <c r="P961" i="22"/>
  <c r="A961" i="22"/>
  <c r="R960" i="22"/>
  <c r="P960" i="22"/>
  <c r="A960" i="22"/>
  <c r="R959" i="22"/>
  <c r="P959" i="22"/>
  <c r="A959" i="22"/>
  <c r="R958" i="22"/>
  <c r="P958" i="22"/>
  <c r="A958" i="22"/>
  <c r="R957" i="22"/>
  <c r="P957" i="22"/>
  <c r="A957" i="22"/>
  <c r="R956" i="22"/>
  <c r="P956" i="22"/>
  <c r="A956" i="22"/>
  <c r="R955" i="22"/>
  <c r="P955" i="22"/>
  <c r="A955" i="22"/>
  <c r="R954" i="22"/>
  <c r="P954" i="22"/>
  <c r="A954" i="22"/>
  <c r="R953" i="22"/>
  <c r="P953" i="22"/>
  <c r="A953" i="22"/>
  <c r="R952" i="22"/>
  <c r="P952" i="22"/>
  <c r="A952" i="22"/>
  <c r="R951" i="22"/>
  <c r="P951" i="22"/>
  <c r="A951" i="22"/>
  <c r="R950" i="22"/>
  <c r="P950" i="22"/>
  <c r="A950" i="22"/>
  <c r="R949" i="22"/>
  <c r="P949" i="22"/>
  <c r="A949" i="22"/>
  <c r="R948" i="22"/>
  <c r="P948" i="22"/>
  <c r="A948" i="22"/>
  <c r="R947" i="22"/>
  <c r="P947" i="22"/>
  <c r="A947" i="22"/>
  <c r="R946" i="22"/>
  <c r="P946" i="22"/>
  <c r="A946" i="22"/>
  <c r="R945" i="22"/>
  <c r="P945" i="22"/>
  <c r="A945" i="22"/>
  <c r="R944" i="22"/>
  <c r="P944" i="22"/>
  <c r="A944" i="22"/>
  <c r="R943" i="22"/>
  <c r="P943" i="22"/>
  <c r="A943" i="22"/>
  <c r="R942" i="22"/>
  <c r="P942" i="22"/>
  <c r="A942" i="22"/>
  <c r="R941" i="22"/>
  <c r="P941" i="22"/>
  <c r="A941" i="22"/>
  <c r="R940" i="22"/>
  <c r="P940" i="22"/>
  <c r="A940" i="22"/>
  <c r="R939" i="22"/>
  <c r="P939" i="22"/>
  <c r="A939" i="22"/>
  <c r="R938" i="22"/>
  <c r="P938" i="22"/>
  <c r="A938" i="22"/>
  <c r="R937" i="22"/>
  <c r="P937" i="22"/>
  <c r="A937" i="22"/>
  <c r="R936" i="22"/>
  <c r="P936" i="22"/>
  <c r="A936" i="22"/>
  <c r="R935" i="22"/>
  <c r="P935" i="22"/>
  <c r="A935" i="22"/>
  <c r="R934" i="22"/>
  <c r="P934" i="22"/>
  <c r="A934" i="22"/>
  <c r="R933" i="22"/>
  <c r="P933" i="22"/>
  <c r="A933" i="22"/>
  <c r="R932" i="22"/>
  <c r="P932" i="22"/>
  <c r="A932" i="22"/>
  <c r="R931" i="22"/>
  <c r="P931" i="22"/>
  <c r="A931" i="22"/>
  <c r="R930" i="22"/>
  <c r="P930" i="22"/>
  <c r="A930" i="22"/>
  <c r="R929" i="22"/>
  <c r="P929" i="22"/>
  <c r="A929" i="22"/>
  <c r="R928" i="22"/>
  <c r="P928" i="22"/>
  <c r="A928" i="22"/>
  <c r="R927" i="22"/>
  <c r="P927" i="22"/>
  <c r="A927" i="22"/>
  <c r="R926" i="22"/>
  <c r="P926" i="22"/>
  <c r="A926" i="22"/>
  <c r="R925" i="22"/>
  <c r="P925" i="22"/>
  <c r="A925" i="22"/>
  <c r="R924" i="22"/>
  <c r="P924" i="22"/>
  <c r="A924" i="22"/>
  <c r="R923" i="22"/>
  <c r="P923" i="22"/>
  <c r="A923" i="22"/>
  <c r="R922" i="22"/>
  <c r="P922" i="22"/>
  <c r="A922" i="22"/>
  <c r="R921" i="22"/>
  <c r="P921" i="22"/>
  <c r="A921" i="22"/>
  <c r="R920" i="22"/>
  <c r="P920" i="22"/>
  <c r="A920" i="22"/>
  <c r="R919" i="22"/>
  <c r="P919" i="22"/>
  <c r="A919" i="22"/>
  <c r="R918" i="22"/>
  <c r="P918" i="22"/>
  <c r="A918" i="22"/>
  <c r="R917" i="22"/>
  <c r="P917" i="22"/>
  <c r="A917" i="22"/>
  <c r="R916" i="22"/>
  <c r="P916" i="22"/>
  <c r="A916" i="22"/>
  <c r="R915" i="22"/>
  <c r="P915" i="22"/>
  <c r="A915" i="22"/>
  <c r="R914" i="22"/>
  <c r="P914" i="22"/>
  <c r="A914" i="22"/>
  <c r="R913" i="22"/>
  <c r="P913" i="22"/>
  <c r="A913" i="22"/>
  <c r="R912" i="22"/>
  <c r="P912" i="22"/>
  <c r="A912" i="22"/>
  <c r="R911" i="22"/>
  <c r="P911" i="22"/>
  <c r="A911" i="22"/>
  <c r="R910" i="22"/>
  <c r="P910" i="22"/>
  <c r="A910" i="22"/>
  <c r="R909" i="22"/>
  <c r="P909" i="22"/>
  <c r="A909" i="22"/>
  <c r="R908" i="22"/>
  <c r="P908" i="22"/>
  <c r="A908" i="22"/>
  <c r="R907" i="22"/>
  <c r="P907" i="22"/>
  <c r="A907" i="22"/>
  <c r="R906" i="22"/>
  <c r="P906" i="22"/>
  <c r="A906" i="22"/>
  <c r="R905" i="22"/>
  <c r="P905" i="22"/>
  <c r="A905" i="22"/>
  <c r="R904" i="22"/>
  <c r="P904" i="22"/>
  <c r="A904" i="22"/>
  <c r="R903" i="22"/>
  <c r="P903" i="22"/>
  <c r="A903" i="22"/>
  <c r="R902" i="22"/>
  <c r="P902" i="22"/>
  <c r="A902" i="22"/>
  <c r="R901" i="22"/>
  <c r="P901" i="22"/>
  <c r="A901" i="22"/>
  <c r="R900" i="22"/>
  <c r="P900" i="22"/>
  <c r="A900" i="22"/>
  <c r="R899" i="22"/>
  <c r="P899" i="22"/>
  <c r="A899" i="22"/>
  <c r="R898" i="22"/>
  <c r="P898" i="22"/>
  <c r="A898" i="22"/>
  <c r="R897" i="22"/>
  <c r="P897" i="22"/>
  <c r="A897" i="22"/>
  <c r="R896" i="22"/>
  <c r="P896" i="22"/>
  <c r="A896" i="22"/>
  <c r="R895" i="22"/>
  <c r="P895" i="22"/>
  <c r="A895" i="22"/>
  <c r="R894" i="22"/>
  <c r="P894" i="22"/>
  <c r="A894" i="22"/>
  <c r="R893" i="22"/>
  <c r="P893" i="22"/>
  <c r="A893" i="22"/>
  <c r="R892" i="22"/>
  <c r="P892" i="22"/>
  <c r="A892" i="22"/>
  <c r="R891" i="22"/>
  <c r="P891" i="22"/>
  <c r="A891" i="22"/>
  <c r="R890" i="22"/>
  <c r="P890" i="22"/>
  <c r="A890" i="22"/>
  <c r="R889" i="22"/>
  <c r="P889" i="22"/>
  <c r="A889" i="22"/>
  <c r="R888" i="22"/>
  <c r="P888" i="22"/>
  <c r="A888" i="22"/>
  <c r="R887" i="22"/>
  <c r="P887" i="22"/>
  <c r="A887" i="22"/>
  <c r="R886" i="22"/>
  <c r="P886" i="22"/>
  <c r="A886" i="22"/>
  <c r="R885" i="22"/>
  <c r="P885" i="22"/>
  <c r="A885" i="22"/>
  <c r="R884" i="22"/>
  <c r="P884" i="22"/>
  <c r="A884" i="22"/>
  <c r="R883" i="22"/>
  <c r="P883" i="22"/>
  <c r="A883" i="22"/>
  <c r="R882" i="22"/>
  <c r="P882" i="22"/>
  <c r="A882" i="22"/>
  <c r="R881" i="22"/>
  <c r="P881" i="22"/>
  <c r="A881" i="22"/>
  <c r="R880" i="22"/>
  <c r="P880" i="22"/>
  <c r="A880" i="22"/>
  <c r="R879" i="22"/>
  <c r="P879" i="22"/>
  <c r="A879" i="22"/>
  <c r="R878" i="22"/>
  <c r="P878" i="22"/>
  <c r="A878" i="22"/>
  <c r="R877" i="22"/>
  <c r="P877" i="22"/>
  <c r="A877" i="22"/>
  <c r="R876" i="22"/>
  <c r="P876" i="22"/>
  <c r="A876" i="22"/>
  <c r="R875" i="22"/>
  <c r="P875" i="22"/>
  <c r="A875" i="22"/>
  <c r="R874" i="22"/>
  <c r="P874" i="22"/>
  <c r="A874" i="22"/>
  <c r="R873" i="22"/>
  <c r="P873" i="22"/>
  <c r="A873" i="22"/>
  <c r="R872" i="22"/>
  <c r="P872" i="22"/>
  <c r="A872" i="22"/>
  <c r="R871" i="22"/>
  <c r="P871" i="22"/>
  <c r="A871" i="22"/>
  <c r="R870" i="22"/>
  <c r="P870" i="22"/>
  <c r="A870" i="22"/>
  <c r="R869" i="22"/>
  <c r="P869" i="22"/>
  <c r="A869" i="22"/>
  <c r="R868" i="22"/>
  <c r="P868" i="22"/>
  <c r="A868" i="22"/>
  <c r="R867" i="22"/>
  <c r="P867" i="22"/>
  <c r="A867" i="22"/>
  <c r="R866" i="22"/>
  <c r="P866" i="22"/>
  <c r="A866" i="22"/>
  <c r="R865" i="22"/>
  <c r="P865" i="22"/>
  <c r="A865" i="22"/>
  <c r="R864" i="22"/>
  <c r="P864" i="22"/>
  <c r="A864" i="22"/>
  <c r="R863" i="22"/>
  <c r="P863" i="22"/>
  <c r="A863" i="22"/>
  <c r="R862" i="22"/>
  <c r="P862" i="22"/>
  <c r="A862" i="22"/>
  <c r="R861" i="22"/>
  <c r="P861" i="22"/>
  <c r="A861" i="22"/>
  <c r="R860" i="22"/>
  <c r="P860" i="22"/>
  <c r="A860" i="22"/>
  <c r="R859" i="22"/>
  <c r="P859" i="22"/>
  <c r="A859" i="22"/>
  <c r="R858" i="22"/>
  <c r="P858" i="22"/>
  <c r="A858" i="22"/>
  <c r="R857" i="22"/>
  <c r="P857" i="22"/>
  <c r="A857" i="22"/>
  <c r="R856" i="22"/>
  <c r="P856" i="22"/>
  <c r="A856" i="22"/>
  <c r="R855" i="22"/>
  <c r="P855" i="22"/>
  <c r="A855" i="22"/>
  <c r="R854" i="22"/>
  <c r="P854" i="22"/>
  <c r="A854" i="22"/>
  <c r="R853" i="22"/>
  <c r="P853" i="22"/>
  <c r="A853" i="22"/>
  <c r="R852" i="22"/>
  <c r="P852" i="22"/>
  <c r="A852" i="22"/>
  <c r="R851" i="22"/>
  <c r="P851" i="22"/>
  <c r="A851" i="22"/>
  <c r="R850" i="22"/>
  <c r="P850" i="22"/>
  <c r="A850" i="22"/>
  <c r="R849" i="22"/>
  <c r="P849" i="22"/>
  <c r="A849" i="22"/>
  <c r="R848" i="22"/>
  <c r="P848" i="22"/>
  <c r="A848" i="22"/>
  <c r="R847" i="22"/>
  <c r="P847" i="22"/>
  <c r="A847" i="22"/>
  <c r="R846" i="22"/>
  <c r="P846" i="22"/>
  <c r="A846" i="22"/>
  <c r="R845" i="22"/>
  <c r="P845" i="22"/>
  <c r="A845" i="22"/>
  <c r="R844" i="22"/>
  <c r="P844" i="22"/>
  <c r="A844" i="22"/>
  <c r="R843" i="22"/>
  <c r="P843" i="22"/>
  <c r="A843" i="22"/>
  <c r="R842" i="22"/>
  <c r="P842" i="22"/>
  <c r="A842" i="22"/>
  <c r="R841" i="22"/>
  <c r="P841" i="22"/>
  <c r="A841" i="22"/>
  <c r="R840" i="22"/>
  <c r="P840" i="22"/>
  <c r="A840" i="22"/>
  <c r="R839" i="22"/>
  <c r="P839" i="22"/>
  <c r="A839" i="22"/>
  <c r="R838" i="22"/>
  <c r="P838" i="22"/>
  <c r="A838" i="22"/>
  <c r="R837" i="22"/>
  <c r="P837" i="22"/>
  <c r="A837" i="22"/>
  <c r="R836" i="22"/>
  <c r="P836" i="22"/>
  <c r="A836" i="22"/>
  <c r="R835" i="22"/>
  <c r="P835" i="22"/>
  <c r="A835" i="22"/>
  <c r="R834" i="22"/>
  <c r="P834" i="22"/>
  <c r="A834" i="22"/>
  <c r="R833" i="22"/>
  <c r="P833" i="22"/>
  <c r="A833" i="22"/>
  <c r="R832" i="22"/>
  <c r="P832" i="22"/>
  <c r="A832" i="22"/>
  <c r="R831" i="22"/>
  <c r="P831" i="22"/>
  <c r="A831" i="22"/>
  <c r="R830" i="22"/>
  <c r="P830" i="22"/>
  <c r="A830" i="22"/>
  <c r="R829" i="22"/>
  <c r="P829" i="22"/>
  <c r="A829" i="22"/>
  <c r="R828" i="22"/>
  <c r="P828" i="22"/>
  <c r="A828" i="22"/>
  <c r="R827" i="22"/>
  <c r="P827" i="22"/>
  <c r="A827" i="22"/>
  <c r="R826" i="22"/>
  <c r="P826" i="22"/>
  <c r="A826" i="22"/>
  <c r="R825" i="22"/>
  <c r="P825" i="22"/>
  <c r="A825" i="22"/>
  <c r="R824" i="22"/>
  <c r="P824" i="22"/>
  <c r="A824" i="22"/>
  <c r="R823" i="22"/>
  <c r="P823" i="22"/>
  <c r="A823" i="22"/>
  <c r="R822" i="22"/>
  <c r="P822" i="22"/>
  <c r="A822" i="22"/>
  <c r="R821" i="22"/>
  <c r="P821" i="22"/>
  <c r="A821" i="22"/>
  <c r="R820" i="22"/>
  <c r="P820" i="22"/>
  <c r="A820" i="22"/>
  <c r="R819" i="22"/>
  <c r="P819" i="22"/>
  <c r="A819" i="22"/>
  <c r="R818" i="22"/>
  <c r="P818" i="22"/>
  <c r="A818" i="22"/>
  <c r="R817" i="22"/>
  <c r="P817" i="22"/>
  <c r="A817" i="22"/>
  <c r="R816" i="22"/>
  <c r="P816" i="22"/>
  <c r="A816" i="22"/>
  <c r="R815" i="22"/>
  <c r="P815" i="22"/>
  <c r="A815" i="22"/>
  <c r="R814" i="22"/>
  <c r="P814" i="22"/>
  <c r="A814" i="22"/>
  <c r="R813" i="22"/>
  <c r="P813" i="22"/>
  <c r="A813" i="22"/>
  <c r="R812" i="22"/>
  <c r="P812" i="22"/>
  <c r="A812" i="22"/>
  <c r="R811" i="22"/>
  <c r="P811" i="22"/>
  <c r="A811" i="22"/>
  <c r="R810" i="22"/>
  <c r="P810" i="22"/>
  <c r="A810" i="22"/>
  <c r="R809" i="22"/>
  <c r="P809" i="22"/>
  <c r="A809" i="22"/>
  <c r="R808" i="22"/>
  <c r="P808" i="22"/>
  <c r="A808" i="22"/>
  <c r="R807" i="22"/>
  <c r="P807" i="22"/>
  <c r="A807" i="22"/>
  <c r="R806" i="22"/>
  <c r="P806" i="22"/>
  <c r="A806" i="22"/>
  <c r="R805" i="22"/>
  <c r="P805" i="22"/>
  <c r="A805" i="22"/>
  <c r="R804" i="22"/>
  <c r="P804" i="22"/>
  <c r="A804" i="22"/>
  <c r="R803" i="22"/>
  <c r="P803" i="22"/>
  <c r="A803" i="22"/>
  <c r="R802" i="22"/>
  <c r="P802" i="22"/>
  <c r="A802" i="22"/>
  <c r="R801" i="22"/>
  <c r="P801" i="22"/>
  <c r="A801" i="22"/>
  <c r="R800" i="22"/>
  <c r="P800" i="22"/>
  <c r="A800" i="22"/>
  <c r="R799" i="22"/>
  <c r="P799" i="22"/>
  <c r="A799" i="22"/>
  <c r="R798" i="22"/>
  <c r="P798" i="22"/>
  <c r="A798" i="22"/>
  <c r="R797" i="22"/>
  <c r="P797" i="22"/>
  <c r="A797" i="22"/>
  <c r="R796" i="22"/>
  <c r="P796" i="22"/>
  <c r="A796" i="22"/>
  <c r="R795" i="22"/>
  <c r="P795" i="22"/>
  <c r="A795" i="22"/>
  <c r="R794" i="22"/>
  <c r="P794" i="22"/>
  <c r="A794" i="22"/>
  <c r="R793" i="22"/>
  <c r="P793" i="22"/>
  <c r="A793" i="22"/>
  <c r="R792" i="22"/>
  <c r="P792" i="22"/>
  <c r="A792" i="22"/>
  <c r="R791" i="22"/>
  <c r="P791" i="22"/>
  <c r="A791" i="22"/>
  <c r="R790" i="22"/>
  <c r="P790" i="22"/>
  <c r="A790" i="22"/>
  <c r="R789" i="22"/>
  <c r="P789" i="22"/>
  <c r="A789" i="22"/>
  <c r="R788" i="22"/>
  <c r="P788" i="22"/>
  <c r="A788" i="22"/>
  <c r="R787" i="22"/>
  <c r="P787" i="22"/>
  <c r="A787" i="22"/>
  <c r="R786" i="22"/>
  <c r="P786" i="22"/>
  <c r="A786" i="22"/>
  <c r="R785" i="22"/>
  <c r="P785" i="22"/>
  <c r="A785" i="22"/>
  <c r="R784" i="22"/>
  <c r="P784" i="22"/>
  <c r="A784" i="22"/>
  <c r="R783" i="22"/>
  <c r="P783" i="22"/>
  <c r="A783" i="22"/>
  <c r="R782" i="22"/>
  <c r="P782" i="22"/>
  <c r="A782" i="22"/>
  <c r="R781" i="22"/>
  <c r="P781" i="22"/>
  <c r="A781" i="22"/>
  <c r="R780" i="22"/>
  <c r="P780" i="22"/>
  <c r="A780" i="22"/>
  <c r="R779" i="22"/>
  <c r="P779" i="22"/>
  <c r="A779" i="22"/>
  <c r="R778" i="22"/>
  <c r="P778" i="22"/>
  <c r="A778" i="22"/>
  <c r="R777" i="22"/>
  <c r="P777" i="22"/>
  <c r="A777" i="22"/>
  <c r="R776" i="22"/>
  <c r="P776" i="22"/>
  <c r="A776" i="22"/>
  <c r="R775" i="22"/>
  <c r="P775" i="22"/>
  <c r="A775" i="22"/>
  <c r="R774" i="22"/>
  <c r="P774" i="22"/>
  <c r="A774" i="22"/>
  <c r="R773" i="22"/>
  <c r="P773" i="22"/>
  <c r="A773" i="22"/>
  <c r="R772" i="22"/>
  <c r="P772" i="22"/>
  <c r="A772" i="22"/>
  <c r="R771" i="22"/>
  <c r="P771" i="22"/>
  <c r="A771" i="22"/>
  <c r="R770" i="22"/>
  <c r="P770" i="22"/>
  <c r="A770" i="22"/>
  <c r="R769" i="22"/>
  <c r="P769" i="22"/>
  <c r="A769" i="22"/>
  <c r="R768" i="22"/>
  <c r="P768" i="22"/>
  <c r="A768" i="22"/>
  <c r="R767" i="22"/>
  <c r="P767" i="22"/>
  <c r="A767" i="22"/>
  <c r="R766" i="22"/>
  <c r="P766" i="22"/>
  <c r="A766" i="22"/>
  <c r="R765" i="22"/>
  <c r="P765" i="22"/>
  <c r="A765" i="22"/>
  <c r="R764" i="22"/>
  <c r="P764" i="22"/>
  <c r="A764" i="22"/>
  <c r="R763" i="22"/>
  <c r="P763" i="22"/>
  <c r="A763" i="22"/>
  <c r="R762" i="22"/>
  <c r="P762" i="22"/>
  <c r="A762" i="22"/>
  <c r="R761" i="22"/>
  <c r="P761" i="22"/>
  <c r="A761" i="22"/>
  <c r="R760" i="22"/>
  <c r="P760" i="22"/>
  <c r="A760" i="22"/>
  <c r="R759" i="22"/>
  <c r="P759" i="22"/>
  <c r="A759" i="22"/>
  <c r="R758" i="22"/>
  <c r="P758" i="22"/>
  <c r="A758" i="22"/>
  <c r="R757" i="22"/>
  <c r="P757" i="22"/>
  <c r="A757" i="22"/>
  <c r="R756" i="22"/>
  <c r="P756" i="22"/>
  <c r="A756" i="22"/>
  <c r="R755" i="22"/>
  <c r="P755" i="22"/>
  <c r="A755" i="22"/>
  <c r="R754" i="22"/>
  <c r="P754" i="22"/>
  <c r="A754" i="22"/>
  <c r="R753" i="22"/>
  <c r="P753" i="22"/>
  <c r="A753" i="22"/>
  <c r="R752" i="22"/>
  <c r="P752" i="22"/>
  <c r="A752" i="22"/>
  <c r="R751" i="22"/>
  <c r="P751" i="22"/>
  <c r="A751" i="22"/>
  <c r="R750" i="22"/>
  <c r="P750" i="22"/>
  <c r="A750" i="22"/>
  <c r="R749" i="22"/>
  <c r="P749" i="22"/>
  <c r="A749" i="22"/>
  <c r="R748" i="22"/>
  <c r="P748" i="22"/>
  <c r="A748" i="22"/>
  <c r="R747" i="22"/>
  <c r="P747" i="22"/>
  <c r="A747" i="22"/>
  <c r="R746" i="22"/>
  <c r="P746" i="22"/>
  <c r="A746" i="22"/>
  <c r="R745" i="22"/>
  <c r="P745" i="22"/>
  <c r="A745" i="22"/>
  <c r="R744" i="22"/>
  <c r="P744" i="22"/>
  <c r="A744" i="22"/>
  <c r="R743" i="22"/>
  <c r="P743" i="22"/>
  <c r="A743" i="22"/>
  <c r="R742" i="22"/>
  <c r="P742" i="22"/>
  <c r="A742" i="22"/>
  <c r="R741" i="22"/>
  <c r="P741" i="22"/>
  <c r="A741" i="22"/>
  <c r="R740" i="22"/>
  <c r="P740" i="22"/>
  <c r="A740" i="22"/>
  <c r="R739" i="22"/>
  <c r="P739" i="22"/>
  <c r="A739" i="22"/>
  <c r="R738" i="22"/>
  <c r="P738" i="22"/>
  <c r="A738" i="22"/>
  <c r="R737" i="22"/>
  <c r="P737" i="22"/>
  <c r="A737" i="22"/>
  <c r="R736" i="22"/>
  <c r="P736" i="22"/>
  <c r="A736" i="22"/>
  <c r="R735" i="22"/>
  <c r="P735" i="22"/>
  <c r="A735" i="22"/>
  <c r="R734" i="22"/>
  <c r="P734" i="22"/>
  <c r="A734" i="22"/>
  <c r="R733" i="22"/>
  <c r="P733" i="22"/>
  <c r="A733" i="22"/>
  <c r="R732" i="22"/>
  <c r="P732" i="22"/>
  <c r="A732" i="22"/>
  <c r="R731" i="22"/>
  <c r="P731" i="22"/>
  <c r="A731" i="22"/>
  <c r="R730" i="22"/>
  <c r="P730" i="22"/>
  <c r="A730" i="22"/>
  <c r="R729" i="22"/>
  <c r="P729" i="22"/>
  <c r="A729" i="22"/>
  <c r="R728" i="22"/>
  <c r="P728" i="22"/>
  <c r="A728" i="22"/>
  <c r="R727" i="22"/>
  <c r="P727" i="22"/>
  <c r="A727" i="22"/>
  <c r="R726" i="22"/>
  <c r="P726" i="22"/>
  <c r="A726" i="22"/>
  <c r="R725" i="22"/>
  <c r="P725" i="22"/>
  <c r="A725" i="22"/>
  <c r="R724" i="22"/>
  <c r="P724" i="22"/>
  <c r="A724" i="22"/>
  <c r="R723" i="22"/>
  <c r="P723" i="22"/>
  <c r="A723" i="22"/>
  <c r="R722" i="22"/>
  <c r="P722" i="22"/>
  <c r="A722" i="22"/>
  <c r="R721" i="22"/>
  <c r="P721" i="22"/>
  <c r="A721" i="22"/>
  <c r="R720" i="22"/>
  <c r="P720" i="22"/>
  <c r="A720" i="22"/>
  <c r="R719" i="22"/>
  <c r="P719" i="22"/>
  <c r="A719" i="22"/>
  <c r="R718" i="22"/>
  <c r="P718" i="22"/>
  <c r="A718" i="22"/>
  <c r="R717" i="22"/>
  <c r="P717" i="22"/>
  <c r="A717" i="22"/>
  <c r="R716" i="22"/>
  <c r="P716" i="22"/>
  <c r="A716" i="22"/>
  <c r="R715" i="22"/>
  <c r="P715" i="22"/>
  <c r="A715" i="22"/>
  <c r="R714" i="22"/>
  <c r="P714" i="22"/>
  <c r="A714" i="22"/>
  <c r="R713" i="22"/>
  <c r="P713" i="22"/>
  <c r="A713" i="22"/>
  <c r="R712" i="22"/>
  <c r="P712" i="22"/>
  <c r="A712" i="22"/>
  <c r="R711" i="22"/>
  <c r="P711" i="22"/>
  <c r="A711" i="22"/>
  <c r="R710" i="22"/>
  <c r="P710" i="22"/>
  <c r="A710" i="22"/>
  <c r="R709" i="22"/>
  <c r="P709" i="22"/>
  <c r="A709" i="22"/>
  <c r="R708" i="22"/>
  <c r="P708" i="22"/>
  <c r="A708" i="22"/>
  <c r="R707" i="22"/>
  <c r="P707" i="22"/>
  <c r="A707" i="22"/>
  <c r="R706" i="22"/>
  <c r="P706" i="22"/>
  <c r="A706" i="22"/>
  <c r="R705" i="22"/>
  <c r="P705" i="22"/>
  <c r="A705" i="22"/>
  <c r="R704" i="22"/>
  <c r="P704" i="22"/>
  <c r="A704" i="22"/>
  <c r="R703" i="22"/>
  <c r="P703" i="22"/>
  <c r="A703" i="22"/>
  <c r="R702" i="22"/>
  <c r="P702" i="22"/>
  <c r="A702" i="22"/>
  <c r="R701" i="22"/>
  <c r="P701" i="22"/>
  <c r="A701" i="22"/>
  <c r="R700" i="22"/>
  <c r="P700" i="22"/>
  <c r="A700" i="22"/>
  <c r="R699" i="22"/>
  <c r="P699" i="22"/>
  <c r="A699" i="22"/>
  <c r="R698" i="22"/>
  <c r="P698" i="22"/>
  <c r="A698" i="22"/>
  <c r="R697" i="22"/>
  <c r="P697" i="22"/>
  <c r="A697" i="22"/>
  <c r="R696" i="22"/>
  <c r="P696" i="22"/>
  <c r="A696" i="22"/>
  <c r="R695" i="22"/>
  <c r="P695" i="22"/>
  <c r="A695" i="22"/>
  <c r="R694" i="22"/>
  <c r="P694" i="22"/>
  <c r="A694" i="22"/>
  <c r="R693" i="22"/>
  <c r="P693" i="22"/>
  <c r="A693" i="22"/>
  <c r="R692" i="22"/>
  <c r="P692" i="22"/>
  <c r="A692" i="22"/>
  <c r="R691" i="22"/>
  <c r="P691" i="22"/>
  <c r="A691" i="22"/>
  <c r="R690" i="22"/>
  <c r="P690" i="22"/>
  <c r="A690" i="22"/>
  <c r="R689" i="22"/>
  <c r="P689" i="22"/>
  <c r="A689" i="22"/>
  <c r="R688" i="22"/>
  <c r="P688" i="22"/>
  <c r="A688" i="22"/>
  <c r="R687" i="22"/>
  <c r="P687" i="22"/>
  <c r="A687" i="22"/>
  <c r="R686" i="22"/>
  <c r="P686" i="22"/>
  <c r="A686" i="22"/>
  <c r="R685" i="22"/>
  <c r="P685" i="22"/>
  <c r="A685" i="22"/>
  <c r="R684" i="22"/>
  <c r="P684" i="22"/>
  <c r="A684" i="22"/>
  <c r="R683" i="22"/>
  <c r="P683" i="22"/>
  <c r="A683" i="22"/>
  <c r="R682" i="22"/>
  <c r="P682" i="22"/>
  <c r="A682" i="22"/>
  <c r="R681" i="22"/>
  <c r="P681" i="22"/>
  <c r="A681" i="22"/>
  <c r="R680" i="22"/>
  <c r="P680" i="22"/>
  <c r="A680" i="22"/>
  <c r="R679" i="22"/>
  <c r="P679" i="22"/>
  <c r="A679" i="22"/>
  <c r="R678" i="22"/>
  <c r="P678" i="22"/>
  <c r="A678" i="22"/>
  <c r="R677" i="22"/>
  <c r="P677" i="22"/>
  <c r="A677" i="22"/>
  <c r="R676" i="22"/>
  <c r="P676" i="22"/>
  <c r="A676" i="22"/>
  <c r="R675" i="22"/>
  <c r="P675" i="22"/>
  <c r="A675" i="22"/>
  <c r="R674" i="22"/>
  <c r="P674" i="22"/>
  <c r="A674" i="22"/>
  <c r="R673" i="22"/>
  <c r="P673" i="22"/>
  <c r="A673" i="22"/>
  <c r="R672" i="22"/>
  <c r="P672" i="22"/>
  <c r="A672" i="22"/>
  <c r="R671" i="22"/>
  <c r="P671" i="22"/>
  <c r="A671" i="22"/>
  <c r="R670" i="22"/>
  <c r="P670" i="22"/>
  <c r="A670" i="22"/>
  <c r="R669" i="22"/>
  <c r="P669" i="22"/>
  <c r="A669" i="22"/>
  <c r="R668" i="22"/>
  <c r="P668" i="22"/>
  <c r="A668" i="22"/>
  <c r="R667" i="22"/>
  <c r="P667" i="22"/>
  <c r="A667" i="22"/>
  <c r="R666" i="22"/>
  <c r="P666" i="22"/>
  <c r="A666" i="22"/>
  <c r="R665" i="22"/>
  <c r="P665" i="22"/>
  <c r="A665" i="22"/>
  <c r="R664" i="22"/>
  <c r="P664" i="22"/>
  <c r="A664" i="22"/>
  <c r="R663" i="22"/>
  <c r="P663" i="22"/>
  <c r="A663" i="22"/>
  <c r="R662" i="22"/>
  <c r="P662" i="22"/>
  <c r="A662" i="22"/>
  <c r="R661" i="22"/>
  <c r="P661" i="22"/>
  <c r="A661" i="22"/>
  <c r="R660" i="22"/>
  <c r="P660" i="22"/>
  <c r="A660" i="22"/>
  <c r="R659" i="22"/>
  <c r="P659" i="22"/>
  <c r="A659" i="22"/>
  <c r="R658" i="22"/>
  <c r="P658" i="22"/>
  <c r="A658" i="22"/>
  <c r="R657" i="22"/>
  <c r="P657" i="22"/>
  <c r="A657" i="22"/>
  <c r="R656" i="22"/>
  <c r="P656" i="22"/>
  <c r="A656" i="22"/>
  <c r="R655" i="22"/>
  <c r="P655" i="22"/>
  <c r="A655" i="22"/>
  <c r="R654" i="22"/>
  <c r="P654" i="22"/>
  <c r="A654" i="22"/>
  <c r="R653" i="22"/>
  <c r="P653" i="22"/>
  <c r="A653" i="22"/>
  <c r="R652" i="22"/>
  <c r="P652" i="22"/>
  <c r="A652" i="22"/>
  <c r="R651" i="22"/>
  <c r="P651" i="22"/>
  <c r="A651" i="22"/>
  <c r="R650" i="22"/>
  <c r="P650" i="22"/>
  <c r="A650" i="22"/>
  <c r="R649" i="22"/>
  <c r="P649" i="22"/>
  <c r="A649" i="22"/>
  <c r="R648" i="22"/>
  <c r="P648" i="22"/>
  <c r="A648" i="22"/>
  <c r="R647" i="22"/>
  <c r="P647" i="22"/>
  <c r="A647" i="22"/>
  <c r="R646" i="22"/>
  <c r="P646" i="22"/>
  <c r="A646" i="22"/>
  <c r="R645" i="22"/>
  <c r="P645" i="22"/>
  <c r="A645" i="22"/>
  <c r="R644" i="22"/>
  <c r="P644" i="22"/>
  <c r="A644" i="22"/>
  <c r="R643" i="22"/>
  <c r="P643" i="22"/>
  <c r="A643" i="22"/>
  <c r="R642" i="22"/>
  <c r="P642" i="22"/>
  <c r="A642" i="22"/>
  <c r="R641" i="22"/>
  <c r="P641" i="22"/>
  <c r="A641" i="22"/>
  <c r="R640" i="22"/>
  <c r="P640" i="22"/>
  <c r="A640" i="22"/>
  <c r="R639" i="22"/>
  <c r="P639" i="22"/>
  <c r="A639" i="22"/>
  <c r="R638" i="22"/>
  <c r="P638" i="22"/>
  <c r="A638" i="22"/>
  <c r="R637" i="22"/>
  <c r="P637" i="22"/>
  <c r="A637" i="22"/>
  <c r="R636" i="22"/>
  <c r="P636" i="22"/>
  <c r="A636" i="22"/>
  <c r="R635" i="22"/>
  <c r="P635" i="22"/>
  <c r="A635" i="22"/>
  <c r="R634" i="22"/>
  <c r="P634" i="22"/>
  <c r="A634" i="22"/>
  <c r="R633" i="22"/>
  <c r="P633" i="22"/>
  <c r="A633" i="22"/>
  <c r="R632" i="22"/>
  <c r="P632" i="22"/>
  <c r="A632" i="22"/>
  <c r="R631" i="22"/>
  <c r="P631" i="22"/>
  <c r="A631" i="22"/>
  <c r="R630" i="22"/>
  <c r="P630" i="22"/>
  <c r="A630" i="22"/>
  <c r="R629" i="22"/>
  <c r="P629" i="22"/>
  <c r="A629" i="22"/>
  <c r="R628" i="22"/>
  <c r="P628" i="22"/>
  <c r="A628" i="22"/>
  <c r="R627" i="22"/>
  <c r="P627" i="22"/>
  <c r="A627" i="22"/>
  <c r="R626" i="22"/>
  <c r="P626" i="22"/>
  <c r="A626" i="22"/>
  <c r="R625" i="22"/>
  <c r="P625" i="22"/>
  <c r="A625" i="22"/>
  <c r="R624" i="22"/>
  <c r="P624" i="22"/>
  <c r="A624" i="22"/>
  <c r="R623" i="22"/>
  <c r="P623" i="22"/>
  <c r="A623" i="22"/>
  <c r="R622" i="22"/>
  <c r="P622" i="22"/>
  <c r="A622" i="22"/>
  <c r="R621" i="22"/>
  <c r="P621" i="22"/>
  <c r="A621" i="22"/>
  <c r="R620" i="22"/>
  <c r="P620" i="22"/>
  <c r="A620" i="22"/>
  <c r="R619" i="22"/>
  <c r="P619" i="22"/>
  <c r="A619" i="22"/>
  <c r="R618" i="22"/>
  <c r="P618" i="22"/>
  <c r="A618" i="22"/>
  <c r="R617" i="22"/>
  <c r="P617" i="22"/>
  <c r="A617" i="22"/>
  <c r="R616" i="22"/>
  <c r="P616" i="22"/>
  <c r="A616" i="22"/>
  <c r="R615" i="22"/>
  <c r="P615" i="22"/>
  <c r="A615" i="22"/>
  <c r="R614" i="22"/>
  <c r="P614" i="22"/>
  <c r="A614" i="22"/>
  <c r="R613" i="22"/>
  <c r="P613" i="22"/>
  <c r="A613" i="22"/>
  <c r="R612" i="22"/>
  <c r="P612" i="22"/>
  <c r="A612" i="22"/>
  <c r="R611" i="22"/>
  <c r="P611" i="22"/>
  <c r="A611" i="22"/>
  <c r="R610" i="22"/>
  <c r="P610" i="22"/>
  <c r="A610" i="22"/>
  <c r="R609" i="22"/>
  <c r="P609" i="22"/>
  <c r="A609" i="22"/>
  <c r="R608" i="22"/>
  <c r="P608" i="22"/>
  <c r="A608" i="22"/>
  <c r="R607" i="22"/>
  <c r="P607" i="22"/>
  <c r="A607" i="22"/>
  <c r="R606" i="22"/>
  <c r="P606" i="22"/>
  <c r="A606" i="22"/>
  <c r="R605" i="22"/>
  <c r="P605" i="22"/>
  <c r="A605" i="22"/>
  <c r="R604" i="22"/>
  <c r="P604" i="22"/>
  <c r="A604" i="22"/>
  <c r="R603" i="22"/>
  <c r="P603" i="22"/>
  <c r="A603" i="22"/>
  <c r="R602" i="22"/>
  <c r="P602" i="22"/>
  <c r="A602" i="22"/>
  <c r="R601" i="22"/>
  <c r="P601" i="22"/>
  <c r="A601" i="22"/>
  <c r="R600" i="22"/>
  <c r="P600" i="22"/>
  <c r="A600" i="22"/>
  <c r="R599" i="22"/>
  <c r="P599" i="22"/>
  <c r="A599" i="22"/>
  <c r="R598" i="22"/>
  <c r="P598" i="22"/>
  <c r="A598" i="22"/>
  <c r="R597" i="22"/>
  <c r="P597" i="22"/>
  <c r="A597" i="22"/>
  <c r="R596" i="22"/>
  <c r="P596" i="22"/>
  <c r="A596" i="22"/>
  <c r="R595" i="22"/>
  <c r="P595" i="22"/>
  <c r="A595" i="22"/>
  <c r="R594" i="22"/>
  <c r="P594" i="22"/>
  <c r="A594" i="22"/>
  <c r="R593" i="22"/>
  <c r="P593" i="22"/>
  <c r="A593" i="22"/>
  <c r="R592" i="22"/>
  <c r="P592" i="22"/>
  <c r="A592" i="22"/>
  <c r="R591" i="22"/>
  <c r="P591" i="22"/>
  <c r="A591" i="22"/>
  <c r="R590" i="22"/>
  <c r="P590" i="22"/>
  <c r="A590" i="22"/>
  <c r="R589" i="22"/>
  <c r="P589" i="22"/>
  <c r="A589" i="22"/>
  <c r="R588" i="22"/>
  <c r="P588" i="22"/>
  <c r="A588" i="22"/>
  <c r="R587" i="22"/>
  <c r="P587" i="22"/>
  <c r="A587" i="22"/>
  <c r="R586" i="22"/>
  <c r="P586" i="22"/>
  <c r="A586" i="22"/>
  <c r="R585" i="22"/>
  <c r="P585" i="22"/>
  <c r="A585" i="22"/>
  <c r="R584" i="22"/>
  <c r="P584" i="22"/>
  <c r="A584" i="22"/>
  <c r="R583" i="22"/>
  <c r="P583" i="22"/>
  <c r="A583" i="22"/>
  <c r="R582" i="22"/>
  <c r="P582" i="22"/>
  <c r="A582" i="22"/>
  <c r="R581" i="22"/>
  <c r="P581" i="22"/>
  <c r="A581" i="22"/>
  <c r="R580" i="22"/>
  <c r="P580" i="22"/>
  <c r="A580" i="22"/>
  <c r="R579" i="22"/>
  <c r="P579" i="22"/>
  <c r="A579" i="22"/>
  <c r="R578" i="22"/>
  <c r="P578" i="22"/>
  <c r="A578" i="22"/>
  <c r="R577" i="22"/>
  <c r="P577" i="22"/>
  <c r="A577" i="22"/>
  <c r="R576" i="22"/>
  <c r="P576" i="22"/>
  <c r="A576" i="22"/>
  <c r="R575" i="22"/>
  <c r="P575" i="22"/>
  <c r="A575" i="22"/>
  <c r="R574" i="22"/>
  <c r="P574" i="22"/>
  <c r="A574" i="22"/>
  <c r="R573" i="22"/>
  <c r="P573" i="22"/>
  <c r="A573" i="22"/>
  <c r="R572" i="22"/>
  <c r="P572" i="22"/>
  <c r="A572" i="22"/>
  <c r="R571" i="22"/>
  <c r="P571" i="22"/>
  <c r="A571" i="22"/>
  <c r="R570" i="22"/>
  <c r="P570" i="22"/>
  <c r="A570" i="22"/>
  <c r="R569" i="22"/>
  <c r="P569" i="22"/>
  <c r="A569" i="22"/>
  <c r="R568" i="22"/>
  <c r="P568" i="22"/>
  <c r="A568" i="22"/>
  <c r="R567" i="22"/>
  <c r="P567" i="22"/>
  <c r="A567" i="22"/>
  <c r="R566" i="22"/>
  <c r="P566" i="22"/>
  <c r="A566" i="22"/>
  <c r="R565" i="22"/>
  <c r="P565" i="22"/>
  <c r="A565" i="22"/>
  <c r="R564" i="22"/>
  <c r="P564" i="22"/>
  <c r="A564" i="22"/>
  <c r="R563" i="22"/>
  <c r="P563" i="22"/>
  <c r="A563" i="22"/>
  <c r="R562" i="22"/>
  <c r="P562" i="22"/>
  <c r="A562" i="22"/>
  <c r="R561" i="22"/>
  <c r="P561" i="22"/>
  <c r="A561" i="22"/>
  <c r="R560" i="22"/>
  <c r="P560" i="22"/>
  <c r="A560" i="22"/>
  <c r="R559" i="22"/>
  <c r="P559" i="22"/>
  <c r="A559" i="22"/>
  <c r="R558" i="22"/>
  <c r="P558" i="22"/>
  <c r="A558" i="22"/>
  <c r="R557" i="22"/>
  <c r="P557" i="22"/>
  <c r="A557" i="22"/>
  <c r="R556" i="22"/>
  <c r="P556" i="22"/>
  <c r="A556" i="22"/>
  <c r="R555" i="22"/>
  <c r="P555" i="22"/>
  <c r="A555" i="22"/>
  <c r="R554" i="22"/>
  <c r="P554" i="22"/>
  <c r="A554" i="22"/>
  <c r="R553" i="22"/>
  <c r="P553" i="22"/>
  <c r="A553" i="22"/>
  <c r="R552" i="22"/>
  <c r="P552" i="22"/>
  <c r="A552" i="22"/>
  <c r="R551" i="22"/>
  <c r="P551" i="22"/>
  <c r="A551" i="22"/>
  <c r="R550" i="22"/>
  <c r="P550" i="22"/>
  <c r="A550" i="22"/>
  <c r="R549" i="22"/>
  <c r="P549" i="22"/>
  <c r="A549" i="22"/>
  <c r="R548" i="22"/>
  <c r="P548" i="22"/>
  <c r="A548" i="22"/>
  <c r="R547" i="22"/>
  <c r="P547" i="22"/>
  <c r="A547" i="22"/>
  <c r="R546" i="22"/>
  <c r="P546" i="22"/>
  <c r="A546" i="22"/>
  <c r="R545" i="22"/>
  <c r="P545" i="22"/>
  <c r="A545" i="22"/>
  <c r="R544" i="22"/>
  <c r="P544" i="22"/>
  <c r="A544" i="22"/>
  <c r="R543" i="22"/>
  <c r="P543" i="22"/>
  <c r="A543" i="22"/>
  <c r="R542" i="22"/>
  <c r="P542" i="22"/>
  <c r="A542" i="22"/>
  <c r="R541" i="22"/>
  <c r="P541" i="22"/>
  <c r="A541" i="22"/>
  <c r="R540" i="22"/>
  <c r="P540" i="22"/>
  <c r="A540" i="22"/>
  <c r="R539" i="22"/>
  <c r="P539" i="22"/>
  <c r="A539" i="22"/>
  <c r="R538" i="22"/>
  <c r="P538" i="22"/>
  <c r="A538" i="22"/>
  <c r="R537" i="22"/>
  <c r="P537" i="22"/>
  <c r="A537" i="22"/>
  <c r="R536" i="22"/>
  <c r="P536" i="22"/>
  <c r="A536" i="22"/>
  <c r="R535" i="22"/>
  <c r="P535" i="22"/>
  <c r="A535" i="22"/>
  <c r="R534" i="22"/>
  <c r="P534" i="22"/>
  <c r="A534" i="22"/>
  <c r="R533" i="22"/>
  <c r="P533" i="22"/>
  <c r="A533" i="22"/>
  <c r="R532" i="22"/>
  <c r="P532" i="22"/>
  <c r="A532" i="22"/>
  <c r="R531" i="22"/>
  <c r="P531" i="22"/>
  <c r="A531" i="22"/>
  <c r="R530" i="22"/>
  <c r="P530" i="22"/>
  <c r="A530" i="22"/>
  <c r="R529" i="22"/>
  <c r="P529" i="22"/>
  <c r="A529" i="22"/>
  <c r="R528" i="22"/>
  <c r="P528" i="22"/>
  <c r="A528" i="22"/>
  <c r="R527" i="22"/>
  <c r="P527" i="22"/>
  <c r="A527" i="22"/>
  <c r="R526" i="22"/>
  <c r="P526" i="22"/>
  <c r="A526" i="22"/>
  <c r="R525" i="22"/>
  <c r="P525" i="22"/>
  <c r="A525" i="22"/>
  <c r="R524" i="22"/>
  <c r="P524" i="22"/>
  <c r="A524" i="22"/>
  <c r="R523" i="22"/>
  <c r="P523" i="22"/>
  <c r="A523" i="22"/>
  <c r="R522" i="22"/>
  <c r="P522" i="22"/>
  <c r="A522" i="22"/>
  <c r="R521" i="22"/>
  <c r="P521" i="22"/>
  <c r="A521" i="22"/>
  <c r="R520" i="22"/>
  <c r="P520" i="22"/>
  <c r="A520" i="22"/>
  <c r="R519" i="22"/>
  <c r="P519" i="22"/>
  <c r="A519" i="22"/>
  <c r="R518" i="22"/>
  <c r="P518" i="22"/>
  <c r="A518" i="22"/>
  <c r="R517" i="22"/>
  <c r="P517" i="22"/>
  <c r="A517" i="22"/>
  <c r="R516" i="22"/>
  <c r="P516" i="22"/>
  <c r="A516" i="22"/>
  <c r="R515" i="22"/>
  <c r="P515" i="22"/>
  <c r="A515" i="22"/>
  <c r="R514" i="22"/>
  <c r="P514" i="22"/>
  <c r="A514" i="22"/>
  <c r="R513" i="22"/>
  <c r="P513" i="22"/>
  <c r="A513" i="22"/>
  <c r="R512" i="22"/>
  <c r="P512" i="22"/>
  <c r="A512" i="22"/>
  <c r="R511" i="22"/>
  <c r="P511" i="22"/>
  <c r="A511" i="22"/>
  <c r="R510" i="22"/>
  <c r="P510" i="22"/>
  <c r="A510" i="22"/>
  <c r="R509" i="22"/>
  <c r="P509" i="22"/>
  <c r="A509" i="22"/>
  <c r="R508" i="22"/>
  <c r="P508" i="22"/>
  <c r="A508" i="22"/>
  <c r="R507" i="22"/>
  <c r="P507" i="22"/>
  <c r="A507" i="22"/>
  <c r="R506" i="22"/>
  <c r="P506" i="22"/>
  <c r="A506" i="22"/>
  <c r="R505" i="22"/>
  <c r="P505" i="22"/>
  <c r="A505" i="22"/>
  <c r="R504" i="22"/>
  <c r="P504" i="22"/>
  <c r="A504" i="22"/>
  <c r="R503" i="22"/>
  <c r="P503" i="22"/>
  <c r="A503" i="22"/>
  <c r="R502" i="22"/>
  <c r="P502" i="22"/>
  <c r="A502" i="22"/>
  <c r="R501" i="22"/>
  <c r="P501" i="22"/>
  <c r="A501" i="22"/>
  <c r="R500" i="22"/>
  <c r="P500" i="22"/>
  <c r="A500" i="22"/>
  <c r="R499" i="22"/>
  <c r="P499" i="22"/>
  <c r="A499" i="22"/>
  <c r="R498" i="22"/>
  <c r="P498" i="22"/>
  <c r="A498" i="22"/>
  <c r="R497" i="22"/>
  <c r="P497" i="22"/>
  <c r="A497" i="22"/>
  <c r="R496" i="22"/>
  <c r="P496" i="22"/>
  <c r="A496" i="22"/>
  <c r="R495" i="22"/>
  <c r="P495" i="22"/>
  <c r="A495" i="22"/>
  <c r="R494" i="22"/>
  <c r="P494" i="22"/>
  <c r="A494" i="22"/>
  <c r="R493" i="22"/>
  <c r="P493" i="22"/>
  <c r="A493" i="22"/>
  <c r="R492" i="22"/>
  <c r="P492" i="22"/>
  <c r="A492" i="22"/>
  <c r="R491" i="22"/>
  <c r="P491" i="22"/>
  <c r="A491" i="22"/>
  <c r="R490" i="22"/>
  <c r="P490" i="22"/>
  <c r="A490" i="22"/>
  <c r="R489" i="22"/>
  <c r="P489" i="22"/>
  <c r="A489" i="22"/>
  <c r="R488" i="22"/>
  <c r="P488" i="22"/>
  <c r="A488" i="22"/>
  <c r="R487" i="22"/>
  <c r="P487" i="22"/>
  <c r="A487" i="22"/>
  <c r="R486" i="22"/>
  <c r="P486" i="22"/>
  <c r="A486" i="22"/>
  <c r="R485" i="22"/>
  <c r="P485" i="22"/>
  <c r="A485" i="22"/>
  <c r="R484" i="22"/>
  <c r="P484" i="22"/>
  <c r="A484" i="22"/>
  <c r="R483" i="22"/>
  <c r="P483" i="22"/>
  <c r="A483" i="22"/>
  <c r="R482" i="22"/>
  <c r="P482" i="22"/>
  <c r="A482" i="22"/>
  <c r="R481" i="22"/>
  <c r="P481" i="22"/>
  <c r="A481" i="22"/>
  <c r="R480" i="22"/>
  <c r="P480" i="22"/>
  <c r="A480" i="22"/>
  <c r="R479" i="22"/>
  <c r="P479" i="22"/>
  <c r="A479" i="22"/>
  <c r="R478" i="22"/>
  <c r="P478" i="22"/>
  <c r="A478" i="22"/>
  <c r="R477" i="22"/>
  <c r="P477" i="22"/>
  <c r="A477" i="22"/>
  <c r="R476" i="22"/>
  <c r="P476" i="22"/>
  <c r="A476" i="22"/>
  <c r="R475" i="22"/>
  <c r="P475" i="22"/>
  <c r="A475" i="22"/>
  <c r="R474" i="22"/>
  <c r="P474" i="22"/>
  <c r="A474" i="22"/>
  <c r="R473" i="22"/>
  <c r="P473" i="22"/>
  <c r="A473" i="22"/>
  <c r="R472" i="22"/>
  <c r="P472" i="22"/>
  <c r="A472" i="22"/>
  <c r="R471" i="22"/>
  <c r="P471" i="22"/>
  <c r="A471" i="22"/>
  <c r="R470" i="22"/>
  <c r="P470" i="22"/>
  <c r="A470" i="22"/>
  <c r="R469" i="22"/>
  <c r="P469" i="22"/>
  <c r="A469" i="22"/>
  <c r="R468" i="22"/>
  <c r="P468" i="22"/>
  <c r="A468" i="22"/>
  <c r="R467" i="22"/>
  <c r="P467" i="22"/>
  <c r="A467" i="22"/>
  <c r="R466" i="22"/>
  <c r="P466" i="22"/>
  <c r="A466" i="22"/>
  <c r="R465" i="22"/>
  <c r="P465" i="22"/>
  <c r="A465" i="22"/>
  <c r="R464" i="22"/>
  <c r="P464" i="22"/>
  <c r="A464" i="22"/>
  <c r="R463" i="22"/>
  <c r="P463" i="22"/>
  <c r="A463" i="22"/>
  <c r="R462" i="22"/>
  <c r="P462" i="22"/>
  <c r="A462" i="22"/>
  <c r="R461" i="22"/>
  <c r="P461" i="22"/>
  <c r="A461" i="22"/>
  <c r="R460" i="22"/>
  <c r="P460" i="22"/>
  <c r="A460" i="22"/>
  <c r="R459" i="22"/>
  <c r="P459" i="22"/>
  <c r="A459" i="22"/>
  <c r="R458" i="22"/>
  <c r="P458" i="22"/>
  <c r="A458" i="22"/>
  <c r="R457" i="22"/>
  <c r="P457" i="22"/>
  <c r="A457" i="22"/>
  <c r="R456" i="22"/>
  <c r="P456" i="22"/>
  <c r="A456" i="22"/>
  <c r="R455" i="22"/>
  <c r="P455" i="22"/>
  <c r="A455" i="22"/>
  <c r="R454" i="22"/>
  <c r="P454" i="22"/>
  <c r="A454" i="22"/>
  <c r="R453" i="22"/>
  <c r="P453" i="22"/>
  <c r="A453" i="22"/>
  <c r="R452" i="22"/>
  <c r="P452" i="22"/>
  <c r="A452" i="22"/>
  <c r="R451" i="22"/>
  <c r="P451" i="22"/>
  <c r="A451" i="22"/>
  <c r="R450" i="22"/>
  <c r="P450" i="22"/>
  <c r="A450" i="22"/>
  <c r="R449" i="22"/>
  <c r="P449" i="22"/>
  <c r="A449" i="22"/>
  <c r="R448" i="22"/>
  <c r="P448" i="22"/>
  <c r="A448" i="22"/>
  <c r="R447" i="22"/>
  <c r="P447" i="22"/>
  <c r="A447" i="22"/>
  <c r="R446" i="22"/>
  <c r="P446" i="22"/>
  <c r="A446" i="22"/>
  <c r="R445" i="22"/>
  <c r="P445" i="22"/>
  <c r="A445" i="22"/>
  <c r="R444" i="22"/>
  <c r="P444" i="22"/>
  <c r="A444" i="22"/>
  <c r="R443" i="22"/>
  <c r="P443" i="22"/>
  <c r="A443" i="22"/>
  <c r="R442" i="22"/>
  <c r="P442" i="22"/>
  <c r="A442" i="22"/>
  <c r="R441" i="22"/>
  <c r="P441" i="22"/>
  <c r="A441" i="22"/>
  <c r="R440" i="22"/>
  <c r="P440" i="22"/>
  <c r="A440" i="22"/>
  <c r="R439" i="22"/>
  <c r="P439" i="22"/>
  <c r="A439" i="22"/>
  <c r="R438" i="22"/>
  <c r="P438" i="22"/>
  <c r="A438" i="22"/>
  <c r="R437" i="22"/>
  <c r="P437" i="22"/>
  <c r="A437" i="22"/>
  <c r="R436" i="22"/>
  <c r="P436" i="22"/>
  <c r="A436" i="22"/>
  <c r="R435" i="22"/>
  <c r="P435" i="22"/>
  <c r="A435" i="22"/>
  <c r="R434" i="22"/>
  <c r="P434" i="22"/>
  <c r="A434" i="22"/>
  <c r="R433" i="22"/>
  <c r="P433" i="22"/>
  <c r="A433" i="22"/>
  <c r="R432" i="22"/>
  <c r="P432" i="22"/>
  <c r="A432" i="22"/>
  <c r="R431" i="22"/>
  <c r="P431" i="22"/>
  <c r="A431" i="22"/>
  <c r="R430" i="22"/>
  <c r="P430" i="22"/>
  <c r="A430" i="22"/>
  <c r="R429" i="22"/>
  <c r="P429" i="22"/>
  <c r="A429" i="22"/>
  <c r="R428" i="22"/>
  <c r="P428" i="22"/>
  <c r="A428" i="22"/>
  <c r="R427" i="22"/>
  <c r="P427" i="22"/>
  <c r="A427" i="22"/>
  <c r="R426" i="22"/>
  <c r="P426" i="22"/>
  <c r="A426" i="22"/>
  <c r="R425" i="22"/>
  <c r="P425" i="22"/>
  <c r="A425" i="22"/>
  <c r="R424" i="22"/>
  <c r="P424" i="22"/>
  <c r="A424" i="22"/>
  <c r="R423" i="22"/>
  <c r="P423" i="22"/>
  <c r="A423" i="22"/>
  <c r="R422" i="22"/>
  <c r="P422" i="22"/>
  <c r="A422" i="22"/>
  <c r="R421" i="22"/>
  <c r="P421" i="22"/>
  <c r="A421" i="22"/>
  <c r="R420" i="22"/>
  <c r="P420" i="22"/>
  <c r="A420" i="22"/>
  <c r="R419" i="22"/>
  <c r="P419" i="22"/>
  <c r="A419" i="22"/>
  <c r="R418" i="22"/>
  <c r="P418" i="22"/>
  <c r="A418" i="22"/>
  <c r="R417" i="22"/>
  <c r="P417" i="22"/>
  <c r="A417" i="22"/>
  <c r="R416" i="22"/>
  <c r="P416" i="22"/>
  <c r="A416" i="22"/>
  <c r="R415" i="22"/>
  <c r="P415" i="22"/>
  <c r="A415" i="22"/>
  <c r="R414" i="22"/>
  <c r="P414" i="22"/>
  <c r="A414" i="22"/>
  <c r="R413" i="22"/>
  <c r="P413" i="22"/>
  <c r="A413" i="22"/>
  <c r="R412" i="22"/>
  <c r="P412" i="22"/>
  <c r="A412" i="22"/>
  <c r="R411" i="22"/>
  <c r="P411" i="22"/>
  <c r="A411" i="22"/>
  <c r="R410" i="22"/>
  <c r="P410" i="22"/>
  <c r="A410" i="22"/>
  <c r="R409" i="22"/>
  <c r="P409" i="22"/>
  <c r="A409" i="22"/>
  <c r="R408" i="22"/>
  <c r="P408" i="22"/>
  <c r="A408" i="22"/>
  <c r="R407" i="22"/>
  <c r="P407" i="22"/>
  <c r="A407" i="22"/>
  <c r="R406" i="22"/>
  <c r="P406" i="22"/>
  <c r="A406" i="22"/>
  <c r="R405" i="22"/>
  <c r="P405" i="22"/>
  <c r="A405" i="22"/>
  <c r="R404" i="22"/>
  <c r="P404" i="22"/>
  <c r="A404" i="22"/>
  <c r="R403" i="22"/>
  <c r="P403" i="22"/>
  <c r="A403" i="22"/>
  <c r="R402" i="22"/>
  <c r="P402" i="22"/>
  <c r="A402" i="22"/>
  <c r="R401" i="22"/>
  <c r="P401" i="22"/>
  <c r="A401" i="22"/>
  <c r="R400" i="22"/>
  <c r="P400" i="22"/>
  <c r="A400" i="22"/>
  <c r="R399" i="22"/>
  <c r="P399" i="22"/>
  <c r="A399" i="22"/>
  <c r="R398" i="22"/>
  <c r="P398" i="22"/>
  <c r="A398" i="22"/>
  <c r="R397" i="22"/>
  <c r="P397" i="22"/>
  <c r="A397" i="22"/>
  <c r="R396" i="22"/>
  <c r="P396" i="22"/>
  <c r="A396" i="22"/>
  <c r="R395" i="22"/>
  <c r="P395" i="22"/>
  <c r="A395" i="22"/>
  <c r="R394" i="22"/>
  <c r="P394" i="22"/>
  <c r="A394" i="22"/>
  <c r="R393" i="22"/>
  <c r="P393" i="22"/>
  <c r="A393" i="22"/>
  <c r="R392" i="22"/>
  <c r="P392" i="22"/>
  <c r="A392" i="22"/>
  <c r="R391" i="22"/>
  <c r="P391" i="22"/>
  <c r="A391" i="22"/>
  <c r="R390" i="22"/>
  <c r="P390" i="22"/>
  <c r="A390" i="22"/>
  <c r="R389" i="22"/>
  <c r="P389" i="22"/>
  <c r="A389" i="22"/>
  <c r="R388" i="22"/>
  <c r="P388" i="22"/>
  <c r="A388" i="22"/>
  <c r="R387" i="22"/>
  <c r="P387" i="22"/>
  <c r="A387" i="22"/>
  <c r="R386" i="22"/>
  <c r="P386" i="22"/>
  <c r="A386" i="22"/>
  <c r="R385" i="22"/>
  <c r="P385" i="22"/>
  <c r="A385" i="22"/>
  <c r="R384" i="22"/>
  <c r="P384" i="22"/>
  <c r="A384" i="22"/>
  <c r="R383" i="22"/>
  <c r="P383" i="22"/>
  <c r="A383" i="22"/>
  <c r="R382" i="22"/>
  <c r="P382" i="22"/>
  <c r="A382" i="22"/>
  <c r="R381" i="22"/>
  <c r="P381" i="22"/>
  <c r="A381" i="22"/>
  <c r="R380" i="22"/>
  <c r="P380" i="22"/>
  <c r="A380" i="22"/>
  <c r="R379" i="22"/>
  <c r="P379" i="22"/>
  <c r="A379" i="22"/>
  <c r="R378" i="22"/>
  <c r="P378" i="22"/>
  <c r="A378" i="22"/>
  <c r="R377" i="22"/>
  <c r="P377" i="22"/>
  <c r="A377" i="22"/>
  <c r="R376" i="22"/>
  <c r="P376" i="22"/>
  <c r="A376" i="22"/>
  <c r="R375" i="22"/>
  <c r="P375" i="22"/>
  <c r="A375" i="22"/>
  <c r="R374" i="22"/>
  <c r="P374" i="22"/>
  <c r="A374" i="22"/>
  <c r="R373" i="22"/>
  <c r="P373" i="22"/>
  <c r="A373" i="22"/>
  <c r="R372" i="22"/>
  <c r="P372" i="22"/>
  <c r="A372" i="22"/>
  <c r="R371" i="22"/>
  <c r="P371" i="22"/>
  <c r="A371" i="22"/>
  <c r="R370" i="22"/>
  <c r="P370" i="22"/>
  <c r="A370" i="22"/>
  <c r="R369" i="22"/>
  <c r="P369" i="22"/>
  <c r="A369" i="22"/>
  <c r="R368" i="22"/>
  <c r="P368" i="22"/>
  <c r="A368" i="22"/>
  <c r="R367" i="22"/>
  <c r="P367" i="22"/>
  <c r="A367" i="22"/>
  <c r="R366" i="22"/>
  <c r="P366" i="22"/>
  <c r="A366" i="22"/>
  <c r="R365" i="22"/>
  <c r="P365" i="22"/>
  <c r="A365" i="22"/>
  <c r="R364" i="22"/>
  <c r="P364" i="22"/>
  <c r="A364" i="22"/>
  <c r="R363" i="22"/>
  <c r="P363" i="22"/>
  <c r="A363" i="22"/>
  <c r="R362" i="22"/>
  <c r="P362" i="22"/>
  <c r="A362" i="22"/>
  <c r="R361" i="22"/>
  <c r="P361" i="22"/>
  <c r="A361" i="22"/>
  <c r="R360" i="22"/>
  <c r="P360" i="22"/>
  <c r="A360" i="22"/>
  <c r="R359" i="22"/>
  <c r="P359" i="22"/>
  <c r="A359" i="22"/>
  <c r="R358" i="22"/>
  <c r="P358" i="22"/>
  <c r="A358" i="22"/>
  <c r="R357" i="22"/>
  <c r="P357" i="22"/>
  <c r="A357" i="22"/>
  <c r="R356" i="22"/>
  <c r="P356" i="22"/>
  <c r="A356" i="22"/>
  <c r="R355" i="22"/>
  <c r="P355" i="22"/>
  <c r="A355" i="22"/>
  <c r="R354" i="22"/>
  <c r="P354" i="22"/>
  <c r="A354" i="22"/>
  <c r="R353" i="22"/>
  <c r="P353" i="22"/>
  <c r="A353" i="22"/>
  <c r="R352" i="22"/>
  <c r="P352" i="22"/>
  <c r="A352" i="22"/>
  <c r="R351" i="22"/>
  <c r="P351" i="22"/>
  <c r="A351" i="22"/>
  <c r="R350" i="22"/>
  <c r="P350" i="22"/>
  <c r="A350" i="22"/>
  <c r="R349" i="22"/>
  <c r="P349" i="22"/>
  <c r="A349" i="22"/>
  <c r="R348" i="22"/>
  <c r="P348" i="22"/>
  <c r="A348" i="22"/>
  <c r="R347" i="22"/>
  <c r="P347" i="22"/>
  <c r="A347" i="22"/>
  <c r="R346" i="22"/>
  <c r="P346" i="22"/>
  <c r="A346" i="22"/>
  <c r="R345" i="22"/>
  <c r="P345" i="22"/>
  <c r="A345" i="22"/>
  <c r="R344" i="22"/>
  <c r="P344" i="22"/>
  <c r="A344" i="22"/>
  <c r="R343" i="22"/>
  <c r="P343" i="22"/>
  <c r="A343" i="22"/>
  <c r="R342" i="22"/>
  <c r="P342" i="22"/>
  <c r="A342" i="22"/>
  <c r="R341" i="22"/>
  <c r="P341" i="22"/>
  <c r="A341" i="22"/>
  <c r="R340" i="22"/>
  <c r="P340" i="22"/>
  <c r="A340" i="22"/>
  <c r="R339" i="22"/>
  <c r="P339" i="22"/>
  <c r="A339" i="22"/>
  <c r="R338" i="22"/>
  <c r="P338" i="22"/>
  <c r="A338" i="22"/>
  <c r="R337" i="22"/>
  <c r="P337" i="22"/>
  <c r="A337" i="22"/>
  <c r="R336" i="22"/>
  <c r="P336" i="22"/>
  <c r="A336" i="22"/>
  <c r="R335" i="22"/>
  <c r="P335" i="22"/>
  <c r="A335" i="22"/>
  <c r="R334" i="22"/>
  <c r="P334" i="22"/>
  <c r="A334" i="22"/>
  <c r="R333" i="22"/>
  <c r="P333" i="22"/>
  <c r="A333" i="22"/>
  <c r="R332" i="22"/>
  <c r="P332" i="22"/>
  <c r="A332" i="22"/>
  <c r="R331" i="22"/>
  <c r="P331" i="22"/>
  <c r="A331" i="22"/>
  <c r="R330" i="22"/>
  <c r="P330" i="22"/>
  <c r="A330" i="22"/>
  <c r="R329" i="22"/>
  <c r="P329" i="22"/>
  <c r="A329" i="22"/>
  <c r="R328" i="22"/>
  <c r="P328" i="22"/>
  <c r="A328" i="22"/>
  <c r="R327" i="22"/>
  <c r="P327" i="22"/>
  <c r="A327" i="22"/>
  <c r="R326" i="22"/>
  <c r="P326" i="22"/>
  <c r="A326" i="22"/>
  <c r="R325" i="22"/>
  <c r="P325" i="22"/>
  <c r="A325" i="22"/>
  <c r="R324" i="22"/>
  <c r="P324" i="22"/>
  <c r="A324" i="22"/>
  <c r="R323" i="22"/>
  <c r="P323" i="22"/>
  <c r="A323" i="22"/>
  <c r="R322" i="22"/>
  <c r="P322" i="22"/>
  <c r="A322" i="22"/>
  <c r="R321" i="22"/>
  <c r="P321" i="22"/>
  <c r="A321" i="22"/>
  <c r="R320" i="22"/>
  <c r="P320" i="22"/>
  <c r="A320" i="22"/>
  <c r="R319" i="22"/>
  <c r="P319" i="22"/>
  <c r="A319" i="22"/>
  <c r="R318" i="22"/>
  <c r="P318" i="22"/>
  <c r="A318" i="22"/>
  <c r="R317" i="22"/>
  <c r="P317" i="22"/>
  <c r="A317" i="22"/>
  <c r="R316" i="22"/>
  <c r="P316" i="22"/>
  <c r="A316" i="22"/>
  <c r="R315" i="22"/>
  <c r="P315" i="22"/>
  <c r="A315" i="22"/>
  <c r="R314" i="22"/>
  <c r="P314" i="22"/>
  <c r="A314" i="22"/>
  <c r="R313" i="22"/>
  <c r="P313" i="22"/>
  <c r="A313" i="22"/>
  <c r="R312" i="22"/>
  <c r="P312" i="22"/>
  <c r="A312" i="22"/>
  <c r="R311" i="22"/>
  <c r="P311" i="22"/>
  <c r="A311" i="22"/>
  <c r="R310" i="22"/>
  <c r="P310" i="22"/>
  <c r="A310" i="22"/>
  <c r="R309" i="22"/>
  <c r="P309" i="22"/>
  <c r="A309" i="22"/>
  <c r="R308" i="22"/>
  <c r="P308" i="22"/>
  <c r="A308" i="22"/>
  <c r="R307" i="22"/>
  <c r="P307" i="22"/>
  <c r="A307" i="22"/>
  <c r="R306" i="22"/>
  <c r="P306" i="22"/>
  <c r="A306" i="22"/>
  <c r="R305" i="22"/>
  <c r="P305" i="22"/>
  <c r="A305" i="22"/>
  <c r="R304" i="22"/>
  <c r="P304" i="22"/>
  <c r="A304" i="22"/>
  <c r="R303" i="22"/>
  <c r="P303" i="22"/>
  <c r="A303" i="22"/>
  <c r="R302" i="22"/>
  <c r="P302" i="22"/>
  <c r="A302" i="22"/>
  <c r="R301" i="22"/>
  <c r="P301" i="22"/>
  <c r="A301" i="22"/>
  <c r="R300" i="22"/>
  <c r="P300" i="22"/>
  <c r="A300" i="22"/>
  <c r="R299" i="22"/>
  <c r="P299" i="22"/>
  <c r="A299" i="22"/>
  <c r="R298" i="22"/>
  <c r="P298" i="22"/>
  <c r="A298" i="22"/>
  <c r="R297" i="22"/>
  <c r="P297" i="22"/>
  <c r="A297" i="22"/>
  <c r="R296" i="22"/>
  <c r="P296" i="22"/>
  <c r="A296" i="22"/>
  <c r="R295" i="22"/>
  <c r="P295" i="22"/>
  <c r="A295" i="22"/>
  <c r="R294" i="22"/>
  <c r="P294" i="22"/>
  <c r="A294" i="22"/>
  <c r="R293" i="22"/>
  <c r="P293" i="22"/>
  <c r="A293" i="22"/>
  <c r="R292" i="22"/>
  <c r="P292" i="22"/>
  <c r="A292" i="22"/>
  <c r="R291" i="22"/>
  <c r="P291" i="22"/>
  <c r="A291" i="22"/>
  <c r="R290" i="22"/>
  <c r="P290" i="22"/>
  <c r="A290" i="22"/>
  <c r="R289" i="22"/>
  <c r="P289" i="22"/>
  <c r="A289" i="22"/>
  <c r="R288" i="22"/>
  <c r="P288" i="22"/>
  <c r="A288" i="22"/>
  <c r="R287" i="22"/>
  <c r="P287" i="22"/>
  <c r="A287" i="22"/>
  <c r="R286" i="22"/>
  <c r="P286" i="22"/>
  <c r="A286" i="22"/>
  <c r="R285" i="22"/>
  <c r="P285" i="22"/>
  <c r="A285" i="22"/>
  <c r="R284" i="22"/>
  <c r="P284" i="22"/>
  <c r="A284" i="22"/>
  <c r="R283" i="22"/>
  <c r="P283" i="22"/>
  <c r="A283" i="22"/>
  <c r="R282" i="22"/>
  <c r="P282" i="22"/>
  <c r="A282" i="22"/>
  <c r="R281" i="22"/>
  <c r="P281" i="22"/>
  <c r="A281" i="22"/>
  <c r="R280" i="22"/>
  <c r="P280" i="22"/>
  <c r="A280" i="22"/>
  <c r="R279" i="22"/>
  <c r="P279" i="22"/>
  <c r="A279" i="22"/>
  <c r="R278" i="22"/>
  <c r="P278" i="22"/>
  <c r="A278" i="22"/>
  <c r="R277" i="22"/>
  <c r="P277" i="22"/>
  <c r="A277" i="22"/>
  <c r="R276" i="22"/>
  <c r="P276" i="22"/>
  <c r="A276" i="22"/>
  <c r="R275" i="22"/>
  <c r="P275" i="22"/>
  <c r="A275" i="22"/>
  <c r="R274" i="22"/>
  <c r="P274" i="22"/>
  <c r="G274" i="22"/>
  <c r="A274" i="22"/>
  <c r="R273" i="22"/>
  <c r="P273" i="22"/>
  <c r="G273" i="22"/>
  <c r="A273" i="22"/>
  <c r="R272" i="22"/>
  <c r="P272" i="22"/>
  <c r="G272" i="22"/>
  <c r="A272" i="22"/>
  <c r="R271" i="22"/>
  <c r="P271" i="22"/>
  <c r="G271" i="22"/>
  <c r="A271" i="22"/>
  <c r="R270" i="22"/>
  <c r="P270" i="22"/>
  <c r="G270" i="22"/>
  <c r="A270" i="22"/>
  <c r="R269" i="22"/>
  <c r="P269" i="22"/>
  <c r="G269" i="22"/>
  <c r="A269" i="22"/>
  <c r="R268" i="22"/>
  <c r="P268" i="22"/>
  <c r="G268" i="22"/>
  <c r="A268" i="22"/>
  <c r="R267" i="22"/>
  <c r="P267" i="22"/>
  <c r="G267" i="22"/>
  <c r="A267" i="22"/>
  <c r="R266" i="22"/>
  <c r="P266" i="22"/>
  <c r="G266" i="22"/>
  <c r="A266" i="22"/>
  <c r="R265" i="22"/>
  <c r="P265" i="22"/>
  <c r="G265" i="22"/>
  <c r="A265" i="22"/>
  <c r="R264" i="22"/>
  <c r="P264" i="22"/>
  <c r="G264" i="22"/>
  <c r="A264" i="22"/>
  <c r="R263" i="22"/>
  <c r="P263" i="22"/>
  <c r="A263" i="22"/>
  <c r="R262" i="22"/>
  <c r="P262" i="22"/>
  <c r="G262" i="22"/>
  <c r="A262" i="22"/>
  <c r="R261" i="22"/>
  <c r="P261" i="22"/>
  <c r="G261" i="22"/>
  <c r="A261" i="22"/>
  <c r="R260" i="22"/>
  <c r="P260" i="22"/>
  <c r="G260" i="22"/>
  <c r="A260" i="22"/>
  <c r="R259" i="22"/>
  <c r="P259" i="22"/>
  <c r="G259" i="22"/>
  <c r="A259" i="22"/>
  <c r="R258" i="22"/>
  <c r="P258" i="22"/>
  <c r="G258" i="22"/>
  <c r="A258" i="22"/>
  <c r="R257" i="22"/>
  <c r="P257" i="22"/>
  <c r="G257" i="22"/>
  <c r="A257" i="22"/>
  <c r="R256" i="22"/>
  <c r="P256" i="22"/>
  <c r="G256" i="22"/>
  <c r="A256" i="22"/>
  <c r="R255" i="22"/>
  <c r="P255" i="22"/>
  <c r="G255" i="22"/>
  <c r="A255" i="22"/>
  <c r="R254" i="22"/>
  <c r="P254" i="22"/>
  <c r="G254" i="22"/>
  <c r="A254" i="22"/>
  <c r="R253" i="22"/>
  <c r="P253" i="22"/>
  <c r="G253" i="22"/>
  <c r="A253" i="22"/>
  <c r="R252" i="22"/>
  <c r="P252" i="22"/>
  <c r="G252" i="22"/>
  <c r="A252" i="22"/>
  <c r="R251" i="22"/>
  <c r="P251" i="22"/>
  <c r="G251" i="22"/>
  <c r="A251" i="22"/>
  <c r="R250" i="22"/>
  <c r="P250" i="22"/>
  <c r="A250" i="22"/>
  <c r="R249" i="22"/>
  <c r="P249" i="22"/>
  <c r="G249" i="22"/>
  <c r="A249" i="22"/>
  <c r="R248" i="22"/>
  <c r="P248" i="22"/>
  <c r="G248" i="22"/>
  <c r="A248" i="22"/>
  <c r="R247" i="22"/>
  <c r="P247" i="22"/>
  <c r="G247" i="22"/>
  <c r="A247" i="22"/>
  <c r="R246" i="22"/>
  <c r="P246" i="22"/>
  <c r="G246" i="22"/>
  <c r="A246" i="22"/>
  <c r="R245" i="22"/>
  <c r="P245" i="22"/>
  <c r="G245" i="22"/>
  <c r="A245" i="22"/>
  <c r="R244" i="22"/>
  <c r="P244" i="22"/>
  <c r="G244" i="22"/>
  <c r="A244" i="22"/>
  <c r="R243" i="22"/>
  <c r="P243" i="22"/>
  <c r="G243" i="22"/>
  <c r="A243" i="22"/>
  <c r="R242" i="22"/>
  <c r="P242" i="22"/>
  <c r="G242" i="22"/>
  <c r="A242" i="22"/>
  <c r="R241" i="22"/>
  <c r="P241" i="22"/>
  <c r="G241" i="22"/>
  <c r="A241" i="22"/>
  <c r="R240" i="22"/>
  <c r="P240" i="22"/>
  <c r="G240" i="22"/>
  <c r="A240" i="22"/>
  <c r="R239" i="22"/>
  <c r="P239" i="22"/>
  <c r="G239" i="22"/>
  <c r="A239" i="22"/>
  <c r="R238" i="22"/>
  <c r="P238" i="22"/>
  <c r="G238" i="22"/>
  <c r="A238" i="22"/>
  <c r="R237" i="22"/>
  <c r="P237" i="22"/>
  <c r="A237" i="22"/>
  <c r="R236" i="22"/>
  <c r="P236" i="22"/>
  <c r="G236" i="22"/>
  <c r="A236" i="22"/>
  <c r="R235" i="22"/>
  <c r="P235" i="22"/>
  <c r="G235" i="22"/>
  <c r="A235" i="22"/>
  <c r="R234" i="22"/>
  <c r="P234" i="22"/>
  <c r="A234" i="22"/>
  <c r="R233" i="22"/>
  <c r="P233" i="22"/>
  <c r="G233" i="22"/>
  <c r="A233" i="22"/>
  <c r="R232" i="22"/>
  <c r="P232" i="22"/>
  <c r="G232" i="22"/>
  <c r="A232" i="22"/>
  <c r="R231" i="22"/>
  <c r="P231" i="22"/>
  <c r="G231" i="22"/>
  <c r="A231" i="22"/>
  <c r="R230" i="22"/>
  <c r="P230" i="22"/>
  <c r="G230" i="22"/>
  <c r="A230" i="22"/>
  <c r="R229" i="22"/>
  <c r="P229" i="22"/>
  <c r="G229" i="22"/>
  <c r="A229" i="22"/>
  <c r="R228" i="22"/>
  <c r="P228" i="22"/>
  <c r="G228" i="22"/>
  <c r="A228" i="22"/>
  <c r="R227" i="22"/>
  <c r="P227" i="22"/>
  <c r="G227" i="22"/>
  <c r="A227" i="22"/>
  <c r="R226" i="22"/>
  <c r="P226" i="22"/>
  <c r="G226" i="22"/>
  <c r="A226" i="22"/>
  <c r="R225" i="22"/>
  <c r="P225" i="22"/>
  <c r="G225" i="22"/>
  <c r="A225" i="22"/>
  <c r="R224" i="22"/>
  <c r="P224" i="22"/>
  <c r="A224" i="22"/>
  <c r="R223" i="22"/>
  <c r="P223" i="22"/>
  <c r="A223" i="22"/>
  <c r="R222" i="22"/>
  <c r="P222" i="22"/>
  <c r="A222" i="22"/>
  <c r="R221" i="22"/>
  <c r="P221" i="22"/>
  <c r="A221" i="22"/>
  <c r="R220" i="22"/>
  <c r="P220" i="22"/>
  <c r="A220" i="22"/>
  <c r="R219" i="22"/>
  <c r="P219" i="22"/>
  <c r="A219" i="22"/>
  <c r="R218" i="22"/>
  <c r="P218" i="22"/>
  <c r="A218" i="22"/>
  <c r="R217" i="22"/>
  <c r="P217" i="22"/>
  <c r="A217" i="22"/>
  <c r="R216" i="22"/>
  <c r="P216" i="22"/>
  <c r="A216" i="22"/>
  <c r="R215" i="22"/>
  <c r="P215" i="22"/>
  <c r="A215" i="22"/>
  <c r="R214" i="22"/>
  <c r="P214" i="22"/>
  <c r="A214" i="22"/>
  <c r="R213" i="22"/>
  <c r="P213" i="22"/>
  <c r="A213" i="22"/>
  <c r="R212" i="22"/>
  <c r="P212" i="22"/>
  <c r="A212" i="22"/>
  <c r="R211" i="22"/>
  <c r="P211" i="22"/>
  <c r="A211" i="22"/>
  <c r="R210" i="22"/>
  <c r="P210" i="22"/>
  <c r="A210" i="22"/>
  <c r="R209" i="22"/>
  <c r="P209" i="22"/>
  <c r="A209" i="22"/>
  <c r="R208" i="22"/>
  <c r="P208" i="22"/>
  <c r="A208" i="22"/>
  <c r="R207" i="22"/>
  <c r="P207" i="22"/>
  <c r="A207" i="22"/>
  <c r="R206" i="22"/>
  <c r="P206" i="22"/>
  <c r="A206" i="22"/>
  <c r="R205" i="22"/>
  <c r="P205" i="22"/>
  <c r="A205" i="22"/>
  <c r="R204" i="22"/>
  <c r="P204" i="22"/>
  <c r="G204" i="22"/>
  <c r="A204" i="22"/>
  <c r="R203" i="22"/>
  <c r="P203" i="22"/>
  <c r="G203" i="22"/>
  <c r="A203" i="22"/>
  <c r="R202" i="22"/>
  <c r="P202" i="22"/>
  <c r="G202" i="22"/>
  <c r="A202" i="22"/>
  <c r="R201" i="22"/>
  <c r="P201" i="22"/>
  <c r="G201" i="22"/>
  <c r="A201" i="22"/>
  <c r="R200" i="22"/>
  <c r="P200" i="22"/>
  <c r="G200" i="22"/>
  <c r="A200" i="22"/>
  <c r="R199" i="22"/>
  <c r="P199" i="22"/>
  <c r="G199" i="22"/>
  <c r="A199" i="22"/>
  <c r="R198" i="22"/>
  <c r="P198" i="22"/>
  <c r="G198" i="22"/>
  <c r="A198" i="22"/>
  <c r="R197" i="22"/>
  <c r="P197" i="22"/>
  <c r="G197" i="22"/>
  <c r="A197" i="22"/>
  <c r="R196" i="22"/>
  <c r="P196" i="22"/>
  <c r="G196" i="22"/>
  <c r="A196" i="22"/>
  <c r="R195" i="22"/>
  <c r="P195" i="22"/>
  <c r="G195" i="22"/>
  <c r="A195" i="22"/>
  <c r="R194" i="22"/>
  <c r="P194" i="22"/>
  <c r="G194" i="22"/>
  <c r="A194" i="22"/>
  <c r="R193" i="22"/>
  <c r="P193" i="22"/>
  <c r="G193" i="22"/>
  <c r="A193" i="22"/>
  <c r="R192" i="22"/>
  <c r="P192" i="22"/>
  <c r="G192" i="22"/>
  <c r="A192" i="22"/>
  <c r="R191" i="22"/>
  <c r="P191" i="22"/>
  <c r="G191" i="22"/>
  <c r="A191" i="22"/>
  <c r="R190" i="22"/>
  <c r="P190" i="22"/>
  <c r="A190" i="22"/>
  <c r="R189" i="22"/>
  <c r="P189" i="22"/>
  <c r="A189" i="22"/>
  <c r="R188" i="22"/>
  <c r="P188" i="22"/>
  <c r="A188" i="22"/>
  <c r="R187" i="22"/>
  <c r="P187" i="22"/>
  <c r="A187" i="22"/>
  <c r="R186" i="22"/>
  <c r="P186" i="22"/>
  <c r="A186" i="22"/>
  <c r="R185" i="22"/>
  <c r="P185" i="22"/>
  <c r="A185" i="22"/>
  <c r="R184" i="22"/>
  <c r="P184" i="22"/>
  <c r="A184" i="22"/>
  <c r="R183" i="22"/>
  <c r="P183" i="22"/>
  <c r="G183" i="22"/>
  <c r="A183" i="22"/>
  <c r="R182" i="22"/>
  <c r="P182" i="22"/>
  <c r="G182" i="22"/>
  <c r="A182" i="22"/>
  <c r="R181" i="22"/>
  <c r="P181" i="22"/>
  <c r="G181" i="22"/>
  <c r="A181" i="22"/>
  <c r="R180" i="22"/>
  <c r="P180" i="22"/>
  <c r="G180" i="22"/>
  <c r="A180" i="22"/>
  <c r="R179" i="22"/>
  <c r="P179" i="22"/>
  <c r="G179" i="22"/>
  <c r="A179" i="22"/>
  <c r="R178" i="22"/>
  <c r="P178" i="22"/>
  <c r="G178" i="22"/>
  <c r="A178" i="22"/>
  <c r="R177" i="22"/>
  <c r="P177" i="22"/>
  <c r="G177" i="22"/>
  <c r="A177" i="22"/>
  <c r="R176" i="22"/>
  <c r="P176" i="22"/>
  <c r="G176" i="22"/>
  <c r="A176" i="22"/>
  <c r="R175" i="22"/>
  <c r="P175" i="22"/>
  <c r="G175" i="22"/>
  <c r="A175" i="22"/>
  <c r="R174" i="22"/>
  <c r="P174" i="22"/>
  <c r="G174" i="22"/>
  <c r="A174" i="22"/>
  <c r="R173" i="22"/>
  <c r="P173" i="22"/>
  <c r="G173" i="22"/>
  <c r="A173" i="22"/>
  <c r="R172" i="22"/>
  <c r="P172" i="22"/>
  <c r="G172" i="22"/>
  <c r="A172" i="22"/>
  <c r="R171" i="22"/>
  <c r="P171" i="22"/>
  <c r="G171" i="22"/>
  <c r="A171" i="22"/>
  <c r="R170" i="22"/>
  <c r="P170" i="22"/>
  <c r="G170" i="22"/>
  <c r="A170" i="22"/>
  <c r="R169" i="22"/>
  <c r="P169" i="22"/>
  <c r="G169" i="22"/>
  <c r="A169" i="22"/>
  <c r="R168" i="22"/>
  <c r="P168" i="22"/>
  <c r="G168" i="22"/>
  <c r="A168" i="22"/>
  <c r="R167" i="22"/>
  <c r="P167" i="22"/>
  <c r="A167" i="22"/>
  <c r="R166" i="22"/>
  <c r="P166" i="22"/>
  <c r="A166" i="22"/>
  <c r="R165" i="22"/>
  <c r="P165" i="22"/>
  <c r="A165" i="22"/>
  <c r="R164" i="22"/>
  <c r="P164" i="22"/>
  <c r="A164" i="22"/>
  <c r="R163" i="22"/>
  <c r="P163" i="22"/>
  <c r="A163" i="22"/>
  <c r="R162" i="22"/>
  <c r="P162" i="22"/>
  <c r="A162" i="22"/>
  <c r="R161" i="22"/>
  <c r="P161" i="22"/>
  <c r="A161" i="22"/>
  <c r="R160" i="22"/>
  <c r="P160" i="22"/>
  <c r="A160" i="22"/>
  <c r="R159" i="22"/>
  <c r="P159" i="22"/>
  <c r="A159" i="22"/>
  <c r="R158" i="22"/>
  <c r="P158" i="22"/>
  <c r="A158" i="22"/>
  <c r="R157" i="22"/>
  <c r="P157" i="22"/>
  <c r="A157" i="22"/>
  <c r="R156" i="22"/>
  <c r="P156" i="22"/>
  <c r="A156" i="22"/>
  <c r="R155" i="22"/>
  <c r="P155" i="22"/>
  <c r="A155" i="22"/>
  <c r="R154" i="22"/>
  <c r="P154" i="22"/>
  <c r="A154" i="22"/>
  <c r="R153" i="22"/>
  <c r="P153" i="22"/>
  <c r="A153" i="22"/>
  <c r="R152" i="22"/>
  <c r="P152" i="22"/>
  <c r="A152" i="22"/>
  <c r="R151" i="22"/>
  <c r="P151" i="22"/>
  <c r="A151" i="22"/>
  <c r="R150" i="22"/>
  <c r="P150" i="22"/>
  <c r="A150" i="22"/>
  <c r="R149" i="22"/>
  <c r="P149" i="22"/>
  <c r="A149" i="22"/>
  <c r="R148" i="22"/>
  <c r="P148" i="22"/>
  <c r="A148" i="22"/>
  <c r="R147" i="22"/>
  <c r="P147" i="22"/>
  <c r="A147" i="22"/>
  <c r="R146" i="22"/>
  <c r="P146" i="22"/>
  <c r="A146" i="22"/>
  <c r="R145" i="22"/>
  <c r="P145" i="22"/>
  <c r="A145" i="22"/>
  <c r="R144" i="22"/>
  <c r="P144" i="22"/>
  <c r="A144" i="22"/>
  <c r="R143" i="22"/>
  <c r="P143" i="22"/>
  <c r="A143" i="22"/>
  <c r="R142" i="22"/>
  <c r="P142" i="22"/>
  <c r="A142" i="22"/>
  <c r="R141" i="22"/>
  <c r="P141" i="22"/>
  <c r="A141" i="22"/>
  <c r="R140" i="22"/>
  <c r="P140" i="22"/>
  <c r="A140" i="22"/>
  <c r="R139" i="22"/>
  <c r="P139" i="22"/>
  <c r="A139" i="22"/>
  <c r="R138" i="22"/>
  <c r="P138" i="22"/>
  <c r="A138" i="22"/>
  <c r="R137" i="22"/>
  <c r="P137" i="22"/>
  <c r="A137" i="22"/>
  <c r="R136" i="22"/>
  <c r="P136" i="22"/>
  <c r="A136" i="22"/>
  <c r="R135" i="22"/>
  <c r="P135" i="22"/>
  <c r="A135" i="22"/>
  <c r="R134" i="22"/>
  <c r="P134" i="22"/>
  <c r="A134" i="22"/>
  <c r="R133" i="22"/>
  <c r="P133" i="22"/>
  <c r="A133" i="22"/>
  <c r="R132" i="22"/>
  <c r="P132" i="22"/>
  <c r="A132" i="22"/>
  <c r="R131" i="22"/>
  <c r="P131" i="22"/>
  <c r="A131" i="22"/>
  <c r="R130" i="22"/>
  <c r="P130" i="22"/>
  <c r="A130" i="22"/>
  <c r="R129" i="22"/>
  <c r="P129" i="22"/>
  <c r="A129" i="22"/>
  <c r="R128" i="22"/>
  <c r="P128" i="22"/>
  <c r="A128" i="22"/>
  <c r="R127" i="22"/>
  <c r="P127" i="22"/>
  <c r="A127" i="22"/>
  <c r="R126" i="22"/>
  <c r="P126" i="22"/>
  <c r="A126" i="22"/>
  <c r="R125" i="22"/>
  <c r="P125" i="22"/>
  <c r="A125" i="22"/>
  <c r="R124" i="22"/>
  <c r="P124" i="22"/>
  <c r="A124" i="22"/>
  <c r="R123" i="22"/>
  <c r="P123" i="22"/>
  <c r="A123" i="22"/>
  <c r="R122" i="22"/>
  <c r="P122" i="22"/>
  <c r="A122" i="22"/>
  <c r="R121" i="22"/>
  <c r="P121" i="22"/>
  <c r="A121" i="22"/>
  <c r="R120" i="22"/>
  <c r="P120" i="22"/>
  <c r="A120" i="22"/>
  <c r="R119" i="22"/>
  <c r="P119" i="22"/>
  <c r="A119" i="22"/>
  <c r="R118" i="22"/>
  <c r="P118" i="22"/>
  <c r="A118" i="22"/>
  <c r="R117" i="22"/>
  <c r="P117" i="22"/>
  <c r="A117" i="22"/>
  <c r="R116" i="22"/>
  <c r="P116" i="22"/>
  <c r="A116" i="22"/>
  <c r="R115" i="22"/>
  <c r="P115" i="22"/>
  <c r="A115" i="22"/>
  <c r="R114" i="22"/>
  <c r="P114" i="22"/>
  <c r="A114" i="22"/>
  <c r="R113" i="22"/>
  <c r="P113" i="22"/>
  <c r="A113" i="22"/>
  <c r="R112" i="22"/>
  <c r="P112" i="22"/>
  <c r="A112" i="22"/>
  <c r="R111" i="22"/>
  <c r="P111" i="22"/>
  <c r="A111" i="22"/>
  <c r="R110" i="22"/>
  <c r="P110" i="22"/>
  <c r="A110" i="22"/>
  <c r="R109" i="22"/>
  <c r="P109" i="22"/>
  <c r="A109" i="22"/>
  <c r="R108" i="22"/>
  <c r="P108" i="22"/>
  <c r="A108" i="22"/>
  <c r="R107" i="22"/>
  <c r="P107" i="22"/>
  <c r="A107" i="22"/>
  <c r="R106" i="22"/>
  <c r="P106" i="22"/>
  <c r="A106" i="22"/>
  <c r="R105" i="22"/>
  <c r="P105" i="22"/>
  <c r="A105" i="22"/>
  <c r="R104" i="22"/>
  <c r="P104" i="22"/>
  <c r="A104" i="22"/>
  <c r="R103" i="22"/>
  <c r="P103" i="22"/>
  <c r="A103" i="22"/>
  <c r="R102" i="22"/>
  <c r="P102" i="22"/>
  <c r="A102" i="22"/>
  <c r="R101" i="22"/>
  <c r="P101" i="22"/>
  <c r="A101" i="22"/>
  <c r="R100" i="22"/>
  <c r="P100" i="22"/>
  <c r="A100" i="22"/>
  <c r="R99" i="22"/>
  <c r="P99" i="22"/>
  <c r="A99" i="22"/>
  <c r="R98" i="22"/>
  <c r="P98" i="22"/>
  <c r="A98" i="22"/>
  <c r="R97" i="22"/>
  <c r="P97" i="22"/>
  <c r="A97" i="22"/>
  <c r="R96" i="22"/>
  <c r="P96" i="22"/>
  <c r="A96" i="22"/>
  <c r="R95" i="22"/>
  <c r="P95" i="22"/>
  <c r="A95" i="22"/>
  <c r="R94" i="22"/>
  <c r="P94" i="22"/>
  <c r="A94" i="22"/>
  <c r="R93" i="22"/>
  <c r="P93" i="22"/>
  <c r="A93" i="22"/>
  <c r="R92" i="22"/>
  <c r="P92" i="22"/>
  <c r="A92" i="22"/>
  <c r="R91" i="22"/>
  <c r="P91" i="22"/>
  <c r="A91" i="22"/>
  <c r="R90" i="22"/>
  <c r="P90" i="22"/>
  <c r="A90" i="22"/>
  <c r="R89" i="22"/>
  <c r="P89" i="22"/>
  <c r="A89" i="22"/>
  <c r="R88" i="22"/>
  <c r="P88" i="22"/>
  <c r="A88" i="22"/>
  <c r="R87" i="22"/>
  <c r="P87" i="22"/>
  <c r="A87" i="22"/>
  <c r="R86" i="22"/>
  <c r="P86" i="22"/>
  <c r="A86" i="22"/>
  <c r="R85" i="22"/>
  <c r="P85" i="22"/>
  <c r="A85" i="22"/>
  <c r="R84" i="22"/>
  <c r="P84" i="22"/>
  <c r="A84" i="22"/>
  <c r="R83" i="22"/>
  <c r="P83" i="22"/>
  <c r="A83" i="22"/>
  <c r="R82" i="22"/>
  <c r="P82" i="22"/>
  <c r="A82" i="22"/>
  <c r="R81" i="22"/>
  <c r="P81" i="22"/>
  <c r="A81" i="22"/>
  <c r="R80" i="22"/>
  <c r="P80" i="22"/>
  <c r="A80" i="22"/>
  <c r="R79" i="22"/>
  <c r="P79" i="22"/>
  <c r="A79" i="22"/>
  <c r="R78" i="22"/>
  <c r="P78" i="22"/>
  <c r="A78" i="22"/>
  <c r="R77" i="22"/>
  <c r="P77" i="22"/>
  <c r="A77" i="22"/>
  <c r="R76" i="22"/>
  <c r="P76" i="22"/>
  <c r="A76" i="22"/>
  <c r="R75" i="22"/>
  <c r="P75" i="22"/>
  <c r="A75" i="22"/>
  <c r="R74" i="22"/>
  <c r="P74" i="22"/>
  <c r="A74" i="22"/>
  <c r="R73" i="22"/>
  <c r="P73" i="22"/>
  <c r="A73" i="22"/>
  <c r="R72" i="22"/>
  <c r="P72" i="22"/>
  <c r="A72" i="22"/>
  <c r="R71" i="22"/>
  <c r="P71" i="22"/>
  <c r="A71" i="22"/>
  <c r="R70" i="22"/>
  <c r="P70" i="22"/>
  <c r="A70" i="22"/>
  <c r="R69" i="22"/>
  <c r="P69" i="22"/>
  <c r="A69" i="22"/>
  <c r="R68" i="22"/>
  <c r="P68" i="22"/>
  <c r="A68" i="22"/>
  <c r="R67" i="22"/>
  <c r="P67" i="22"/>
  <c r="A67" i="22"/>
  <c r="R66" i="22"/>
  <c r="P66" i="22"/>
  <c r="A66" i="22"/>
  <c r="R65" i="22"/>
  <c r="P65" i="22"/>
  <c r="A65" i="22"/>
  <c r="R64" i="22"/>
  <c r="P64" i="22"/>
  <c r="A64" i="22"/>
  <c r="R63" i="22"/>
  <c r="P63" i="22"/>
  <c r="A63" i="22"/>
  <c r="R62" i="22"/>
  <c r="P62" i="22"/>
  <c r="A62" i="22"/>
  <c r="R61" i="22"/>
  <c r="P61" i="22"/>
  <c r="A61" i="22"/>
  <c r="R60" i="22"/>
  <c r="P60" i="22"/>
  <c r="A60" i="22"/>
  <c r="R59" i="22"/>
  <c r="P59" i="22"/>
  <c r="A59" i="22"/>
  <c r="R58" i="22"/>
  <c r="P58" i="22"/>
  <c r="A58" i="22"/>
  <c r="R57" i="22"/>
  <c r="P57" i="22"/>
  <c r="A57" i="22"/>
  <c r="R56" i="22"/>
  <c r="P56" i="22"/>
  <c r="A56" i="22"/>
  <c r="R55" i="22"/>
  <c r="P55" i="22"/>
  <c r="A55" i="22"/>
  <c r="R54" i="22"/>
  <c r="P54" i="22"/>
  <c r="A54" i="22"/>
  <c r="R53" i="22"/>
  <c r="P53" i="22"/>
  <c r="A53" i="22"/>
  <c r="R52" i="22"/>
  <c r="P52" i="22"/>
  <c r="A52" i="22"/>
  <c r="R51" i="22"/>
  <c r="P51" i="22"/>
  <c r="A51" i="22"/>
  <c r="R50" i="22"/>
  <c r="P50" i="22"/>
  <c r="A50" i="22"/>
  <c r="R49" i="22"/>
  <c r="P49" i="22"/>
  <c r="A49" i="22"/>
  <c r="R48" i="22"/>
  <c r="P48" i="22"/>
  <c r="A48" i="22"/>
  <c r="R47" i="22"/>
  <c r="P47" i="22"/>
  <c r="A47" i="22"/>
  <c r="R46" i="22"/>
  <c r="P46" i="22"/>
  <c r="A46" i="22"/>
  <c r="R45" i="22"/>
  <c r="P45" i="22"/>
  <c r="A45" i="22"/>
  <c r="R44" i="22"/>
  <c r="P44" i="22"/>
  <c r="A44" i="22"/>
  <c r="R43" i="22"/>
  <c r="P43" i="22"/>
  <c r="A43" i="22"/>
  <c r="R42" i="22"/>
  <c r="P42" i="22"/>
  <c r="A42" i="22"/>
  <c r="R41" i="22"/>
  <c r="P41" i="22"/>
  <c r="A41" i="22"/>
  <c r="R40" i="22"/>
  <c r="P40" i="22"/>
  <c r="A40" i="22"/>
  <c r="R39" i="22"/>
  <c r="P39" i="22"/>
  <c r="A39" i="22"/>
  <c r="R38" i="22"/>
  <c r="P38" i="22"/>
  <c r="A38" i="22"/>
  <c r="R37" i="22"/>
  <c r="P37" i="22"/>
  <c r="A37" i="22"/>
  <c r="R36" i="22"/>
  <c r="P36" i="22"/>
  <c r="A36" i="22"/>
  <c r="R35" i="22"/>
  <c r="P35" i="22"/>
  <c r="A35" i="22"/>
  <c r="R34" i="22"/>
  <c r="P34" i="22"/>
  <c r="A34" i="22"/>
  <c r="R33" i="22"/>
  <c r="P33" i="22"/>
  <c r="A33" i="22"/>
  <c r="R32" i="22"/>
  <c r="P32" i="22"/>
  <c r="A32" i="22"/>
  <c r="R31" i="22"/>
  <c r="P31" i="22"/>
  <c r="A31" i="22"/>
  <c r="R30" i="22"/>
  <c r="P30" i="22"/>
  <c r="A30" i="22"/>
  <c r="R29" i="22"/>
  <c r="P29" i="22"/>
  <c r="A29" i="22"/>
  <c r="R28" i="22"/>
  <c r="P28" i="22"/>
  <c r="A28" i="22"/>
  <c r="R27" i="22"/>
  <c r="P27" i="22"/>
  <c r="A27" i="22"/>
  <c r="R26" i="22"/>
  <c r="P26" i="22"/>
  <c r="A26" i="22"/>
  <c r="R25" i="22"/>
  <c r="P25" i="22"/>
  <c r="A25" i="22"/>
  <c r="R24" i="22"/>
  <c r="P24" i="22"/>
  <c r="A24" i="22"/>
  <c r="R23" i="22"/>
  <c r="P23" i="22"/>
  <c r="A23" i="22"/>
  <c r="R22" i="22"/>
  <c r="P22" i="22"/>
  <c r="A22" i="22"/>
  <c r="R21" i="22"/>
  <c r="P21" i="22"/>
  <c r="A21" i="22"/>
  <c r="R20" i="22"/>
  <c r="P20" i="22"/>
  <c r="A20" i="22"/>
  <c r="R19" i="22"/>
  <c r="P19" i="22"/>
  <c r="A19" i="22"/>
  <c r="R18" i="22"/>
  <c r="P18" i="22"/>
  <c r="A18" i="22"/>
  <c r="R17" i="22"/>
  <c r="P17" i="22"/>
  <c r="A17" i="22"/>
  <c r="R16" i="22"/>
  <c r="P16" i="22"/>
  <c r="A16" i="22"/>
  <c r="R15" i="22"/>
  <c r="P15" i="22"/>
  <c r="A15" i="22"/>
  <c r="R14" i="22"/>
  <c r="P14" i="22"/>
  <c r="A14" i="22"/>
  <c r="R13" i="22"/>
  <c r="P13" i="22"/>
  <c r="A13" i="22"/>
  <c r="R12" i="22"/>
  <c r="P12" i="22"/>
  <c r="A12" i="22"/>
  <c r="R11" i="22"/>
  <c r="P11" i="22"/>
  <c r="A11" i="22"/>
  <c r="A10" i="22"/>
  <c r="B6" i="22"/>
  <c r="B5" i="22"/>
  <c r="W4" i="22"/>
  <c r="V4" i="22"/>
  <c r="U4" i="22"/>
  <c r="T4" i="22"/>
  <c r="R4" i="22"/>
  <c r="Q4" i="22"/>
  <c r="P4" i="22"/>
  <c r="O4" i="22"/>
  <c r="M4" i="22"/>
  <c r="L4" i="22"/>
  <c r="J4" i="22"/>
  <c r="I4" i="22"/>
  <c r="G4" i="22"/>
  <c r="F4" i="22"/>
  <c r="E4" i="22"/>
  <c r="D4" i="22"/>
  <c r="C4" i="22"/>
  <c r="A2057" i="21"/>
  <c r="A2056" i="21"/>
  <c r="A2055" i="21"/>
  <c r="A2054" i="21"/>
  <c r="A2053" i="21"/>
  <c r="A2052" i="21"/>
  <c r="A2051" i="21"/>
  <c r="A2050" i="21"/>
  <c r="A2049" i="21"/>
  <c r="A2048" i="21"/>
  <c r="A2047" i="21"/>
  <c r="A2046" i="21"/>
  <c r="A2045" i="21"/>
  <c r="A2044" i="21"/>
  <c r="A2043" i="21"/>
  <c r="A2042" i="21"/>
  <c r="R2041" i="21"/>
  <c r="P2041" i="21"/>
  <c r="A2041" i="21"/>
  <c r="R2040" i="21"/>
  <c r="P2040" i="21"/>
  <c r="A2040" i="21"/>
  <c r="R2039" i="21"/>
  <c r="P2039" i="21"/>
  <c r="A2039" i="21"/>
  <c r="R2038" i="21"/>
  <c r="P2038" i="21"/>
  <c r="A2038" i="21"/>
  <c r="R2037" i="21"/>
  <c r="P2037" i="21"/>
  <c r="A2037" i="21"/>
  <c r="R2036" i="21"/>
  <c r="P2036" i="21"/>
  <c r="A2036" i="21"/>
  <c r="R2035" i="21"/>
  <c r="P2035" i="21"/>
  <c r="A2035" i="21"/>
  <c r="R2034" i="21"/>
  <c r="P2034" i="21"/>
  <c r="A2034" i="21"/>
  <c r="R2033" i="21"/>
  <c r="P2033" i="21"/>
  <c r="A2033" i="21"/>
  <c r="R2032" i="21"/>
  <c r="P2032" i="21"/>
  <c r="A2032" i="21"/>
  <c r="R2031" i="21"/>
  <c r="P2031" i="21"/>
  <c r="A2031" i="21"/>
  <c r="R2030" i="21"/>
  <c r="P2030" i="21"/>
  <c r="A2030" i="21"/>
  <c r="R2029" i="21"/>
  <c r="P2029" i="21"/>
  <c r="A2029" i="21"/>
  <c r="R2028" i="21"/>
  <c r="P2028" i="21"/>
  <c r="A2028" i="21"/>
  <c r="R2027" i="21"/>
  <c r="P2027" i="21"/>
  <c r="A2027" i="21"/>
  <c r="R2026" i="21"/>
  <c r="P2026" i="21"/>
  <c r="A2026" i="21"/>
  <c r="R2025" i="21"/>
  <c r="P2025" i="21"/>
  <c r="A2025" i="21"/>
  <c r="R2024" i="21"/>
  <c r="P2024" i="21"/>
  <c r="A2024" i="21"/>
  <c r="R2023" i="21"/>
  <c r="P2023" i="21"/>
  <c r="A2023" i="21"/>
  <c r="R2022" i="21"/>
  <c r="P2022" i="21"/>
  <c r="A2022" i="21"/>
  <c r="R2021" i="21"/>
  <c r="P2021" i="21"/>
  <c r="A2021" i="21"/>
  <c r="R2020" i="21"/>
  <c r="P2020" i="21"/>
  <c r="A2020" i="21"/>
  <c r="R2019" i="21"/>
  <c r="P2019" i="21"/>
  <c r="A2019" i="21"/>
  <c r="R2018" i="21"/>
  <c r="P2018" i="21"/>
  <c r="A2018" i="21"/>
  <c r="R2017" i="21"/>
  <c r="P2017" i="21"/>
  <c r="A2017" i="21"/>
  <c r="R2016" i="21"/>
  <c r="P2016" i="21"/>
  <c r="A2016" i="21"/>
  <c r="R2015" i="21"/>
  <c r="P2015" i="21"/>
  <c r="A2015" i="21"/>
  <c r="R2014" i="21"/>
  <c r="P2014" i="21"/>
  <c r="A2014" i="21"/>
  <c r="R2013" i="21"/>
  <c r="P2013" i="21"/>
  <c r="A2013" i="21"/>
  <c r="R2012" i="21"/>
  <c r="P2012" i="21"/>
  <c r="A2012" i="21"/>
  <c r="R2011" i="21"/>
  <c r="P2011" i="21"/>
  <c r="A2011" i="21"/>
  <c r="R2010" i="21"/>
  <c r="P2010" i="21"/>
  <c r="A2010" i="21"/>
  <c r="R2009" i="21"/>
  <c r="P2009" i="21"/>
  <c r="A2009" i="21"/>
  <c r="R2008" i="21"/>
  <c r="P2008" i="21"/>
  <c r="A2008" i="21"/>
  <c r="R2007" i="21"/>
  <c r="P2007" i="21"/>
  <c r="A2007" i="21"/>
  <c r="R2006" i="21"/>
  <c r="P2006" i="21"/>
  <c r="A2006" i="21"/>
  <c r="R2005" i="21"/>
  <c r="P2005" i="21"/>
  <c r="A2005" i="21"/>
  <c r="R2004" i="21"/>
  <c r="P2004" i="21"/>
  <c r="A2004" i="21"/>
  <c r="R2003" i="21"/>
  <c r="P2003" i="21"/>
  <c r="A2003" i="21"/>
  <c r="R2002" i="21"/>
  <c r="P2002" i="21"/>
  <c r="A2002" i="21"/>
  <c r="R2001" i="21"/>
  <c r="P2001" i="21"/>
  <c r="A2001" i="21"/>
  <c r="R2000" i="21"/>
  <c r="P2000" i="21"/>
  <c r="A2000" i="21"/>
  <c r="R1999" i="21"/>
  <c r="P1999" i="21"/>
  <c r="A1999" i="21"/>
  <c r="R1998" i="21"/>
  <c r="P1998" i="21"/>
  <c r="A1998" i="21"/>
  <c r="R1997" i="21"/>
  <c r="P1997" i="21"/>
  <c r="A1997" i="21"/>
  <c r="R1996" i="21"/>
  <c r="P1996" i="21"/>
  <c r="A1996" i="21"/>
  <c r="R1995" i="21"/>
  <c r="P1995" i="21"/>
  <c r="A1995" i="21"/>
  <c r="R1994" i="21"/>
  <c r="P1994" i="21"/>
  <c r="A1994" i="21"/>
  <c r="R1993" i="21"/>
  <c r="P1993" i="21"/>
  <c r="A1993" i="21"/>
  <c r="R1992" i="21"/>
  <c r="P1992" i="21"/>
  <c r="A1992" i="21"/>
  <c r="R1991" i="21"/>
  <c r="P1991" i="21"/>
  <c r="A1991" i="21"/>
  <c r="R1990" i="21"/>
  <c r="P1990" i="21"/>
  <c r="A1990" i="21"/>
  <c r="R1989" i="21"/>
  <c r="P1989" i="21"/>
  <c r="A1989" i="21"/>
  <c r="R1988" i="21"/>
  <c r="P1988" i="21"/>
  <c r="A1988" i="21"/>
  <c r="R1987" i="21"/>
  <c r="P1987" i="21"/>
  <c r="A1987" i="21"/>
  <c r="R1986" i="21"/>
  <c r="P1986" i="21"/>
  <c r="A1986" i="21"/>
  <c r="R1985" i="21"/>
  <c r="P1985" i="21"/>
  <c r="A1985" i="21"/>
  <c r="R1984" i="21"/>
  <c r="P1984" i="21"/>
  <c r="A1984" i="21"/>
  <c r="R1983" i="21"/>
  <c r="P1983" i="21"/>
  <c r="A1983" i="21"/>
  <c r="R1982" i="21"/>
  <c r="P1982" i="21"/>
  <c r="A1982" i="21"/>
  <c r="R1981" i="21"/>
  <c r="P1981" i="21"/>
  <c r="A1981" i="21"/>
  <c r="R1980" i="21"/>
  <c r="P1980" i="21"/>
  <c r="A1980" i="21"/>
  <c r="R1979" i="21"/>
  <c r="P1979" i="21"/>
  <c r="A1979" i="21"/>
  <c r="R1978" i="21"/>
  <c r="P1978" i="21"/>
  <c r="A1978" i="21"/>
  <c r="R1977" i="21"/>
  <c r="P1977" i="21"/>
  <c r="A1977" i="21"/>
  <c r="R1976" i="21"/>
  <c r="P1976" i="21"/>
  <c r="A1976" i="21"/>
  <c r="R1975" i="21"/>
  <c r="P1975" i="21"/>
  <c r="A1975" i="21"/>
  <c r="R1974" i="21"/>
  <c r="P1974" i="21"/>
  <c r="A1974" i="21"/>
  <c r="R1973" i="21"/>
  <c r="P1973" i="21"/>
  <c r="A1973" i="21"/>
  <c r="R1972" i="21"/>
  <c r="P1972" i="21"/>
  <c r="A1972" i="21"/>
  <c r="R1971" i="21"/>
  <c r="P1971" i="21"/>
  <c r="A1971" i="21"/>
  <c r="R1970" i="21"/>
  <c r="P1970" i="21"/>
  <c r="A1970" i="21"/>
  <c r="R1969" i="21"/>
  <c r="P1969" i="21"/>
  <c r="A1969" i="21"/>
  <c r="R1968" i="21"/>
  <c r="P1968" i="21"/>
  <c r="A1968" i="21"/>
  <c r="R1967" i="21"/>
  <c r="P1967" i="21"/>
  <c r="A1967" i="21"/>
  <c r="R1966" i="21"/>
  <c r="P1966" i="21"/>
  <c r="A1966" i="21"/>
  <c r="R1965" i="21"/>
  <c r="P1965" i="21"/>
  <c r="A1965" i="21"/>
  <c r="R1964" i="21"/>
  <c r="P1964" i="21"/>
  <c r="A1964" i="21"/>
  <c r="R1963" i="21"/>
  <c r="P1963" i="21"/>
  <c r="A1963" i="21"/>
  <c r="R1962" i="21"/>
  <c r="P1962" i="21"/>
  <c r="A1962" i="21"/>
  <c r="R1961" i="21"/>
  <c r="P1961" i="21"/>
  <c r="A1961" i="21"/>
  <c r="R1960" i="21"/>
  <c r="P1960" i="21"/>
  <c r="A1960" i="21"/>
  <c r="R1959" i="21"/>
  <c r="P1959" i="21"/>
  <c r="A1959" i="21"/>
  <c r="R1958" i="21"/>
  <c r="P1958" i="21"/>
  <c r="A1958" i="21"/>
  <c r="R1957" i="21"/>
  <c r="P1957" i="21"/>
  <c r="A1957" i="21"/>
  <c r="R1956" i="21"/>
  <c r="P1956" i="21"/>
  <c r="A1956" i="21"/>
  <c r="R1955" i="21"/>
  <c r="P1955" i="21"/>
  <c r="A1955" i="21"/>
  <c r="R1954" i="21"/>
  <c r="P1954" i="21"/>
  <c r="A1954" i="21"/>
  <c r="R1953" i="21"/>
  <c r="P1953" i="21"/>
  <c r="A1953" i="21"/>
  <c r="R1952" i="21"/>
  <c r="P1952" i="21"/>
  <c r="A1952" i="21"/>
  <c r="R1951" i="21"/>
  <c r="P1951" i="21"/>
  <c r="A1951" i="21"/>
  <c r="R1950" i="21"/>
  <c r="P1950" i="21"/>
  <c r="A1950" i="21"/>
  <c r="R1949" i="21"/>
  <c r="P1949" i="21"/>
  <c r="A1949" i="21"/>
  <c r="R1948" i="21"/>
  <c r="P1948" i="21"/>
  <c r="A1948" i="21"/>
  <c r="R1947" i="21"/>
  <c r="P1947" i="21"/>
  <c r="A1947" i="21"/>
  <c r="R1946" i="21"/>
  <c r="P1946" i="21"/>
  <c r="A1946" i="21"/>
  <c r="R1945" i="21"/>
  <c r="P1945" i="21"/>
  <c r="A1945" i="21"/>
  <c r="R1944" i="21"/>
  <c r="P1944" i="21"/>
  <c r="A1944" i="21"/>
  <c r="R1943" i="21"/>
  <c r="P1943" i="21"/>
  <c r="A1943" i="21"/>
  <c r="R1942" i="21"/>
  <c r="P1942" i="21"/>
  <c r="A1942" i="21"/>
  <c r="R1941" i="21"/>
  <c r="P1941" i="21"/>
  <c r="A1941" i="21"/>
  <c r="R1940" i="21"/>
  <c r="P1940" i="21"/>
  <c r="A1940" i="21"/>
  <c r="R1939" i="21"/>
  <c r="P1939" i="21"/>
  <c r="A1939" i="21"/>
  <c r="R1938" i="21"/>
  <c r="P1938" i="21"/>
  <c r="A1938" i="21"/>
  <c r="R1937" i="21"/>
  <c r="P1937" i="21"/>
  <c r="A1937" i="21"/>
  <c r="R1936" i="21"/>
  <c r="P1936" i="21"/>
  <c r="A1936" i="21"/>
  <c r="R1935" i="21"/>
  <c r="P1935" i="21"/>
  <c r="A1935" i="21"/>
  <c r="R1934" i="21"/>
  <c r="P1934" i="21"/>
  <c r="A1934" i="21"/>
  <c r="R1933" i="21"/>
  <c r="P1933" i="21"/>
  <c r="A1933" i="21"/>
  <c r="R1932" i="21"/>
  <c r="P1932" i="21"/>
  <c r="A1932" i="21"/>
  <c r="R1931" i="21"/>
  <c r="P1931" i="21"/>
  <c r="A1931" i="21"/>
  <c r="R1930" i="21"/>
  <c r="P1930" i="21"/>
  <c r="A1930" i="21"/>
  <c r="R1929" i="21"/>
  <c r="P1929" i="21"/>
  <c r="A1929" i="21"/>
  <c r="R1928" i="21"/>
  <c r="P1928" i="21"/>
  <c r="A1928" i="21"/>
  <c r="R1927" i="21"/>
  <c r="P1927" i="21"/>
  <c r="A1927" i="21"/>
  <c r="R1926" i="21"/>
  <c r="P1926" i="21"/>
  <c r="A1926" i="21"/>
  <c r="R1925" i="21"/>
  <c r="P1925" i="21"/>
  <c r="A1925" i="21"/>
  <c r="R1924" i="21"/>
  <c r="P1924" i="21"/>
  <c r="A1924" i="21"/>
  <c r="R1923" i="21"/>
  <c r="P1923" i="21"/>
  <c r="A1923" i="21"/>
  <c r="R1922" i="21"/>
  <c r="P1922" i="21"/>
  <c r="A1922" i="21"/>
  <c r="R1921" i="21"/>
  <c r="P1921" i="21"/>
  <c r="A1921" i="21"/>
  <c r="R1920" i="21"/>
  <c r="P1920" i="21"/>
  <c r="A1920" i="21"/>
  <c r="R1919" i="21"/>
  <c r="P1919" i="21"/>
  <c r="A1919" i="21"/>
  <c r="R1918" i="21"/>
  <c r="P1918" i="21"/>
  <c r="A1918" i="21"/>
  <c r="R1917" i="21"/>
  <c r="P1917" i="21"/>
  <c r="A1917" i="21"/>
  <c r="R1916" i="21"/>
  <c r="P1916" i="21"/>
  <c r="A1916" i="21"/>
  <c r="R1915" i="21"/>
  <c r="P1915" i="21"/>
  <c r="A1915" i="21"/>
  <c r="R1914" i="21"/>
  <c r="P1914" i="21"/>
  <c r="A1914" i="21"/>
  <c r="R1913" i="21"/>
  <c r="P1913" i="21"/>
  <c r="A1913" i="21"/>
  <c r="R1912" i="21"/>
  <c r="P1912" i="21"/>
  <c r="A1912" i="21"/>
  <c r="R1911" i="21"/>
  <c r="P1911" i="21"/>
  <c r="A1911" i="21"/>
  <c r="R1910" i="21"/>
  <c r="P1910" i="21"/>
  <c r="A1910" i="21"/>
  <c r="R1909" i="21"/>
  <c r="P1909" i="21"/>
  <c r="A1909" i="21"/>
  <c r="R1908" i="21"/>
  <c r="P1908" i="21"/>
  <c r="A1908" i="21"/>
  <c r="R1907" i="21"/>
  <c r="P1907" i="21"/>
  <c r="A1907" i="21"/>
  <c r="R1906" i="21"/>
  <c r="P1906" i="21"/>
  <c r="A1906" i="21"/>
  <c r="R1905" i="21"/>
  <c r="P1905" i="21"/>
  <c r="A1905" i="21"/>
  <c r="R1904" i="21"/>
  <c r="P1904" i="21"/>
  <c r="A1904" i="21"/>
  <c r="R1903" i="21"/>
  <c r="P1903" i="21"/>
  <c r="A1903" i="21"/>
  <c r="R1902" i="21"/>
  <c r="P1902" i="21"/>
  <c r="A1902" i="21"/>
  <c r="R1901" i="21"/>
  <c r="P1901" i="21"/>
  <c r="A1901" i="21"/>
  <c r="R1900" i="21"/>
  <c r="P1900" i="21"/>
  <c r="A1900" i="21"/>
  <c r="R1899" i="21"/>
  <c r="P1899" i="21"/>
  <c r="A1899" i="21"/>
  <c r="R1898" i="21"/>
  <c r="P1898" i="21"/>
  <c r="A1898" i="21"/>
  <c r="R1897" i="21"/>
  <c r="P1897" i="21"/>
  <c r="A1897" i="21"/>
  <c r="R1896" i="21"/>
  <c r="P1896" i="21"/>
  <c r="A1896" i="21"/>
  <c r="R1895" i="21"/>
  <c r="P1895" i="21"/>
  <c r="A1895" i="21"/>
  <c r="R1894" i="21"/>
  <c r="P1894" i="21"/>
  <c r="A1894" i="21"/>
  <c r="R1893" i="21"/>
  <c r="P1893" i="21"/>
  <c r="A1893" i="21"/>
  <c r="R1892" i="21"/>
  <c r="P1892" i="21"/>
  <c r="A1892" i="21"/>
  <c r="R1891" i="21"/>
  <c r="P1891" i="21"/>
  <c r="A1891" i="21"/>
  <c r="R1890" i="21"/>
  <c r="P1890" i="21"/>
  <c r="A1890" i="21"/>
  <c r="R1889" i="21"/>
  <c r="P1889" i="21"/>
  <c r="A1889" i="21"/>
  <c r="R1888" i="21"/>
  <c r="P1888" i="21"/>
  <c r="A1888" i="21"/>
  <c r="R1887" i="21"/>
  <c r="P1887" i="21"/>
  <c r="A1887" i="21"/>
  <c r="R1886" i="21"/>
  <c r="P1886" i="21"/>
  <c r="A1886" i="21"/>
  <c r="R1885" i="21"/>
  <c r="P1885" i="21"/>
  <c r="A1885" i="21"/>
  <c r="R1884" i="21"/>
  <c r="P1884" i="21"/>
  <c r="A1884" i="21"/>
  <c r="R1883" i="21"/>
  <c r="P1883" i="21"/>
  <c r="A1883" i="21"/>
  <c r="R1882" i="21"/>
  <c r="P1882" i="21"/>
  <c r="A1882" i="21"/>
  <c r="R1881" i="21"/>
  <c r="P1881" i="21"/>
  <c r="A1881" i="21"/>
  <c r="R1880" i="21"/>
  <c r="P1880" i="21"/>
  <c r="A1880" i="21"/>
  <c r="R1879" i="21"/>
  <c r="P1879" i="21"/>
  <c r="A1879" i="21"/>
  <c r="R1878" i="21"/>
  <c r="P1878" i="21"/>
  <c r="A1878" i="21"/>
  <c r="R1877" i="21"/>
  <c r="P1877" i="21"/>
  <c r="A1877" i="21"/>
  <c r="R1876" i="21"/>
  <c r="P1876" i="21"/>
  <c r="A1876" i="21"/>
  <c r="R1875" i="21"/>
  <c r="P1875" i="21"/>
  <c r="A1875" i="21"/>
  <c r="R1874" i="21"/>
  <c r="P1874" i="21"/>
  <c r="A1874" i="21"/>
  <c r="R1873" i="21"/>
  <c r="P1873" i="21"/>
  <c r="A1873" i="21"/>
  <c r="R1872" i="21"/>
  <c r="P1872" i="21"/>
  <c r="A1872" i="21"/>
  <c r="R1871" i="21"/>
  <c r="P1871" i="21"/>
  <c r="A1871" i="21"/>
  <c r="R1870" i="21"/>
  <c r="P1870" i="21"/>
  <c r="A1870" i="21"/>
  <c r="R1869" i="21"/>
  <c r="P1869" i="21"/>
  <c r="A1869" i="21"/>
  <c r="R1868" i="21"/>
  <c r="P1868" i="21"/>
  <c r="A1868" i="21"/>
  <c r="R1867" i="21"/>
  <c r="P1867" i="21"/>
  <c r="A1867" i="21"/>
  <c r="R1866" i="21"/>
  <c r="P1866" i="21"/>
  <c r="A1866" i="21"/>
  <c r="R1865" i="21"/>
  <c r="P1865" i="21"/>
  <c r="A1865" i="21"/>
  <c r="R1864" i="21"/>
  <c r="P1864" i="21"/>
  <c r="A1864" i="21"/>
  <c r="R1863" i="21"/>
  <c r="P1863" i="21"/>
  <c r="A1863" i="21"/>
  <c r="R1862" i="21"/>
  <c r="P1862" i="21"/>
  <c r="A1862" i="21"/>
  <c r="R1861" i="21"/>
  <c r="P1861" i="21"/>
  <c r="A1861" i="21"/>
  <c r="R1860" i="21"/>
  <c r="P1860" i="21"/>
  <c r="A1860" i="21"/>
  <c r="R1859" i="21"/>
  <c r="P1859" i="21"/>
  <c r="A1859" i="21"/>
  <c r="R1858" i="21"/>
  <c r="P1858" i="21"/>
  <c r="A1858" i="21"/>
  <c r="R1857" i="21"/>
  <c r="P1857" i="21"/>
  <c r="A1857" i="21"/>
  <c r="R1856" i="21"/>
  <c r="P1856" i="21"/>
  <c r="A1856" i="21"/>
  <c r="R1855" i="21"/>
  <c r="P1855" i="21"/>
  <c r="A1855" i="21"/>
  <c r="R1854" i="21"/>
  <c r="P1854" i="21"/>
  <c r="A1854" i="21"/>
  <c r="R1853" i="21"/>
  <c r="P1853" i="21"/>
  <c r="A1853" i="21"/>
  <c r="R1852" i="21"/>
  <c r="P1852" i="21"/>
  <c r="A1852" i="21"/>
  <c r="R1851" i="21"/>
  <c r="P1851" i="21"/>
  <c r="A1851" i="21"/>
  <c r="R1850" i="21"/>
  <c r="P1850" i="21"/>
  <c r="A1850" i="21"/>
  <c r="R1849" i="21"/>
  <c r="P1849" i="21"/>
  <c r="A1849" i="21"/>
  <c r="R1848" i="21"/>
  <c r="P1848" i="21"/>
  <c r="A1848" i="21"/>
  <c r="R1847" i="21"/>
  <c r="P1847" i="21"/>
  <c r="A1847" i="21"/>
  <c r="R1846" i="21"/>
  <c r="P1846" i="21"/>
  <c r="A1846" i="21"/>
  <c r="R1845" i="21"/>
  <c r="P1845" i="21"/>
  <c r="A1845" i="21"/>
  <c r="R1844" i="21"/>
  <c r="P1844" i="21"/>
  <c r="A1844" i="21"/>
  <c r="R1843" i="21"/>
  <c r="P1843" i="21"/>
  <c r="A1843" i="21"/>
  <c r="R1842" i="21"/>
  <c r="P1842" i="21"/>
  <c r="A1842" i="21"/>
  <c r="R1841" i="21"/>
  <c r="P1841" i="21"/>
  <c r="A1841" i="21"/>
  <c r="R1840" i="21"/>
  <c r="P1840" i="21"/>
  <c r="A1840" i="21"/>
  <c r="R1839" i="21"/>
  <c r="P1839" i="21"/>
  <c r="A1839" i="21"/>
  <c r="R1838" i="21"/>
  <c r="P1838" i="21"/>
  <c r="A1838" i="21"/>
  <c r="R1837" i="21"/>
  <c r="P1837" i="21"/>
  <c r="A1837" i="21"/>
  <c r="R1836" i="21"/>
  <c r="P1836" i="21"/>
  <c r="A1836" i="21"/>
  <c r="R1835" i="21"/>
  <c r="P1835" i="21"/>
  <c r="A1835" i="21"/>
  <c r="R1834" i="21"/>
  <c r="P1834" i="21"/>
  <c r="A1834" i="21"/>
  <c r="R1833" i="21"/>
  <c r="P1833" i="21"/>
  <c r="A1833" i="21"/>
  <c r="R1832" i="21"/>
  <c r="P1832" i="21"/>
  <c r="A1832" i="21"/>
  <c r="R1831" i="21"/>
  <c r="P1831" i="21"/>
  <c r="A1831" i="21"/>
  <c r="R1830" i="21"/>
  <c r="P1830" i="21"/>
  <c r="A1830" i="21"/>
  <c r="R1829" i="21"/>
  <c r="P1829" i="21"/>
  <c r="A1829" i="21"/>
  <c r="R1828" i="21"/>
  <c r="P1828" i="21"/>
  <c r="A1828" i="21"/>
  <c r="R1827" i="21"/>
  <c r="P1827" i="21"/>
  <c r="A1827" i="21"/>
  <c r="R1826" i="21"/>
  <c r="P1826" i="21"/>
  <c r="A1826" i="21"/>
  <c r="R1825" i="21"/>
  <c r="P1825" i="21"/>
  <c r="A1825" i="21"/>
  <c r="R1824" i="21"/>
  <c r="P1824" i="21"/>
  <c r="A1824" i="21"/>
  <c r="R1823" i="21"/>
  <c r="P1823" i="21"/>
  <c r="A1823" i="21"/>
  <c r="R1822" i="21"/>
  <c r="P1822" i="21"/>
  <c r="A1822" i="21"/>
  <c r="R1821" i="21"/>
  <c r="P1821" i="21"/>
  <c r="A1821" i="21"/>
  <c r="R1820" i="21"/>
  <c r="P1820" i="21"/>
  <c r="A1820" i="21"/>
  <c r="R1819" i="21"/>
  <c r="P1819" i="21"/>
  <c r="A1819" i="21"/>
  <c r="R1818" i="21"/>
  <c r="P1818" i="21"/>
  <c r="A1818" i="21"/>
  <c r="R1817" i="21"/>
  <c r="P1817" i="21"/>
  <c r="A1817" i="21"/>
  <c r="R1816" i="21"/>
  <c r="P1816" i="21"/>
  <c r="A1816" i="21"/>
  <c r="R1815" i="21"/>
  <c r="P1815" i="21"/>
  <c r="A1815" i="21"/>
  <c r="R1814" i="21"/>
  <c r="P1814" i="21"/>
  <c r="A1814" i="21"/>
  <c r="R1813" i="21"/>
  <c r="P1813" i="21"/>
  <c r="A1813" i="21"/>
  <c r="R1812" i="21"/>
  <c r="P1812" i="21"/>
  <c r="A1812" i="21"/>
  <c r="R1811" i="21"/>
  <c r="P1811" i="21"/>
  <c r="A1811" i="21"/>
  <c r="R1810" i="21"/>
  <c r="P1810" i="21"/>
  <c r="A1810" i="21"/>
  <c r="R1809" i="21"/>
  <c r="P1809" i="21"/>
  <c r="A1809" i="21"/>
  <c r="R1808" i="21"/>
  <c r="P1808" i="21"/>
  <c r="A1808" i="21"/>
  <c r="R1807" i="21"/>
  <c r="P1807" i="21"/>
  <c r="A1807" i="21"/>
  <c r="R1806" i="21"/>
  <c r="P1806" i="21"/>
  <c r="A1806" i="21"/>
  <c r="R1805" i="21"/>
  <c r="P1805" i="21"/>
  <c r="A1805" i="21"/>
  <c r="R1804" i="21"/>
  <c r="P1804" i="21"/>
  <c r="A1804" i="21"/>
  <c r="R1803" i="21"/>
  <c r="P1803" i="21"/>
  <c r="A1803" i="21"/>
  <c r="R1802" i="21"/>
  <c r="P1802" i="21"/>
  <c r="A1802" i="21"/>
  <c r="R1801" i="21"/>
  <c r="P1801" i="21"/>
  <c r="A1801" i="21"/>
  <c r="R1800" i="21"/>
  <c r="P1800" i="21"/>
  <c r="A1800" i="21"/>
  <c r="R1799" i="21"/>
  <c r="P1799" i="21"/>
  <c r="A1799" i="21"/>
  <c r="R1798" i="21"/>
  <c r="P1798" i="21"/>
  <c r="A1798" i="21"/>
  <c r="R1797" i="21"/>
  <c r="P1797" i="21"/>
  <c r="A1797" i="21"/>
  <c r="R1796" i="21"/>
  <c r="P1796" i="21"/>
  <c r="A1796" i="21"/>
  <c r="R1795" i="21"/>
  <c r="P1795" i="21"/>
  <c r="A1795" i="21"/>
  <c r="R1794" i="21"/>
  <c r="P1794" i="21"/>
  <c r="A1794" i="21"/>
  <c r="R1793" i="21"/>
  <c r="P1793" i="21"/>
  <c r="A1793" i="21"/>
  <c r="R1792" i="21"/>
  <c r="P1792" i="21"/>
  <c r="A1792" i="21"/>
  <c r="R1791" i="21"/>
  <c r="P1791" i="21"/>
  <c r="A1791" i="21"/>
  <c r="R1790" i="21"/>
  <c r="P1790" i="21"/>
  <c r="A1790" i="21"/>
  <c r="R1789" i="21"/>
  <c r="P1789" i="21"/>
  <c r="A1789" i="21"/>
  <c r="R1788" i="21"/>
  <c r="P1788" i="21"/>
  <c r="A1788" i="21"/>
  <c r="R1787" i="21"/>
  <c r="P1787" i="21"/>
  <c r="A1787" i="21"/>
  <c r="R1786" i="21"/>
  <c r="P1786" i="21"/>
  <c r="A1786" i="21"/>
  <c r="R1785" i="21"/>
  <c r="P1785" i="21"/>
  <c r="A1785" i="21"/>
  <c r="R1784" i="21"/>
  <c r="P1784" i="21"/>
  <c r="A1784" i="21"/>
  <c r="R1783" i="21"/>
  <c r="P1783" i="21"/>
  <c r="A1783" i="21"/>
  <c r="R1782" i="21"/>
  <c r="P1782" i="21"/>
  <c r="A1782" i="21"/>
  <c r="R1781" i="21"/>
  <c r="P1781" i="21"/>
  <c r="A1781" i="21"/>
  <c r="R1780" i="21"/>
  <c r="P1780" i="21"/>
  <c r="A1780" i="21"/>
  <c r="R1779" i="21"/>
  <c r="P1779" i="21"/>
  <c r="A1779" i="21"/>
  <c r="R1778" i="21"/>
  <c r="P1778" i="21"/>
  <c r="A1778" i="21"/>
  <c r="R1777" i="21"/>
  <c r="P1777" i="21"/>
  <c r="A1777" i="21"/>
  <c r="R1776" i="21"/>
  <c r="P1776" i="21"/>
  <c r="A1776" i="21"/>
  <c r="R1775" i="21"/>
  <c r="P1775" i="21"/>
  <c r="A1775" i="21"/>
  <c r="R1774" i="21"/>
  <c r="P1774" i="21"/>
  <c r="A1774" i="21"/>
  <c r="R1773" i="21"/>
  <c r="P1773" i="21"/>
  <c r="A1773" i="21"/>
  <c r="R1772" i="21"/>
  <c r="P1772" i="21"/>
  <c r="A1772" i="21"/>
  <c r="R1771" i="21"/>
  <c r="P1771" i="21"/>
  <c r="A1771" i="21"/>
  <c r="R1770" i="21"/>
  <c r="P1770" i="21"/>
  <c r="A1770" i="21"/>
  <c r="R1769" i="21"/>
  <c r="P1769" i="21"/>
  <c r="A1769" i="21"/>
  <c r="R1768" i="21"/>
  <c r="P1768" i="21"/>
  <c r="A1768" i="21"/>
  <c r="R1767" i="21"/>
  <c r="P1767" i="21"/>
  <c r="A1767" i="21"/>
  <c r="R1766" i="21"/>
  <c r="P1766" i="21"/>
  <c r="A1766" i="21"/>
  <c r="R1765" i="21"/>
  <c r="P1765" i="21"/>
  <c r="A1765" i="21"/>
  <c r="R1764" i="21"/>
  <c r="P1764" i="21"/>
  <c r="A1764" i="21"/>
  <c r="R1763" i="21"/>
  <c r="P1763" i="21"/>
  <c r="A1763" i="21"/>
  <c r="R1762" i="21"/>
  <c r="P1762" i="21"/>
  <c r="A1762" i="21"/>
  <c r="R1761" i="21"/>
  <c r="P1761" i="21"/>
  <c r="A1761" i="21"/>
  <c r="R1760" i="21"/>
  <c r="P1760" i="21"/>
  <c r="A1760" i="21"/>
  <c r="R1759" i="21"/>
  <c r="P1759" i="21"/>
  <c r="A1759" i="21"/>
  <c r="R1758" i="21"/>
  <c r="P1758" i="21"/>
  <c r="A1758" i="21"/>
  <c r="R1757" i="21"/>
  <c r="P1757" i="21"/>
  <c r="A1757" i="21"/>
  <c r="R1756" i="21"/>
  <c r="P1756" i="21"/>
  <c r="A1756" i="21"/>
  <c r="R1755" i="21"/>
  <c r="P1755" i="21"/>
  <c r="A1755" i="21"/>
  <c r="R1754" i="21"/>
  <c r="P1754" i="21"/>
  <c r="A1754" i="21"/>
  <c r="R1753" i="21"/>
  <c r="P1753" i="21"/>
  <c r="A1753" i="21"/>
  <c r="R1752" i="21"/>
  <c r="P1752" i="21"/>
  <c r="A1752" i="21"/>
  <c r="R1751" i="21"/>
  <c r="P1751" i="21"/>
  <c r="A1751" i="21"/>
  <c r="R1750" i="21"/>
  <c r="P1750" i="21"/>
  <c r="A1750" i="21"/>
  <c r="R1749" i="21"/>
  <c r="P1749" i="21"/>
  <c r="A1749" i="21"/>
  <c r="R1748" i="21"/>
  <c r="P1748" i="21"/>
  <c r="A1748" i="21"/>
  <c r="R1747" i="21"/>
  <c r="P1747" i="21"/>
  <c r="A1747" i="21"/>
  <c r="R1746" i="21"/>
  <c r="P1746" i="21"/>
  <c r="A1746" i="21"/>
  <c r="R1745" i="21"/>
  <c r="P1745" i="21"/>
  <c r="A1745" i="21"/>
  <c r="R1744" i="21"/>
  <c r="P1744" i="21"/>
  <c r="A1744" i="21"/>
  <c r="R1743" i="21"/>
  <c r="P1743" i="21"/>
  <c r="A1743" i="21"/>
  <c r="R1742" i="21"/>
  <c r="P1742" i="21"/>
  <c r="A1742" i="21"/>
  <c r="R1741" i="21"/>
  <c r="P1741" i="21"/>
  <c r="A1741" i="21"/>
  <c r="R1740" i="21"/>
  <c r="P1740" i="21"/>
  <c r="A1740" i="21"/>
  <c r="R1739" i="21"/>
  <c r="P1739" i="21"/>
  <c r="A1739" i="21"/>
  <c r="R1738" i="21"/>
  <c r="P1738" i="21"/>
  <c r="A1738" i="21"/>
  <c r="R1737" i="21"/>
  <c r="P1737" i="21"/>
  <c r="A1737" i="21"/>
  <c r="R1736" i="21"/>
  <c r="P1736" i="21"/>
  <c r="A1736" i="21"/>
  <c r="R1735" i="21"/>
  <c r="P1735" i="21"/>
  <c r="A1735" i="21"/>
  <c r="R1734" i="21"/>
  <c r="P1734" i="21"/>
  <c r="A1734" i="21"/>
  <c r="R1733" i="21"/>
  <c r="P1733" i="21"/>
  <c r="A1733" i="21"/>
  <c r="R1732" i="21"/>
  <c r="P1732" i="21"/>
  <c r="A1732" i="21"/>
  <c r="R1731" i="21"/>
  <c r="P1731" i="21"/>
  <c r="A1731" i="21"/>
  <c r="R1730" i="21"/>
  <c r="P1730" i="21"/>
  <c r="A1730" i="21"/>
  <c r="R1729" i="21"/>
  <c r="P1729" i="21"/>
  <c r="A1729" i="21"/>
  <c r="R1728" i="21"/>
  <c r="P1728" i="21"/>
  <c r="A1728" i="21"/>
  <c r="R1727" i="21"/>
  <c r="P1727" i="21"/>
  <c r="A1727" i="21"/>
  <c r="R1726" i="21"/>
  <c r="P1726" i="21"/>
  <c r="A1726" i="21"/>
  <c r="R1725" i="21"/>
  <c r="P1725" i="21"/>
  <c r="A1725" i="21"/>
  <c r="R1724" i="21"/>
  <c r="P1724" i="21"/>
  <c r="A1724" i="21"/>
  <c r="R1723" i="21"/>
  <c r="P1723" i="21"/>
  <c r="A1723" i="21"/>
  <c r="R1722" i="21"/>
  <c r="P1722" i="21"/>
  <c r="A1722" i="21"/>
  <c r="R1721" i="21"/>
  <c r="P1721" i="21"/>
  <c r="A1721" i="21"/>
  <c r="R1720" i="21"/>
  <c r="P1720" i="21"/>
  <c r="A1720" i="21"/>
  <c r="R1719" i="21"/>
  <c r="P1719" i="21"/>
  <c r="A1719" i="21"/>
  <c r="R1718" i="21"/>
  <c r="P1718" i="21"/>
  <c r="A1718" i="21"/>
  <c r="R1717" i="21"/>
  <c r="P1717" i="21"/>
  <c r="A1717" i="21"/>
  <c r="R1716" i="21"/>
  <c r="P1716" i="21"/>
  <c r="A1716" i="21"/>
  <c r="R1715" i="21"/>
  <c r="P1715" i="21"/>
  <c r="A1715" i="21"/>
  <c r="R1714" i="21"/>
  <c r="P1714" i="21"/>
  <c r="A1714" i="21"/>
  <c r="R1713" i="21"/>
  <c r="P1713" i="21"/>
  <c r="A1713" i="21"/>
  <c r="R1712" i="21"/>
  <c r="P1712" i="21"/>
  <c r="A1712" i="21"/>
  <c r="R1711" i="21"/>
  <c r="P1711" i="21"/>
  <c r="A1711" i="21"/>
  <c r="R1710" i="21"/>
  <c r="P1710" i="21"/>
  <c r="A1710" i="21"/>
  <c r="R1709" i="21"/>
  <c r="P1709" i="21"/>
  <c r="A1709" i="21"/>
  <c r="R1708" i="21"/>
  <c r="P1708" i="21"/>
  <c r="A1708" i="21"/>
  <c r="R1707" i="21"/>
  <c r="P1707" i="21"/>
  <c r="A1707" i="21"/>
  <c r="R1706" i="21"/>
  <c r="P1706" i="21"/>
  <c r="A1706" i="21"/>
  <c r="R1705" i="21"/>
  <c r="P1705" i="21"/>
  <c r="A1705" i="21"/>
  <c r="R1704" i="21"/>
  <c r="P1704" i="21"/>
  <c r="A1704" i="21"/>
  <c r="R1703" i="21"/>
  <c r="P1703" i="21"/>
  <c r="A1703" i="21"/>
  <c r="R1702" i="21"/>
  <c r="P1702" i="21"/>
  <c r="A1702" i="21"/>
  <c r="R1701" i="21"/>
  <c r="P1701" i="21"/>
  <c r="A1701" i="21"/>
  <c r="R1700" i="21"/>
  <c r="P1700" i="21"/>
  <c r="A1700" i="21"/>
  <c r="R1699" i="21"/>
  <c r="P1699" i="21"/>
  <c r="A1699" i="21"/>
  <c r="R1698" i="21"/>
  <c r="P1698" i="21"/>
  <c r="A1698" i="21"/>
  <c r="R1697" i="21"/>
  <c r="P1697" i="21"/>
  <c r="A1697" i="21"/>
  <c r="R1696" i="21"/>
  <c r="P1696" i="21"/>
  <c r="A1696" i="21"/>
  <c r="R1695" i="21"/>
  <c r="P1695" i="21"/>
  <c r="A1695" i="21"/>
  <c r="R1694" i="21"/>
  <c r="P1694" i="21"/>
  <c r="A1694" i="21"/>
  <c r="R1693" i="21"/>
  <c r="P1693" i="21"/>
  <c r="A1693" i="21"/>
  <c r="R1692" i="21"/>
  <c r="P1692" i="21"/>
  <c r="A1692" i="21"/>
  <c r="R1691" i="21"/>
  <c r="P1691" i="21"/>
  <c r="A1691" i="21"/>
  <c r="R1690" i="21"/>
  <c r="P1690" i="21"/>
  <c r="A1690" i="21"/>
  <c r="R1689" i="21"/>
  <c r="P1689" i="21"/>
  <c r="A1689" i="21"/>
  <c r="R1688" i="21"/>
  <c r="P1688" i="21"/>
  <c r="A1688" i="21"/>
  <c r="R1687" i="21"/>
  <c r="P1687" i="21"/>
  <c r="A1687" i="21"/>
  <c r="R1686" i="21"/>
  <c r="P1686" i="21"/>
  <c r="A1686" i="21"/>
  <c r="R1685" i="21"/>
  <c r="P1685" i="21"/>
  <c r="A1685" i="21"/>
  <c r="R1684" i="21"/>
  <c r="P1684" i="21"/>
  <c r="A1684" i="21"/>
  <c r="R1683" i="21"/>
  <c r="P1683" i="21"/>
  <c r="A1683" i="21"/>
  <c r="R1682" i="21"/>
  <c r="P1682" i="21"/>
  <c r="A1682" i="21"/>
  <c r="R1681" i="21"/>
  <c r="P1681" i="21"/>
  <c r="A1681" i="21"/>
  <c r="R1680" i="21"/>
  <c r="P1680" i="21"/>
  <c r="A1680" i="21"/>
  <c r="R1679" i="21"/>
  <c r="P1679" i="21"/>
  <c r="A1679" i="21"/>
  <c r="R1678" i="21"/>
  <c r="P1678" i="21"/>
  <c r="A1678" i="21"/>
  <c r="R1677" i="21"/>
  <c r="P1677" i="21"/>
  <c r="A1677" i="21"/>
  <c r="R1676" i="21"/>
  <c r="P1676" i="21"/>
  <c r="A1676" i="21"/>
  <c r="R1675" i="21"/>
  <c r="P1675" i="21"/>
  <c r="A1675" i="21"/>
  <c r="R1674" i="21"/>
  <c r="P1674" i="21"/>
  <c r="A1674" i="21"/>
  <c r="R1673" i="21"/>
  <c r="P1673" i="21"/>
  <c r="A1673" i="21"/>
  <c r="R1672" i="21"/>
  <c r="P1672" i="21"/>
  <c r="A1672" i="21"/>
  <c r="R1671" i="21"/>
  <c r="P1671" i="21"/>
  <c r="A1671" i="21"/>
  <c r="R1670" i="21"/>
  <c r="P1670" i="21"/>
  <c r="A1670" i="21"/>
  <c r="R1669" i="21"/>
  <c r="P1669" i="21"/>
  <c r="A1669" i="21"/>
  <c r="R1668" i="21"/>
  <c r="P1668" i="21"/>
  <c r="A1668" i="21"/>
  <c r="R1667" i="21"/>
  <c r="P1667" i="21"/>
  <c r="A1667" i="21"/>
  <c r="R1666" i="21"/>
  <c r="P1666" i="21"/>
  <c r="A1666" i="21"/>
  <c r="R1665" i="21"/>
  <c r="P1665" i="21"/>
  <c r="A1665" i="21"/>
  <c r="R1664" i="21"/>
  <c r="P1664" i="21"/>
  <c r="A1664" i="21"/>
  <c r="R1663" i="21"/>
  <c r="P1663" i="21"/>
  <c r="A1663" i="21"/>
  <c r="R1662" i="21"/>
  <c r="P1662" i="21"/>
  <c r="A1662" i="21"/>
  <c r="R1661" i="21"/>
  <c r="P1661" i="21"/>
  <c r="A1661" i="21"/>
  <c r="R1660" i="21"/>
  <c r="P1660" i="21"/>
  <c r="A1660" i="21"/>
  <c r="R1659" i="21"/>
  <c r="P1659" i="21"/>
  <c r="A1659" i="21"/>
  <c r="R1658" i="21"/>
  <c r="P1658" i="21"/>
  <c r="A1658" i="21"/>
  <c r="R1657" i="21"/>
  <c r="P1657" i="21"/>
  <c r="A1657" i="21"/>
  <c r="R1656" i="21"/>
  <c r="P1656" i="21"/>
  <c r="A1656" i="21"/>
  <c r="R1655" i="21"/>
  <c r="P1655" i="21"/>
  <c r="A1655" i="21"/>
  <c r="R1654" i="21"/>
  <c r="P1654" i="21"/>
  <c r="A1654" i="21"/>
  <c r="R1653" i="21"/>
  <c r="P1653" i="21"/>
  <c r="A1653" i="21"/>
  <c r="R1652" i="21"/>
  <c r="P1652" i="21"/>
  <c r="A1652" i="21"/>
  <c r="R1651" i="21"/>
  <c r="P1651" i="21"/>
  <c r="A1651" i="21"/>
  <c r="R1650" i="21"/>
  <c r="P1650" i="21"/>
  <c r="A1650" i="21"/>
  <c r="R1649" i="21"/>
  <c r="P1649" i="21"/>
  <c r="A1649" i="21"/>
  <c r="R1648" i="21"/>
  <c r="P1648" i="21"/>
  <c r="A1648" i="21"/>
  <c r="R1647" i="21"/>
  <c r="P1647" i="21"/>
  <c r="A1647" i="21"/>
  <c r="R1646" i="21"/>
  <c r="P1646" i="21"/>
  <c r="A1646" i="21"/>
  <c r="R1645" i="21"/>
  <c r="P1645" i="21"/>
  <c r="A1645" i="21"/>
  <c r="R1644" i="21"/>
  <c r="P1644" i="21"/>
  <c r="A1644" i="21"/>
  <c r="R1643" i="21"/>
  <c r="P1643" i="21"/>
  <c r="A1643" i="21"/>
  <c r="R1642" i="21"/>
  <c r="P1642" i="21"/>
  <c r="A1642" i="21"/>
  <c r="R1641" i="21"/>
  <c r="P1641" i="21"/>
  <c r="A1641" i="21"/>
  <c r="R1640" i="21"/>
  <c r="P1640" i="21"/>
  <c r="A1640" i="21"/>
  <c r="R1639" i="21"/>
  <c r="P1639" i="21"/>
  <c r="A1639" i="21"/>
  <c r="R1638" i="21"/>
  <c r="P1638" i="21"/>
  <c r="A1638" i="21"/>
  <c r="R1637" i="21"/>
  <c r="P1637" i="21"/>
  <c r="A1637" i="21"/>
  <c r="R1636" i="21"/>
  <c r="P1636" i="21"/>
  <c r="A1636" i="21"/>
  <c r="R1635" i="21"/>
  <c r="P1635" i="21"/>
  <c r="A1635" i="21"/>
  <c r="R1634" i="21"/>
  <c r="P1634" i="21"/>
  <c r="A1634" i="21"/>
  <c r="R1633" i="21"/>
  <c r="P1633" i="21"/>
  <c r="A1633" i="21"/>
  <c r="R1632" i="21"/>
  <c r="P1632" i="21"/>
  <c r="A1632" i="21"/>
  <c r="R1631" i="21"/>
  <c r="P1631" i="21"/>
  <c r="A1631" i="21"/>
  <c r="R1630" i="21"/>
  <c r="P1630" i="21"/>
  <c r="A1630" i="21"/>
  <c r="R1629" i="21"/>
  <c r="P1629" i="21"/>
  <c r="A1629" i="21"/>
  <c r="R1628" i="21"/>
  <c r="P1628" i="21"/>
  <c r="A1628" i="21"/>
  <c r="R1627" i="21"/>
  <c r="P1627" i="21"/>
  <c r="A1627" i="21"/>
  <c r="R1626" i="21"/>
  <c r="P1626" i="21"/>
  <c r="A1626" i="21"/>
  <c r="R1625" i="21"/>
  <c r="P1625" i="21"/>
  <c r="A1625" i="21"/>
  <c r="R1624" i="21"/>
  <c r="P1624" i="21"/>
  <c r="A1624" i="21"/>
  <c r="R1623" i="21"/>
  <c r="P1623" i="21"/>
  <c r="A1623" i="21"/>
  <c r="R1622" i="21"/>
  <c r="P1622" i="21"/>
  <c r="A1622" i="21"/>
  <c r="R1621" i="21"/>
  <c r="P1621" i="21"/>
  <c r="A1621" i="21"/>
  <c r="R1620" i="21"/>
  <c r="P1620" i="21"/>
  <c r="A1620" i="21"/>
  <c r="R1619" i="21"/>
  <c r="P1619" i="21"/>
  <c r="A1619" i="21"/>
  <c r="R1618" i="21"/>
  <c r="P1618" i="21"/>
  <c r="A1618" i="21"/>
  <c r="R1617" i="21"/>
  <c r="P1617" i="21"/>
  <c r="A1617" i="21"/>
  <c r="R1616" i="21"/>
  <c r="P1616" i="21"/>
  <c r="A1616" i="21"/>
  <c r="R1615" i="21"/>
  <c r="P1615" i="21"/>
  <c r="A1615" i="21"/>
  <c r="R1614" i="21"/>
  <c r="P1614" i="21"/>
  <c r="A1614" i="21"/>
  <c r="R1613" i="21"/>
  <c r="P1613" i="21"/>
  <c r="A1613" i="21"/>
  <c r="R1612" i="21"/>
  <c r="P1612" i="21"/>
  <c r="A1612" i="21"/>
  <c r="R1611" i="21"/>
  <c r="P1611" i="21"/>
  <c r="A1611" i="21"/>
  <c r="R1610" i="21"/>
  <c r="P1610" i="21"/>
  <c r="A1610" i="21"/>
  <c r="R1609" i="21"/>
  <c r="P1609" i="21"/>
  <c r="A1609" i="21"/>
  <c r="R1608" i="21"/>
  <c r="P1608" i="21"/>
  <c r="A1608" i="21"/>
  <c r="R1607" i="21"/>
  <c r="P1607" i="21"/>
  <c r="A1607" i="21"/>
  <c r="R1606" i="21"/>
  <c r="P1606" i="21"/>
  <c r="A1606" i="21"/>
  <c r="R1605" i="21"/>
  <c r="P1605" i="21"/>
  <c r="A1605" i="21"/>
  <c r="R1604" i="21"/>
  <c r="P1604" i="21"/>
  <c r="A1604" i="21"/>
  <c r="R1603" i="21"/>
  <c r="P1603" i="21"/>
  <c r="A1603" i="21"/>
  <c r="R1602" i="21"/>
  <c r="P1602" i="21"/>
  <c r="A1602" i="21"/>
  <c r="R1601" i="21"/>
  <c r="P1601" i="21"/>
  <c r="A1601" i="21"/>
  <c r="R1600" i="21"/>
  <c r="P1600" i="21"/>
  <c r="A1600" i="21"/>
  <c r="R1599" i="21"/>
  <c r="P1599" i="21"/>
  <c r="A1599" i="21"/>
  <c r="R1598" i="21"/>
  <c r="P1598" i="21"/>
  <c r="A1598" i="21"/>
  <c r="R1597" i="21"/>
  <c r="P1597" i="21"/>
  <c r="A1597" i="21"/>
  <c r="R1596" i="21"/>
  <c r="P1596" i="21"/>
  <c r="A1596" i="21"/>
  <c r="R1595" i="21"/>
  <c r="P1595" i="21"/>
  <c r="A1595" i="21"/>
  <c r="R1594" i="21"/>
  <c r="P1594" i="21"/>
  <c r="A1594" i="21"/>
  <c r="R1593" i="21"/>
  <c r="P1593" i="21"/>
  <c r="A1593" i="21"/>
  <c r="R1592" i="21"/>
  <c r="P1592" i="21"/>
  <c r="A1592" i="21"/>
  <c r="R1591" i="21"/>
  <c r="P1591" i="21"/>
  <c r="A1591" i="21"/>
  <c r="R1590" i="21"/>
  <c r="P1590" i="21"/>
  <c r="A1590" i="21"/>
  <c r="R1589" i="21"/>
  <c r="P1589" i="21"/>
  <c r="A1589" i="21"/>
  <c r="R1588" i="21"/>
  <c r="P1588" i="21"/>
  <c r="A1588" i="21"/>
  <c r="R1587" i="21"/>
  <c r="P1587" i="21"/>
  <c r="A1587" i="21"/>
  <c r="R1586" i="21"/>
  <c r="P1586" i="21"/>
  <c r="A1586" i="21"/>
  <c r="R1585" i="21"/>
  <c r="P1585" i="21"/>
  <c r="A1585" i="21"/>
  <c r="R1584" i="21"/>
  <c r="P1584" i="21"/>
  <c r="A1584" i="21"/>
  <c r="R1583" i="21"/>
  <c r="P1583" i="21"/>
  <c r="A1583" i="21"/>
  <c r="R1582" i="21"/>
  <c r="P1582" i="21"/>
  <c r="A1582" i="21"/>
  <c r="R1581" i="21"/>
  <c r="P1581" i="21"/>
  <c r="A1581" i="21"/>
  <c r="R1580" i="21"/>
  <c r="P1580" i="21"/>
  <c r="A1580" i="21"/>
  <c r="R1579" i="21"/>
  <c r="P1579" i="21"/>
  <c r="A1579" i="21"/>
  <c r="R1578" i="21"/>
  <c r="P1578" i="21"/>
  <c r="A1578" i="21"/>
  <c r="R1577" i="21"/>
  <c r="P1577" i="21"/>
  <c r="A1577" i="21"/>
  <c r="R1576" i="21"/>
  <c r="P1576" i="21"/>
  <c r="A1576" i="21"/>
  <c r="R1575" i="21"/>
  <c r="P1575" i="21"/>
  <c r="A1575" i="21"/>
  <c r="R1574" i="21"/>
  <c r="P1574" i="21"/>
  <c r="A1574" i="21"/>
  <c r="R1573" i="21"/>
  <c r="P1573" i="21"/>
  <c r="A1573" i="21"/>
  <c r="R1572" i="21"/>
  <c r="P1572" i="21"/>
  <c r="A1572" i="21"/>
  <c r="R1571" i="21"/>
  <c r="P1571" i="21"/>
  <c r="A1571" i="21"/>
  <c r="R1570" i="21"/>
  <c r="P1570" i="21"/>
  <c r="A1570" i="21"/>
  <c r="R1569" i="21"/>
  <c r="P1569" i="21"/>
  <c r="A1569" i="21"/>
  <c r="R1568" i="21"/>
  <c r="P1568" i="21"/>
  <c r="A1568" i="21"/>
  <c r="R1567" i="21"/>
  <c r="P1567" i="21"/>
  <c r="A1567" i="21"/>
  <c r="R1566" i="21"/>
  <c r="P1566" i="21"/>
  <c r="A1566" i="21"/>
  <c r="R1565" i="21"/>
  <c r="P1565" i="21"/>
  <c r="A1565" i="21"/>
  <c r="R1564" i="21"/>
  <c r="P1564" i="21"/>
  <c r="A1564" i="21"/>
  <c r="R1563" i="21"/>
  <c r="P1563" i="21"/>
  <c r="A1563" i="21"/>
  <c r="R1562" i="21"/>
  <c r="P1562" i="21"/>
  <c r="A1562" i="21"/>
  <c r="R1561" i="21"/>
  <c r="P1561" i="21"/>
  <c r="A1561" i="21"/>
  <c r="R1560" i="21"/>
  <c r="P1560" i="21"/>
  <c r="A1560" i="21"/>
  <c r="R1559" i="21"/>
  <c r="P1559" i="21"/>
  <c r="A1559" i="21"/>
  <c r="R1558" i="21"/>
  <c r="P1558" i="21"/>
  <c r="A1558" i="21"/>
  <c r="R1557" i="21"/>
  <c r="P1557" i="21"/>
  <c r="A1557" i="21"/>
  <c r="R1556" i="21"/>
  <c r="P1556" i="21"/>
  <c r="A1556" i="21"/>
  <c r="R1555" i="21"/>
  <c r="P1555" i="21"/>
  <c r="A1555" i="21"/>
  <c r="R1554" i="21"/>
  <c r="P1554" i="21"/>
  <c r="A1554" i="21"/>
  <c r="R1553" i="21"/>
  <c r="P1553" i="21"/>
  <c r="A1553" i="21"/>
  <c r="R1552" i="21"/>
  <c r="P1552" i="21"/>
  <c r="A1552" i="21"/>
  <c r="R1551" i="21"/>
  <c r="P1551" i="21"/>
  <c r="A1551" i="21"/>
  <c r="R1550" i="21"/>
  <c r="P1550" i="21"/>
  <c r="A1550" i="21"/>
  <c r="R1549" i="21"/>
  <c r="P1549" i="21"/>
  <c r="A1549" i="21"/>
  <c r="R1548" i="21"/>
  <c r="P1548" i="21"/>
  <c r="A1548" i="21"/>
  <c r="R1547" i="21"/>
  <c r="P1547" i="21"/>
  <c r="A1547" i="21"/>
  <c r="R1546" i="21"/>
  <c r="P1546" i="21"/>
  <c r="A1546" i="21"/>
  <c r="R1545" i="21"/>
  <c r="P1545" i="21"/>
  <c r="A1545" i="21"/>
  <c r="R1544" i="21"/>
  <c r="P1544" i="21"/>
  <c r="A1544" i="21"/>
  <c r="R1543" i="21"/>
  <c r="P1543" i="21"/>
  <c r="A1543" i="21"/>
  <c r="R1542" i="21"/>
  <c r="P1542" i="21"/>
  <c r="A1542" i="21"/>
  <c r="R1541" i="21"/>
  <c r="P1541" i="21"/>
  <c r="A1541" i="21"/>
  <c r="R1540" i="21"/>
  <c r="P1540" i="21"/>
  <c r="A1540" i="21"/>
  <c r="R1539" i="21"/>
  <c r="P1539" i="21"/>
  <c r="A1539" i="21"/>
  <c r="R1538" i="21"/>
  <c r="P1538" i="21"/>
  <c r="A1538" i="21"/>
  <c r="R1537" i="21"/>
  <c r="P1537" i="21"/>
  <c r="A1537" i="21"/>
  <c r="R1536" i="21"/>
  <c r="P1536" i="21"/>
  <c r="A1536" i="21"/>
  <c r="R1535" i="21"/>
  <c r="P1535" i="21"/>
  <c r="A1535" i="21"/>
  <c r="R1534" i="21"/>
  <c r="P1534" i="21"/>
  <c r="A1534" i="21"/>
  <c r="R1533" i="21"/>
  <c r="P1533" i="21"/>
  <c r="A1533" i="21"/>
  <c r="R1532" i="21"/>
  <c r="P1532" i="21"/>
  <c r="A1532" i="21"/>
  <c r="R1531" i="21"/>
  <c r="P1531" i="21"/>
  <c r="A1531" i="21"/>
  <c r="R1530" i="21"/>
  <c r="P1530" i="21"/>
  <c r="A1530" i="21"/>
  <c r="R1529" i="21"/>
  <c r="P1529" i="21"/>
  <c r="A1529" i="21"/>
  <c r="R1528" i="21"/>
  <c r="P1528" i="21"/>
  <c r="A1528" i="21"/>
  <c r="R1527" i="21"/>
  <c r="P1527" i="21"/>
  <c r="A1527" i="21"/>
  <c r="R1526" i="21"/>
  <c r="P1526" i="21"/>
  <c r="A1526" i="21"/>
  <c r="R1525" i="21"/>
  <c r="P1525" i="21"/>
  <c r="A1525" i="21"/>
  <c r="R1524" i="21"/>
  <c r="P1524" i="21"/>
  <c r="A1524" i="21"/>
  <c r="R1523" i="21"/>
  <c r="P1523" i="21"/>
  <c r="A1523" i="21"/>
  <c r="R1522" i="21"/>
  <c r="P1522" i="21"/>
  <c r="A1522" i="21"/>
  <c r="R1521" i="21"/>
  <c r="P1521" i="21"/>
  <c r="A1521" i="21"/>
  <c r="R1520" i="21"/>
  <c r="P1520" i="21"/>
  <c r="A1520" i="21"/>
  <c r="R1519" i="21"/>
  <c r="P1519" i="21"/>
  <c r="A1519" i="21"/>
  <c r="R1518" i="21"/>
  <c r="P1518" i="21"/>
  <c r="A1518" i="21"/>
  <c r="R1517" i="21"/>
  <c r="P1517" i="21"/>
  <c r="A1517" i="21"/>
  <c r="R1516" i="21"/>
  <c r="P1516" i="21"/>
  <c r="A1516" i="21"/>
  <c r="R1515" i="21"/>
  <c r="P1515" i="21"/>
  <c r="A1515" i="21"/>
  <c r="R1514" i="21"/>
  <c r="P1514" i="21"/>
  <c r="A1514" i="21"/>
  <c r="R1513" i="21"/>
  <c r="P1513" i="21"/>
  <c r="A1513" i="21"/>
  <c r="R1512" i="21"/>
  <c r="P1512" i="21"/>
  <c r="A1512" i="21"/>
  <c r="R1511" i="21"/>
  <c r="P1511" i="21"/>
  <c r="A1511" i="21"/>
  <c r="R1510" i="21"/>
  <c r="P1510" i="21"/>
  <c r="A1510" i="21"/>
  <c r="R1509" i="21"/>
  <c r="P1509" i="21"/>
  <c r="A1509" i="21"/>
  <c r="R1508" i="21"/>
  <c r="P1508" i="21"/>
  <c r="A1508" i="21"/>
  <c r="R1507" i="21"/>
  <c r="P1507" i="21"/>
  <c r="A1507" i="21"/>
  <c r="R1506" i="21"/>
  <c r="P1506" i="21"/>
  <c r="A1506" i="21"/>
  <c r="R1505" i="21"/>
  <c r="P1505" i="21"/>
  <c r="A1505" i="21"/>
  <c r="R1504" i="21"/>
  <c r="P1504" i="21"/>
  <c r="A1504" i="21"/>
  <c r="R1503" i="21"/>
  <c r="P1503" i="21"/>
  <c r="A1503" i="21"/>
  <c r="R1502" i="21"/>
  <c r="P1502" i="21"/>
  <c r="A1502" i="21"/>
  <c r="R1501" i="21"/>
  <c r="P1501" i="21"/>
  <c r="A1501" i="21"/>
  <c r="R1500" i="21"/>
  <c r="P1500" i="21"/>
  <c r="A1500" i="21"/>
  <c r="R1499" i="21"/>
  <c r="P1499" i="21"/>
  <c r="A1499" i="21"/>
  <c r="R1498" i="21"/>
  <c r="P1498" i="21"/>
  <c r="A1498" i="21"/>
  <c r="R1497" i="21"/>
  <c r="P1497" i="21"/>
  <c r="A1497" i="21"/>
  <c r="R1496" i="21"/>
  <c r="P1496" i="21"/>
  <c r="A1496" i="21"/>
  <c r="R1495" i="21"/>
  <c r="P1495" i="21"/>
  <c r="A1495" i="21"/>
  <c r="R1494" i="21"/>
  <c r="P1494" i="21"/>
  <c r="A1494" i="21"/>
  <c r="R1493" i="21"/>
  <c r="P1493" i="21"/>
  <c r="A1493" i="21"/>
  <c r="R1492" i="21"/>
  <c r="P1492" i="21"/>
  <c r="A1492" i="21"/>
  <c r="R1491" i="21"/>
  <c r="P1491" i="21"/>
  <c r="A1491" i="21"/>
  <c r="R1490" i="21"/>
  <c r="P1490" i="21"/>
  <c r="A1490" i="21"/>
  <c r="R1489" i="21"/>
  <c r="P1489" i="21"/>
  <c r="A1489" i="21"/>
  <c r="R1488" i="21"/>
  <c r="P1488" i="21"/>
  <c r="A1488" i="21"/>
  <c r="R1487" i="21"/>
  <c r="P1487" i="21"/>
  <c r="A1487" i="21"/>
  <c r="R1486" i="21"/>
  <c r="P1486" i="21"/>
  <c r="A1486" i="21"/>
  <c r="R1485" i="21"/>
  <c r="P1485" i="21"/>
  <c r="A1485" i="21"/>
  <c r="R1484" i="21"/>
  <c r="P1484" i="21"/>
  <c r="A1484" i="21"/>
  <c r="R1483" i="21"/>
  <c r="P1483" i="21"/>
  <c r="A1483" i="21"/>
  <c r="R1482" i="21"/>
  <c r="P1482" i="21"/>
  <c r="A1482" i="21"/>
  <c r="R1481" i="21"/>
  <c r="P1481" i="21"/>
  <c r="A1481" i="21"/>
  <c r="R1480" i="21"/>
  <c r="P1480" i="21"/>
  <c r="A1480" i="21"/>
  <c r="R1479" i="21"/>
  <c r="P1479" i="21"/>
  <c r="A1479" i="21"/>
  <c r="R1478" i="21"/>
  <c r="P1478" i="21"/>
  <c r="A1478" i="21"/>
  <c r="R1477" i="21"/>
  <c r="P1477" i="21"/>
  <c r="A1477" i="21"/>
  <c r="R1476" i="21"/>
  <c r="P1476" i="21"/>
  <c r="A1476" i="21"/>
  <c r="R1475" i="21"/>
  <c r="P1475" i="21"/>
  <c r="A1475" i="21"/>
  <c r="R1474" i="21"/>
  <c r="P1474" i="21"/>
  <c r="A1474" i="21"/>
  <c r="R1473" i="21"/>
  <c r="P1473" i="21"/>
  <c r="A1473" i="21"/>
  <c r="R1472" i="21"/>
  <c r="P1472" i="21"/>
  <c r="A1472" i="21"/>
  <c r="R1471" i="21"/>
  <c r="P1471" i="21"/>
  <c r="A1471" i="21"/>
  <c r="R1470" i="21"/>
  <c r="P1470" i="21"/>
  <c r="A1470" i="21"/>
  <c r="R1469" i="21"/>
  <c r="P1469" i="21"/>
  <c r="A1469" i="21"/>
  <c r="R1468" i="21"/>
  <c r="P1468" i="21"/>
  <c r="A1468" i="21"/>
  <c r="R1467" i="21"/>
  <c r="P1467" i="21"/>
  <c r="A1467" i="21"/>
  <c r="R1466" i="21"/>
  <c r="P1466" i="21"/>
  <c r="A1466" i="21"/>
  <c r="R1465" i="21"/>
  <c r="P1465" i="21"/>
  <c r="A1465" i="21"/>
  <c r="R1464" i="21"/>
  <c r="P1464" i="21"/>
  <c r="A1464" i="21"/>
  <c r="R1463" i="21"/>
  <c r="P1463" i="21"/>
  <c r="A1463" i="21"/>
  <c r="R1462" i="21"/>
  <c r="P1462" i="21"/>
  <c r="A1462" i="21"/>
  <c r="R1461" i="21"/>
  <c r="P1461" i="21"/>
  <c r="A1461" i="21"/>
  <c r="R1460" i="21"/>
  <c r="P1460" i="21"/>
  <c r="A1460" i="21"/>
  <c r="R1459" i="21"/>
  <c r="P1459" i="21"/>
  <c r="A1459" i="21"/>
  <c r="R1458" i="21"/>
  <c r="P1458" i="21"/>
  <c r="A1458" i="21"/>
  <c r="R1457" i="21"/>
  <c r="P1457" i="21"/>
  <c r="A1457" i="21"/>
  <c r="R1456" i="21"/>
  <c r="P1456" i="21"/>
  <c r="A1456" i="21"/>
  <c r="R1455" i="21"/>
  <c r="P1455" i="21"/>
  <c r="A1455" i="21"/>
  <c r="R1454" i="21"/>
  <c r="P1454" i="21"/>
  <c r="A1454" i="21"/>
  <c r="R1453" i="21"/>
  <c r="P1453" i="21"/>
  <c r="A1453" i="21"/>
  <c r="R1452" i="21"/>
  <c r="P1452" i="21"/>
  <c r="A1452" i="21"/>
  <c r="R1451" i="21"/>
  <c r="P1451" i="21"/>
  <c r="A1451" i="21"/>
  <c r="R1450" i="21"/>
  <c r="P1450" i="21"/>
  <c r="A1450" i="21"/>
  <c r="R1449" i="21"/>
  <c r="P1449" i="21"/>
  <c r="A1449" i="21"/>
  <c r="R1448" i="21"/>
  <c r="P1448" i="21"/>
  <c r="A1448" i="21"/>
  <c r="R1447" i="21"/>
  <c r="P1447" i="21"/>
  <c r="A1447" i="21"/>
  <c r="R1446" i="21"/>
  <c r="P1446" i="21"/>
  <c r="A1446" i="21"/>
  <c r="R1445" i="21"/>
  <c r="P1445" i="21"/>
  <c r="A1445" i="21"/>
  <c r="R1444" i="21"/>
  <c r="P1444" i="21"/>
  <c r="A1444" i="21"/>
  <c r="R1443" i="21"/>
  <c r="P1443" i="21"/>
  <c r="A1443" i="21"/>
  <c r="R1442" i="21"/>
  <c r="P1442" i="21"/>
  <c r="A1442" i="21"/>
  <c r="R1441" i="21"/>
  <c r="P1441" i="21"/>
  <c r="A1441" i="21"/>
  <c r="R1440" i="21"/>
  <c r="P1440" i="21"/>
  <c r="A1440" i="21"/>
  <c r="R1439" i="21"/>
  <c r="P1439" i="21"/>
  <c r="A1439" i="21"/>
  <c r="R1438" i="21"/>
  <c r="P1438" i="21"/>
  <c r="A1438" i="21"/>
  <c r="R1437" i="21"/>
  <c r="P1437" i="21"/>
  <c r="A1437" i="21"/>
  <c r="R1436" i="21"/>
  <c r="P1436" i="21"/>
  <c r="A1436" i="21"/>
  <c r="R1435" i="21"/>
  <c r="P1435" i="21"/>
  <c r="A1435" i="21"/>
  <c r="R1434" i="21"/>
  <c r="P1434" i="21"/>
  <c r="A1434" i="21"/>
  <c r="R1433" i="21"/>
  <c r="P1433" i="21"/>
  <c r="A1433" i="21"/>
  <c r="R1432" i="21"/>
  <c r="P1432" i="21"/>
  <c r="A1432" i="21"/>
  <c r="R1431" i="21"/>
  <c r="P1431" i="21"/>
  <c r="A1431" i="21"/>
  <c r="R1430" i="21"/>
  <c r="P1430" i="21"/>
  <c r="A1430" i="21"/>
  <c r="R1429" i="21"/>
  <c r="P1429" i="21"/>
  <c r="A1429" i="21"/>
  <c r="R1428" i="21"/>
  <c r="P1428" i="21"/>
  <c r="A1428" i="21"/>
  <c r="R1427" i="21"/>
  <c r="P1427" i="21"/>
  <c r="A1427" i="21"/>
  <c r="R1426" i="21"/>
  <c r="P1426" i="21"/>
  <c r="A1426" i="21"/>
  <c r="R1425" i="21"/>
  <c r="P1425" i="21"/>
  <c r="A1425" i="21"/>
  <c r="R1424" i="21"/>
  <c r="P1424" i="21"/>
  <c r="A1424" i="21"/>
  <c r="R1423" i="21"/>
  <c r="P1423" i="21"/>
  <c r="A1423" i="21"/>
  <c r="R1422" i="21"/>
  <c r="P1422" i="21"/>
  <c r="A1422" i="21"/>
  <c r="R1421" i="21"/>
  <c r="P1421" i="21"/>
  <c r="A1421" i="21"/>
  <c r="R1420" i="21"/>
  <c r="P1420" i="21"/>
  <c r="A1420" i="21"/>
  <c r="R1419" i="21"/>
  <c r="P1419" i="21"/>
  <c r="A1419" i="21"/>
  <c r="R1418" i="21"/>
  <c r="P1418" i="21"/>
  <c r="A1418" i="21"/>
  <c r="R1417" i="21"/>
  <c r="P1417" i="21"/>
  <c r="A1417" i="21"/>
  <c r="R1416" i="21"/>
  <c r="P1416" i="21"/>
  <c r="A1416" i="21"/>
  <c r="R1415" i="21"/>
  <c r="P1415" i="21"/>
  <c r="A1415" i="21"/>
  <c r="R1414" i="21"/>
  <c r="P1414" i="21"/>
  <c r="A1414" i="21"/>
  <c r="R1413" i="21"/>
  <c r="P1413" i="21"/>
  <c r="A1413" i="21"/>
  <c r="R1412" i="21"/>
  <c r="P1412" i="21"/>
  <c r="A1412" i="21"/>
  <c r="R1411" i="21"/>
  <c r="P1411" i="21"/>
  <c r="A1411" i="21"/>
  <c r="R1410" i="21"/>
  <c r="P1410" i="21"/>
  <c r="A1410" i="21"/>
  <c r="R1409" i="21"/>
  <c r="P1409" i="21"/>
  <c r="A1409" i="21"/>
  <c r="R1408" i="21"/>
  <c r="P1408" i="21"/>
  <c r="A1408" i="21"/>
  <c r="R1407" i="21"/>
  <c r="P1407" i="21"/>
  <c r="A1407" i="21"/>
  <c r="R1406" i="21"/>
  <c r="P1406" i="21"/>
  <c r="A1406" i="21"/>
  <c r="R1405" i="21"/>
  <c r="P1405" i="21"/>
  <c r="A1405" i="21"/>
  <c r="R1404" i="21"/>
  <c r="P1404" i="21"/>
  <c r="A1404" i="21"/>
  <c r="R1403" i="21"/>
  <c r="P1403" i="21"/>
  <c r="A1403" i="21"/>
  <c r="R1402" i="21"/>
  <c r="P1402" i="21"/>
  <c r="A1402" i="21"/>
  <c r="R1401" i="21"/>
  <c r="P1401" i="21"/>
  <c r="A1401" i="21"/>
  <c r="R1400" i="21"/>
  <c r="P1400" i="21"/>
  <c r="A1400" i="21"/>
  <c r="R1399" i="21"/>
  <c r="P1399" i="21"/>
  <c r="A1399" i="21"/>
  <c r="R1398" i="21"/>
  <c r="P1398" i="21"/>
  <c r="A1398" i="21"/>
  <c r="R1397" i="21"/>
  <c r="P1397" i="21"/>
  <c r="A1397" i="21"/>
  <c r="R1396" i="21"/>
  <c r="P1396" i="21"/>
  <c r="A1396" i="21"/>
  <c r="R1395" i="21"/>
  <c r="P1395" i="21"/>
  <c r="A1395" i="21"/>
  <c r="R1394" i="21"/>
  <c r="P1394" i="21"/>
  <c r="A1394" i="21"/>
  <c r="R1393" i="21"/>
  <c r="P1393" i="21"/>
  <c r="A1393" i="21"/>
  <c r="R1392" i="21"/>
  <c r="P1392" i="21"/>
  <c r="A1392" i="21"/>
  <c r="R1391" i="21"/>
  <c r="P1391" i="21"/>
  <c r="A1391" i="21"/>
  <c r="R1390" i="21"/>
  <c r="P1390" i="21"/>
  <c r="A1390" i="21"/>
  <c r="R1389" i="21"/>
  <c r="P1389" i="21"/>
  <c r="A1389" i="21"/>
  <c r="R1388" i="21"/>
  <c r="P1388" i="21"/>
  <c r="A1388" i="21"/>
  <c r="R1387" i="21"/>
  <c r="P1387" i="21"/>
  <c r="A1387" i="21"/>
  <c r="R1386" i="21"/>
  <c r="P1386" i="21"/>
  <c r="A1386" i="21"/>
  <c r="R1385" i="21"/>
  <c r="P1385" i="21"/>
  <c r="A1385" i="21"/>
  <c r="R1384" i="21"/>
  <c r="P1384" i="21"/>
  <c r="A1384" i="21"/>
  <c r="R1383" i="21"/>
  <c r="P1383" i="21"/>
  <c r="A1383" i="21"/>
  <c r="R1382" i="21"/>
  <c r="P1382" i="21"/>
  <c r="A1382" i="21"/>
  <c r="R1381" i="21"/>
  <c r="P1381" i="21"/>
  <c r="A1381" i="21"/>
  <c r="R1380" i="21"/>
  <c r="P1380" i="21"/>
  <c r="A1380" i="21"/>
  <c r="R1379" i="21"/>
  <c r="P1379" i="21"/>
  <c r="A1379" i="21"/>
  <c r="R1378" i="21"/>
  <c r="P1378" i="21"/>
  <c r="A1378" i="21"/>
  <c r="R1377" i="21"/>
  <c r="P1377" i="21"/>
  <c r="A1377" i="21"/>
  <c r="R1376" i="21"/>
  <c r="P1376" i="21"/>
  <c r="A1376" i="21"/>
  <c r="R1375" i="21"/>
  <c r="P1375" i="21"/>
  <c r="A1375" i="21"/>
  <c r="R1374" i="21"/>
  <c r="P1374" i="21"/>
  <c r="A1374" i="21"/>
  <c r="R1373" i="21"/>
  <c r="P1373" i="21"/>
  <c r="A1373" i="21"/>
  <c r="R1372" i="21"/>
  <c r="P1372" i="21"/>
  <c r="A1372" i="21"/>
  <c r="R1371" i="21"/>
  <c r="P1371" i="21"/>
  <c r="A1371" i="21"/>
  <c r="R1370" i="21"/>
  <c r="P1370" i="21"/>
  <c r="A1370" i="21"/>
  <c r="R1369" i="21"/>
  <c r="P1369" i="21"/>
  <c r="A1369" i="21"/>
  <c r="R1368" i="21"/>
  <c r="P1368" i="21"/>
  <c r="A1368" i="21"/>
  <c r="R1367" i="21"/>
  <c r="P1367" i="21"/>
  <c r="A1367" i="21"/>
  <c r="R1366" i="21"/>
  <c r="P1366" i="21"/>
  <c r="A1366" i="21"/>
  <c r="R1365" i="21"/>
  <c r="P1365" i="21"/>
  <c r="A1365" i="21"/>
  <c r="R1364" i="21"/>
  <c r="P1364" i="21"/>
  <c r="A1364" i="21"/>
  <c r="R1363" i="21"/>
  <c r="P1363" i="21"/>
  <c r="A1363" i="21"/>
  <c r="R1362" i="21"/>
  <c r="P1362" i="21"/>
  <c r="A1362" i="21"/>
  <c r="R1361" i="21"/>
  <c r="P1361" i="21"/>
  <c r="A1361" i="21"/>
  <c r="R1360" i="21"/>
  <c r="P1360" i="21"/>
  <c r="A1360" i="21"/>
  <c r="R1359" i="21"/>
  <c r="P1359" i="21"/>
  <c r="A1359" i="21"/>
  <c r="R1358" i="21"/>
  <c r="P1358" i="21"/>
  <c r="A1358" i="21"/>
  <c r="R1357" i="21"/>
  <c r="P1357" i="21"/>
  <c r="A1357" i="21"/>
  <c r="R1356" i="21"/>
  <c r="P1356" i="21"/>
  <c r="A1356" i="21"/>
  <c r="R1355" i="21"/>
  <c r="P1355" i="21"/>
  <c r="A1355" i="21"/>
  <c r="R1354" i="21"/>
  <c r="P1354" i="21"/>
  <c r="A1354" i="21"/>
  <c r="R1353" i="21"/>
  <c r="P1353" i="21"/>
  <c r="A1353" i="21"/>
  <c r="R1352" i="21"/>
  <c r="P1352" i="21"/>
  <c r="A1352" i="21"/>
  <c r="R1351" i="21"/>
  <c r="P1351" i="21"/>
  <c r="A1351" i="21"/>
  <c r="R1350" i="21"/>
  <c r="P1350" i="21"/>
  <c r="A1350" i="21"/>
  <c r="R1349" i="21"/>
  <c r="P1349" i="21"/>
  <c r="A1349" i="21"/>
  <c r="R1348" i="21"/>
  <c r="P1348" i="21"/>
  <c r="A1348" i="21"/>
  <c r="R1347" i="21"/>
  <c r="P1347" i="21"/>
  <c r="A1347" i="21"/>
  <c r="R1346" i="21"/>
  <c r="P1346" i="21"/>
  <c r="A1346" i="21"/>
  <c r="R1345" i="21"/>
  <c r="P1345" i="21"/>
  <c r="A1345" i="21"/>
  <c r="R1344" i="21"/>
  <c r="P1344" i="21"/>
  <c r="A1344" i="21"/>
  <c r="R1343" i="21"/>
  <c r="P1343" i="21"/>
  <c r="A1343" i="21"/>
  <c r="R1342" i="21"/>
  <c r="P1342" i="21"/>
  <c r="A1342" i="21"/>
  <c r="R1341" i="21"/>
  <c r="P1341" i="21"/>
  <c r="A1341" i="21"/>
  <c r="R1340" i="21"/>
  <c r="P1340" i="21"/>
  <c r="A1340" i="21"/>
  <c r="R1339" i="21"/>
  <c r="P1339" i="21"/>
  <c r="A1339" i="21"/>
  <c r="R1338" i="21"/>
  <c r="P1338" i="21"/>
  <c r="A1338" i="21"/>
  <c r="R1337" i="21"/>
  <c r="P1337" i="21"/>
  <c r="A1337" i="21"/>
  <c r="R1336" i="21"/>
  <c r="P1336" i="21"/>
  <c r="A1336" i="21"/>
  <c r="R1335" i="21"/>
  <c r="P1335" i="21"/>
  <c r="A1335" i="21"/>
  <c r="R1334" i="21"/>
  <c r="P1334" i="21"/>
  <c r="A1334" i="21"/>
  <c r="R1333" i="21"/>
  <c r="P1333" i="21"/>
  <c r="A1333" i="21"/>
  <c r="R1332" i="21"/>
  <c r="P1332" i="21"/>
  <c r="A1332" i="21"/>
  <c r="R1331" i="21"/>
  <c r="P1331" i="21"/>
  <c r="A1331" i="21"/>
  <c r="R1330" i="21"/>
  <c r="P1330" i="21"/>
  <c r="A1330" i="21"/>
  <c r="R1329" i="21"/>
  <c r="P1329" i="21"/>
  <c r="A1329" i="21"/>
  <c r="R1328" i="21"/>
  <c r="P1328" i="21"/>
  <c r="A1328" i="21"/>
  <c r="R1327" i="21"/>
  <c r="P1327" i="21"/>
  <c r="A1327" i="21"/>
  <c r="R1326" i="21"/>
  <c r="P1326" i="21"/>
  <c r="A1326" i="21"/>
  <c r="R1325" i="21"/>
  <c r="P1325" i="21"/>
  <c r="A1325" i="21"/>
  <c r="R1324" i="21"/>
  <c r="P1324" i="21"/>
  <c r="A1324" i="21"/>
  <c r="R1323" i="21"/>
  <c r="P1323" i="21"/>
  <c r="A1323" i="21"/>
  <c r="R1322" i="21"/>
  <c r="P1322" i="21"/>
  <c r="A1322" i="21"/>
  <c r="R1321" i="21"/>
  <c r="P1321" i="21"/>
  <c r="A1321" i="21"/>
  <c r="R1320" i="21"/>
  <c r="P1320" i="21"/>
  <c r="A1320" i="21"/>
  <c r="R1319" i="21"/>
  <c r="P1319" i="21"/>
  <c r="A1319" i="21"/>
  <c r="R1318" i="21"/>
  <c r="P1318" i="21"/>
  <c r="A1318" i="21"/>
  <c r="R1317" i="21"/>
  <c r="P1317" i="21"/>
  <c r="A1317" i="21"/>
  <c r="R1316" i="21"/>
  <c r="P1316" i="21"/>
  <c r="A1316" i="21"/>
  <c r="R1315" i="21"/>
  <c r="P1315" i="21"/>
  <c r="A1315" i="21"/>
  <c r="R1314" i="21"/>
  <c r="P1314" i="21"/>
  <c r="A1314" i="21"/>
  <c r="R1313" i="21"/>
  <c r="P1313" i="21"/>
  <c r="A1313" i="21"/>
  <c r="R1312" i="21"/>
  <c r="P1312" i="21"/>
  <c r="A1312" i="21"/>
  <c r="R1311" i="21"/>
  <c r="P1311" i="21"/>
  <c r="A1311" i="21"/>
  <c r="R1310" i="21"/>
  <c r="P1310" i="21"/>
  <c r="A1310" i="21"/>
  <c r="R1309" i="21"/>
  <c r="P1309" i="21"/>
  <c r="A1309" i="21"/>
  <c r="R1308" i="21"/>
  <c r="P1308" i="21"/>
  <c r="A1308" i="21"/>
  <c r="R1307" i="21"/>
  <c r="P1307" i="21"/>
  <c r="A1307" i="21"/>
  <c r="R1306" i="21"/>
  <c r="P1306" i="21"/>
  <c r="A1306" i="21"/>
  <c r="R1305" i="21"/>
  <c r="P1305" i="21"/>
  <c r="A1305" i="21"/>
  <c r="R1304" i="21"/>
  <c r="P1304" i="21"/>
  <c r="A1304" i="21"/>
  <c r="R1303" i="21"/>
  <c r="P1303" i="21"/>
  <c r="A1303" i="21"/>
  <c r="R1302" i="21"/>
  <c r="P1302" i="21"/>
  <c r="A1302" i="21"/>
  <c r="R1301" i="21"/>
  <c r="P1301" i="21"/>
  <c r="A1301" i="21"/>
  <c r="R1300" i="21"/>
  <c r="P1300" i="21"/>
  <c r="A1300" i="21"/>
  <c r="R1299" i="21"/>
  <c r="P1299" i="21"/>
  <c r="A1299" i="21"/>
  <c r="R1298" i="21"/>
  <c r="P1298" i="21"/>
  <c r="A1298" i="21"/>
  <c r="R1297" i="21"/>
  <c r="P1297" i="21"/>
  <c r="A1297" i="21"/>
  <c r="R1296" i="21"/>
  <c r="P1296" i="21"/>
  <c r="A1296" i="21"/>
  <c r="R1295" i="21"/>
  <c r="P1295" i="21"/>
  <c r="A1295" i="21"/>
  <c r="R1294" i="21"/>
  <c r="P1294" i="21"/>
  <c r="A1294" i="21"/>
  <c r="R1293" i="21"/>
  <c r="P1293" i="21"/>
  <c r="A1293" i="21"/>
  <c r="R1292" i="21"/>
  <c r="P1292" i="21"/>
  <c r="A1292" i="21"/>
  <c r="R1291" i="21"/>
  <c r="P1291" i="21"/>
  <c r="A1291" i="21"/>
  <c r="R1290" i="21"/>
  <c r="P1290" i="21"/>
  <c r="A1290" i="21"/>
  <c r="R1289" i="21"/>
  <c r="P1289" i="21"/>
  <c r="A1289" i="21"/>
  <c r="R1288" i="21"/>
  <c r="P1288" i="21"/>
  <c r="A1288" i="21"/>
  <c r="R1287" i="21"/>
  <c r="P1287" i="21"/>
  <c r="A1287" i="21"/>
  <c r="R1286" i="21"/>
  <c r="P1286" i="21"/>
  <c r="A1286" i="21"/>
  <c r="R1285" i="21"/>
  <c r="P1285" i="21"/>
  <c r="A1285" i="21"/>
  <c r="R1284" i="21"/>
  <c r="P1284" i="21"/>
  <c r="A1284" i="21"/>
  <c r="R1283" i="21"/>
  <c r="P1283" i="21"/>
  <c r="A1283" i="21"/>
  <c r="R1282" i="21"/>
  <c r="P1282" i="21"/>
  <c r="A1282" i="21"/>
  <c r="R1281" i="21"/>
  <c r="P1281" i="21"/>
  <c r="A1281" i="21"/>
  <c r="R1280" i="21"/>
  <c r="P1280" i="21"/>
  <c r="A1280" i="21"/>
  <c r="R1279" i="21"/>
  <c r="P1279" i="21"/>
  <c r="A1279" i="21"/>
  <c r="R1278" i="21"/>
  <c r="P1278" i="21"/>
  <c r="A1278" i="21"/>
  <c r="R1277" i="21"/>
  <c r="P1277" i="21"/>
  <c r="A1277" i="21"/>
  <c r="R1276" i="21"/>
  <c r="P1276" i="21"/>
  <c r="A1276" i="21"/>
  <c r="R1275" i="21"/>
  <c r="P1275" i="21"/>
  <c r="A1275" i="21"/>
  <c r="R1274" i="21"/>
  <c r="P1274" i="21"/>
  <c r="A1274" i="21"/>
  <c r="R1273" i="21"/>
  <c r="P1273" i="21"/>
  <c r="A1273" i="21"/>
  <c r="R1272" i="21"/>
  <c r="P1272" i="21"/>
  <c r="A1272" i="21"/>
  <c r="R1271" i="21"/>
  <c r="P1271" i="21"/>
  <c r="A1271" i="21"/>
  <c r="R1270" i="21"/>
  <c r="P1270" i="21"/>
  <c r="A1270" i="21"/>
  <c r="R1269" i="21"/>
  <c r="P1269" i="21"/>
  <c r="A1269" i="21"/>
  <c r="R1268" i="21"/>
  <c r="P1268" i="21"/>
  <c r="A1268" i="21"/>
  <c r="R1267" i="21"/>
  <c r="P1267" i="21"/>
  <c r="A1267" i="21"/>
  <c r="R1266" i="21"/>
  <c r="P1266" i="21"/>
  <c r="A1266" i="21"/>
  <c r="R1265" i="21"/>
  <c r="P1265" i="21"/>
  <c r="A1265" i="21"/>
  <c r="R1264" i="21"/>
  <c r="P1264" i="21"/>
  <c r="A1264" i="21"/>
  <c r="R1263" i="21"/>
  <c r="P1263" i="21"/>
  <c r="A1263" i="21"/>
  <c r="R1262" i="21"/>
  <c r="P1262" i="21"/>
  <c r="A1262" i="21"/>
  <c r="R1261" i="21"/>
  <c r="P1261" i="21"/>
  <c r="A1261" i="21"/>
  <c r="R1260" i="21"/>
  <c r="P1260" i="21"/>
  <c r="A1260" i="21"/>
  <c r="R1259" i="21"/>
  <c r="P1259" i="21"/>
  <c r="A1259" i="21"/>
  <c r="R1258" i="21"/>
  <c r="P1258" i="21"/>
  <c r="A1258" i="21"/>
  <c r="R1257" i="21"/>
  <c r="P1257" i="21"/>
  <c r="A1257" i="21"/>
  <c r="R1256" i="21"/>
  <c r="P1256" i="21"/>
  <c r="A1256" i="21"/>
  <c r="R1255" i="21"/>
  <c r="P1255" i="21"/>
  <c r="A1255" i="21"/>
  <c r="R1254" i="21"/>
  <c r="P1254" i="21"/>
  <c r="A1254" i="21"/>
  <c r="R1253" i="21"/>
  <c r="P1253" i="21"/>
  <c r="A1253" i="21"/>
  <c r="R1252" i="21"/>
  <c r="P1252" i="21"/>
  <c r="A1252" i="21"/>
  <c r="R1251" i="21"/>
  <c r="P1251" i="21"/>
  <c r="A1251" i="21"/>
  <c r="R1250" i="21"/>
  <c r="P1250" i="21"/>
  <c r="A1250" i="21"/>
  <c r="R1249" i="21"/>
  <c r="P1249" i="21"/>
  <c r="A1249" i="21"/>
  <c r="R1248" i="21"/>
  <c r="P1248" i="21"/>
  <c r="A1248" i="21"/>
  <c r="R1247" i="21"/>
  <c r="P1247" i="21"/>
  <c r="A1247" i="21"/>
  <c r="R1246" i="21"/>
  <c r="P1246" i="21"/>
  <c r="A1246" i="21"/>
  <c r="R1245" i="21"/>
  <c r="P1245" i="21"/>
  <c r="A1245" i="21"/>
  <c r="R1244" i="21"/>
  <c r="P1244" i="21"/>
  <c r="A1244" i="21"/>
  <c r="R1243" i="21"/>
  <c r="P1243" i="21"/>
  <c r="A1243" i="21"/>
  <c r="R1242" i="21"/>
  <c r="P1242" i="21"/>
  <c r="A1242" i="21"/>
  <c r="R1241" i="21"/>
  <c r="P1241" i="21"/>
  <c r="A1241" i="21"/>
  <c r="R1240" i="21"/>
  <c r="P1240" i="21"/>
  <c r="A1240" i="21"/>
  <c r="R1239" i="21"/>
  <c r="P1239" i="21"/>
  <c r="A1239" i="21"/>
  <c r="R1238" i="21"/>
  <c r="P1238" i="21"/>
  <c r="A1238" i="21"/>
  <c r="R1237" i="21"/>
  <c r="P1237" i="21"/>
  <c r="A1237" i="21"/>
  <c r="R1236" i="21"/>
  <c r="P1236" i="21"/>
  <c r="A1236" i="21"/>
  <c r="R1235" i="21"/>
  <c r="P1235" i="21"/>
  <c r="A1235" i="21"/>
  <c r="R1234" i="21"/>
  <c r="P1234" i="21"/>
  <c r="A1234" i="21"/>
  <c r="R1233" i="21"/>
  <c r="P1233" i="21"/>
  <c r="A1233" i="21"/>
  <c r="R1232" i="21"/>
  <c r="P1232" i="21"/>
  <c r="A1232" i="21"/>
  <c r="R1231" i="21"/>
  <c r="P1231" i="21"/>
  <c r="A1231" i="21"/>
  <c r="R1230" i="21"/>
  <c r="P1230" i="21"/>
  <c r="A1230" i="21"/>
  <c r="R1229" i="21"/>
  <c r="P1229" i="21"/>
  <c r="A1229" i="21"/>
  <c r="R1228" i="21"/>
  <c r="P1228" i="21"/>
  <c r="A1228" i="21"/>
  <c r="R1227" i="21"/>
  <c r="P1227" i="21"/>
  <c r="A1227" i="21"/>
  <c r="R1226" i="21"/>
  <c r="P1226" i="21"/>
  <c r="A1226" i="21"/>
  <c r="R1225" i="21"/>
  <c r="P1225" i="21"/>
  <c r="A1225" i="21"/>
  <c r="R1224" i="21"/>
  <c r="P1224" i="21"/>
  <c r="A1224" i="21"/>
  <c r="R1223" i="21"/>
  <c r="P1223" i="21"/>
  <c r="A1223" i="21"/>
  <c r="R1222" i="21"/>
  <c r="P1222" i="21"/>
  <c r="A1222" i="21"/>
  <c r="R1221" i="21"/>
  <c r="P1221" i="21"/>
  <c r="A1221" i="21"/>
  <c r="R1220" i="21"/>
  <c r="P1220" i="21"/>
  <c r="A1220" i="21"/>
  <c r="R1219" i="21"/>
  <c r="P1219" i="21"/>
  <c r="A1219" i="21"/>
  <c r="R1218" i="21"/>
  <c r="P1218" i="21"/>
  <c r="A1218" i="21"/>
  <c r="R1217" i="21"/>
  <c r="P1217" i="21"/>
  <c r="A1217" i="21"/>
  <c r="R1216" i="21"/>
  <c r="P1216" i="21"/>
  <c r="A1216" i="21"/>
  <c r="R1215" i="21"/>
  <c r="P1215" i="21"/>
  <c r="A1215" i="21"/>
  <c r="R1214" i="21"/>
  <c r="P1214" i="21"/>
  <c r="A1214" i="21"/>
  <c r="R1213" i="21"/>
  <c r="P1213" i="21"/>
  <c r="A1213" i="21"/>
  <c r="R1212" i="21"/>
  <c r="P1212" i="21"/>
  <c r="A1212" i="21"/>
  <c r="R1211" i="21"/>
  <c r="P1211" i="21"/>
  <c r="A1211" i="21"/>
  <c r="R1210" i="21"/>
  <c r="P1210" i="21"/>
  <c r="A1210" i="21"/>
  <c r="R1209" i="21"/>
  <c r="P1209" i="21"/>
  <c r="A1209" i="21"/>
  <c r="R1208" i="21"/>
  <c r="P1208" i="21"/>
  <c r="A1208" i="21"/>
  <c r="R1207" i="21"/>
  <c r="P1207" i="21"/>
  <c r="A1207" i="21"/>
  <c r="R1206" i="21"/>
  <c r="P1206" i="21"/>
  <c r="A1206" i="21"/>
  <c r="R1205" i="21"/>
  <c r="P1205" i="21"/>
  <c r="A1205" i="21"/>
  <c r="R1204" i="21"/>
  <c r="P1204" i="21"/>
  <c r="A1204" i="21"/>
  <c r="R1203" i="21"/>
  <c r="P1203" i="21"/>
  <c r="A1203" i="21"/>
  <c r="R1202" i="21"/>
  <c r="P1202" i="21"/>
  <c r="A1202" i="21"/>
  <c r="R1201" i="21"/>
  <c r="P1201" i="21"/>
  <c r="A1201" i="21"/>
  <c r="R1200" i="21"/>
  <c r="P1200" i="21"/>
  <c r="A1200" i="21"/>
  <c r="R1199" i="21"/>
  <c r="P1199" i="21"/>
  <c r="A1199" i="21"/>
  <c r="R1198" i="21"/>
  <c r="P1198" i="21"/>
  <c r="A1198" i="21"/>
  <c r="R1197" i="21"/>
  <c r="P1197" i="21"/>
  <c r="A1197" i="21"/>
  <c r="R1196" i="21"/>
  <c r="P1196" i="21"/>
  <c r="A1196" i="21"/>
  <c r="R1195" i="21"/>
  <c r="P1195" i="21"/>
  <c r="A1195" i="21"/>
  <c r="R1194" i="21"/>
  <c r="P1194" i="21"/>
  <c r="A1194" i="21"/>
  <c r="R1193" i="21"/>
  <c r="P1193" i="21"/>
  <c r="A1193" i="21"/>
  <c r="R1192" i="21"/>
  <c r="P1192" i="21"/>
  <c r="A1192" i="21"/>
  <c r="R1191" i="21"/>
  <c r="P1191" i="21"/>
  <c r="A1191" i="21"/>
  <c r="R1190" i="21"/>
  <c r="P1190" i="21"/>
  <c r="A1190" i="21"/>
  <c r="R1189" i="21"/>
  <c r="P1189" i="21"/>
  <c r="A1189" i="21"/>
  <c r="R1188" i="21"/>
  <c r="P1188" i="21"/>
  <c r="A1188" i="21"/>
  <c r="R1187" i="21"/>
  <c r="P1187" i="21"/>
  <c r="A1187" i="21"/>
  <c r="R1186" i="21"/>
  <c r="P1186" i="21"/>
  <c r="A1186" i="21"/>
  <c r="R1185" i="21"/>
  <c r="P1185" i="21"/>
  <c r="A1185" i="21"/>
  <c r="R1184" i="21"/>
  <c r="P1184" i="21"/>
  <c r="A1184" i="21"/>
  <c r="R1183" i="21"/>
  <c r="P1183" i="21"/>
  <c r="A1183" i="21"/>
  <c r="R1182" i="21"/>
  <c r="P1182" i="21"/>
  <c r="A1182" i="21"/>
  <c r="R1181" i="21"/>
  <c r="P1181" i="21"/>
  <c r="A1181" i="21"/>
  <c r="R1180" i="21"/>
  <c r="P1180" i="21"/>
  <c r="A1180" i="21"/>
  <c r="R1179" i="21"/>
  <c r="P1179" i="21"/>
  <c r="A1179" i="21"/>
  <c r="R1178" i="21"/>
  <c r="P1178" i="21"/>
  <c r="A1178" i="21"/>
  <c r="R1177" i="21"/>
  <c r="P1177" i="21"/>
  <c r="A1177" i="21"/>
  <c r="R1176" i="21"/>
  <c r="P1176" i="21"/>
  <c r="A1176" i="21"/>
  <c r="R1175" i="21"/>
  <c r="P1175" i="21"/>
  <c r="A1175" i="21"/>
  <c r="R1174" i="21"/>
  <c r="P1174" i="21"/>
  <c r="A1174" i="21"/>
  <c r="R1173" i="21"/>
  <c r="P1173" i="21"/>
  <c r="A1173" i="21"/>
  <c r="R1172" i="21"/>
  <c r="P1172" i="21"/>
  <c r="A1172" i="21"/>
  <c r="R1171" i="21"/>
  <c r="P1171" i="21"/>
  <c r="A1171" i="21"/>
  <c r="R1170" i="21"/>
  <c r="P1170" i="21"/>
  <c r="A1170" i="21"/>
  <c r="R1169" i="21"/>
  <c r="P1169" i="21"/>
  <c r="A1169" i="21"/>
  <c r="R1168" i="21"/>
  <c r="P1168" i="21"/>
  <c r="A1168" i="21"/>
  <c r="R1167" i="21"/>
  <c r="P1167" i="21"/>
  <c r="A1167" i="21"/>
  <c r="R1166" i="21"/>
  <c r="P1166" i="21"/>
  <c r="A1166" i="21"/>
  <c r="R1165" i="21"/>
  <c r="P1165" i="21"/>
  <c r="A1165" i="21"/>
  <c r="R1164" i="21"/>
  <c r="P1164" i="21"/>
  <c r="A1164" i="21"/>
  <c r="R1163" i="21"/>
  <c r="P1163" i="21"/>
  <c r="A1163" i="21"/>
  <c r="R1162" i="21"/>
  <c r="P1162" i="21"/>
  <c r="A1162" i="21"/>
  <c r="R1161" i="21"/>
  <c r="P1161" i="21"/>
  <c r="A1161" i="21"/>
  <c r="R1160" i="21"/>
  <c r="P1160" i="21"/>
  <c r="A1160" i="21"/>
  <c r="R1159" i="21"/>
  <c r="P1159" i="21"/>
  <c r="A1159" i="21"/>
  <c r="R1158" i="21"/>
  <c r="P1158" i="21"/>
  <c r="A1158" i="21"/>
  <c r="R1157" i="21"/>
  <c r="P1157" i="21"/>
  <c r="A1157" i="21"/>
  <c r="R1156" i="21"/>
  <c r="P1156" i="21"/>
  <c r="A1156" i="21"/>
  <c r="R1155" i="21"/>
  <c r="P1155" i="21"/>
  <c r="A1155" i="21"/>
  <c r="R1154" i="21"/>
  <c r="P1154" i="21"/>
  <c r="A1154" i="21"/>
  <c r="R1153" i="21"/>
  <c r="P1153" i="21"/>
  <c r="A1153" i="21"/>
  <c r="R1152" i="21"/>
  <c r="P1152" i="21"/>
  <c r="A1152" i="21"/>
  <c r="R1151" i="21"/>
  <c r="P1151" i="21"/>
  <c r="A1151" i="21"/>
  <c r="R1150" i="21"/>
  <c r="P1150" i="21"/>
  <c r="A1150" i="21"/>
  <c r="R1149" i="21"/>
  <c r="P1149" i="21"/>
  <c r="A1149" i="21"/>
  <c r="R1148" i="21"/>
  <c r="P1148" i="21"/>
  <c r="A1148" i="21"/>
  <c r="R1147" i="21"/>
  <c r="P1147" i="21"/>
  <c r="A1147" i="21"/>
  <c r="R1146" i="21"/>
  <c r="P1146" i="21"/>
  <c r="A1146" i="21"/>
  <c r="R1145" i="21"/>
  <c r="P1145" i="21"/>
  <c r="A1145" i="21"/>
  <c r="R1144" i="21"/>
  <c r="P1144" i="21"/>
  <c r="A1144" i="21"/>
  <c r="R1143" i="21"/>
  <c r="P1143" i="21"/>
  <c r="A1143" i="21"/>
  <c r="R1142" i="21"/>
  <c r="P1142" i="21"/>
  <c r="A1142" i="21"/>
  <c r="R1141" i="21"/>
  <c r="P1141" i="21"/>
  <c r="A1141" i="21"/>
  <c r="R1140" i="21"/>
  <c r="P1140" i="21"/>
  <c r="A1140" i="21"/>
  <c r="R1139" i="21"/>
  <c r="P1139" i="21"/>
  <c r="A1139" i="21"/>
  <c r="R1138" i="21"/>
  <c r="P1138" i="21"/>
  <c r="A1138" i="21"/>
  <c r="R1137" i="21"/>
  <c r="P1137" i="21"/>
  <c r="A1137" i="21"/>
  <c r="R1136" i="21"/>
  <c r="P1136" i="21"/>
  <c r="A1136" i="21"/>
  <c r="R1135" i="21"/>
  <c r="P1135" i="21"/>
  <c r="A1135" i="21"/>
  <c r="R1134" i="21"/>
  <c r="P1134" i="21"/>
  <c r="A1134" i="21"/>
  <c r="R1133" i="21"/>
  <c r="P1133" i="21"/>
  <c r="A1133" i="21"/>
  <c r="R1132" i="21"/>
  <c r="P1132" i="21"/>
  <c r="A1132" i="21"/>
  <c r="R1131" i="21"/>
  <c r="P1131" i="21"/>
  <c r="A1131" i="21"/>
  <c r="R1130" i="21"/>
  <c r="P1130" i="21"/>
  <c r="A1130" i="21"/>
  <c r="R1129" i="21"/>
  <c r="P1129" i="21"/>
  <c r="A1129" i="21"/>
  <c r="R1128" i="21"/>
  <c r="P1128" i="21"/>
  <c r="A1128" i="21"/>
  <c r="R1127" i="21"/>
  <c r="P1127" i="21"/>
  <c r="A1127" i="21"/>
  <c r="R1126" i="21"/>
  <c r="P1126" i="21"/>
  <c r="A1126" i="21"/>
  <c r="R1125" i="21"/>
  <c r="P1125" i="21"/>
  <c r="A1125" i="21"/>
  <c r="R1124" i="21"/>
  <c r="P1124" i="21"/>
  <c r="A1124" i="21"/>
  <c r="R1123" i="21"/>
  <c r="P1123" i="21"/>
  <c r="A1123" i="21"/>
  <c r="R1122" i="21"/>
  <c r="P1122" i="21"/>
  <c r="A1122" i="21"/>
  <c r="R1121" i="21"/>
  <c r="P1121" i="21"/>
  <c r="A1121" i="21"/>
  <c r="R1120" i="21"/>
  <c r="P1120" i="21"/>
  <c r="A1120" i="21"/>
  <c r="R1119" i="21"/>
  <c r="P1119" i="21"/>
  <c r="A1119" i="21"/>
  <c r="R1118" i="21"/>
  <c r="P1118" i="21"/>
  <c r="A1118" i="21"/>
  <c r="R1117" i="21"/>
  <c r="P1117" i="21"/>
  <c r="A1117" i="21"/>
  <c r="R1116" i="21"/>
  <c r="P1116" i="21"/>
  <c r="A1116" i="21"/>
  <c r="R1115" i="21"/>
  <c r="P1115" i="21"/>
  <c r="A1115" i="21"/>
  <c r="R1114" i="21"/>
  <c r="P1114" i="21"/>
  <c r="A1114" i="21"/>
  <c r="R1113" i="21"/>
  <c r="P1113" i="21"/>
  <c r="A1113" i="21"/>
  <c r="R1112" i="21"/>
  <c r="P1112" i="21"/>
  <c r="A1112" i="21"/>
  <c r="R1111" i="21"/>
  <c r="P1111" i="21"/>
  <c r="A1111" i="21"/>
  <c r="R1110" i="21"/>
  <c r="P1110" i="21"/>
  <c r="A1110" i="21"/>
  <c r="R1109" i="21"/>
  <c r="P1109" i="21"/>
  <c r="A1109" i="21"/>
  <c r="R1108" i="21"/>
  <c r="P1108" i="21"/>
  <c r="A1108" i="21"/>
  <c r="R1107" i="21"/>
  <c r="P1107" i="21"/>
  <c r="A1107" i="21"/>
  <c r="R1106" i="21"/>
  <c r="P1106" i="21"/>
  <c r="A1106" i="21"/>
  <c r="R1105" i="21"/>
  <c r="P1105" i="21"/>
  <c r="A1105" i="21"/>
  <c r="R1104" i="21"/>
  <c r="P1104" i="21"/>
  <c r="A1104" i="21"/>
  <c r="R1103" i="21"/>
  <c r="P1103" i="21"/>
  <c r="A1103" i="21"/>
  <c r="R1102" i="21"/>
  <c r="P1102" i="21"/>
  <c r="A1102" i="21"/>
  <c r="R1101" i="21"/>
  <c r="P1101" i="21"/>
  <c r="A1101" i="21"/>
  <c r="R1100" i="21"/>
  <c r="P1100" i="21"/>
  <c r="A1100" i="21"/>
  <c r="R1099" i="21"/>
  <c r="P1099" i="21"/>
  <c r="A1099" i="21"/>
  <c r="R1098" i="21"/>
  <c r="P1098" i="21"/>
  <c r="A1098" i="21"/>
  <c r="R1097" i="21"/>
  <c r="P1097" i="21"/>
  <c r="A1097" i="21"/>
  <c r="R1096" i="21"/>
  <c r="P1096" i="21"/>
  <c r="A1096" i="21"/>
  <c r="R1095" i="21"/>
  <c r="P1095" i="21"/>
  <c r="A1095" i="21"/>
  <c r="R1094" i="21"/>
  <c r="P1094" i="21"/>
  <c r="A1094" i="21"/>
  <c r="R1093" i="21"/>
  <c r="P1093" i="21"/>
  <c r="A1093" i="21"/>
  <c r="R1092" i="21"/>
  <c r="P1092" i="21"/>
  <c r="A1092" i="21"/>
  <c r="R1091" i="21"/>
  <c r="P1091" i="21"/>
  <c r="A1091" i="21"/>
  <c r="R1090" i="21"/>
  <c r="P1090" i="21"/>
  <c r="A1090" i="21"/>
  <c r="R1089" i="21"/>
  <c r="P1089" i="21"/>
  <c r="A1089" i="21"/>
  <c r="R1088" i="21"/>
  <c r="P1088" i="21"/>
  <c r="A1088" i="21"/>
  <c r="R1087" i="21"/>
  <c r="P1087" i="21"/>
  <c r="A1087" i="21"/>
  <c r="R1086" i="21"/>
  <c r="P1086" i="21"/>
  <c r="A1086" i="21"/>
  <c r="R1085" i="21"/>
  <c r="P1085" i="21"/>
  <c r="A1085" i="21"/>
  <c r="R1084" i="21"/>
  <c r="P1084" i="21"/>
  <c r="A1084" i="21"/>
  <c r="R1083" i="21"/>
  <c r="P1083" i="21"/>
  <c r="A1083" i="21"/>
  <c r="R1082" i="21"/>
  <c r="P1082" i="21"/>
  <c r="A1082" i="21"/>
  <c r="R1081" i="21"/>
  <c r="P1081" i="21"/>
  <c r="A1081" i="21"/>
  <c r="R1080" i="21"/>
  <c r="P1080" i="21"/>
  <c r="A1080" i="21"/>
  <c r="R1079" i="21"/>
  <c r="P1079" i="21"/>
  <c r="A1079" i="21"/>
  <c r="R1078" i="21"/>
  <c r="P1078" i="21"/>
  <c r="A1078" i="21"/>
  <c r="R1077" i="21"/>
  <c r="P1077" i="21"/>
  <c r="A1077" i="21"/>
  <c r="R1076" i="21"/>
  <c r="P1076" i="21"/>
  <c r="A1076" i="21"/>
  <c r="R1075" i="21"/>
  <c r="P1075" i="21"/>
  <c r="A1075" i="21"/>
  <c r="R1074" i="21"/>
  <c r="P1074" i="21"/>
  <c r="A1074" i="21"/>
  <c r="R1073" i="21"/>
  <c r="P1073" i="21"/>
  <c r="A1073" i="21"/>
  <c r="R1072" i="21"/>
  <c r="P1072" i="21"/>
  <c r="A1072" i="21"/>
  <c r="R1071" i="21"/>
  <c r="P1071" i="21"/>
  <c r="A1071" i="21"/>
  <c r="R1070" i="21"/>
  <c r="P1070" i="21"/>
  <c r="A1070" i="21"/>
  <c r="R1069" i="21"/>
  <c r="P1069" i="21"/>
  <c r="A1069" i="21"/>
  <c r="R1068" i="21"/>
  <c r="P1068" i="21"/>
  <c r="A1068" i="21"/>
  <c r="R1067" i="21"/>
  <c r="P1067" i="21"/>
  <c r="A1067" i="21"/>
  <c r="R1066" i="21"/>
  <c r="P1066" i="21"/>
  <c r="A1066" i="21"/>
  <c r="R1065" i="21"/>
  <c r="P1065" i="21"/>
  <c r="A1065" i="21"/>
  <c r="R1064" i="21"/>
  <c r="P1064" i="21"/>
  <c r="A1064" i="21"/>
  <c r="R1063" i="21"/>
  <c r="P1063" i="21"/>
  <c r="A1063" i="21"/>
  <c r="R1062" i="21"/>
  <c r="P1062" i="21"/>
  <c r="A1062" i="21"/>
  <c r="R1061" i="21"/>
  <c r="P1061" i="21"/>
  <c r="A1061" i="21"/>
  <c r="R1060" i="21"/>
  <c r="P1060" i="21"/>
  <c r="A1060" i="21"/>
  <c r="R1059" i="21"/>
  <c r="P1059" i="21"/>
  <c r="A1059" i="21"/>
  <c r="R1058" i="21"/>
  <c r="P1058" i="21"/>
  <c r="A1058" i="21"/>
  <c r="R1057" i="21"/>
  <c r="P1057" i="21"/>
  <c r="A1057" i="21"/>
  <c r="R1056" i="21"/>
  <c r="P1056" i="21"/>
  <c r="A1056" i="21"/>
  <c r="R1055" i="21"/>
  <c r="P1055" i="21"/>
  <c r="A1055" i="21"/>
  <c r="R1054" i="21"/>
  <c r="P1054" i="21"/>
  <c r="A1054" i="21"/>
  <c r="R1053" i="21"/>
  <c r="P1053" i="21"/>
  <c r="A1053" i="21"/>
  <c r="R1052" i="21"/>
  <c r="P1052" i="21"/>
  <c r="A1052" i="21"/>
  <c r="R1051" i="21"/>
  <c r="P1051" i="21"/>
  <c r="A1051" i="21"/>
  <c r="R1050" i="21"/>
  <c r="P1050" i="21"/>
  <c r="A1050" i="21"/>
  <c r="R1049" i="21"/>
  <c r="P1049" i="21"/>
  <c r="A1049" i="21"/>
  <c r="R1048" i="21"/>
  <c r="P1048" i="21"/>
  <c r="A1048" i="21"/>
  <c r="R1047" i="21"/>
  <c r="P1047" i="21"/>
  <c r="A1047" i="21"/>
  <c r="R1046" i="21"/>
  <c r="P1046" i="21"/>
  <c r="A1046" i="21"/>
  <c r="R1045" i="21"/>
  <c r="P1045" i="21"/>
  <c r="A1045" i="21"/>
  <c r="R1044" i="21"/>
  <c r="P1044" i="21"/>
  <c r="A1044" i="21"/>
  <c r="R1043" i="21"/>
  <c r="P1043" i="21"/>
  <c r="A1043" i="21"/>
  <c r="R1042" i="21"/>
  <c r="P1042" i="21"/>
  <c r="A1042" i="21"/>
  <c r="R1041" i="21"/>
  <c r="P1041" i="21"/>
  <c r="A1041" i="21"/>
  <c r="R1040" i="21"/>
  <c r="P1040" i="21"/>
  <c r="A1040" i="21"/>
  <c r="R1039" i="21"/>
  <c r="P1039" i="21"/>
  <c r="A1039" i="21"/>
  <c r="R1038" i="21"/>
  <c r="P1038" i="21"/>
  <c r="A1038" i="21"/>
  <c r="R1037" i="21"/>
  <c r="P1037" i="21"/>
  <c r="A1037" i="21"/>
  <c r="R1036" i="21"/>
  <c r="P1036" i="21"/>
  <c r="A1036" i="21"/>
  <c r="R1035" i="21"/>
  <c r="P1035" i="21"/>
  <c r="A1035" i="21"/>
  <c r="R1034" i="21"/>
  <c r="P1034" i="21"/>
  <c r="A1034" i="21"/>
  <c r="R1033" i="21"/>
  <c r="P1033" i="21"/>
  <c r="A1033" i="21"/>
  <c r="R1032" i="21"/>
  <c r="P1032" i="21"/>
  <c r="A1032" i="21"/>
  <c r="R1031" i="21"/>
  <c r="P1031" i="21"/>
  <c r="A1031" i="21"/>
  <c r="R1030" i="21"/>
  <c r="P1030" i="21"/>
  <c r="A1030" i="21"/>
  <c r="R1029" i="21"/>
  <c r="P1029" i="21"/>
  <c r="A1029" i="21"/>
  <c r="R1028" i="21"/>
  <c r="P1028" i="21"/>
  <c r="A1028" i="21"/>
  <c r="R1027" i="21"/>
  <c r="P1027" i="21"/>
  <c r="A1027" i="21"/>
  <c r="R1026" i="21"/>
  <c r="P1026" i="21"/>
  <c r="A1026" i="21"/>
  <c r="R1025" i="21"/>
  <c r="P1025" i="21"/>
  <c r="A1025" i="21"/>
  <c r="R1024" i="21"/>
  <c r="P1024" i="21"/>
  <c r="A1024" i="21"/>
  <c r="R1023" i="21"/>
  <c r="P1023" i="21"/>
  <c r="A1023" i="21"/>
  <c r="R1022" i="21"/>
  <c r="P1022" i="21"/>
  <c r="A1022" i="21"/>
  <c r="R1021" i="21"/>
  <c r="P1021" i="21"/>
  <c r="A1021" i="21"/>
  <c r="R1020" i="21"/>
  <c r="P1020" i="21"/>
  <c r="A1020" i="21"/>
  <c r="R1019" i="21"/>
  <c r="P1019" i="21"/>
  <c r="A1019" i="21"/>
  <c r="R1018" i="21"/>
  <c r="P1018" i="21"/>
  <c r="A1018" i="21"/>
  <c r="R1017" i="21"/>
  <c r="P1017" i="21"/>
  <c r="A1017" i="21"/>
  <c r="R1016" i="21"/>
  <c r="P1016" i="21"/>
  <c r="A1016" i="21"/>
  <c r="R1015" i="21"/>
  <c r="P1015" i="21"/>
  <c r="A1015" i="21"/>
  <c r="R1014" i="21"/>
  <c r="P1014" i="21"/>
  <c r="A1014" i="21"/>
  <c r="R1013" i="21"/>
  <c r="P1013" i="21"/>
  <c r="A1013" i="21"/>
  <c r="R1012" i="21"/>
  <c r="P1012" i="21"/>
  <c r="A1012" i="21"/>
  <c r="R1011" i="21"/>
  <c r="P1011" i="21"/>
  <c r="A1011" i="21"/>
  <c r="R1010" i="21"/>
  <c r="P1010" i="21"/>
  <c r="A1010" i="21"/>
  <c r="R1009" i="21"/>
  <c r="P1009" i="21"/>
  <c r="A1009" i="21"/>
  <c r="R1008" i="21"/>
  <c r="P1008" i="21"/>
  <c r="A1008" i="21"/>
  <c r="R1007" i="21"/>
  <c r="P1007" i="21"/>
  <c r="A1007" i="21"/>
  <c r="R1006" i="21"/>
  <c r="P1006" i="21"/>
  <c r="A1006" i="21"/>
  <c r="R1005" i="21"/>
  <c r="P1005" i="21"/>
  <c r="A1005" i="21"/>
  <c r="R1004" i="21"/>
  <c r="P1004" i="21"/>
  <c r="A1004" i="21"/>
  <c r="R1003" i="21"/>
  <c r="P1003" i="21"/>
  <c r="A1003" i="21"/>
  <c r="R1002" i="21"/>
  <c r="P1002" i="21"/>
  <c r="A1002" i="21"/>
  <c r="R1001" i="21"/>
  <c r="P1001" i="21"/>
  <c r="A1001" i="21"/>
  <c r="R1000" i="21"/>
  <c r="P1000" i="21"/>
  <c r="A1000" i="21"/>
  <c r="R999" i="21"/>
  <c r="P999" i="21"/>
  <c r="A999" i="21"/>
  <c r="R998" i="21"/>
  <c r="P998" i="21"/>
  <c r="A998" i="21"/>
  <c r="R997" i="21"/>
  <c r="P997" i="21"/>
  <c r="A997" i="21"/>
  <c r="R996" i="21"/>
  <c r="P996" i="21"/>
  <c r="A996" i="21"/>
  <c r="R995" i="21"/>
  <c r="P995" i="21"/>
  <c r="A995" i="21"/>
  <c r="R994" i="21"/>
  <c r="P994" i="21"/>
  <c r="A994" i="21"/>
  <c r="R993" i="21"/>
  <c r="P993" i="21"/>
  <c r="A993" i="21"/>
  <c r="R992" i="21"/>
  <c r="P992" i="21"/>
  <c r="A992" i="21"/>
  <c r="R991" i="21"/>
  <c r="P991" i="21"/>
  <c r="A991" i="21"/>
  <c r="R990" i="21"/>
  <c r="P990" i="21"/>
  <c r="A990" i="21"/>
  <c r="R989" i="21"/>
  <c r="P989" i="21"/>
  <c r="A989" i="21"/>
  <c r="R988" i="21"/>
  <c r="P988" i="21"/>
  <c r="A988" i="21"/>
  <c r="R987" i="21"/>
  <c r="P987" i="21"/>
  <c r="A987" i="21"/>
  <c r="R986" i="21"/>
  <c r="P986" i="21"/>
  <c r="A986" i="21"/>
  <c r="R985" i="21"/>
  <c r="P985" i="21"/>
  <c r="A985" i="21"/>
  <c r="R984" i="21"/>
  <c r="P984" i="21"/>
  <c r="A984" i="21"/>
  <c r="R983" i="21"/>
  <c r="P983" i="21"/>
  <c r="A983" i="21"/>
  <c r="R982" i="21"/>
  <c r="P982" i="21"/>
  <c r="A982" i="21"/>
  <c r="R981" i="21"/>
  <c r="P981" i="21"/>
  <c r="A981" i="21"/>
  <c r="R980" i="21"/>
  <c r="P980" i="21"/>
  <c r="A980" i="21"/>
  <c r="R979" i="21"/>
  <c r="P979" i="21"/>
  <c r="A979" i="21"/>
  <c r="R978" i="21"/>
  <c r="P978" i="21"/>
  <c r="A978" i="21"/>
  <c r="R977" i="21"/>
  <c r="P977" i="21"/>
  <c r="A977" i="21"/>
  <c r="R976" i="21"/>
  <c r="P976" i="21"/>
  <c r="A976" i="21"/>
  <c r="R975" i="21"/>
  <c r="P975" i="21"/>
  <c r="A975" i="21"/>
  <c r="R974" i="21"/>
  <c r="P974" i="21"/>
  <c r="A974" i="21"/>
  <c r="R973" i="21"/>
  <c r="P973" i="21"/>
  <c r="A973" i="21"/>
  <c r="R972" i="21"/>
  <c r="P972" i="21"/>
  <c r="A972" i="21"/>
  <c r="R971" i="21"/>
  <c r="P971" i="21"/>
  <c r="A971" i="21"/>
  <c r="R970" i="21"/>
  <c r="P970" i="21"/>
  <c r="A970" i="21"/>
  <c r="R969" i="21"/>
  <c r="P969" i="21"/>
  <c r="A969" i="21"/>
  <c r="R968" i="21"/>
  <c r="P968" i="21"/>
  <c r="A968" i="21"/>
  <c r="R967" i="21"/>
  <c r="P967" i="21"/>
  <c r="A967" i="21"/>
  <c r="R966" i="21"/>
  <c r="P966" i="21"/>
  <c r="A966" i="21"/>
  <c r="R965" i="21"/>
  <c r="P965" i="21"/>
  <c r="A965" i="21"/>
  <c r="R964" i="21"/>
  <c r="P964" i="21"/>
  <c r="A964" i="21"/>
  <c r="R963" i="21"/>
  <c r="P963" i="21"/>
  <c r="A963" i="21"/>
  <c r="R962" i="21"/>
  <c r="P962" i="21"/>
  <c r="A962" i="21"/>
  <c r="R961" i="21"/>
  <c r="P961" i="21"/>
  <c r="A961" i="21"/>
  <c r="R960" i="21"/>
  <c r="P960" i="21"/>
  <c r="A960" i="21"/>
  <c r="R959" i="21"/>
  <c r="P959" i="21"/>
  <c r="A959" i="21"/>
  <c r="R958" i="21"/>
  <c r="P958" i="21"/>
  <c r="A958" i="21"/>
  <c r="R957" i="21"/>
  <c r="P957" i="21"/>
  <c r="A957" i="21"/>
  <c r="R956" i="21"/>
  <c r="P956" i="21"/>
  <c r="A956" i="21"/>
  <c r="R955" i="21"/>
  <c r="P955" i="21"/>
  <c r="A955" i="21"/>
  <c r="R954" i="21"/>
  <c r="P954" i="21"/>
  <c r="A954" i="21"/>
  <c r="R953" i="21"/>
  <c r="P953" i="21"/>
  <c r="A953" i="21"/>
  <c r="R952" i="21"/>
  <c r="P952" i="21"/>
  <c r="A952" i="21"/>
  <c r="R951" i="21"/>
  <c r="P951" i="21"/>
  <c r="A951" i="21"/>
  <c r="R950" i="21"/>
  <c r="P950" i="21"/>
  <c r="A950" i="21"/>
  <c r="R949" i="21"/>
  <c r="P949" i="21"/>
  <c r="A949" i="21"/>
  <c r="R948" i="21"/>
  <c r="P948" i="21"/>
  <c r="A948" i="21"/>
  <c r="R947" i="21"/>
  <c r="P947" i="21"/>
  <c r="A947" i="21"/>
  <c r="R946" i="21"/>
  <c r="P946" i="21"/>
  <c r="A946" i="21"/>
  <c r="R945" i="21"/>
  <c r="P945" i="21"/>
  <c r="A945" i="21"/>
  <c r="R944" i="21"/>
  <c r="P944" i="21"/>
  <c r="A944" i="21"/>
  <c r="R943" i="21"/>
  <c r="P943" i="21"/>
  <c r="A943" i="21"/>
  <c r="R942" i="21"/>
  <c r="P942" i="21"/>
  <c r="A942" i="21"/>
  <c r="R941" i="21"/>
  <c r="P941" i="21"/>
  <c r="A941" i="21"/>
  <c r="R940" i="21"/>
  <c r="P940" i="21"/>
  <c r="A940" i="21"/>
  <c r="R939" i="21"/>
  <c r="P939" i="21"/>
  <c r="A939" i="21"/>
  <c r="R938" i="21"/>
  <c r="P938" i="21"/>
  <c r="A938" i="21"/>
  <c r="R937" i="21"/>
  <c r="P937" i="21"/>
  <c r="A937" i="21"/>
  <c r="R936" i="21"/>
  <c r="P936" i="21"/>
  <c r="A936" i="21"/>
  <c r="R935" i="21"/>
  <c r="P935" i="21"/>
  <c r="A935" i="21"/>
  <c r="R934" i="21"/>
  <c r="P934" i="21"/>
  <c r="A934" i="21"/>
  <c r="R933" i="21"/>
  <c r="P933" i="21"/>
  <c r="A933" i="21"/>
  <c r="R932" i="21"/>
  <c r="P932" i="21"/>
  <c r="A932" i="21"/>
  <c r="R931" i="21"/>
  <c r="P931" i="21"/>
  <c r="A931" i="21"/>
  <c r="R930" i="21"/>
  <c r="P930" i="21"/>
  <c r="A930" i="21"/>
  <c r="R929" i="21"/>
  <c r="P929" i="21"/>
  <c r="A929" i="21"/>
  <c r="R928" i="21"/>
  <c r="P928" i="21"/>
  <c r="A928" i="21"/>
  <c r="R927" i="21"/>
  <c r="P927" i="21"/>
  <c r="A927" i="21"/>
  <c r="R926" i="21"/>
  <c r="P926" i="21"/>
  <c r="A926" i="21"/>
  <c r="R925" i="21"/>
  <c r="P925" i="21"/>
  <c r="A925" i="21"/>
  <c r="R924" i="21"/>
  <c r="P924" i="21"/>
  <c r="A924" i="21"/>
  <c r="R923" i="21"/>
  <c r="P923" i="21"/>
  <c r="A923" i="21"/>
  <c r="R922" i="21"/>
  <c r="P922" i="21"/>
  <c r="A922" i="21"/>
  <c r="R921" i="21"/>
  <c r="P921" i="21"/>
  <c r="A921" i="21"/>
  <c r="R920" i="21"/>
  <c r="P920" i="21"/>
  <c r="A920" i="21"/>
  <c r="R919" i="21"/>
  <c r="P919" i="21"/>
  <c r="A919" i="21"/>
  <c r="R918" i="21"/>
  <c r="P918" i="21"/>
  <c r="A918" i="21"/>
  <c r="R917" i="21"/>
  <c r="P917" i="21"/>
  <c r="A917" i="21"/>
  <c r="R916" i="21"/>
  <c r="P916" i="21"/>
  <c r="A916" i="21"/>
  <c r="R915" i="21"/>
  <c r="P915" i="21"/>
  <c r="A915" i="21"/>
  <c r="R914" i="21"/>
  <c r="P914" i="21"/>
  <c r="A914" i="21"/>
  <c r="R913" i="21"/>
  <c r="P913" i="21"/>
  <c r="A913" i="21"/>
  <c r="R912" i="21"/>
  <c r="P912" i="21"/>
  <c r="A912" i="21"/>
  <c r="R911" i="21"/>
  <c r="P911" i="21"/>
  <c r="A911" i="21"/>
  <c r="R910" i="21"/>
  <c r="P910" i="21"/>
  <c r="A910" i="21"/>
  <c r="R909" i="21"/>
  <c r="P909" i="21"/>
  <c r="A909" i="21"/>
  <c r="R908" i="21"/>
  <c r="P908" i="21"/>
  <c r="A908" i="21"/>
  <c r="R907" i="21"/>
  <c r="P907" i="21"/>
  <c r="A907" i="21"/>
  <c r="R906" i="21"/>
  <c r="P906" i="21"/>
  <c r="A906" i="21"/>
  <c r="R905" i="21"/>
  <c r="P905" i="21"/>
  <c r="A905" i="21"/>
  <c r="R904" i="21"/>
  <c r="P904" i="21"/>
  <c r="A904" i="21"/>
  <c r="R903" i="21"/>
  <c r="P903" i="21"/>
  <c r="A903" i="21"/>
  <c r="R902" i="21"/>
  <c r="P902" i="21"/>
  <c r="A902" i="21"/>
  <c r="R901" i="21"/>
  <c r="P901" i="21"/>
  <c r="A901" i="21"/>
  <c r="R900" i="21"/>
  <c r="P900" i="21"/>
  <c r="A900" i="21"/>
  <c r="R899" i="21"/>
  <c r="P899" i="21"/>
  <c r="A899" i="21"/>
  <c r="R898" i="21"/>
  <c r="P898" i="21"/>
  <c r="A898" i="21"/>
  <c r="R897" i="21"/>
  <c r="P897" i="21"/>
  <c r="A897" i="21"/>
  <c r="R896" i="21"/>
  <c r="P896" i="21"/>
  <c r="A896" i="21"/>
  <c r="R895" i="21"/>
  <c r="P895" i="21"/>
  <c r="A895" i="21"/>
  <c r="R894" i="21"/>
  <c r="P894" i="21"/>
  <c r="A894" i="21"/>
  <c r="R893" i="21"/>
  <c r="P893" i="21"/>
  <c r="A893" i="21"/>
  <c r="R892" i="21"/>
  <c r="P892" i="21"/>
  <c r="A892" i="21"/>
  <c r="R891" i="21"/>
  <c r="P891" i="21"/>
  <c r="A891" i="21"/>
  <c r="R890" i="21"/>
  <c r="P890" i="21"/>
  <c r="A890" i="21"/>
  <c r="R889" i="21"/>
  <c r="P889" i="21"/>
  <c r="A889" i="21"/>
  <c r="R888" i="21"/>
  <c r="P888" i="21"/>
  <c r="A888" i="21"/>
  <c r="R887" i="21"/>
  <c r="P887" i="21"/>
  <c r="A887" i="21"/>
  <c r="R886" i="21"/>
  <c r="P886" i="21"/>
  <c r="A886" i="21"/>
  <c r="R885" i="21"/>
  <c r="P885" i="21"/>
  <c r="A885" i="21"/>
  <c r="R884" i="21"/>
  <c r="P884" i="21"/>
  <c r="A884" i="21"/>
  <c r="R883" i="21"/>
  <c r="P883" i="21"/>
  <c r="A883" i="21"/>
  <c r="R882" i="21"/>
  <c r="P882" i="21"/>
  <c r="A882" i="21"/>
  <c r="R881" i="21"/>
  <c r="P881" i="21"/>
  <c r="A881" i="21"/>
  <c r="R880" i="21"/>
  <c r="P880" i="21"/>
  <c r="A880" i="21"/>
  <c r="R879" i="21"/>
  <c r="P879" i="21"/>
  <c r="A879" i="21"/>
  <c r="R878" i="21"/>
  <c r="P878" i="21"/>
  <c r="A878" i="21"/>
  <c r="R877" i="21"/>
  <c r="P877" i="21"/>
  <c r="A877" i="21"/>
  <c r="R876" i="21"/>
  <c r="P876" i="21"/>
  <c r="A876" i="21"/>
  <c r="R875" i="21"/>
  <c r="P875" i="21"/>
  <c r="A875" i="21"/>
  <c r="R874" i="21"/>
  <c r="P874" i="21"/>
  <c r="A874" i="21"/>
  <c r="R873" i="21"/>
  <c r="P873" i="21"/>
  <c r="A873" i="21"/>
  <c r="R872" i="21"/>
  <c r="P872" i="21"/>
  <c r="A872" i="21"/>
  <c r="R871" i="21"/>
  <c r="P871" i="21"/>
  <c r="A871" i="21"/>
  <c r="R870" i="21"/>
  <c r="P870" i="21"/>
  <c r="A870" i="21"/>
  <c r="R869" i="21"/>
  <c r="P869" i="21"/>
  <c r="A869" i="21"/>
  <c r="R868" i="21"/>
  <c r="P868" i="21"/>
  <c r="A868" i="21"/>
  <c r="R867" i="21"/>
  <c r="P867" i="21"/>
  <c r="A867" i="21"/>
  <c r="R866" i="21"/>
  <c r="P866" i="21"/>
  <c r="A866" i="21"/>
  <c r="R865" i="21"/>
  <c r="P865" i="21"/>
  <c r="A865" i="21"/>
  <c r="R864" i="21"/>
  <c r="P864" i="21"/>
  <c r="A864" i="21"/>
  <c r="R863" i="21"/>
  <c r="P863" i="21"/>
  <c r="A863" i="21"/>
  <c r="R862" i="21"/>
  <c r="P862" i="21"/>
  <c r="A862" i="21"/>
  <c r="R861" i="21"/>
  <c r="P861" i="21"/>
  <c r="A861" i="21"/>
  <c r="R860" i="21"/>
  <c r="P860" i="21"/>
  <c r="A860" i="21"/>
  <c r="R859" i="21"/>
  <c r="P859" i="21"/>
  <c r="A859" i="21"/>
  <c r="R858" i="21"/>
  <c r="P858" i="21"/>
  <c r="A858" i="21"/>
  <c r="R857" i="21"/>
  <c r="P857" i="21"/>
  <c r="A857" i="21"/>
  <c r="R856" i="21"/>
  <c r="P856" i="21"/>
  <c r="A856" i="21"/>
  <c r="R855" i="21"/>
  <c r="P855" i="21"/>
  <c r="A855" i="21"/>
  <c r="R854" i="21"/>
  <c r="P854" i="21"/>
  <c r="A854" i="21"/>
  <c r="R853" i="21"/>
  <c r="P853" i="21"/>
  <c r="A853" i="21"/>
  <c r="R852" i="21"/>
  <c r="P852" i="21"/>
  <c r="A852" i="21"/>
  <c r="R851" i="21"/>
  <c r="P851" i="21"/>
  <c r="A851" i="21"/>
  <c r="R850" i="21"/>
  <c r="P850" i="21"/>
  <c r="A850" i="21"/>
  <c r="R849" i="21"/>
  <c r="P849" i="21"/>
  <c r="A849" i="21"/>
  <c r="R848" i="21"/>
  <c r="P848" i="21"/>
  <c r="A848" i="21"/>
  <c r="R847" i="21"/>
  <c r="P847" i="21"/>
  <c r="A847" i="21"/>
  <c r="R846" i="21"/>
  <c r="P846" i="21"/>
  <c r="A846" i="21"/>
  <c r="R845" i="21"/>
  <c r="P845" i="21"/>
  <c r="A845" i="21"/>
  <c r="R844" i="21"/>
  <c r="P844" i="21"/>
  <c r="A844" i="21"/>
  <c r="R843" i="21"/>
  <c r="P843" i="21"/>
  <c r="A843" i="21"/>
  <c r="R842" i="21"/>
  <c r="P842" i="21"/>
  <c r="A842" i="21"/>
  <c r="R841" i="21"/>
  <c r="P841" i="21"/>
  <c r="A841" i="21"/>
  <c r="R840" i="21"/>
  <c r="P840" i="21"/>
  <c r="A840" i="21"/>
  <c r="R839" i="21"/>
  <c r="P839" i="21"/>
  <c r="A839" i="21"/>
  <c r="R838" i="21"/>
  <c r="P838" i="21"/>
  <c r="A838" i="21"/>
  <c r="R837" i="21"/>
  <c r="P837" i="21"/>
  <c r="A837" i="21"/>
  <c r="R836" i="21"/>
  <c r="P836" i="21"/>
  <c r="A836" i="21"/>
  <c r="R835" i="21"/>
  <c r="P835" i="21"/>
  <c r="A835" i="21"/>
  <c r="R834" i="21"/>
  <c r="P834" i="21"/>
  <c r="A834" i="21"/>
  <c r="R833" i="21"/>
  <c r="P833" i="21"/>
  <c r="A833" i="21"/>
  <c r="R832" i="21"/>
  <c r="P832" i="21"/>
  <c r="A832" i="21"/>
  <c r="R831" i="21"/>
  <c r="P831" i="21"/>
  <c r="A831" i="21"/>
  <c r="R830" i="21"/>
  <c r="P830" i="21"/>
  <c r="A830" i="21"/>
  <c r="R829" i="21"/>
  <c r="P829" i="21"/>
  <c r="A829" i="21"/>
  <c r="R828" i="21"/>
  <c r="P828" i="21"/>
  <c r="A828" i="21"/>
  <c r="R827" i="21"/>
  <c r="P827" i="21"/>
  <c r="A827" i="21"/>
  <c r="R826" i="21"/>
  <c r="P826" i="21"/>
  <c r="A826" i="21"/>
  <c r="R825" i="21"/>
  <c r="P825" i="21"/>
  <c r="A825" i="21"/>
  <c r="R824" i="21"/>
  <c r="P824" i="21"/>
  <c r="A824" i="21"/>
  <c r="R823" i="21"/>
  <c r="P823" i="21"/>
  <c r="A823" i="21"/>
  <c r="R822" i="21"/>
  <c r="P822" i="21"/>
  <c r="A822" i="21"/>
  <c r="R821" i="21"/>
  <c r="P821" i="21"/>
  <c r="A821" i="21"/>
  <c r="R820" i="21"/>
  <c r="P820" i="21"/>
  <c r="A820" i="21"/>
  <c r="R819" i="21"/>
  <c r="P819" i="21"/>
  <c r="A819" i="21"/>
  <c r="R818" i="21"/>
  <c r="P818" i="21"/>
  <c r="A818" i="21"/>
  <c r="R817" i="21"/>
  <c r="P817" i="21"/>
  <c r="A817" i="21"/>
  <c r="R816" i="21"/>
  <c r="P816" i="21"/>
  <c r="A816" i="21"/>
  <c r="R815" i="21"/>
  <c r="P815" i="21"/>
  <c r="A815" i="21"/>
  <c r="R814" i="21"/>
  <c r="P814" i="21"/>
  <c r="A814" i="21"/>
  <c r="R813" i="21"/>
  <c r="P813" i="21"/>
  <c r="A813" i="21"/>
  <c r="R812" i="21"/>
  <c r="P812" i="21"/>
  <c r="A812" i="21"/>
  <c r="R811" i="21"/>
  <c r="P811" i="21"/>
  <c r="A811" i="21"/>
  <c r="R810" i="21"/>
  <c r="P810" i="21"/>
  <c r="A810" i="21"/>
  <c r="R809" i="21"/>
  <c r="P809" i="21"/>
  <c r="A809" i="21"/>
  <c r="R808" i="21"/>
  <c r="P808" i="21"/>
  <c r="A808" i="21"/>
  <c r="R807" i="21"/>
  <c r="P807" i="21"/>
  <c r="A807" i="21"/>
  <c r="R806" i="21"/>
  <c r="P806" i="21"/>
  <c r="A806" i="21"/>
  <c r="R805" i="21"/>
  <c r="P805" i="21"/>
  <c r="A805" i="21"/>
  <c r="R804" i="21"/>
  <c r="P804" i="21"/>
  <c r="A804" i="21"/>
  <c r="R803" i="21"/>
  <c r="P803" i="21"/>
  <c r="A803" i="21"/>
  <c r="R802" i="21"/>
  <c r="P802" i="21"/>
  <c r="A802" i="21"/>
  <c r="R801" i="21"/>
  <c r="P801" i="21"/>
  <c r="A801" i="21"/>
  <c r="R800" i="21"/>
  <c r="P800" i="21"/>
  <c r="A800" i="21"/>
  <c r="R799" i="21"/>
  <c r="P799" i="21"/>
  <c r="A799" i="21"/>
  <c r="R798" i="21"/>
  <c r="P798" i="21"/>
  <c r="A798" i="21"/>
  <c r="R797" i="21"/>
  <c r="P797" i="21"/>
  <c r="A797" i="21"/>
  <c r="R796" i="21"/>
  <c r="P796" i="21"/>
  <c r="A796" i="21"/>
  <c r="R795" i="21"/>
  <c r="P795" i="21"/>
  <c r="A795" i="21"/>
  <c r="R794" i="21"/>
  <c r="P794" i="21"/>
  <c r="A794" i="21"/>
  <c r="R793" i="21"/>
  <c r="P793" i="21"/>
  <c r="A793" i="21"/>
  <c r="R792" i="21"/>
  <c r="P792" i="21"/>
  <c r="A792" i="21"/>
  <c r="R791" i="21"/>
  <c r="P791" i="21"/>
  <c r="A791" i="21"/>
  <c r="R790" i="21"/>
  <c r="P790" i="21"/>
  <c r="A790" i="21"/>
  <c r="R789" i="21"/>
  <c r="P789" i="21"/>
  <c r="A789" i="21"/>
  <c r="R788" i="21"/>
  <c r="P788" i="21"/>
  <c r="A788" i="21"/>
  <c r="R787" i="21"/>
  <c r="P787" i="21"/>
  <c r="A787" i="21"/>
  <c r="R786" i="21"/>
  <c r="P786" i="21"/>
  <c r="A786" i="21"/>
  <c r="R785" i="21"/>
  <c r="P785" i="21"/>
  <c r="A785" i="21"/>
  <c r="R784" i="21"/>
  <c r="P784" i="21"/>
  <c r="A784" i="21"/>
  <c r="R783" i="21"/>
  <c r="P783" i="21"/>
  <c r="A783" i="21"/>
  <c r="R782" i="21"/>
  <c r="P782" i="21"/>
  <c r="A782" i="21"/>
  <c r="R781" i="21"/>
  <c r="P781" i="21"/>
  <c r="A781" i="21"/>
  <c r="R780" i="21"/>
  <c r="P780" i="21"/>
  <c r="A780" i="21"/>
  <c r="R779" i="21"/>
  <c r="P779" i="21"/>
  <c r="A779" i="21"/>
  <c r="R778" i="21"/>
  <c r="P778" i="21"/>
  <c r="A778" i="21"/>
  <c r="R777" i="21"/>
  <c r="P777" i="21"/>
  <c r="A777" i="21"/>
  <c r="R776" i="21"/>
  <c r="P776" i="21"/>
  <c r="A776" i="21"/>
  <c r="R775" i="21"/>
  <c r="P775" i="21"/>
  <c r="A775" i="21"/>
  <c r="R774" i="21"/>
  <c r="P774" i="21"/>
  <c r="A774" i="21"/>
  <c r="R773" i="21"/>
  <c r="P773" i="21"/>
  <c r="A773" i="21"/>
  <c r="R772" i="21"/>
  <c r="P772" i="21"/>
  <c r="A772" i="21"/>
  <c r="R771" i="21"/>
  <c r="P771" i="21"/>
  <c r="A771" i="21"/>
  <c r="R770" i="21"/>
  <c r="P770" i="21"/>
  <c r="A770" i="21"/>
  <c r="R769" i="21"/>
  <c r="P769" i="21"/>
  <c r="A769" i="21"/>
  <c r="R768" i="21"/>
  <c r="P768" i="21"/>
  <c r="A768" i="21"/>
  <c r="R767" i="21"/>
  <c r="P767" i="21"/>
  <c r="A767" i="21"/>
  <c r="R766" i="21"/>
  <c r="P766" i="21"/>
  <c r="A766" i="21"/>
  <c r="R765" i="21"/>
  <c r="P765" i="21"/>
  <c r="A765" i="21"/>
  <c r="R764" i="21"/>
  <c r="P764" i="21"/>
  <c r="A764" i="21"/>
  <c r="R763" i="21"/>
  <c r="P763" i="21"/>
  <c r="A763" i="21"/>
  <c r="R762" i="21"/>
  <c r="P762" i="21"/>
  <c r="A762" i="21"/>
  <c r="R761" i="21"/>
  <c r="P761" i="21"/>
  <c r="A761" i="21"/>
  <c r="R760" i="21"/>
  <c r="P760" i="21"/>
  <c r="A760" i="21"/>
  <c r="R759" i="21"/>
  <c r="P759" i="21"/>
  <c r="A759" i="21"/>
  <c r="R758" i="21"/>
  <c r="P758" i="21"/>
  <c r="A758" i="21"/>
  <c r="R757" i="21"/>
  <c r="P757" i="21"/>
  <c r="A757" i="21"/>
  <c r="R756" i="21"/>
  <c r="P756" i="21"/>
  <c r="A756" i="21"/>
  <c r="R755" i="21"/>
  <c r="P755" i="21"/>
  <c r="A755" i="21"/>
  <c r="R754" i="21"/>
  <c r="P754" i="21"/>
  <c r="A754" i="21"/>
  <c r="R753" i="21"/>
  <c r="P753" i="21"/>
  <c r="A753" i="21"/>
  <c r="R752" i="21"/>
  <c r="P752" i="21"/>
  <c r="A752" i="21"/>
  <c r="R751" i="21"/>
  <c r="P751" i="21"/>
  <c r="A751" i="21"/>
  <c r="R750" i="21"/>
  <c r="P750" i="21"/>
  <c r="A750" i="21"/>
  <c r="R749" i="21"/>
  <c r="P749" i="21"/>
  <c r="A749" i="21"/>
  <c r="R748" i="21"/>
  <c r="P748" i="21"/>
  <c r="A748" i="21"/>
  <c r="R747" i="21"/>
  <c r="P747" i="21"/>
  <c r="A747" i="21"/>
  <c r="R746" i="21"/>
  <c r="P746" i="21"/>
  <c r="A746" i="21"/>
  <c r="R745" i="21"/>
  <c r="P745" i="21"/>
  <c r="A745" i="21"/>
  <c r="R744" i="21"/>
  <c r="P744" i="21"/>
  <c r="A744" i="21"/>
  <c r="R743" i="21"/>
  <c r="P743" i="21"/>
  <c r="A743" i="21"/>
  <c r="R742" i="21"/>
  <c r="P742" i="21"/>
  <c r="A742" i="21"/>
  <c r="R741" i="21"/>
  <c r="P741" i="21"/>
  <c r="A741" i="21"/>
  <c r="R740" i="21"/>
  <c r="P740" i="21"/>
  <c r="A740" i="21"/>
  <c r="R739" i="21"/>
  <c r="P739" i="21"/>
  <c r="A739" i="21"/>
  <c r="R738" i="21"/>
  <c r="P738" i="21"/>
  <c r="A738" i="21"/>
  <c r="R737" i="21"/>
  <c r="P737" i="21"/>
  <c r="A737" i="21"/>
  <c r="R736" i="21"/>
  <c r="P736" i="21"/>
  <c r="A736" i="21"/>
  <c r="R735" i="21"/>
  <c r="P735" i="21"/>
  <c r="A735" i="21"/>
  <c r="R734" i="21"/>
  <c r="P734" i="21"/>
  <c r="A734" i="21"/>
  <c r="R733" i="21"/>
  <c r="P733" i="21"/>
  <c r="A733" i="21"/>
  <c r="R732" i="21"/>
  <c r="P732" i="21"/>
  <c r="A732" i="21"/>
  <c r="R731" i="21"/>
  <c r="P731" i="21"/>
  <c r="A731" i="21"/>
  <c r="R730" i="21"/>
  <c r="P730" i="21"/>
  <c r="A730" i="21"/>
  <c r="R729" i="21"/>
  <c r="P729" i="21"/>
  <c r="A729" i="21"/>
  <c r="R728" i="21"/>
  <c r="P728" i="21"/>
  <c r="A728" i="21"/>
  <c r="R727" i="21"/>
  <c r="P727" i="21"/>
  <c r="A727" i="21"/>
  <c r="R726" i="21"/>
  <c r="P726" i="21"/>
  <c r="A726" i="21"/>
  <c r="R725" i="21"/>
  <c r="P725" i="21"/>
  <c r="A725" i="21"/>
  <c r="R724" i="21"/>
  <c r="P724" i="21"/>
  <c r="A724" i="21"/>
  <c r="R723" i="21"/>
  <c r="P723" i="21"/>
  <c r="A723" i="21"/>
  <c r="R722" i="21"/>
  <c r="P722" i="21"/>
  <c r="A722" i="21"/>
  <c r="R721" i="21"/>
  <c r="P721" i="21"/>
  <c r="A721" i="21"/>
  <c r="R720" i="21"/>
  <c r="P720" i="21"/>
  <c r="A720" i="21"/>
  <c r="R719" i="21"/>
  <c r="P719" i="21"/>
  <c r="A719" i="21"/>
  <c r="R718" i="21"/>
  <c r="P718" i="21"/>
  <c r="A718" i="21"/>
  <c r="R717" i="21"/>
  <c r="P717" i="21"/>
  <c r="A717" i="21"/>
  <c r="R716" i="21"/>
  <c r="P716" i="21"/>
  <c r="A716" i="21"/>
  <c r="R715" i="21"/>
  <c r="P715" i="21"/>
  <c r="A715" i="21"/>
  <c r="R714" i="21"/>
  <c r="P714" i="21"/>
  <c r="A714" i="21"/>
  <c r="R713" i="21"/>
  <c r="P713" i="21"/>
  <c r="A713" i="21"/>
  <c r="R712" i="21"/>
  <c r="P712" i="21"/>
  <c r="A712" i="21"/>
  <c r="R711" i="21"/>
  <c r="P711" i="21"/>
  <c r="A711" i="21"/>
  <c r="R710" i="21"/>
  <c r="P710" i="21"/>
  <c r="A710" i="21"/>
  <c r="R709" i="21"/>
  <c r="P709" i="21"/>
  <c r="A709" i="21"/>
  <c r="R708" i="21"/>
  <c r="P708" i="21"/>
  <c r="A708" i="21"/>
  <c r="R707" i="21"/>
  <c r="P707" i="21"/>
  <c r="A707" i="21"/>
  <c r="R706" i="21"/>
  <c r="P706" i="21"/>
  <c r="A706" i="21"/>
  <c r="R705" i="21"/>
  <c r="P705" i="21"/>
  <c r="A705" i="21"/>
  <c r="R704" i="21"/>
  <c r="P704" i="21"/>
  <c r="A704" i="21"/>
  <c r="R703" i="21"/>
  <c r="P703" i="21"/>
  <c r="A703" i="21"/>
  <c r="R702" i="21"/>
  <c r="P702" i="21"/>
  <c r="A702" i="21"/>
  <c r="R701" i="21"/>
  <c r="P701" i="21"/>
  <c r="A701" i="21"/>
  <c r="R700" i="21"/>
  <c r="P700" i="21"/>
  <c r="A700" i="21"/>
  <c r="R699" i="21"/>
  <c r="P699" i="21"/>
  <c r="A699" i="21"/>
  <c r="R698" i="21"/>
  <c r="P698" i="21"/>
  <c r="A698" i="21"/>
  <c r="R697" i="21"/>
  <c r="P697" i="21"/>
  <c r="A697" i="21"/>
  <c r="R696" i="21"/>
  <c r="P696" i="21"/>
  <c r="A696" i="21"/>
  <c r="R695" i="21"/>
  <c r="P695" i="21"/>
  <c r="A695" i="21"/>
  <c r="R694" i="21"/>
  <c r="P694" i="21"/>
  <c r="A694" i="21"/>
  <c r="R693" i="21"/>
  <c r="P693" i="21"/>
  <c r="A693" i="21"/>
  <c r="R692" i="21"/>
  <c r="P692" i="21"/>
  <c r="A692" i="21"/>
  <c r="R691" i="21"/>
  <c r="P691" i="21"/>
  <c r="A691" i="21"/>
  <c r="R690" i="21"/>
  <c r="P690" i="21"/>
  <c r="A690" i="21"/>
  <c r="R689" i="21"/>
  <c r="P689" i="21"/>
  <c r="A689" i="21"/>
  <c r="R688" i="21"/>
  <c r="P688" i="21"/>
  <c r="A688" i="21"/>
  <c r="R687" i="21"/>
  <c r="P687" i="21"/>
  <c r="A687" i="21"/>
  <c r="R686" i="21"/>
  <c r="P686" i="21"/>
  <c r="A686" i="21"/>
  <c r="R685" i="21"/>
  <c r="P685" i="21"/>
  <c r="A685" i="21"/>
  <c r="R684" i="21"/>
  <c r="P684" i="21"/>
  <c r="A684" i="21"/>
  <c r="R683" i="21"/>
  <c r="P683" i="21"/>
  <c r="A683" i="21"/>
  <c r="R682" i="21"/>
  <c r="P682" i="21"/>
  <c r="A682" i="21"/>
  <c r="R681" i="21"/>
  <c r="P681" i="21"/>
  <c r="A681" i="21"/>
  <c r="R680" i="21"/>
  <c r="P680" i="21"/>
  <c r="A680" i="21"/>
  <c r="R679" i="21"/>
  <c r="P679" i="21"/>
  <c r="A679" i="21"/>
  <c r="R678" i="21"/>
  <c r="P678" i="21"/>
  <c r="A678" i="21"/>
  <c r="R677" i="21"/>
  <c r="P677" i="21"/>
  <c r="A677" i="21"/>
  <c r="R676" i="21"/>
  <c r="P676" i="21"/>
  <c r="A676" i="21"/>
  <c r="R675" i="21"/>
  <c r="P675" i="21"/>
  <c r="A675" i="21"/>
  <c r="R674" i="21"/>
  <c r="P674" i="21"/>
  <c r="A674" i="21"/>
  <c r="R673" i="21"/>
  <c r="P673" i="21"/>
  <c r="A673" i="21"/>
  <c r="R672" i="21"/>
  <c r="P672" i="21"/>
  <c r="A672" i="21"/>
  <c r="R671" i="21"/>
  <c r="P671" i="21"/>
  <c r="A671" i="21"/>
  <c r="R670" i="21"/>
  <c r="P670" i="21"/>
  <c r="A670" i="21"/>
  <c r="R669" i="21"/>
  <c r="P669" i="21"/>
  <c r="A669" i="21"/>
  <c r="R668" i="21"/>
  <c r="P668" i="21"/>
  <c r="A668" i="21"/>
  <c r="R667" i="21"/>
  <c r="P667" i="21"/>
  <c r="A667" i="21"/>
  <c r="R666" i="21"/>
  <c r="P666" i="21"/>
  <c r="A666" i="21"/>
  <c r="R665" i="21"/>
  <c r="P665" i="21"/>
  <c r="A665" i="21"/>
  <c r="R664" i="21"/>
  <c r="P664" i="21"/>
  <c r="A664" i="21"/>
  <c r="R663" i="21"/>
  <c r="P663" i="21"/>
  <c r="A663" i="21"/>
  <c r="R662" i="21"/>
  <c r="P662" i="21"/>
  <c r="A662" i="21"/>
  <c r="R661" i="21"/>
  <c r="P661" i="21"/>
  <c r="A661" i="21"/>
  <c r="R660" i="21"/>
  <c r="P660" i="21"/>
  <c r="A660" i="21"/>
  <c r="R659" i="21"/>
  <c r="P659" i="21"/>
  <c r="A659" i="21"/>
  <c r="R658" i="21"/>
  <c r="P658" i="21"/>
  <c r="A658" i="21"/>
  <c r="R657" i="21"/>
  <c r="P657" i="21"/>
  <c r="A657" i="21"/>
  <c r="R656" i="21"/>
  <c r="P656" i="21"/>
  <c r="A656" i="21"/>
  <c r="R655" i="21"/>
  <c r="P655" i="21"/>
  <c r="A655" i="21"/>
  <c r="R654" i="21"/>
  <c r="P654" i="21"/>
  <c r="A654" i="21"/>
  <c r="R653" i="21"/>
  <c r="P653" i="21"/>
  <c r="A653" i="21"/>
  <c r="R652" i="21"/>
  <c r="P652" i="21"/>
  <c r="A652" i="21"/>
  <c r="R651" i="21"/>
  <c r="P651" i="21"/>
  <c r="A651" i="21"/>
  <c r="R650" i="21"/>
  <c r="P650" i="21"/>
  <c r="A650" i="21"/>
  <c r="R649" i="21"/>
  <c r="P649" i="21"/>
  <c r="A649" i="21"/>
  <c r="R648" i="21"/>
  <c r="P648" i="21"/>
  <c r="A648" i="21"/>
  <c r="R647" i="21"/>
  <c r="P647" i="21"/>
  <c r="A647" i="21"/>
  <c r="R646" i="21"/>
  <c r="P646" i="21"/>
  <c r="A646" i="21"/>
  <c r="R645" i="21"/>
  <c r="P645" i="21"/>
  <c r="A645" i="21"/>
  <c r="R644" i="21"/>
  <c r="P644" i="21"/>
  <c r="A644" i="21"/>
  <c r="R643" i="21"/>
  <c r="P643" i="21"/>
  <c r="A643" i="21"/>
  <c r="R642" i="21"/>
  <c r="P642" i="21"/>
  <c r="A642" i="21"/>
  <c r="R641" i="21"/>
  <c r="P641" i="21"/>
  <c r="A641" i="21"/>
  <c r="R640" i="21"/>
  <c r="P640" i="21"/>
  <c r="A640" i="21"/>
  <c r="R639" i="21"/>
  <c r="P639" i="21"/>
  <c r="A639" i="21"/>
  <c r="R638" i="21"/>
  <c r="P638" i="21"/>
  <c r="A638" i="21"/>
  <c r="R637" i="21"/>
  <c r="P637" i="21"/>
  <c r="A637" i="21"/>
  <c r="R636" i="21"/>
  <c r="P636" i="21"/>
  <c r="A636" i="21"/>
  <c r="R635" i="21"/>
  <c r="P635" i="21"/>
  <c r="A635" i="21"/>
  <c r="R634" i="21"/>
  <c r="P634" i="21"/>
  <c r="A634" i="21"/>
  <c r="R633" i="21"/>
  <c r="P633" i="21"/>
  <c r="A633" i="21"/>
  <c r="R632" i="21"/>
  <c r="P632" i="21"/>
  <c r="A632" i="21"/>
  <c r="R631" i="21"/>
  <c r="P631" i="21"/>
  <c r="A631" i="21"/>
  <c r="R630" i="21"/>
  <c r="P630" i="21"/>
  <c r="A630" i="21"/>
  <c r="R629" i="21"/>
  <c r="P629" i="21"/>
  <c r="A629" i="21"/>
  <c r="R628" i="21"/>
  <c r="P628" i="21"/>
  <c r="A628" i="21"/>
  <c r="R627" i="21"/>
  <c r="P627" i="21"/>
  <c r="A627" i="21"/>
  <c r="R626" i="21"/>
  <c r="P626" i="21"/>
  <c r="A626" i="21"/>
  <c r="R625" i="21"/>
  <c r="P625" i="21"/>
  <c r="A625" i="21"/>
  <c r="R624" i="21"/>
  <c r="P624" i="21"/>
  <c r="A624" i="21"/>
  <c r="R623" i="21"/>
  <c r="P623" i="21"/>
  <c r="A623" i="21"/>
  <c r="R622" i="21"/>
  <c r="P622" i="21"/>
  <c r="A622" i="21"/>
  <c r="R621" i="21"/>
  <c r="P621" i="21"/>
  <c r="A621" i="21"/>
  <c r="R620" i="21"/>
  <c r="P620" i="21"/>
  <c r="A620" i="21"/>
  <c r="R619" i="21"/>
  <c r="P619" i="21"/>
  <c r="A619" i="21"/>
  <c r="R618" i="21"/>
  <c r="P618" i="21"/>
  <c r="A618" i="21"/>
  <c r="R617" i="21"/>
  <c r="P617" i="21"/>
  <c r="A617" i="21"/>
  <c r="R616" i="21"/>
  <c r="P616" i="21"/>
  <c r="A616" i="21"/>
  <c r="R615" i="21"/>
  <c r="P615" i="21"/>
  <c r="A615" i="21"/>
  <c r="R614" i="21"/>
  <c r="P614" i="21"/>
  <c r="A614" i="21"/>
  <c r="R613" i="21"/>
  <c r="P613" i="21"/>
  <c r="A613" i="21"/>
  <c r="R612" i="21"/>
  <c r="P612" i="21"/>
  <c r="A612" i="21"/>
  <c r="R611" i="21"/>
  <c r="P611" i="21"/>
  <c r="A611" i="21"/>
  <c r="R610" i="21"/>
  <c r="P610" i="21"/>
  <c r="A610" i="21"/>
  <c r="R609" i="21"/>
  <c r="P609" i="21"/>
  <c r="A609" i="21"/>
  <c r="R608" i="21"/>
  <c r="P608" i="21"/>
  <c r="A608" i="21"/>
  <c r="R607" i="21"/>
  <c r="P607" i="21"/>
  <c r="A607" i="21"/>
  <c r="R606" i="21"/>
  <c r="P606" i="21"/>
  <c r="A606" i="21"/>
  <c r="R605" i="21"/>
  <c r="P605" i="21"/>
  <c r="A605" i="21"/>
  <c r="R604" i="21"/>
  <c r="P604" i="21"/>
  <c r="A604" i="21"/>
  <c r="R603" i="21"/>
  <c r="P603" i="21"/>
  <c r="A603" i="21"/>
  <c r="R602" i="21"/>
  <c r="P602" i="21"/>
  <c r="A602" i="21"/>
  <c r="R601" i="21"/>
  <c r="P601" i="21"/>
  <c r="A601" i="21"/>
  <c r="R600" i="21"/>
  <c r="P600" i="21"/>
  <c r="A600" i="21"/>
  <c r="R599" i="21"/>
  <c r="P599" i="21"/>
  <c r="A599" i="21"/>
  <c r="R598" i="21"/>
  <c r="P598" i="21"/>
  <c r="A598" i="21"/>
  <c r="R597" i="21"/>
  <c r="P597" i="21"/>
  <c r="A597" i="21"/>
  <c r="R596" i="21"/>
  <c r="P596" i="21"/>
  <c r="A596" i="21"/>
  <c r="R595" i="21"/>
  <c r="P595" i="21"/>
  <c r="A595" i="21"/>
  <c r="R594" i="21"/>
  <c r="P594" i="21"/>
  <c r="A594" i="21"/>
  <c r="R593" i="21"/>
  <c r="P593" i="21"/>
  <c r="A593" i="21"/>
  <c r="R592" i="21"/>
  <c r="P592" i="21"/>
  <c r="A592" i="21"/>
  <c r="R591" i="21"/>
  <c r="P591" i="21"/>
  <c r="A591" i="21"/>
  <c r="R590" i="21"/>
  <c r="P590" i="21"/>
  <c r="A590" i="21"/>
  <c r="R589" i="21"/>
  <c r="P589" i="21"/>
  <c r="A589" i="21"/>
  <c r="R588" i="21"/>
  <c r="P588" i="21"/>
  <c r="A588" i="21"/>
  <c r="R587" i="21"/>
  <c r="P587" i="21"/>
  <c r="A587" i="21"/>
  <c r="R586" i="21"/>
  <c r="P586" i="21"/>
  <c r="A586" i="21"/>
  <c r="R585" i="21"/>
  <c r="P585" i="21"/>
  <c r="A585" i="21"/>
  <c r="R584" i="21"/>
  <c r="P584" i="21"/>
  <c r="A584" i="21"/>
  <c r="R583" i="21"/>
  <c r="P583" i="21"/>
  <c r="A583" i="21"/>
  <c r="R582" i="21"/>
  <c r="P582" i="21"/>
  <c r="A582" i="21"/>
  <c r="R581" i="21"/>
  <c r="P581" i="21"/>
  <c r="A581" i="21"/>
  <c r="R580" i="21"/>
  <c r="P580" i="21"/>
  <c r="A580" i="21"/>
  <c r="R579" i="21"/>
  <c r="P579" i="21"/>
  <c r="A579" i="21"/>
  <c r="R578" i="21"/>
  <c r="P578" i="21"/>
  <c r="A578" i="21"/>
  <c r="R577" i="21"/>
  <c r="P577" i="21"/>
  <c r="A577" i="21"/>
  <c r="R576" i="21"/>
  <c r="P576" i="21"/>
  <c r="A576" i="21"/>
  <c r="R575" i="21"/>
  <c r="P575" i="21"/>
  <c r="A575" i="21"/>
  <c r="R574" i="21"/>
  <c r="P574" i="21"/>
  <c r="A574" i="21"/>
  <c r="R573" i="21"/>
  <c r="P573" i="21"/>
  <c r="A573" i="21"/>
  <c r="R572" i="21"/>
  <c r="P572" i="21"/>
  <c r="A572" i="21"/>
  <c r="R571" i="21"/>
  <c r="P571" i="21"/>
  <c r="A571" i="21"/>
  <c r="R570" i="21"/>
  <c r="P570" i="21"/>
  <c r="A570" i="21"/>
  <c r="R569" i="21"/>
  <c r="P569" i="21"/>
  <c r="A569" i="21"/>
  <c r="R568" i="21"/>
  <c r="P568" i="21"/>
  <c r="A568" i="21"/>
  <c r="R567" i="21"/>
  <c r="P567" i="21"/>
  <c r="A567" i="21"/>
  <c r="R566" i="21"/>
  <c r="P566" i="21"/>
  <c r="A566" i="21"/>
  <c r="R565" i="21"/>
  <c r="P565" i="21"/>
  <c r="A565" i="21"/>
  <c r="R564" i="21"/>
  <c r="P564" i="21"/>
  <c r="A564" i="21"/>
  <c r="R563" i="21"/>
  <c r="P563" i="21"/>
  <c r="A563" i="21"/>
  <c r="R562" i="21"/>
  <c r="P562" i="21"/>
  <c r="A562" i="21"/>
  <c r="R561" i="21"/>
  <c r="P561" i="21"/>
  <c r="A561" i="21"/>
  <c r="R560" i="21"/>
  <c r="P560" i="21"/>
  <c r="A560" i="21"/>
  <c r="R559" i="21"/>
  <c r="P559" i="21"/>
  <c r="A559" i="21"/>
  <c r="R558" i="21"/>
  <c r="P558" i="21"/>
  <c r="A558" i="21"/>
  <c r="R557" i="21"/>
  <c r="P557" i="21"/>
  <c r="A557" i="21"/>
  <c r="R556" i="21"/>
  <c r="P556" i="21"/>
  <c r="A556" i="21"/>
  <c r="R555" i="21"/>
  <c r="P555" i="21"/>
  <c r="A555" i="21"/>
  <c r="R554" i="21"/>
  <c r="P554" i="21"/>
  <c r="A554" i="21"/>
  <c r="R553" i="21"/>
  <c r="P553" i="21"/>
  <c r="A553" i="21"/>
  <c r="R552" i="21"/>
  <c r="P552" i="21"/>
  <c r="A552" i="21"/>
  <c r="R551" i="21"/>
  <c r="P551" i="21"/>
  <c r="A551" i="21"/>
  <c r="R550" i="21"/>
  <c r="P550" i="21"/>
  <c r="A550" i="21"/>
  <c r="R549" i="21"/>
  <c r="P549" i="21"/>
  <c r="A549" i="21"/>
  <c r="R548" i="21"/>
  <c r="P548" i="21"/>
  <c r="A548" i="21"/>
  <c r="R547" i="21"/>
  <c r="P547" i="21"/>
  <c r="A547" i="21"/>
  <c r="R546" i="21"/>
  <c r="P546" i="21"/>
  <c r="A546" i="21"/>
  <c r="R545" i="21"/>
  <c r="P545" i="21"/>
  <c r="A545" i="21"/>
  <c r="R544" i="21"/>
  <c r="P544" i="21"/>
  <c r="A544" i="21"/>
  <c r="R543" i="21"/>
  <c r="P543" i="21"/>
  <c r="A543" i="21"/>
  <c r="R542" i="21"/>
  <c r="P542" i="21"/>
  <c r="A542" i="21"/>
  <c r="R541" i="21"/>
  <c r="P541" i="21"/>
  <c r="A541" i="21"/>
  <c r="R540" i="21"/>
  <c r="P540" i="21"/>
  <c r="A540" i="21"/>
  <c r="R539" i="21"/>
  <c r="P539" i="21"/>
  <c r="A539" i="21"/>
  <c r="R538" i="21"/>
  <c r="P538" i="21"/>
  <c r="A538" i="21"/>
  <c r="R537" i="21"/>
  <c r="P537" i="21"/>
  <c r="A537" i="21"/>
  <c r="R536" i="21"/>
  <c r="P536" i="21"/>
  <c r="A536" i="21"/>
  <c r="R535" i="21"/>
  <c r="P535" i="21"/>
  <c r="A535" i="21"/>
  <c r="R534" i="21"/>
  <c r="P534" i="21"/>
  <c r="A534" i="21"/>
  <c r="R533" i="21"/>
  <c r="P533" i="21"/>
  <c r="A533" i="21"/>
  <c r="R532" i="21"/>
  <c r="P532" i="21"/>
  <c r="A532" i="21"/>
  <c r="R531" i="21"/>
  <c r="P531" i="21"/>
  <c r="A531" i="21"/>
  <c r="R530" i="21"/>
  <c r="P530" i="21"/>
  <c r="A530" i="21"/>
  <c r="R529" i="21"/>
  <c r="P529" i="21"/>
  <c r="A529" i="21"/>
  <c r="R528" i="21"/>
  <c r="P528" i="21"/>
  <c r="A528" i="21"/>
  <c r="R527" i="21"/>
  <c r="P527" i="21"/>
  <c r="A527" i="21"/>
  <c r="R526" i="21"/>
  <c r="P526" i="21"/>
  <c r="A526" i="21"/>
  <c r="R525" i="21"/>
  <c r="P525" i="21"/>
  <c r="A525" i="21"/>
  <c r="R524" i="21"/>
  <c r="P524" i="21"/>
  <c r="A524" i="21"/>
  <c r="R523" i="21"/>
  <c r="P523" i="21"/>
  <c r="A523" i="21"/>
  <c r="R522" i="21"/>
  <c r="P522" i="21"/>
  <c r="A522" i="21"/>
  <c r="R521" i="21"/>
  <c r="P521" i="21"/>
  <c r="A521" i="21"/>
  <c r="R520" i="21"/>
  <c r="P520" i="21"/>
  <c r="A520" i="21"/>
  <c r="R519" i="21"/>
  <c r="P519" i="21"/>
  <c r="A519" i="21"/>
  <c r="R518" i="21"/>
  <c r="P518" i="21"/>
  <c r="A518" i="21"/>
  <c r="R517" i="21"/>
  <c r="P517" i="21"/>
  <c r="A517" i="21"/>
  <c r="R516" i="21"/>
  <c r="P516" i="21"/>
  <c r="A516" i="21"/>
  <c r="R515" i="21"/>
  <c r="P515" i="21"/>
  <c r="A515" i="21"/>
  <c r="R514" i="21"/>
  <c r="P514" i="21"/>
  <c r="A514" i="21"/>
  <c r="R513" i="21"/>
  <c r="P513" i="21"/>
  <c r="A513" i="21"/>
  <c r="R512" i="21"/>
  <c r="P512" i="21"/>
  <c r="A512" i="21"/>
  <c r="R511" i="21"/>
  <c r="P511" i="21"/>
  <c r="A511" i="21"/>
  <c r="R510" i="21"/>
  <c r="P510" i="21"/>
  <c r="A510" i="21"/>
  <c r="R509" i="21"/>
  <c r="P509" i="21"/>
  <c r="A509" i="21"/>
  <c r="R508" i="21"/>
  <c r="P508" i="21"/>
  <c r="A508" i="21"/>
  <c r="R507" i="21"/>
  <c r="P507" i="21"/>
  <c r="A507" i="21"/>
  <c r="R506" i="21"/>
  <c r="P506" i="21"/>
  <c r="A506" i="21"/>
  <c r="R505" i="21"/>
  <c r="P505" i="21"/>
  <c r="A505" i="21"/>
  <c r="R504" i="21"/>
  <c r="P504" i="21"/>
  <c r="A504" i="21"/>
  <c r="R503" i="21"/>
  <c r="P503" i="21"/>
  <c r="A503" i="21"/>
  <c r="R502" i="21"/>
  <c r="P502" i="21"/>
  <c r="A502" i="21"/>
  <c r="R501" i="21"/>
  <c r="P501" i="21"/>
  <c r="A501" i="21"/>
  <c r="R500" i="21"/>
  <c r="P500" i="21"/>
  <c r="A500" i="21"/>
  <c r="R499" i="21"/>
  <c r="P499" i="21"/>
  <c r="A499" i="21"/>
  <c r="R498" i="21"/>
  <c r="P498" i="21"/>
  <c r="A498" i="21"/>
  <c r="R497" i="21"/>
  <c r="P497" i="21"/>
  <c r="A497" i="21"/>
  <c r="R496" i="21"/>
  <c r="P496" i="21"/>
  <c r="A496" i="21"/>
  <c r="R495" i="21"/>
  <c r="P495" i="21"/>
  <c r="A495" i="21"/>
  <c r="R494" i="21"/>
  <c r="P494" i="21"/>
  <c r="A494" i="21"/>
  <c r="R493" i="21"/>
  <c r="P493" i="21"/>
  <c r="A493" i="21"/>
  <c r="R492" i="21"/>
  <c r="P492" i="21"/>
  <c r="A492" i="21"/>
  <c r="R491" i="21"/>
  <c r="P491" i="21"/>
  <c r="A491" i="21"/>
  <c r="R490" i="21"/>
  <c r="P490" i="21"/>
  <c r="A490" i="21"/>
  <c r="R489" i="21"/>
  <c r="P489" i="21"/>
  <c r="A489" i="21"/>
  <c r="R488" i="21"/>
  <c r="P488" i="21"/>
  <c r="A488" i="21"/>
  <c r="R487" i="21"/>
  <c r="P487" i="21"/>
  <c r="A487" i="21"/>
  <c r="R486" i="21"/>
  <c r="P486" i="21"/>
  <c r="A486" i="21"/>
  <c r="R485" i="21"/>
  <c r="P485" i="21"/>
  <c r="A485" i="21"/>
  <c r="R484" i="21"/>
  <c r="P484" i="21"/>
  <c r="A484" i="21"/>
  <c r="R483" i="21"/>
  <c r="P483" i="21"/>
  <c r="A483" i="21"/>
  <c r="R482" i="21"/>
  <c r="P482" i="21"/>
  <c r="A482" i="21"/>
  <c r="R481" i="21"/>
  <c r="P481" i="21"/>
  <c r="A481" i="21"/>
  <c r="R480" i="21"/>
  <c r="P480" i="21"/>
  <c r="A480" i="21"/>
  <c r="R479" i="21"/>
  <c r="P479" i="21"/>
  <c r="A479" i="21"/>
  <c r="R478" i="21"/>
  <c r="P478" i="21"/>
  <c r="A478" i="21"/>
  <c r="R477" i="21"/>
  <c r="P477" i="21"/>
  <c r="A477" i="21"/>
  <c r="R476" i="21"/>
  <c r="P476" i="21"/>
  <c r="A476" i="21"/>
  <c r="R475" i="21"/>
  <c r="P475" i="21"/>
  <c r="A475" i="21"/>
  <c r="R474" i="21"/>
  <c r="P474" i="21"/>
  <c r="A474" i="21"/>
  <c r="R473" i="21"/>
  <c r="P473" i="21"/>
  <c r="A473" i="21"/>
  <c r="R472" i="21"/>
  <c r="P472" i="21"/>
  <c r="A472" i="21"/>
  <c r="R471" i="21"/>
  <c r="P471" i="21"/>
  <c r="A471" i="21"/>
  <c r="R470" i="21"/>
  <c r="P470" i="21"/>
  <c r="A470" i="21"/>
  <c r="R469" i="21"/>
  <c r="P469" i="21"/>
  <c r="A469" i="21"/>
  <c r="R468" i="21"/>
  <c r="P468" i="21"/>
  <c r="A468" i="21"/>
  <c r="R467" i="21"/>
  <c r="P467" i="21"/>
  <c r="A467" i="21"/>
  <c r="R466" i="21"/>
  <c r="P466" i="21"/>
  <c r="A466" i="21"/>
  <c r="R465" i="21"/>
  <c r="P465" i="21"/>
  <c r="A465" i="21"/>
  <c r="R464" i="21"/>
  <c r="P464" i="21"/>
  <c r="A464" i="21"/>
  <c r="R463" i="21"/>
  <c r="P463" i="21"/>
  <c r="A463" i="21"/>
  <c r="R462" i="21"/>
  <c r="P462" i="21"/>
  <c r="A462" i="21"/>
  <c r="R461" i="21"/>
  <c r="P461" i="21"/>
  <c r="A461" i="21"/>
  <c r="R460" i="21"/>
  <c r="P460" i="21"/>
  <c r="A460" i="21"/>
  <c r="R459" i="21"/>
  <c r="P459" i="21"/>
  <c r="A459" i="21"/>
  <c r="R458" i="21"/>
  <c r="P458" i="21"/>
  <c r="A458" i="21"/>
  <c r="R457" i="21"/>
  <c r="P457" i="21"/>
  <c r="A457" i="21"/>
  <c r="R456" i="21"/>
  <c r="P456" i="21"/>
  <c r="A456" i="21"/>
  <c r="R455" i="21"/>
  <c r="P455" i="21"/>
  <c r="A455" i="21"/>
  <c r="R454" i="21"/>
  <c r="P454" i="21"/>
  <c r="A454" i="21"/>
  <c r="R453" i="21"/>
  <c r="P453" i="21"/>
  <c r="A453" i="21"/>
  <c r="R452" i="21"/>
  <c r="P452" i="21"/>
  <c r="A452" i="21"/>
  <c r="R451" i="21"/>
  <c r="P451" i="21"/>
  <c r="A451" i="21"/>
  <c r="R450" i="21"/>
  <c r="P450" i="21"/>
  <c r="A450" i="21"/>
  <c r="R449" i="21"/>
  <c r="P449" i="21"/>
  <c r="A449" i="21"/>
  <c r="R448" i="21"/>
  <c r="P448" i="21"/>
  <c r="A448" i="21"/>
  <c r="R447" i="21"/>
  <c r="P447" i="21"/>
  <c r="A447" i="21"/>
  <c r="R446" i="21"/>
  <c r="P446" i="21"/>
  <c r="A446" i="21"/>
  <c r="R445" i="21"/>
  <c r="P445" i="21"/>
  <c r="A445" i="21"/>
  <c r="R444" i="21"/>
  <c r="P444" i="21"/>
  <c r="A444" i="21"/>
  <c r="R443" i="21"/>
  <c r="P443" i="21"/>
  <c r="A443" i="21"/>
  <c r="R442" i="21"/>
  <c r="P442" i="21"/>
  <c r="A442" i="21"/>
  <c r="R441" i="21"/>
  <c r="P441" i="21"/>
  <c r="A441" i="21"/>
  <c r="R440" i="21"/>
  <c r="P440" i="21"/>
  <c r="A440" i="21"/>
  <c r="R439" i="21"/>
  <c r="P439" i="21"/>
  <c r="A439" i="21"/>
  <c r="R438" i="21"/>
  <c r="P438" i="21"/>
  <c r="A438" i="21"/>
  <c r="R437" i="21"/>
  <c r="P437" i="21"/>
  <c r="A437" i="21"/>
  <c r="R436" i="21"/>
  <c r="P436" i="21"/>
  <c r="A436" i="21"/>
  <c r="R435" i="21"/>
  <c r="P435" i="21"/>
  <c r="A435" i="21"/>
  <c r="R434" i="21"/>
  <c r="P434" i="21"/>
  <c r="A434" i="21"/>
  <c r="R433" i="21"/>
  <c r="P433" i="21"/>
  <c r="A433" i="21"/>
  <c r="R432" i="21"/>
  <c r="P432" i="21"/>
  <c r="A432" i="21"/>
  <c r="R431" i="21"/>
  <c r="P431" i="21"/>
  <c r="A431" i="21"/>
  <c r="R430" i="21"/>
  <c r="P430" i="21"/>
  <c r="A430" i="21"/>
  <c r="R429" i="21"/>
  <c r="P429" i="21"/>
  <c r="A429" i="21"/>
  <c r="R428" i="21"/>
  <c r="P428" i="21"/>
  <c r="A428" i="21"/>
  <c r="R427" i="21"/>
  <c r="P427" i="21"/>
  <c r="A427" i="21"/>
  <c r="R426" i="21"/>
  <c r="P426" i="21"/>
  <c r="A426" i="21"/>
  <c r="R425" i="21"/>
  <c r="P425" i="21"/>
  <c r="A425" i="21"/>
  <c r="R424" i="21"/>
  <c r="P424" i="21"/>
  <c r="A424" i="21"/>
  <c r="R423" i="21"/>
  <c r="P423" i="21"/>
  <c r="A423" i="21"/>
  <c r="R422" i="21"/>
  <c r="P422" i="21"/>
  <c r="A422" i="21"/>
  <c r="R421" i="21"/>
  <c r="P421" i="21"/>
  <c r="A421" i="21"/>
  <c r="R420" i="21"/>
  <c r="P420" i="21"/>
  <c r="A420" i="21"/>
  <c r="R419" i="21"/>
  <c r="P419" i="21"/>
  <c r="A419" i="21"/>
  <c r="R418" i="21"/>
  <c r="P418" i="21"/>
  <c r="A418" i="21"/>
  <c r="R417" i="21"/>
  <c r="P417" i="21"/>
  <c r="A417" i="21"/>
  <c r="R416" i="21"/>
  <c r="P416" i="21"/>
  <c r="A416" i="21"/>
  <c r="R415" i="21"/>
  <c r="P415" i="21"/>
  <c r="A415" i="21"/>
  <c r="R414" i="21"/>
  <c r="P414" i="21"/>
  <c r="A414" i="21"/>
  <c r="R413" i="21"/>
  <c r="P413" i="21"/>
  <c r="A413" i="21"/>
  <c r="R412" i="21"/>
  <c r="P412" i="21"/>
  <c r="A412" i="21"/>
  <c r="R411" i="21"/>
  <c r="P411" i="21"/>
  <c r="A411" i="21"/>
  <c r="R410" i="21"/>
  <c r="P410" i="21"/>
  <c r="A410" i="21"/>
  <c r="R409" i="21"/>
  <c r="P409" i="21"/>
  <c r="A409" i="21"/>
  <c r="R408" i="21"/>
  <c r="P408" i="21"/>
  <c r="A408" i="21"/>
  <c r="R407" i="21"/>
  <c r="P407" i="21"/>
  <c r="A407" i="21"/>
  <c r="R406" i="21"/>
  <c r="P406" i="21"/>
  <c r="A406" i="21"/>
  <c r="R405" i="21"/>
  <c r="P405" i="21"/>
  <c r="A405" i="21"/>
  <c r="R404" i="21"/>
  <c r="P404" i="21"/>
  <c r="A404" i="21"/>
  <c r="R403" i="21"/>
  <c r="P403" i="21"/>
  <c r="A403" i="21"/>
  <c r="R402" i="21"/>
  <c r="P402" i="21"/>
  <c r="A402" i="21"/>
  <c r="R401" i="21"/>
  <c r="P401" i="21"/>
  <c r="A401" i="21"/>
  <c r="R400" i="21"/>
  <c r="P400" i="21"/>
  <c r="A400" i="21"/>
  <c r="R399" i="21"/>
  <c r="P399" i="21"/>
  <c r="A399" i="21"/>
  <c r="R398" i="21"/>
  <c r="P398" i="21"/>
  <c r="A398" i="21"/>
  <c r="R397" i="21"/>
  <c r="P397" i="21"/>
  <c r="A397" i="21"/>
  <c r="R396" i="21"/>
  <c r="P396" i="21"/>
  <c r="A396" i="21"/>
  <c r="R395" i="21"/>
  <c r="P395" i="21"/>
  <c r="A395" i="21"/>
  <c r="R394" i="21"/>
  <c r="P394" i="21"/>
  <c r="A394" i="21"/>
  <c r="R393" i="21"/>
  <c r="P393" i="21"/>
  <c r="A393" i="21"/>
  <c r="R392" i="21"/>
  <c r="P392" i="21"/>
  <c r="A392" i="21"/>
  <c r="R391" i="21"/>
  <c r="P391" i="21"/>
  <c r="A391" i="21"/>
  <c r="R390" i="21"/>
  <c r="P390" i="21"/>
  <c r="A390" i="21"/>
  <c r="R389" i="21"/>
  <c r="P389" i="21"/>
  <c r="A389" i="21"/>
  <c r="R388" i="21"/>
  <c r="P388" i="21"/>
  <c r="A388" i="21"/>
  <c r="R387" i="21"/>
  <c r="P387" i="21"/>
  <c r="A387" i="21"/>
  <c r="R386" i="21"/>
  <c r="P386" i="21"/>
  <c r="A386" i="21"/>
  <c r="R385" i="21"/>
  <c r="P385" i="21"/>
  <c r="A385" i="21"/>
  <c r="R384" i="21"/>
  <c r="P384" i="21"/>
  <c r="A384" i="21"/>
  <c r="R383" i="21"/>
  <c r="P383" i="21"/>
  <c r="A383" i="21"/>
  <c r="R382" i="21"/>
  <c r="P382" i="21"/>
  <c r="A382" i="21"/>
  <c r="R381" i="21"/>
  <c r="P381" i="21"/>
  <c r="A381" i="21"/>
  <c r="R380" i="21"/>
  <c r="P380" i="21"/>
  <c r="A380" i="21"/>
  <c r="R379" i="21"/>
  <c r="P379" i="21"/>
  <c r="A379" i="21"/>
  <c r="R378" i="21"/>
  <c r="P378" i="21"/>
  <c r="A378" i="21"/>
  <c r="R377" i="21"/>
  <c r="P377" i="21"/>
  <c r="A377" i="21"/>
  <c r="R376" i="21"/>
  <c r="P376" i="21"/>
  <c r="A376" i="21"/>
  <c r="R375" i="21"/>
  <c r="P375" i="21"/>
  <c r="A375" i="21"/>
  <c r="R374" i="21"/>
  <c r="P374" i="21"/>
  <c r="A374" i="21"/>
  <c r="R373" i="21"/>
  <c r="P373" i="21"/>
  <c r="A373" i="21"/>
  <c r="R372" i="21"/>
  <c r="P372" i="21"/>
  <c r="A372" i="21"/>
  <c r="R371" i="21"/>
  <c r="P371" i="21"/>
  <c r="A371" i="21"/>
  <c r="R370" i="21"/>
  <c r="P370" i="21"/>
  <c r="A370" i="21"/>
  <c r="R369" i="21"/>
  <c r="P369" i="21"/>
  <c r="A369" i="21"/>
  <c r="R368" i="21"/>
  <c r="P368" i="21"/>
  <c r="A368" i="21"/>
  <c r="R367" i="21"/>
  <c r="P367" i="21"/>
  <c r="A367" i="21"/>
  <c r="R366" i="21"/>
  <c r="P366" i="21"/>
  <c r="A366" i="21"/>
  <c r="R365" i="21"/>
  <c r="P365" i="21"/>
  <c r="A365" i="21"/>
  <c r="R364" i="21"/>
  <c r="P364" i="21"/>
  <c r="A364" i="21"/>
  <c r="R363" i="21"/>
  <c r="P363" i="21"/>
  <c r="A363" i="21"/>
  <c r="R362" i="21"/>
  <c r="P362" i="21"/>
  <c r="A362" i="21"/>
  <c r="R361" i="21"/>
  <c r="P361" i="21"/>
  <c r="A361" i="21"/>
  <c r="R360" i="21"/>
  <c r="P360" i="21"/>
  <c r="A360" i="21"/>
  <c r="R359" i="21"/>
  <c r="P359" i="21"/>
  <c r="A359" i="21"/>
  <c r="R358" i="21"/>
  <c r="P358" i="21"/>
  <c r="A358" i="21"/>
  <c r="R357" i="21"/>
  <c r="P357" i="21"/>
  <c r="A357" i="21"/>
  <c r="R356" i="21"/>
  <c r="P356" i="21"/>
  <c r="A356" i="21"/>
  <c r="R355" i="21"/>
  <c r="P355" i="21"/>
  <c r="A355" i="21"/>
  <c r="R354" i="21"/>
  <c r="P354" i="21"/>
  <c r="A354" i="21"/>
  <c r="R353" i="21"/>
  <c r="P353" i="21"/>
  <c r="A353" i="21"/>
  <c r="R352" i="21"/>
  <c r="P352" i="21"/>
  <c r="A352" i="21"/>
  <c r="R351" i="21"/>
  <c r="P351" i="21"/>
  <c r="A351" i="21"/>
  <c r="R350" i="21"/>
  <c r="P350" i="21"/>
  <c r="A350" i="21"/>
  <c r="R349" i="21"/>
  <c r="P349" i="21"/>
  <c r="A349" i="21"/>
  <c r="R348" i="21"/>
  <c r="P348" i="21"/>
  <c r="A348" i="21"/>
  <c r="R347" i="21"/>
  <c r="P347" i="21"/>
  <c r="A347" i="21"/>
  <c r="R346" i="21"/>
  <c r="P346" i="21"/>
  <c r="A346" i="21"/>
  <c r="R345" i="21"/>
  <c r="P345" i="21"/>
  <c r="A345" i="21"/>
  <c r="R344" i="21"/>
  <c r="P344" i="21"/>
  <c r="A344" i="21"/>
  <c r="R343" i="21"/>
  <c r="P343" i="21"/>
  <c r="A343" i="21"/>
  <c r="R342" i="21"/>
  <c r="P342" i="21"/>
  <c r="A342" i="21"/>
  <c r="R341" i="21"/>
  <c r="P341" i="21"/>
  <c r="A341" i="21"/>
  <c r="R340" i="21"/>
  <c r="P340" i="21"/>
  <c r="A340" i="21"/>
  <c r="R339" i="21"/>
  <c r="P339" i="21"/>
  <c r="A339" i="21"/>
  <c r="R338" i="21"/>
  <c r="P338" i="21"/>
  <c r="A338" i="21"/>
  <c r="R337" i="21"/>
  <c r="P337" i="21"/>
  <c r="A337" i="21"/>
  <c r="R336" i="21"/>
  <c r="P336" i="21"/>
  <c r="A336" i="21"/>
  <c r="R335" i="21"/>
  <c r="P335" i="21"/>
  <c r="A335" i="21"/>
  <c r="R334" i="21"/>
  <c r="P334" i="21"/>
  <c r="A334" i="21"/>
  <c r="R333" i="21"/>
  <c r="P333" i="21"/>
  <c r="A333" i="21"/>
  <c r="R332" i="21"/>
  <c r="P332" i="21"/>
  <c r="A332" i="21"/>
  <c r="R331" i="21"/>
  <c r="P331" i="21"/>
  <c r="A331" i="21"/>
  <c r="R330" i="21"/>
  <c r="P330" i="21"/>
  <c r="A330" i="21"/>
  <c r="R329" i="21"/>
  <c r="P329" i="21"/>
  <c r="A329" i="21"/>
  <c r="R328" i="21"/>
  <c r="P328" i="21"/>
  <c r="A328" i="21"/>
  <c r="R327" i="21"/>
  <c r="P327" i="21"/>
  <c r="A327" i="21"/>
  <c r="R326" i="21"/>
  <c r="P326" i="21"/>
  <c r="A326" i="21"/>
  <c r="R325" i="21"/>
  <c r="P325" i="21"/>
  <c r="A325" i="21"/>
  <c r="R324" i="21"/>
  <c r="P324" i="21"/>
  <c r="A324" i="21"/>
  <c r="R323" i="21"/>
  <c r="P323" i="21"/>
  <c r="A323" i="21"/>
  <c r="R322" i="21"/>
  <c r="P322" i="21"/>
  <c r="A322" i="21"/>
  <c r="R321" i="21"/>
  <c r="P321" i="21"/>
  <c r="A321" i="21"/>
  <c r="R320" i="21"/>
  <c r="P320" i="21"/>
  <c r="A320" i="21"/>
  <c r="R319" i="21"/>
  <c r="P319" i="21"/>
  <c r="A319" i="21"/>
  <c r="R318" i="21"/>
  <c r="P318" i="21"/>
  <c r="A318" i="21"/>
  <c r="R317" i="21"/>
  <c r="P317" i="21"/>
  <c r="A317" i="21"/>
  <c r="R316" i="21"/>
  <c r="P316" i="21"/>
  <c r="A316" i="21"/>
  <c r="R315" i="21"/>
  <c r="P315" i="21"/>
  <c r="A315" i="21"/>
  <c r="R314" i="21"/>
  <c r="P314" i="21"/>
  <c r="A314" i="21"/>
  <c r="R313" i="21"/>
  <c r="P313" i="21"/>
  <c r="A313" i="21"/>
  <c r="R312" i="21"/>
  <c r="P312" i="21"/>
  <c r="A312" i="21"/>
  <c r="R311" i="21"/>
  <c r="P311" i="21"/>
  <c r="A311" i="21"/>
  <c r="R310" i="21"/>
  <c r="P310" i="21"/>
  <c r="A310" i="21"/>
  <c r="R309" i="21"/>
  <c r="P309" i="21"/>
  <c r="A309" i="21"/>
  <c r="R308" i="21"/>
  <c r="P308" i="21"/>
  <c r="A308" i="21"/>
  <c r="R307" i="21"/>
  <c r="P307" i="21"/>
  <c r="A307" i="21"/>
  <c r="R306" i="21"/>
  <c r="P306" i="21"/>
  <c r="A306" i="21"/>
  <c r="R305" i="21"/>
  <c r="P305" i="21"/>
  <c r="A305" i="21"/>
  <c r="R304" i="21"/>
  <c r="P304" i="21"/>
  <c r="A304" i="21"/>
  <c r="R303" i="21"/>
  <c r="P303" i="21"/>
  <c r="A303" i="21"/>
  <c r="R302" i="21"/>
  <c r="P302" i="21"/>
  <c r="A302" i="21"/>
  <c r="R301" i="21"/>
  <c r="P301" i="21"/>
  <c r="A301" i="21"/>
  <c r="R300" i="21"/>
  <c r="P300" i="21"/>
  <c r="A300" i="21"/>
  <c r="R299" i="21"/>
  <c r="P299" i="21"/>
  <c r="A299" i="21"/>
  <c r="R298" i="21"/>
  <c r="P298" i="21"/>
  <c r="A298" i="21"/>
  <c r="R297" i="21"/>
  <c r="P297" i="21"/>
  <c r="A297" i="21"/>
  <c r="R296" i="21"/>
  <c r="P296" i="21"/>
  <c r="A296" i="21"/>
  <c r="R295" i="21"/>
  <c r="P295" i="21"/>
  <c r="A295" i="21"/>
  <c r="R294" i="21"/>
  <c r="P294" i="21"/>
  <c r="A294" i="21"/>
  <c r="R293" i="21"/>
  <c r="P293" i="21"/>
  <c r="A293" i="21"/>
  <c r="R292" i="21"/>
  <c r="P292" i="21"/>
  <c r="A292" i="21"/>
  <c r="R291" i="21"/>
  <c r="P291" i="21"/>
  <c r="A291" i="21"/>
  <c r="R290" i="21"/>
  <c r="P290" i="21"/>
  <c r="A290" i="21"/>
  <c r="R289" i="21"/>
  <c r="P289" i="21"/>
  <c r="A289" i="21"/>
  <c r="R288" i="21"/>
  <c r="P288" i="21"/>
  <c r="A288" i="21"/>
  <c r="R287" i="21"/>
  <c r="P287" i="21"/>
  <c r="A287" i="21"/>
  <c r="R286" i="21"/>
  <c r="P286" i="21"/>
  <c r="A286" i="21"/>
  <c r="R285" i="21"/>
  <c r="P285" i="21"/>
  <c r="A285" i="21"/>
  <c r="R284" i="21"/>
  <c r="P284" i="21"/>
  <c r="A284" i="21"/>
  <c r="R283" i="21"/>
  <c r="P283" i="21"/>
  <c r="A283" i="21"/>
  <c r="R282" i="21"/>
  <c r="P282" i="21"/>
  <c r="A282" i="21"/>
  <c r="R281" i="21"/>
  <c r="P281" i="21"/>
  <c r="A281" i="21"/>
  <c r="R280" i="21"/>
  <c r="P280" i="21"/>
  <c r="A280" i="21"/>
  <c r="R279" i="21"/>
  <c r="P279" i="21"/>
  <c r="A279" i="21"/>
  <c r="R278" i="21"/>
  <c r="P278" i="21"/>
  <c r="A278" i="21"/>
  <c r="R277" i="21"/>
  <c r="P277" i="21"/>
  <c r="A277" i="21"/>
  <c r="R276" i="21"/>
  <c r="P276" i="21"/>
  <c r="A276" i="21"/>
  <c r="R275" i="21"/>
  <c r="P275" i="21"/>
  <c r="A275" i="21"/>
  <c r="R274" i="21"/>
  <c r="P274" i="21"/>
  <c r="G274" i="21"/>
  <c r="A274" i="21"/>
  <c r="R273" i="21"/>
  <c r="P273" i="21"/>
  <c r="G273" i="21"/>
  <c r="A273" i="21"/>
  <c r="R272" i="21"/>
  <c r="P272" i="21"/>
  <c r="G272" i="21"/>
  <c r="A272" i="21"/>
  <c r="R271" i="21"/>
  <c r="P271" i="21"/>
  <c r="G271" i="21"/>
  <c r="A271" i="21"/>
  <c r="R270" i="21"/>
  <c r="P270" i="21"/>
  <c r="G270" i="21"/>
  <c r="A270" i="21"/>
  <c r="R269" i="21"/>
  <c r="P269" i="21"/>
  <c r="G269" i="21"/>
  <c r="A269" i="21"/>
  <c r="R268" i="21"/>
  <c r="P268" i="21"/>
  <c r="G268" i="21"/>
  <c r="A268" i="21"/>
  <c r="R267" i="21"/>
  <c r="P267" i="21"/>
  <c r="G267" i="21"/>
  <c r="A267" i="21"/>
  <c r="R266" i="21"/>
  <c r="P266" i="21"/>
  <c r="G266" i="21"/>
  <c r="A266" i="21"/>
  <c r="R265" i="21"/>
  <c r="P265" i="21"/>
  <c r="G265" i="21"/>
  <c r="A265" i="21"/>
  <c r="R264" i="21"/>
  <c r="P264" i="21"/>
  <c r="G264" i="21"/>
  <c r="A264" i="21"/>
  <c r="R263" i="21"/>
  <c r="P263" i="21"/>
  <c r="A263" i="21"/>
  <c r="R262" i="21"/>
  <c r="P262" i="21"/>
  <c r="G262" i="21"/>
  <c r="A262" i="21"/>
  <c r="R261" i="21"/>
  <c r="P261" i="21"/>
  <c r="G261" i="21"/>
  <c r="A261" i="21"/>
  <c r="R260" i="21"/>
  <c r="P260" i="21"/>
  <c r="G260" i="21"/>
  <c r="A260" i="21"/>
  <c r="R259" i="21"/>
  <c r="P259" i="21"/>
  <c r="G259" i="21"/>
  <c r="A259" i="21"/>
  <c r="R258" i="21"/>
  <c r="P258" i="21"/>
  <c r="G258" i="21"/>
  <c r="A258" i="21"/>
  <c r="R257" i="21"/>
  <c r="P257" i="21"/>
  <c r="G257" i="21"/>
  <c r="A257" i="21"/>
  <c r="R256" i="21"/>
  <c r="P256" i="21"/>
  <c r="G256" i="21"/>
  <c r="A256" i="21"/>
  <c r="R255" i="21"/>
  <c r="P255" i="21"/>
  <c r="G255" i="21"/>
  <c r="A255" i="21"/>
  <c r="R254" i="21"/>
  <c r="P254" i="21"/>
  <c r="G254" i="21"/>
  <c r="A254" i="21"/>
  <c r="R253" i="21"/>
  <c r="P253" i="21"/>
  <c r="G253" i="21"/>
  <c r="A253" i="21"/>
  <c r="R252" i="21"/>
  <c r="P252" i="21"/>
  <c r="G252" i="21"/>
  <c r="A252" i="21"/>
  <c r="R251" i="21"/>
  <c r="P251" i="21"/>
  <c r="G251" i="21"/>
  <c r="A251" i="21"/>
  <c r="R250" i="21"/>
  <c r="P250" i="21"/>
  <c r="A250" i="21"/>
  <c r="R249" i="21"/>
  <c r="P249" i="21"/>
  <c r="G249" i="21"/>
  <c r="A249" i="21"/>
  <c r="R248" i="21"/>
  <c r="P248" i="21"/>
  <c r="G248" i="21"/>
  <c r="A248" i="21"/>
  <c r="R247" i="21"/>
  <c r="P247" i="21"/>
  <c r="G247" i="21"/>
  <c r="A247" i="21"/>
  <c r="R246" i="21"/>
  <c r="P246" i="21"/>
  <c r="G246" i="21"/>
  <c r="A246" i="21"/>
  <c r="R245" i="21"/>
  <c r="P245" i="21"/>
  <c r="G245" i="21"/>
  <c r="A245" i="21"/>
  <c r="R244" i="21"/>
  <c r="P244" i="21"/>
  <c r="G244" i="21"/>
  <c r="A244" i="21"/>
  <c r="R243" i="21"/>
  <c r="P243" i="21"/>
  <c r="G243" i="21"/>
  <c r="A243" i="21"/>
  <c r="R242" i="21"/>
  <c r="P242" i="21"/>
  <c r="G242" i="21"/>
  <c r="A242" i="21"/>
  <c r="R241" i="21"/>
  <c r="P241" i="21"/>
  <c r="G241" i="21"/>
  <c r="A241" i="21"/>
  <c r="R240" i="21"/>
  <c r="P240" i="21"/>
  <c r="G240" i="21"/>
  <c r="A240" i="21"/>
  <c r="R239" i="21"/>
  <c r="P239" i="21"/>
  <c r="G239" i="21"/>
  <c r="A239" i="21"/>
  <c r="R238" i="21"/>
  <c r="P238" i="21"/>
  <c r="G238" i="21"/>
  <c r="A238" i="21"/>
  <c r="R237" i="21"/>
  <c r="P237" i="21"/>
  <c r="A237" i="21"/>
  <c r="R236" i="21"/>
  <c r="P236" i="21"/>
  <c r="G236" i="21"/>
  <c r="A236" i="21"/>
  <c r="R235" i="21"/>
  <c r="P235" i="21"/>
  <c r="G235" i="21"/>
  <c r="A235" i="21"/>
  <c r="R234" i="21"/>
  <c r="P234" i="21"/>
  <c r="A234" i="21"/>
  <c r="R233" i="21"/>
  <c r="P233" i="21"/>
  <c r="G233" i="21"/>
  <c r="A233" i="21"/>
  <c r="R232" i="21"/>
  <c r="P232" i="21"/>
  <c r="G232" i="21"/>
  <c r="A232" i="21"/>
  <c r="R231" i="21"/>
  <c r="P231" i="21"/>
  <c r="G231" i="21"/>
  <c r="A231" i="21"/>
  <c r="R230" i="21"/>
  <c r="P230" i="21"/>
  <c r="G230" i="21"/>
  <c r="A230" i="21"/>
  <c r="R229" i="21"/>
  <c r="P229" i="21"/>
  <c r="G229" i="21"/>
  <c r="A229" i="21"/>
  <c r="R228" i="21"/>
  <c r="P228" i="21"/>
  <c r="G228" i="21"/>
  <c r="A228" i="21"/>
  <c r="R227" i="21"/>
  <c r="P227" i="21"/>
  <c r="G227" i="21"/>
  <c r="A227" i="21"/>
  <c r="R226" i="21"/>
  <c r="P226" i="21"/>
  <c r="G226" i="21"/>
  <c r="A226" i="21"/>
  <c r="R225" i="21"/>
  <c r="P225" i="21"/>
  <c r="G225" i="21"/>
  <c r="A225" i="21"/>
  <c r="R224" i="21"/>
  <c r="P224" i="21"/>
  <c r="A224" i="21"/>
  <c r="R223" i="21"/>
  <c r="P223" i="21"/>
  <c r="A223" i="21"/>
  <c r="R222" i="21"/>
  <c r="P222" i="21"/>
  <c r="A222" i="21"/>
  <c r="R221" i="21"/>
  <c r="P221" i="21"/>
  <c r="A221" i="21"/>
  <c r="R220" i="21"/>
  <c r="P220" i="21"/>
  <c r="A220" i="21"/>
  <c r="R219" i="21"/>
  <c r="P219" i="21"/>
  <c r="A219" i="21"/>
  <c r="R218" i="21"/>
  <c r="P218" i="21"/>
  <c r="A218" i="21"/>
  <c r="R217" i="21"/>
  <c r="P217" i="21"/>
  <c r="A217" i="21"/>
  <c r="R216" i="21"/>
  <c r="P216" i="21"/>
  <c r="A216" i="21"/>
  <c r="R215" i="21"/>
  <c r="P215" i="21"/>
  <c r="A215" i="21"/>
  <c r="R214" i="21"/>
  <c r="P214" i="21"/>
  <c r="A214" i="21"/>
  <c r="R213" i="21"/>
  <c r="P213" i="21"/>
  <c r="A213" i="21"/>
  <c r="R212" i="21"/>
  <c r="P212" i="21"/>
  <c r="A212" i="21"/>
  <c r="R211" i="21"/>
  <c r="P211" i="21"/>
  <c r="A211" i="21"/>
  <c r="R210" i="21"/>
  <c r="P210" i="21"/>
  <c r="A210" i="21"/>
  <c r="R209" i="21"/>
  <c r="P209" i="21"/>
  <c r="A209" i="21"/>
  <c r="R208" i="21"/>
  <c r="P208" i="21"/>
  <c r="A208" i="21"/>
  <c r="R207" i="21"/>
  <c r="P207" i="21"/>
  <c r="A207" i="21"/>
  <c r="R206" i="21"/>
  <c r="P206" i="21"/>
  <c r="A206" i="21"/>
  <c r="R205" i="21"/>
  <c r="P205" i="21"/>
  <c r="A205" i="21"/>
  <c r="R204" i="21"/>
  <c r="P204" i="21"/>
  <c r="G204" i="21"/>
  <c r="A204" i="21"/>
  <c r="R203" i="21"/>
  <c r="P203" i="21"/>
  <c r="G203" i="21"/>
  <c r="A203" i="21"/>
  <c r="R202" i="21"/>
  <c r="P202" i="21"/>
  <c r="G202" i="21"/>
  <c r="A202" i="21"/>
  <c r="R201" i="21"/>
  <c r="P201" i="21"/>
  <c r="G201" i="21"/>
  <c r="A201" i="21"/>
  <c r="R200" i="21"/>
  <c r="P200" i="21"/>
  <c r="G200" i="21"/>
  <c r="A200" i="21"/>
  <c r="R199" i="21"/>
  <c r="P199" i="21"/>
  <c r="G199" i="21"/>
  <c r="A199" i="21"/>
  <c r="R198" i="21"/>
  <c r="P198" i="21"/>
  <c r="G198" i="21"/>
  <c r="A198" i="21"/>
  <c r="R197" i="21"/>
  <c r="P197" i="21"/>
  <c r="G197" i="21"/>
  <c r="A197" i="21"/>
  <c r="R196" i="21"/>
  <c r="P196" i="21"/>
  <c r="G196" i="21"/>
  <c r="A196" i="21"/>
  <c r="R195" i="21"/>
  <c r="P195" i="21"/>
  <c r="G195" i="21"/>
  <c r="A195" i="21"/>
  <c r="R194" i="21"/>
  <c r="P194" i="21"/>
  <c r="G194" i="21"/>
  <c r="A194" i="21"/>
  <c r="R193" i="21"/>
  <c r="P193" i="21"/>
  <c r="G193" i="21"/>
  <c r="A193" i="21"/>
  <c r="R192" i="21"/>
  <c r="P192" i="21"/>
  <c r="G192" i="21"/>
  <c r="A192" i="21"/>
  <c r="R191" i="21"/>
  <c r="P191" i="21"/>
  <c r="G191" i="21"/>
  <c r="A191" i="21"/>
  <c r="R190" i="21"/>
  <c r="P190" i="21"/>
  <c r="A190" i="21"/>
  <c r="R189" i="21"/>
  <c r="P189" i="21"/>
  <c r="A189" i="21"/>
  <c r="R188" i="21"/>
  <c r="P188" i="21"/>
  <c r="A188" i="21"/>
  <c r="R187" i="21"/>
  <c r="P187" i="21"/>
  <c r="A187" i="21"/>
  <c r="R186" i="21"/>
  <c r="P186" i="21"/>
  <c r="A186" i="21"/>
  <c r="R185" i="21"/>
  <c r="P185" i="21"/>
  <c r="A185" i="21"/>
  <c r="R184" i="21"/>
  <c r="P184" i="21"/>
  <c r="A184" i="21"/>
  <c r="R183" i="21"/>
  <c r="P183" i="21"/>
  <c r="G183" i="21"/>
  <c r="A183" i="21"/>
  <c r="R182" i="21"/>
  <c r="P182" i="21"/>
  <c r="G182" i="21"/>
  <c r="A182" i="21"/>
  <c r="R181" i="21"/>
  <c r="P181" i="21"/>
  <c r="G181" i="21"/>
  <c r="A181" i="21"/>
  <c r="R180" i="21"/>
  <c r="P180" i="21"/>
  <c r="G180" i="21"/>
  <c r="A180" i="21"/>
  <c r="R179" i="21"/>
  <c r="P179" i="21"/>
  <c r="G179" i="21"/>
  <c r="A179" i="21"/>
  <c r="R178" i="21"/>
  <c r="P178" i="21"/>
  <c r="G178" i="21"/>
  <c r="A178" i="21"/>
  <c r="R177" i="21"/>
  <c r="P177" i="21"/>
  <c r="G177" i="21"/>
  <c r="A177" i="21"/>
  <c r="R176" i="21"/>
  <c r="P176" i="21"/>
  <c r="G176" i="21"/>
  <c r="A176" i="21"/>
  <c r="R175" i="21"/>
  <c r="P175" i="21"/>
  <c r="G175" i="21"/>
  <c r="A175" i="21"/>
  <c r="R174" i="21"/>
  <c r="P174" i="21"/>
  <c r="G174" i="21"/>
  <c r="A174" i="21"/>
  <c r="R173" i="21"/>
  <c r="P173" i="21"/>
  <c r="G173" i="21"/>
  <c r="A173" i="21"/>
  <c r="R172" i="21"/>
  <c r="P172" i="21"/>
  <c r="G172" i="21"/>
  <c r="A172" i="21"/>
  <c r="R171" i="21"/>
  <c r="P171" i="21"/>
  <c r="G171" i="21"/>
  <c r="A171" i="21"/>
  <c r="R170" i="21"/>
  <c r="P170" i="21"/>
  <c r="G170" i="21"/>
  <c r="A170" i="21"/>
  <c r="R169" i="21"/>
  <c r="P169" i="21"/>
  <c r="G169" i="21"/>
  <c r="A169" i="21"/>
  <c r="R168" i="21"/>
  <c r="P168" i="21"/>
  <c r="G168" i="21"/>
  <c r="A168" i="21"/>
  <c r="R167" i="21"/>
  <c r="P167" i="21"/>
  <c r="A167" i="21"/>
  <c r="R166" i="21"/>
  <c r="P166" i="21"/>
  <c r="A166" i="21"/>
  <c r="R165" i="21"/>
  <c r="P165" i="21"/>
  <c r="A165" i="21"/>
  <c r="R164" i="21"/>
  <c r="P164" i="21"/>
  <c r="A164" i="21"/>
  <c r="R163" i="21"/>
  <c r="P163" i="21"/>
  <c r="A163" i="21"/>
  <c r="R162" i="21"/>
  <c r="P162" i="21"/>
  <c r="A162" i="21"/>
  <c r="R161" i="21"/>
  <c r="P161" i="21"/>
  <c r="A161" i="21"/>
  <c r="R160" i="21"/>
  <c r="P160" i="21"/>
  <c r="A160" i="21"/>
  <c r="R159" i="21"/>
  <c r="P159" i="21"/>
  <c r="A159" i="21"/>
  <c r="R158" i="21"/>
  <c r="P158" i="21"/>
  <c r="A158" i="21"/>
  <c r="R157" i="21"/>
  <c r="P157" i="21"/>
  <c r="A157" i="21"/>
  <c r="R156" i="21"/>
  <c r="P156" i="21"/>
  <c r="A156" i="21"/>
  <c r="R155" i="21"/>
  <c r="P155" i="21"/>
  <c r="A155" i="21"/>
  <c r="R154" i="21"/>
  <c r="P154" i="21"/>
  <c r="A154" i="21"/>
  <c r="R153" i="21"/>
  <c r="P153" i="21"/>
  <c r="A153" i="21"/>
  <c r="R152" i="21"/>
  <c r="P152" i="21"/>
  <c r="A152" i="21"/>
  <c r="R151" i="21"/>
  <c r="P151" i="21"/>
  <c r="A151" i="21"/>
  <c r="R150" i="21"/>
  <c r="P150" i="21"/>
  <c r="A150" i="21"/>
  <c r="R149" i="21"/>
  <c r="P149" i="21"/>
  <c r="A149" i="21"/>
  <c r="R148" i="21"/>
  <c r="P148" i="21"/>
  <c r="A148" i="21"/>
  <c r="R147" i="21"/>
  <c r="P147" i="21"/>
  <c r="A147" i="21"/>
  <c r="R146" i="21"/>
  <c r="P146" i="21"/>
  <c r="A146" i="21"/>
  <c r="R145" i="21"/>
  <c r="P145" i="21"/>
  <c r="A145" i="21"/>
  <c r="R144" i="21"/>
  <c r="P144" i="21"/>
  <c r="A144" i="21"/>
  <c r="R143" i="21"/>
  <c r="P143" i="21"/>
  <c r="A143" i="21"/>
  <c r="R142" i="21"/>
  <c r="P142" i="21"/>
  <c r="A142" i="21"/>
  <c r="R141" i="21"/>
  <c r="P141" i="21"/>
  <c r="A141" i="21"/>
  <c r="R140" i="21"/>
  <c r="P140" i="21"/>
  <c r="A140" i="21"/>
  <c r="R139" i="21"/>
  <c r="P139" i="21"/>
  <c r="A139" i="21"/>
  <c r="R138" i="21"/>
  <c r="P138" i="21"/>
  <c r="A138" i="21"/>
  <c r="R137" i="21"/>
  <c r="P137" i="21"/>
  <c r="A137" i="21"/>
  <c r="R136" i="21"/>
  <c r="P136" i="21"/>
  <c r="A136" i="21"/>
  <c r="R135" i="21"/>
  <c r="P135" i="21"/>
  <c r="A135" i="21"/>
  <c r="R134" i="21"/>
  <c r="P134" i="21"/>
  <c r="A134" i="21"/>
  <c r="R133" i="21"/>
  <c r="P133" i="21"/>
  <c r="A133" i="21"/>
  <c r="R132" i="21"/>
  <c r="P132" i="21"/>
  <c r="A132" i="21"/>
  <c r="R131" i="21"/>
  <c r="P131" i="21"/>
  <c r="A131" i="21"/>
  <c r="R130" i="21"/>
  <c r="P130" i="21"/>
  <c r="A130" i="21"/>
  <c r="R129" i="21"/>
  <c r="P129" i="21"/>
  <c r="A129" i="21"/>
  <c r="R128" i="21"/>
  <c r="P128" i="21"/>
  <c r="A128" i="21"/>
  <c r="R127" i="21"/>
  <c r="P127" i="21"/>
  <c r="A127" i="21"/>
  <c r="R126" i="21"/>
  <c r="P126" i="21"/>
  <c r="A126" i="21"/>
  <c r="R125" i="21"/>
  <c r="P125" i="21"/>
  <c r="A125" i="21"/>
  <c r="R124" i="21"/>
  <c r="P124" i="21"/>
  <c r="A124" i="21"/>
  <c r="R123" i="21"/>
  <c r="P123" i="21"/>
  <c r="A123" i="21"/>
  <c r="R122" i="21"/>
  <c r="P122" i="21"/>
  <c r="A122" i="21"/>
  <c r="R121" i="21"/>
  <c r="P121" i="21"/>
  <c r="A121" i="21"/>
  <c r="R120" i="21"/>
  <c r="P120" i="21"/>
  <c r="A120" i="21"/>
  <c r="R119" i="21"/>
  <c r="P119" i="21"/>
  <c r="A119" i="21"/>
  <c r="R118" i="21"/>
  <c r="P118" i="21"/>
  <c r="A118" i="21"/>
  <c r="R117" i="21"/>
  <c r="P117" i="21"/>
  <c r="A117" i="21"/>
  <c r="R116" i="21"/>
  <c r="P116" i="21"/>
  <c r="A116" i="21"/>
  <c r="R115" i="21"/>
  <c r="P115" i="21"/>
  <c r="A115" i="21"/>
  <c r="R114" i="21"/>
  <c r="P114" i="21"/>
  <c r="A114" i="21"/>
  <c r="R113" i="21"/>
  <c r="P113" i="21"/>
  <c r="A113" i="21"/>
  <c r="R112" i="21"/>
  <c r="P112" i="21"/>
  <c r="A112" i="21"/>
  <c r="R111" i="21"/>
  <c r="P111" i="21"/>
  <c r="A111" i="21"/>
  <c r="R110" i="21"/>
  <c r="P110" i="21"/>
  <c r="A110" i="21"/>
  <c r="R109" i="21"/>
  <c r="P109" i="21"/>
  <c r="A109" i="21"/>
  <c r="R108" i="21"/>
  <c r="P108" i="21"/>
  <c r="A108" i="21"/>
  <c r="R107" i="21"/>
  <c r="P107" i="21"/>
  <c r="A107" i="21"/>
  <c r="R106" i="21"/>
  <c r="P106" i="21"/>
  <c r="A106" i="21"/>
  <c r="R105" i="21"/>
  <c r="P105" i="21"/>
  <c r="A105" i="21"/>
  <c r="R104" i="21"/>
  <c r="P104" i="21"/>
  <c r="A104" i="21"/>
  <c r="R103" i="21"/>
  <c r="P103" i="21"/>
  <c r="A103" i="21"/>
  <c r="R102" i="21"/>
  <c r="P102" i="21"/>
  <c r="A102" i="21"/>
  <c r="R101" i="21"/>
  <c r="P101" i="21"/>
  <c r="A101" i="21"/>
  <c r="R100" i="21"/>
  <c r="P100" i="21"/>
  <c r="A100" i="21"/>
  <c r="R99" i="21"/>
  <c r="P99" i="21"/>
  <c r="A99" i="21"/>
  <c r="R98" i="21"/>
  <c r="P98" i="21"/>
  <c r="A98" i="21"/>
  <c r="R97" i="21"/>
  <c r="P97" i="21"/>
  <c r="A97" i="21"/>
  <c r="R96" i="21"/>
  <c r="P96" i="21"/>
  <c r="A96" i="21"/>
  <c r="R95" i="21"/>
  <c r="P95" i="21"/>
  <c r="A95" i="21"/>
  <c r="R94" i="21"/>
  <c r="P94" i="21"/>
  <c r="A94" i="21"/>
  <c r="R93" i="21"/>
  <c r="P93" i="21"/>
  <c r="A93" i="21"/>
  <c r="R92" i="21"/>
  <c r="P92" i="21"/>
  <c r="A92" i="21"/>
  <c r="R91" i="21"/>
  <c r="P91" i="21"/>
  <c r="A91" i="21"/>
  <c r="R90" i="21"/>
  <c r="P90" i="21"/>
  <c r="A90" i="21"/>
  <c r="R89" i="21"/>
  <c r="P89" i="21"/>
  <c r="A89" i="21"/>
  <c r="R88" i="21"/>
  <c r="P88" i="21"/>
  <c r="A88" i="21"/>
  <c r="R87" i="21"/>
  <c r="P87" i="21"/>
  <c r="A87" i="21"/>
  <c r="R86" i="21"/>
  <c r="P86" i="21"/>
  <c r="A86" i="21"/>
  <c r="R85" i="21"/>
  <c r="P85" i="21"/>
  <c r="A85" i="21"/>
  <c r="R84" i="21"/>
  <c r="P84" i="21"/>
  <c r="A84" i="21"/>
  <c r="R83" i="21"/>
  <c r="P83" i="21"/>
  <c r="A83" i="21"/>
  <c r="R82" i="21"/>
  <c r="P82" i="21"/>
  <c r="A82" i="21"/>
  <c r="R81" i="21"/>
  <c r="P81" i="21"/>
  <c r="A81" i="21"/>
  <c r="R80" i="21"/>
  <c r="P80" i="21"/>
  <c r="A80" i="21"/>
  <c r="R79" i="21"/>
  <c r="P79" i="21"/>
  <c r="A79" i="21"/>
  <c r="R78" i="21"/>
  <c r="P78" i="21"/>
  <c r="A78" i="21"/>
  <c r="R77" i="21"/>
  <c r="P77" i="21"/>
  <c r="A77" i="21"/>
  <c r="R76" i="21"/>
  <c r="P76" i="21"/>
  <c r="A76" i="21"/>
  <c r="R75" i="21"/>
  <c r="P75" i="21"/>
  <c r="A75" i="21"/>
  <c r="R74" i="21"/>
  <c r="P74" i="21"/>
  <c r="A74" i="21"/>
  <c r="R73" i="21"/>
  <c r="P73" i="21"/>
  <c r="A73" i="21"/>
  <c r="R72" i="21"/>
  <c r="P72" i="21"/>
  <c r="A72" i="21"/>
  <c r="R71" i="21"/>
  <c r="P71" i="21"/>
  <c r="A71" i="21"/>
  <c r="R70" i="21"/>
  <c r="P70" i="21"/>
  <c r="A70" i="21"/>
  <c r="R69" i="21"/>
  <c r="P69" i="21"/>
  <c r="A69" i="21"/>
  <c r="R68" i="21"/>
  <c r="P68" i="21"/>
  <c r="A68" i="21"/>
  <c r="R67" i="21"/>
  <c r="P67" i="21"/>
  <c r="A67" i="21"/>
  <c r="R66" i="21"/>
  <c r="P66" i="21"/>
  <c r="A66" i="21"/>
  <c r="R65" i="21"/>
  <c r="P65" i="21"/>
  <c r="A65" i="21"/>
  <c r="R64" i="21"/>
  <c r="P64" i="21"/>
  <c r="A64" i="21"/>
  <c r="R63" i="21"/>
  <c r="P63" i="21"/>
  <c r="A63" i="21"/>
  <c r="R62" i="21"/>
  <c r="P62" i="21"/>
  <c r="A62" i="21"/>
  <c r="R61" i="21"/>
  <c r="P61" i="21"/>
  <c r="A61" i="21"/>
  <c r="R60" i="21"/>
  <c r="P60" i="21"/>
  <c r="A60" i="21"/>
  <c r="R59" i="21"/>
  <c r="P59" i="21"/>
  <c r="A59" i="21"/>
  <c r="R58" i="21"/>
  <c r="P58" i="21"/>
  <c r="A58" i="21"/>
  <c r="R57" i="21"/>
  <c r="P57" i="21"/>
  <c r="A57" i="21"/>
  <c r="R56" i="21"/>
  <c r="P56" i="21"/>
  <c r="A56" i="21"/>
  <c r="R55" i="21"/>
  <c r="P55" i="21"/>
  <c r="A55" i="21"/>
  <c r="R54" i="21"/>
  <c r="P54" i="21"/>
  <c r="A54" i="21"/>
  <c r="R53" i="21"/>
  <c r="P53" i="21"/>
  <c r="A53" i="21"/>
  <c r="R52" i="21"/>
  <c r="P52" i="21"/>
  <c r="A52" i="21"/>
  <c r="R51" i="21"/>
  <c r="P51" i="21"/>
  <c r="A51" i="21"/>
  <c r="R50" i="21"/>
  <c r="P50" i="21"/>
  <c r="A50" i="21"/>
  <c r="R49" i="21"/>
  <c r="P49" i="21"/>
  <c r="A49" i="21"/>
  <c r="R48" i="21"/>
  <c r="P48" i="21"/>
  <c r="A48" i="21"/>
  <c r="R47" i="21"/>
  <c r="P47" i="21"/>
  <c r="A47" i="21"/>
  <c r="R46" i="21"/>
  <c r="P46" i="21"/>
  <c r="A46" i="21"/>
  <c r="R45" i="21"/>
  <c r="P45" i="21"/>
  <c r="A45" i="21"/>
  <c r="R44" i="21"/>
  <c r="P44" i="21"/>
  <c r="A44" i="21"/>
  <c r="R43" i="21"/>
  <c r="P43" i="21"/>
  <c r="A43" i="21"/>
  <c r="R42" i="21"/>
  <c r="P42" i="21"/>
  <c r="A42" i="21"/>
  <c r="R41" i="21"/>
  <c r="P41" i="21"/>
  <c r="A41" i="21"/>
  <c r="R40" i="21"/>
  <c r="P40" i="21"/>
  <c r="A40" i="21"/>
  <c r="R39" i="21"/>
  <c r="P39" i="21"/>
  <c r="A39" i="21"/>
  <c r="R38" i="21"/>
  <c r="P38" i="21"/>
  <c r="A38" i="21"/>
  <c r="R37" i="21"/>
  <c r="P37" i="21"/>
  <c r="A37" i="21"/>
  <c r="R36" i="21"/>
  <c r="P36" i="21"/>
  <c r="A36" i="21"/>
  <c r="R35" i="21"/>
  <c r="P35" i="21"/>
  <c r="A35" i="21"/>
  <c r="R34" i="21"/>
  <c r="P34" i="21"/>
  <c r="A34" i="21"/>
  <c r="R33" i="21"/>
  <c r="P33" i="21"/>
  <c r="A33" i="21"/>
  <c r="R32" i="21"/>
  <c r="P32" i="21"/>
  <c r="A32" i="21"/>
  <c r="R31" i="21"/>
  <c r="P31" i="21"/>
  <c r="A31" i="21"/>
  <c r="R30" i="21"/>
  <c r="P30" i="21"/>
  <c r="A30" i="21"/>
  <c r="R29" i="21"/>
  <c r="P29" i="21"/>
  <c r="A29" i="21"/>
  <c r="R28" i="21"/>
  <c r="P28" i="21"/>
  <c r="A28" i="21"/>
  <c r="R27" i="21"/>
  <c r="P27" i="21"/>
  <c r="A27" i="21"/>
  <c r="R26" i="21"/>
  <c r="P26" i="21"/>
  <c r="A26" i="21"/>
  <c r="R25" i="21"/>
  <c r="P25" i="21"/>
  <c r="A25" i="21"/>
  <c r="R24" i="21"/>
  <c r="P24" i="21"/>
  <c r="A24" i="21"/>
  <c r="R23" i="21"/>
  <c r="P23" i="21"/>
  <c r="A23" i="21"/>
  <c r="R22" i="21"/>
  <c r="P22" i="21"/>
  <c r="A22" i="21"/>
  <c r="R21" i="21"/>
  <c r="P21" i="21"/>
  <c r="A21" i="21"/>
  <c r="R20" i="21"/>
  <c r="P20" i="21"/>
  <c r="A20" i="21"/>
  <c r="R19" i="21"/>
  <c r="P19" i="21"/>
  <c r="A19" i="21"/>
  <c r="R18" i="21"/>
  <c r="P18" i="21"/>
  <c r="A18" i="21"/>
  <c r="R17" i="21"/>
  <c r="P17" i="21"/>
  <c r="A17" i="21"/>
  <c r="R16" i="21"/>
  <c r="P16" i="21"/>
  <c r="A16" i="21"/>
  <c r="R15" i="21"/>
  <c r="P15" i="21"/>
  <c r="A15" i="21"/>
  <c r="R14" i="21"/>
  <c r="P14" i="21"/>
  <c r="A14" i="21"/>
  <c r="R13" i="21"/>
  <c r="P13" i="21"/>
  <c r="A13" i="21"/>
  <c r="R12" i="21"/>
  <c r="P12" i="21"/>
  <c r="A12" i="21"/>
  <c r="R11" i="21"/>
  <c r="P11" i="21"/>
  <c r="A11" i="21"/>
  <c r="A10" i="21"/>
  <c r="B6" i="21"/>
  <c r="B5" i="21"/>
  <c r="W4" i="21"/>
  <c r="V4" i="21"/>
  <c r="U4" i="21"/>
  <c r="T4" i="21"/>
  <c r="R4" i="21"/>
  <c r="Q4" i="21"/>
  <c r="P4" i="21"/>
  <c r="O4" i="21"/>
  <c r="M4" i="21"/>
  <c r="L4" i="21"/>
  <c r="J4" i="21"/>
  <c r="I4" i="21"/>
  <c r="G4" i="21"/>
  <c r="F4" i="21"/>
  <c r="E4" i="21"/>
  <c r="D4" i="21"/>
  <c r="C4" i="21"/>
  <c r="G236" i="11"/>
  <c r="G183" i="11" l="1"/>
  <c r="G182" i="11"/>
  <c r="G181" i="11"/>
  <c r="G180" i="11"/>
  <c r="G179" i="11"/>
  <c r="G178" i="11"/>
  <c r="G177" i="11"/>
  <c r="G176" i="11"/>
  <c r="G175" i="11"/>
  <c r="G174" i="11"/>
  <c r="G173" i="11"/>
  <c r="G172" i="11"/>
  <c r="G171" i="11"/>
  <c r="G170" i="11"/>
  <c r="G169" i="11"/>
  <c r="G168" i="11"/>
  <c r="G274" i="11" l="1"/>
  <c r="G262" i="11"/>
  <c r="G249" i="11"/>
  <c r="P51" i="11" l="1"/>
  <c r="P50" i="11"/>
  <c r="P49" i="11"/>
  <c r="P48" i="11"/>
  <c r="P47" i="11"/>
  <c r="P46" i="11"/>
  <c r="P45" i="11"/>
  <c r="P44" i="11"/>
  <c r="P43" i="11"/>
  <c r="P42" i="11"/>
  <c r="P41" i="11"/>
  <c r="P40" i="11"/>
  <c r="P39" i="11"/>
  <c r="P38" i="11"/>
  <c r="P37" i="11"/>
  <c r="P36" i="11"/>
  <c r="P35" i="11"/>
  <c r="P34" i="11"/>
  <c r="P33" i="11"/>
  <c r="P32" i="11"/>
  <c r="P31" i="11"/>
  <c r="P30" i="11"/>
  <c r="P29" i="11"/>
  <c r="P28" i="11"/>
  <c r="P27" i="11"/>
  <c r="P26" i="11"/>
  <c r="P25" i="11"/>
  <c r="P24" i="11"/>
  <c r="P23" i="11"/>
  <c r="P22" i="11"/>
  <c r="P21" i="11"/>
  <c r="P20" i="11"/>
  <c r="P19" i="11"/>
  <c r="P18" i="11"/>
  <c r="P17" i="11"/>
  <c r="P16" i="11"/>
  <c r="P15" i="11"/>
  <c r="P14" i="11"/>
  <c r="P13" i="11"/>
  <c r="P12" i="11"/>
  <c r="P11" i="11"/>
  <c r="G204" i="11" l="1"/>
  <c r="G203" i="11"/>
  <c r="G202" i="11"/>
  <c r="G201" i="11"/>
  <c r="G200" i="11"/>
  <c r="G199" i="11"/>
  <c r="G198" i="11"/>
  <c r="G197" i="11"/>
  <c r="G196" i="11"/>
  <c r="G195" i="11"/>
  <c r="G194" i="11"/>
  <c r="G193" i="11"/>
  <c r="G192" i="11"/>
  <c r="G191" i="11"/>
  <c r="A2057" i="11" l="1"/>
  <c r="A2056" i="11"/>
  <c r="A2055" i="11"/>
  <c r="A2054" i="11"/>
  <c r="A2053" i="11"/>
  <c r="A2052" i="11"/>
  <c r="A2051" i="11"/>
  <c r="A2050" i="11"/>
  <c r="A2049" i="11"/>
  <c r="A2048" i="11"/>
  <c r="A2047" i="11"/>
  <c r="A2046" i="11"/>
  <c r="A2045" i="11"/>
  <c r="A2044" i="11"/>
  <c r="A2043" i="11"/>
  <c r="A2042" i="11"/>
  <c r="A2041" i="11"/>
  <c r="A2040" i="11"/>
  <c r="A2039" i="11"/>
  <c r="A2038" i="11"/>
  <c r="A2037" i="11"/>
  <c r="A2036" i="11"/>
  <c r="A2035" i="11"/>
  <c r="A2034" i="11"/>
  <c r="A2033" i="11"/>
  <c r="A2032" i="11"/>
  <c r="A2031" i="11"/>
  <c r="A2030" i="11"/>
  <c r="A2029" i="11"/>
  <c r="A2028" i="11"/>
  <c r="A2027" i="11"/>
  <c r="A2026" i="11"/>
  <c r="A2025" i="11"/>
  <c r="A2024" i="11"/>
  <c r="A2023" i="11"/>
  <c r="A2022" i="11"/>
  <c r="A2021" i="11"/>
  <c r="A2020" i="11"/>
  <c r="A2019" i="11"/>
  <c r="A2018" i="11"/>
  <c r="A2017" i="11"/>
  <c r="A2016" i="11"/>
  <c r="A2015" i="11"/>
  <c r="A2014" i="11"/>
  <c r="A2013" i="11"/>
  <c r="A2012" i="11"/>
  <c r="A2011" i="11"/>
  <c r="A2010" i="11"/>
  <c r="A2009" i="11"/>
  <c r="A2008" i="11"/>
  <c r="A2007" i="11"/>
  <c r="A2006" i="11"/>
  <c r="A2005" i="11"/>
  <c r="A2004" i="11"/>
  <c r="A2003" i="11"/>
  <c r="A2002" i="11"/>
  <c r="A2001" i="11"/>
  <c r="A2000" i="11"/>
  <c r="A1999" i="11"/>
  <c r="A1998" i="11"/>
  <c r="A1997" i="11"/>
  <c r="A1996" i="11"/>
  <c r="A1995" i="11"/>
  <c r="A1994" i="11"/>
  <c r="A1993" i="11"/>
  <c r="A1992" i="11"/>
  <c r="A1991" i="11"/>
  <c r="A1990" i="11"/>
  <c r="A1989" i="11"/>
  <c r="A1988" i="11"/>
  <c r="A1987" i="11"/>
  <c r="A1986" i="11"/>
  <c r="A1985" i="11"/>
  <c r="A1984" i="11"/>
  <c r="A1983" i="11"/>
  <c r="A1982" i="11"/>
  <c r="A1981" i="11"/>
  <c r="A1980" i="11"/>
  <c r="A1979" i="11"/>
  <c r="A1978" i="11"/>
  <c r="A1977" i="11"/>
  <c r="A1976" i="11"/>
  <c r="A1975" i="11"/>
  <c r="A1974" i="11"/>
  <c r="A1973" i="11"/>
  <c r="A1972" i="11"/>
  <c r="A1971" i="11"/>
  <c r="A1970" i="11"/>
  <c r="A1969" i="11"/>
  <c r="A1968" i="11"/>
  <c r="A1967" i="11"/>
  <c r="A1966" i="11"/>
  <c r="A1965" i="11"/>
  <c r="A1964" i="11"/>
  <c r="A1963" i="11"/>
  <c r="A1962" i="11"/>
  <c r="A1961" i="11"/>
  <c r="A1960" i="11"/>
  <c r="A1959" i="11"/>
  <c r="A1958" i="11"/>
  <c r="A1957" i="11"/>
  <c r="A1956" i="11"/>
  <c r="A1955" i="11"/>
  <c r="A1954" i="11"/>
  <c r="A1953" i="11"/>
  <c r="A1952" i="11"/>
  <c r="A1951" i="11"/>
  <c r="A1950" i="11"/>
  <c r="A1949" i="11"/>
  <c r="A1948" i="11"/>
  <c r="A1947" i="11"/>
  <c r="A1946" i="11"/>
  <c r="A1945" i="11"/>
  <c r="A1944" i="11"/>
  <c r="A1943" i="11"/>
  <c r="A1942" i="11"/>
  <c r="A1941" i="11"/>
  <c r="A1940" i="11"/>
  <c r="A1939" i="11"/>
  <c r="A1938" i="11"/>
  <c r="A1937" i="11"/>
  <c r="A1936" i="11"/>
  <c r="A1935" i="11"/>
  <c r="A1934" i="11"/>
  <c r="A1933" i="11"/>
  <c r="A1932" i="11"/>
  <c r="A1931" i="11"/>
  <c r="A1930" i="11"/>
  <c r="A1929" i="11"/>
  <c r="A1928" i="11"/>
  <c r="A1927" i="11"/>
  <c r="A1926" i="11"/>
  <c r="A1925" i="11"/>
  <c r="A1924" i="11"/>
  <c r="A1923" i="11"/>
  <c r="A1922" i="11"/>
  <c r="A1921" i="11"/>
  <c r="A1920" i="11"/>
  <c r="A1919" i="11"/>
  <c r="A1918" i="11"/>
  <c r="A1917" i="11"/>
  <c r="A1916" i="11"/>
  <c r="A1915" i="11"/>
  <c r="A1914" i="11"/>
  <c r="A1913" i="11"/>
  <c r="A1912" i="11"/>
  <c r="A1911" i="11"/>
  <c r="A1910" i="11"/>
  <c r="A1909" i="11"/>
  <c r="A1908" i="11"/>
  <c r="A1907" i="11"/>
  <c r="A1906" i="11"/>
  <c r="A1905" i="11"/>
  <c r="A1904" i="11"/>
  <c r="A1903" i="11"/>
  <c r="A1902" i="11"/>
  <c r="A1901" i="11"/>
  <c r="A1900" i="11"/>
  <c r="A1899" i="11"/>
  <c r="A1898" i="11"/>
  <c r="A1897" i="11"/>
  <c r="A1896" i="11"/>
  <c r="A1895" i="11"/>
  <c r="A1894" i="11"/>
  <c r="A1893" i="11"/>
  <c r="A1892" i="11"/>
  <c r="A1891" i="11"/>
  <c r="A1890" i="11"/>
  <c r="A1889" i="11"/>
  <c r="A1888" i="11"/>
  <c r="A1887" i="11"/>
  <c r="A1886" i="11"/>
  <c r="A1885" i="11"/>
  <c r="A1884" i="11"/>
  <c r="A1883" i="11"/>
  <c r="A1882" i="11"/>
  <c r="A1881" i="11"/>
  <c r="A1880" i="11"/>
  <c r="A1879" i="11"/>
  <c r="A1878" i="11"/>
  <c r="A1877" i="11"/>
  <c r="A1876" i="11"/>
  <c r="A1875" i="11"/>
  <c r="A1874" i="11"/>
  <c r="A1873" i="11"/>
  <c r="A1872" i="11"/>
  <c r="A1871" i="11"/>
  <c r="A1870" i="11"/>
  <c r="A1869" i="11"/>
  <c r="A1868" i="11"/>
  <c r="A1867" i="11"/>
  <c r="A1866" i="11"/>
  <c r="A1865" i="11"/>
  <c r="A1864" i="11"/>
  <c r="A1863" i="11"/>
  <c r="A1862" i="11"/>
  <c r="A1861" i="11"/>
  <c r="A1860" i="11"/>
  <c r="A1859" i="11"/>
  <c r="A1858" i="11"/>
  <c r="A1857" i="11"/>
  <c r="A1856" i="11"/>
  <c r="A1855" i="11"/>
  <c r="A1854" i="11"/>
  <c r="A1853" i="11"/>
  <c r="A1852" i="11"/>
  <c r="A1851" i="11"/>
  <c r="A1850" i="11"/>
  <c r="A1849" i="11"/>
  <c r="A1848" i="11"/>
  <c r="A1847" i="11"/>
  <c r="A1846" i="11"/>
  <c r="A1845" i="11"/>
  <c r="A1844" i="11"/>
  <c r="A1843" i="11"/>
  <c r="A1842" i="11"/>
  <c r="A1841" i="11"/>
  <c r="A1840" i="11"/>
  <c r="A1839" i="11"/>
  <c r="A1838" i="11"/>
  <c r="A1837" i="11"/>
  <c r="A1836" i="11"/>
  <c r="A1835" i="11"/>
  <c r="A1834" i="11"/>
  <c r="A1833" i="11"/>
  <c r="A1832" i="11"/>
  <c r="A1831" i="11"/>
  <c r="A1830" i="11"/>
  <c r="A1829" i="11"/>
  <c r="A1828" i="11"/>
  <c r="A1827" i="11"/>
  <c r="A1826" i="11"/>
  <c r="A1825" i="11"/>
  <c r="A1824" i="11"/>
  <c r="A1823" i="11"/>
  <c r="A1822" i="11"/>
  <c r="A1821" i="11"/>
  <c r="A1820" i="11"/>
  <c r="A1819" i="11"/>
  <c r="A1818" i="11"/>
  <c r="A1817" i="11"/>
  <c r="A1816" i="11"/>
  <c r="A1815" i="11"/>
  <c r="A1814" i="11"/>
  <c r="A1813" i="11"/>
  <c r="A1812" i="11"/>
  <c r="A1811" i="11"/>
  <c r="A1810" i="11"/>
  <c r="A1809" i="11"/>
  <c r="A1808" i="11"/>
  <c r="A1807" i="11"/>
  <c r="A1806" i="11"/>
  <c r="A1805" i="11"/>
  <c r="A1804" i="11"/>
  <c r="A1803" i="11"/>
  <c r="A1802" i="11"/>
  <c r="A1801" i="11"/>
  <c r="A1800" i="11"/>
  <c r="A1799" i="11"/>
  <c r="A1798" i="11"/>
  <c r="A1797" i="11"/>
  <c r="A1796" i="11"/>
  <c r="A1795" i="11"/>
  <c r="A1794" i="11"/>
  <c r="A1793" i="11"/>
  <c r="A1792" i="11"/>
  <c r="A1791" i="11"/>
  <c r="A1790" i="11"/>
  <c r="A1789" i="11"/>
  <c r="A1788" i="11"/>
  <c r="A1787" i="11"/>
  <c r="A1786" i="11"/>
  <c r="A1785" i="11"/>
  <c r="A1784" i="11"/>
  <c r="A1783" i="11"/>
  <c r="A1782" i="11"/>
  <c r="A1781" i="11"/>
  <c r="A1780" i="11"/>
  <c r="A1779" i="11"/>
  <c r="A1778" i="11"/>
  <c r="A1777" i="11"/>
  <c r="A1776" i="11"/>
  <c r="A1775" i="11"/>
  <c r="A1774" i="11"/>
  <c r="A1773" i="11"/>
  <c r="A1772" i="11"/>
  <c r="A1771" i="11"/>
  <c r="A1770" i="11"/>
  <c r="A1769" i="11"/>
  <c r="A1768" i="11"/>
  <c r="A1767" i="11"/>
  <c r="A1766" i="11"/>
  <c r="A1765" i="11"/>
  <c r="A1764" i="11"/>
  <c r="A1763" i="11"/>
  <c r="A1762" i="11"/>
  <c r="A1761" i="11"/>
  <c r="A1760" i="11"/>
  <c r="A1759" i="11"/>
  <c r="A1758" i="11"/>
  <c r="A1757" i="11"/>
  <c r="A1756" i="11"/>
  <c r="A1755" i="11"/>
  <c r="A1754" i="11"/>
  <c r="A1753" i="11"/>
  <c r="A1752" i="11"/>
  <c r="A1751" i="11"/>
  <c r="A1750" i="11"/>
  <c r="A1749" i="11"/>
  <c r="A1748" i="11"/>
  <c r="A1747" i="11"/>
  <c r="A1746" i="11"/>
  <c r="A1745" i="11"/>
  <c r="A1744" i="11"/>
  <c r="A1743" i="11"/>
  <c r="A1742" i="11"/>
  <c r="A1741" i="11"/>
  <c r="A1740" i="11"/>
  <c r="A1739" i="11"/>
  <c r="A1738" i="11"/>
  <c r="A1737" i="11"/>
  <c r="A1736" i="11"/>
  <c r="A1735" i="11"/>
  <c r="A1734" i="11"/>
  <c r="A1733" i="11"/>
  <c r="A1732" i="11"/>
  <c r="A1731" i="11"/>
  <c r="A1730" i="11"/>
  <c r="A1729" i="11"/>
  <c r="A1728" i="11"/>
  <c r="A1727" i="11"/>
  <c r="A1726" i="11"/>
  <c r="A1725" i="11"/>
  <c r="A1724" i="11"/>
  <c r="A1723" i="11"/>
  <c r="A1722" i="11"/>
  <c r="A1721" i="11"/>
  <c r="A1720" i="11"/>
  <c r="A1719" i="11"/>
  <c r="A1718" i="11"/>
  <c r="A1717" i="11"/>
  <c r="A1716" i="11"/>
  <c r="A1715" i="11"/>
  <c r="A1714" i="11"/>
  <c r="A1713" i="11"/>
  <c r="A1712" i="11"/>
  <c r="A1711" i="11"/>
  <c r="A1710" i="11"/>
  <c r="A1709" i="11"/>
  <c r="A1708" i="11"/>
  <c r="A1707" i="11"/>
  <c r="A1706" i="11"/>
  <c r="A1705" i="11"/>
  <c r="A1704" i="11"/>
  <c r="A1703" i="11"/>
  <c r="A1702" i="11"/>
  <c r="A1701" i="11"/>
  <c r="A1700" i="11"/>
  <c r="A1699" i="11"/>
  <c r="A1698" i="11"/>
  <c r="A1697" i="11"/>
  <c r="A1696" i="11"/>
  <c r="A1695" i="11"/>
  <c r="A1694" i="11"/>
  <c r="A1693" i="11"/>
  <c r="A1692" i="11"/>
  <c r="A1691" i="11"/>
  <c r="A1690" i="11"/>
  <c r="A1689" i="11"/>
  <c r="A1688" i="11"/>
  <c r="A1687" i="11"/>
  <c r="A1686" i="11"/>
  <c r="A1685" i="11"/>
  <c r="A1684" i="11"/>
  <c r="A1683" i="11"/>
  <c r="A1682" i="11"/>
  <c r="A1681" i="11"/>
  <c r="A1680" i="11"/>
  <c r="A1679" i="11"/>
  <c r="A1678" i="11"/>
  <c r="A1677" i="11"/>
  <c r="A1676" i="11"/>
  <c r="A1675" i="11"/>
  <c r="A1674" i="11"/>
  <c r="A1673" i="11"/>
  <c r="A1672" i="11"/>
  <c r="A1671" i="11"/>
  <c r="A1670" i="11"/>
  <c r="A1669" i="11"/>
  <c r="A1668" i="11"/>
  <c r="A1667" i="11"/>
  <c r="A1666" i="11"/>
  <c r="A1665" i="11"/>
  <c r="A1664" i="11"/>
  <c r="A1663" i="11"/>
  <c r="A1662" i="11"/>
  <c r="A1661" i="11"/>
  <c r="A1660" i="11"/>
  <c r="A1659" i="11"/>
  <c r="A1658" i="11"/>
  <c r="A1657" i="11"/>
  <c r="A1656" i="11"/>
  <c r="A1655" i="11"/>
  <c r="A1654" i="11"/>
  <c r="A1653" i="11"/>
  <c r="A1652" i="11"/>
  <c r="A1651" i="11"/>
  <c r="A1650" i="11"/>
  <c r="A1649" i="11"/>
  <c r="A1648" i="11"/>
  <c r="A1647" i="11"/>
  <c r="A1646" i="11"/>
  <c r="A1645" i="11"/>
  <c r="A1644" i="11"/>
  <c r="A1643" i="11"/>
  <c r="A1642" i="11"/>
  <c r="A1641" i="11"/>
  <c r="A1640" i="11"/>
  <c r="A1639" i="11"/>
  <c r="A1638" i="11"/>
  <c r="A1637" i="11"/>
  <c r="A1636" i="11"/>
  <c r="A1635" i="11"/>
  <c r="A1634" i="11"/>
  <c r="A1633" i="11"/>
  <c r="A1632" i="11"/>
  <c r="A1631" i="11"/>
  <c r="A1630" i="11"/>
  <c r="A1629" i="11"/>
  <c r="A1628" i="11"/>
  <c r="A1627" i="11"/>
  <c r="A1626" i="11"/>
  <c r="A1625" i="11"/>
  <c r="A1624" i="11"/>
  <c r="A1623" i="11"/>
  <c r="A1622" i="11"/>
  <c r="A1621" i="11"/>
  <c r="A1620" i="11"/>
  <c r="A1619" i="11"/>
  <c r="A1618" i="11"/>
  <c r="A1617" i="11"/>
  <c r="A1616" i="11"/>
  <c r="A1615" i="11"/>
  <c r="A1614" i="11"/>
  <c r="A1613" i="11"/>
  <c r="A1612" i="11"/>
  <c r="A1611" i="11"/>
  <c r="A1610" i="11"/>
  <c r="A1609" i="11"/>
  <c r="A1608" i="11"/>
  <c r="A1607" i="11"/>
  <c r="A1606" i="11"/>
  <c r="A1605" i="11"/>
  <c r="A1604" i="11"/>
  <c r="A1603" i="11"/>
  <c r="A1602" i="11"/>
  <c r="A1601" i="11"/>
  <c r="A1600" i="11"/>
  <c r="A1599" i="11"/>
  <c r="A1598" i="11"/>
  <c r="A1597" i="11"/>
  <c r="A1596" i="11"/>
  <c r="A1595" i="11"/>
  <c r="A1594" i="11"/>
  <c r="A1593" i="11"/>
  <c r="A1592" i="11"/>
  <c r="A1591" i="11"/>
  <c r="A1590" i="11"/>
  <c r="A1589" i="11"/>
  <c r="A1588" i="11"/>
  <c r="A1587" i="11"/>
  <c r="A1586" i="11"/>
  <c r="A1585" i="11"/>
  <c r="A1584" i="11"/>
  <c r="A1583" i="11"/>
  <c r="A1582" i="11"/>
  <c r="A1581" i="11"/>
  <c r="A1580" i="11"/>
  <c r="A1579" i="11"/>
  <c r="A1578" i="11"/>
  <c r="A1577" i="11"/>
  <c r="A1576" i="11"/>
  <c r="A1575" i="11"/>
  <c r="A1574" i="11"/>
  <c r="A1573" i="11"/>
  <c r="A1572" i="11"/>
  <c r="A1571" i="11"/>
  <c r="A1570" i="11"/>
  <c r="A1569" i="11"/>
  <c r="A1568" i="11"/>
  <c r="A1567" i="11"/>
  <c r="A1566" i="11"/>
  <c r="A1565" i="11"/>
  <c r="A1564" i="11"/>
  <c r="A1563" i="11"/>
  <c r="A1562" i="11"/>
  <c r="A1561" i="11"/>
  <c r="A1560" i="11"/>
  <c r="A1559" i="11"/>
  <c r="A1558" i="11"/>
  <c r="A1557" i="11"/>
  <c r="A1556" i="11"/>
  <c r="A1555" i="11"/>
  <c r="A1554" i="11"/>
  <c r="A1553" i="11"/>
  <c r="A1552" i="11"/>
  <c r="A1551" i="11"/>
  <c r="A1550" i="11"/>
  <c r="A1549" i="11"/>
  <c r="A1548" i="11"/>
  <c r="A1547" i="11"/>
  <c r="A1546" i="11"/>
  <c r="A1545" i="11"/>
  <c r="A1544" i="11"/>
  <c r="A1543" i="11"/>
  <c r="A1542" i="11"/>
  <c r="A1541" i="11"/>
  <c r="A1540" i="11"/>
  <c r="A1539" i="11"/>
  <c r="A1538" i="11"/>
  <c r="A1537" i="11"/>
  <c r="A1536" i="11"/>
  <c r="A1535" i="11"/>
  <c r="A1534" i="11"/>
  <c r="A1533" i="11"/>
  <c r="A1532" i="11"/>
  <c r="A1531" i="11"/>
  <c r="A1530" i="11"/>
  <c r="A1529" i="11"/>
  <c r="A1528" i="11"/>
  <c r="A1527" i="11"/>
  <c r="A1526" i="11"/>
  <c r="A1525" i="11"/>
  <c r="A1524" i="11"/>
  <c r="A1523" i="11"/>
  <c r="A1522" i="11"/>
  <c r="A1521" i="11"/>
  <c r="A1520" i="11"/>
  <c r="A1519" i="11"/>
  <c r="A1518" i="11"/>
  <c r="A1517" i="11"/>
  <c r="A1516" i="11"/>
  <c r="A1515" i="11"/>
  <c r="A1514" i="11"/>
  <c r="A1513" i="11"/>
  <c r="A1512" i="11"/>
  <c r="A1511" i="11"/>
  <c r="A1510" i="11"/>
  <c r="A1509" i="11"/>
  <c r="A1508" i="11"/>
  <c r="A1507" i="11"/>
  <c r="A1506" i="11"/>
  <c r="A1505" i="11"/>
  <c r="A1504" i="11"/>
  <c r="A1503" i="11"/>
  <c r="A1502" i="11"/>
  <c r="A1501" i="11"/>
  <c r="A1500" i="11"/>
  <c r="A1499" i="11"/>
  <c r="A1498" i="11"/>
  <c r="A1497" i="11"/>
  <c r="A1496" i="11"/>
  <c r="A1495" i="11"/>
  <c r="A1494" i="11"/>
  <c r="A1493" i="11"/>
  <c r="A1492" i="11"/>
  <c r="A1491" i="11"/>
  <c r="A1490" i="11"/>
  <c r="A1489" i="11"/>
  <c r="A1488" i="11"/>
  <c r="A1487" i="11"/>
  <c r="A1486" i="11"/>
  <c r="A1485" i="11"/>
  <c r="A1484" i="11"/>
  <c r="A1483" i="11"/>
  <c r="A1482" i="11"/>
  <c r="A1481" i="11"/>
  <c r="A1480" i="11"/>
  <c r="A1479" i="11"/>
  <c r="A1478" i="11"/>
  <c r="A1477" i="11"/>
  <c r="A1476" i="11"/>
  <c r="A1475" i="11"/>
  <c r="A1474" i="11"/>
  <c r="A1473" i="11"/>
  <c r="A1472" i="11"/>
  <c r="A1471" i="11"/>
  <c r="A1470" i="11"/>
  <c r="A1469" i="11"/>
  <c r="A1468" i="11"/>
  <c r="A1467" i="11"/>
  <c r="A1466" i="11"/>
  <c r="A1465" i="11"/>
  <c r="A1464" i="11"/>
  <c r="A1463" i="11"/>
  <c r="A1462" i="11"/>
  <c r="A1461" i="11"/>
  <c r="A1460" i="11"/>
  <c r="A1459" i="11"/>
  <c r="A1458" i="11"/>
  <c r="A1457" i="11"/>
  <c r="A1456" i="11"/>
  <c r="A1455" i="11"/>
  <c r="A1454" i="11"/>
  <c r="A1453" i="11"/>
  <c r="A1452" i="11"/>
  <c r="A1451" i="11"/>
  <c r="A1450" i="11"/>
  <c r="A1449" i="11"/>
  <c r="A1448" i="11"/>
  <c r="A1447" i="11"/>
  <c r="A1446" i="11"/>
  <c r="A1445" i="11"/>
  <c r="A1444" i="11"/>
  <c r="A1443" i="11"/>
  <c r="A1442" i="11"/>
  <c r="A1441" i="11"/>
  <c r="A1440" i="11"/>
  <c r="A1439" i="11"/>
  <c r="A1438" i="11"/>
  <c r="A1437" i="11"/>
  <c r="A1436" i="11"/>
  <c r="A1435" i="11"/>
  <c r="A1434" i="11"/>
  <c r="A1433" i="11"/>
  <c r="A1432" i="11"/>
  <c r="A1431" i="11"/>
  <c r="A1430" i="11"/>
  <c r="A1429" i="11"/>
  <c r="A1428" i="11"/>
  <c r="A1427" i="11"/>
  <c r="A1426" i="11"/>
  <c r="A1425" i="11"/>
  <c r="A1424" i="11"/>
  <c r="A1423" i="11"/>
  <c r="A1422" i="11"/>
  <c r="A1421" i="11"/>
  <c r="A1420" i="11"/>
  <c r="A1419" i="11"/>
  <c r="A1418" i="11"/>
  <c r="A1417" i="11"/>
  <c r="A1416" i="11"/>
  <c r="A1415" i="11"/>
  <c r="A1414" i="11"/>
  <c r="A1413" i="11"/>
  <c r="A1412" i="11"/>
  <c r="A1411" i="11"/>
  <c r="A1410" i="11"/>
  <c r="A1409" i="11"/>
  <c r="A1408" i="11"/>
  <c r="A1407" i="11"/>
  <c r="A1406" i="11"/>
  <c r="A1405" i="11"/>
  <c r="A1404" i="11"/>
  <c r="A1403" i="11"/>
  <c r="A1402" i="11"/>
  <c r="A1401" i="11"/>
  <c r="A1400" i="11"/>
  <c r="A1399" i="11"/>
  <c r="A1398" i="11"/>
  <c r="A1397" i="11"/>
  <c r="A1396" i="11"/>
  <c r="A1395" i="11"/>
  <c r="A1394" i="11"/>
  <c r="A1393" i="11"/>
  <c r="A1392" i="11"/>
  <c r="A1391" i="11"/>
  <c r="A1390" i="11"/>
  <c r="A1389" i="11"/>
  <c r="A1388" i="11"/>
  <c r="A1387" i="11"/>
  <c r="A1386" i="11"/>
  <c r="A1385" i="11"/>
  <c r="A1384" i="11"/>
  <c r="A1383" i="11"/>
  <c r="A1382" i="11"/>
  <c r="A1381" i="11"/>
  <c r="A1380" i="11"/>
  <c r="A1379" i="11"/>
  <c r="A1378" i="11"/>
  <c r="A1377" i="11"/>
  <c r="A1376" i="11"/>
  <c r="A1375" i="11"/>
  <c r="A1374" i="11"/>
  <c r="A1373" i="11"/>
  <c r="A1372" i="11"/>
  <c r="A1371" i="11"/>
  <c r="A1370" i="11"/>
  <c r="A1369" i="11"/>
  <c r="A1368" i="11"/>
  <c r="A1367" i="11"/>
  <c r="A1366" i="11"/>
  <c r="A1365" i="11"/>
  <c r="A1364" i="11"/>
  <c r="A1363" i="11"/>
  <c r="A1362" i="11"/>
  <c r="A1361" i="11"/>
  <c r="A1360" i="11"/>
  <c r="A1359" i="11"/>
  <c r="A1358" i="11"/>
  <c r="A1357" i="11"/>
  <c r="A1356" i="11"/>
  <c r="A1355" i="11"/>
  <c r="A1354" i="11"/>
  <c r="A1353" i="11"/>
  <c r="A1352" i="11"/>
  <c r="A1351" i="11"/>
  <c r="A1350" i="11"/>
  <c r="A1349" i="11"/>
  <c r="A1348" i="11"/>
  <c r="A1347" i="11"/>
  <c r="A1346" i="11"/>
  <c r="A1345" i="11"/>
  <c r="A1344" i="11"/>
  <c r="A1343" i="11"/>
  <c r="A1342" i="11"/>
  <c r="A1341" i="11"/>
  <c r="A1340" i="11"/>
  <c r="A1339" i="11"/>
  <c r="A1338" i="11"/>
  <c r="A1337" i="11"/>
  <c r="A1336" i="11"/>
  <c r="A1335" i="11"/>
  <c r="A1334" i="11"/>
  <c r="A1333" i="11"/>
  <c r="A1332" i="11"/>
  <c r="A1331" i="11"/>
  <c r="A1330" i="11"/>
  <c r="A1329" i="11"/>
  <c r="A1328" i="11"/>
  <c r="A1327" i="11"/>
  <c r="A1326" i="11"/>
  <c r="A1325" i="11"/>
  <c r="A1324" i="11"/>
  <c r="A1323" i="11"/>
  <c r="A1322" i="11"/>
  <c r="A1321" i="11"/>
  <c r="A1320" i="11"/>
  <c r="A1319" i="11"/>
  <c r="A1318" i="11"/>
  <c r="A1317" i="11"/>
  <c r="A1316" i="11"/>
  <c r="A1315" i="11"/>
  <c r="A1314" i="11"/>
  <c r="A1313" i="11"/>
  <c r="A1312" i="11"/>
  <c r="A1311" i="11"/>
  <c r="A1310" i="11"/>
  <c r="A1309" i="11"/>
  <c r="A1308" i="11"/>
  <c r="A1307" i="11"/>
  <c r="A1306" i="11"/>
  <c r="A1305" i="11"/>
  <c r="A1304" i="11"/>
  <c r="A1303" i="11"/>
  <c r="A1302" i="11"/>
  <c r="A1301" i="11"/>
  <c r="A1300" i="11"/>
  <c r="A1299" i="11"/>
  <c r="A1298" i="11"/>
  <c r="A1297" i="11"/>
  <c r="A1296" i="11"/>
  <c r="A1295" i="11"/>
  <c r="A1294" i="11"/>
  <c r="A1293" i="11"/>
  <c r="A1292" i="11"/>
  <c r="A1291" i="11"/>
  <c r="A1290" i="11"/>
  <c r="A1289" i="11"/>
  <c r="A1288" i="11"/>
  <c r="A1287" i="11"/>
  <c r="A1286" i="11"/>
  <c r="A1285" i="11"/>
  <c r="A1284" i="11"/>
  <c r="A1283" i="11"/>
  <c r="A1282" i="11"/>
  <c r="A1281" i="11"/>
  <c r="A1280" i="11"/>
  <c r="A1279" i="11"/>
  <c r="A1278" i="11"/>
  <c r="A1277" i="11"/>
  <c r="A1276" i="11"/>
  <c r="A1275" i="11"/>
  <c r="A1274" i="11"/>
  <c r="A1273" i="11"/>
  <c r="A1272" i="11"/>
  <c r="A1271" i="11"/>
  <c r="A1270" i="11"/>
  <c r="A1269" i="11"/>
  <c r="A1268" i="11"/>
  <c r="A1267" i="11"/>
  <c r="A1266" i="11"/>
  <c r="A1265" i="11"/>
  <c r="A1264" i="11"/>
  <c r="A1263" i="11"/>
  <c r="A1262" i="11"/>
  <c r="A1261" i="11"/>
  <c r="A1260" i="11"/>
  <c r="A1259" i="11"/>
  <c r="A1258" i="11"/>
  <c r="A1257" i="11"/>
  <c r="A1256" i="11"/>
  <c r="A1255" i="11"/>
  <c r="A1254" i="11"/>
  <c r="A1253" i="11"/>
  <c r="A1252" i="11"/>
  <c r="A1251" i="11"/>
  <c r="A1250" i="11"/>
  <c r="A1249" i="11"/>
  <c r="A1248" i="11"/>
  <c r="A1247" i="11"/>
  <c r="A1246" i="11"/>
  <c r="A1245" i="11"/>
  <c r="A1244" i="11"/>
  <c r="A1243" i="11"/>
  <c r="A1242" i="11"/>
  <c r="A1241" i="11"/>
  <c r="A1240" i="11"/>
  <c r="A1239" i="11"/>
  <c r="A1238" i="11"/>
  <c r="A1237" i="11"/>
  <c r="A1236" i="11"/>
  <c r="A1235" i="11"/>
  <c r="A1234" i="11"/>
  <c r="A1233" i="11"/>
  <c r="A1232" i="11"/>
  <c r="A1231" i="11"/>
  <c r="A1230" i="11"/>
  <c r="A1229" i="11"/>
  <c r="A1228" i="11"/>
  <c r="A1227" i="11"/>
  <c r="A1226" i="11"/>
  <c r="A1225" i="11"/>
  <c r="A1224" i="11"/>
  <c r="A1223" i="11"/>
  <c r="A1222" i="11"/>
  <c r="A1221" i="11"/>
  <c r="A1220" i="11"/>
  <c r="A1219" i="11"/>
  <c r="A1218" i="11"/>
  <c r="A1217" i="11"/>
  <c r="A1216" i="11"/>
  <c r="A1215" i="11"/>
  <c r="A1214" i="11"/>
  <c r="A1213" i="11"/>
  <c r="A1212" i="11"/>
  <c r="A1211" i="11"/>
  <c r="A1210" i="11"/>
  <c r="A1209" i="11"/>
  <c r="A1208" i="11"/>
  <c r="A1207" i="11"/>
  <c r="A1206" i="11"/>
  <c r="A1205" i="11"/>
  <c r="A1204" i="11"/>
  <c r="A1203" i="11"/>
  <c r="A1202" i="11"/>
  <c r="A1201" i="11"/>
  <c r="A1200" i="11"/>
  <c r="A1199" i="11"/>
  <c r="A1198" i="11"/>
  <c r="A1197" i="11"/>
  <c r="A1196" i="11"/>
  <c r="A1195" i="11"/>
  <c r="A1194" i="11"/>
  <c r="A1193" i="11"/>
  <c r="A1192" i="11"/>
  <c r="A1191" i="11"/>
  <c r="A1190" i="11"/>
  <c r="A1189" i="11"/>
  <c r="A1188" i="11"/>
  <c r="A1187" i="11"/>
  <c r="A1186" i="11"/>
  <c r="A1185" i="11"/>
  <c r="A1184" i="11"/>
  <c r="A1183" i="11"/>
  <c r="A1182" i="11"/>
  <c r="A1181" i="11"/>
  <c r="A1180" i="11"/>
  <c r="A1179" i="11"/>
  <c r="A1178" i="11"/>
  <c r="A1177" i="11"/>
  <c r="A1176" i="11"/>
  <c r="A1175" i="11"/>
  <c r="A1174" i="11"/>
  <c r="A1173" i="11"/>
  <c r="A1172" i="11"/>
  <c r="A1171" i="11"/>
  <c r="A1170" i="11"/>
  <c r="A1169" i="11"/>
  <c r="A1168" i="11"/>
  <c r="A1167" i="11"/>
  <c r="A1166" i="11"/>
  <c r="A1165" i="11"/>
  <c r="A1164" i="11"/>
  <c r="A1163" i="11"/>
  <c r="A1162" i="11"/>
  <c r="A1161" i="11"/>
  <c r="A1160" i="11"/>
  <c r="A1159" i="11"/>
  <c r="A1158" i="11"/>
  <c r="A1157" i="11"/>
  <c r="A1156" i="11"/>
  <c r="A1155" i="11"/>
  <c r="A1154" i="11"/>
  <c r="A1153" i="11"/>
  <c r="A1152" i="11"/>
  <c r="A1151" i="11"/>
  <c r="A1150" i="11"/>
  <c r="A1149" i="11"/>
  <c r="A1148" i="11"/>
  <c r="A1147" i="11"/>
  <c r="A1146" i="11"/>
  <c r="A1145" i="11"/>
  <c r="A1144" i="11"/>
  <c r="A1143" i="11"/>
  <c r="A1142" i="11"/>
  <c r="A1141" i="11"/>
  <c r="A1140" i="11"/>
  <c r="A1139" i="11"/>
  <c r="A1138" i="11"/>
  <c r="A1137" i="11"/>
  <c r="A1136" i="11"/>
  <c r="A1135" i="11"/>
  <c r="A1134" i="11"/>
  <c r="A1133" i="11"/>
  <c r="A1132" i="11"/>
  <c r="A1131" i="11"/>
  <c r="A1130" i="11"/>
  <c r="A1129" i="11"/>
  <c r="A1128" i="11"/>
  <c r="A1127" i="11"/>
  <c r="A1126" i="11"/>
  <c r="A1125" i="11"/>
  <c r="A1124" i="11"/>
  <c r="A1123" i="11"/>
  <c r="A1122" i="11"/>
  <c r="A1121" i="11"/>
  <c r="A1120" i="11"/>
  <c r="A1119" i="11"/>
  <c r="A1118" i="11"/>
  <c r="A1117" i="11"/>
  <c r="A1116" i="11"/>
  <c r="A1115" i="11"/>
  <c r="A1114" i="11"/>
  <c r="A1113" i="11"/>
  <c r="A1112" i="11"/>
  <c r="A1111" i="11"/>
  <c r="A1110" i="11"/>
  <c r="A1109" i="11"/>
  <c r="A1108" i="11"/>
  <c r="A1107" i="11"/>
  <c r="A1106" i="11"/>
  <c r="A1105" i="11"/>
  <c r="A1104" i="11"/>
  <c r="A1103" i="11"/>
  <c r="A1102" i="11"/>
  <c r="A1101" i="11"/>
  <c r="A1100" i="11"/>
  <c r="A1099" i="11"/>
  <c r="A1098" i="11"/>
  <c r="A1097" i="11"/>
  <c r="A1096" i="11"/>
  <c r="A1095" i="11"/>
  <c r="A1094" i="11"/>
  <c r="A1093" i="11"/>
  <c r="A1092" i="11"/>
  <c r="A1091" i="11"/>
  <c r="A1090" i="11"/>
  <c r="A1089" i="11"/>
  <c r="A1088" i="11"/>
  <c r="A1087" i="11"/>
  <c r="A1086" i="11"/>
  <c r="A1085" i="11"/>
  <c r="A1084" i="11"/>
  <c r="A1083" i="11"/>
  <c r="A1082" i="11"/>
  <c r="A1081" i="11"/>
  <c r="A1080" i="11"/>
  <c r="A1079" i="11"/>
  <c r="A1078" i="11"/>
  <c r="A1077" i="11"/>
  <c r="A1076" i="11"/>
  <c r="A1075" i="11"/>
  <c r="A1074" i="11"/>
  <c r="A1073" i="11"/>
  <c r="A1072" i="11"/>
  <c r="A1071" i="11"/>
  <c r="A1070" i="11"/>
  <c r="A1069" i="11"/>
  <c r="A1068" i="11"/>
  <c r="A1067" i="11"/>
  <c r="A1066" i="11"/>
  <c r="A1065" i="11"/>
  <c r="A1064" i="11"/>
  <c r="A1063" i="11"/>
  <c r="A1062" i="11"/>
  <c r="A1061" i="11"/>
  <c r="A1060" i="11"/>
  <c r="A1059" i="11"/>
  <c r="A1058" i="11"/>
  <c r="A1057" i="11"/>
  <c r="A1056" i="11"/>
  <c r="A1055" i="11"/>
  <c r="A1054" i="11"/>
  <c r="A1053" i="11"/>
  <c r="A1052" i="11"/>
  <c r="A1051" i="11"/>
  <c r="A1050" i="11"/>
  <c r="A1049" i="11"/>
  <c r="A1048" i="11"/>
  <c r="A1047" i="11"/>
  <c r="A1046" i="11"/>
  <c r="A1045" i="11"/>
  <c r="A1044" i="11"/>
  <c r="A1043" i="11"/>
  <c r="A1042" i="11"/>
  <c r="A1041" i="11"/>
  <c r="A1040" i="11"/>
  <c r="A1039" i="11"/>
  <c r="A1038" i="11"/>
  <c r="A1037" i="11"/>
  <c r="A1036" i="11"/>
  <c r="A1035" i="11"/>
  <c r="A1034" i="11"/>
  <c r="A1033" i="11"/>
  <c r="A1032" i="11"/>
  <c r="A1031" i="11"/>
  <c r="A1030" i="11"/>
  <c r="A1029" i="11"/>
  <c r="A1028" i="11"/>
  <c r="A1027" i="11"/>
  <c r="A1026" i="11"/>
  <c r="A1025" i="11"/>
  <c r="A1024" i="11"/>
  <c r="A1023" i="11"/>
  <c r="A1022" i="11"/>
  <c r="A1021" i="11"/>
  <c r="A1020" i="11"/>
  <c r="A1019" i="11"/>
  <c r="A1018" i="11"/>
  <c r="A1017" i="11"/>
  <c r="A1016" i="11"/>
  <c r="A1015" i="11"/>
  <c r="A1014" i="11"/>
  <c r="A1013" i="11"/>
  <c r="A1012" i="11"/>
  <c r="A1011" i="11"/>
  <c r="A1010" i="11"/>
  <c r="A1009" i="11"/>
  <c r="A1008" i="11"/>
  <c r="A1007" i="11"/>
  <c r="A1006" i="11"/>
  <c r="A1005" i="11"/>
  <c r="A1004" i="11"/>
  <c r="A1003" i="11"/>
  <c r="A1002" i="11"/>
  <c r="A1001" i="11"/>
  <c r="A1000" i="11"/>
  <c r="A999" i="11"/>
  <c r="A998" i="11"/>
  <c r="A997" i="11"/>
  <c r="A996" i="11"/>
  <c r="A995" i="11"/>
  <c r="A994" i="11"/>
  <c r="A993" i="11"/>
  <c r="A992" i="11"/>
  <c r="A991" i="11"/>
  <c r="A990" i="11"/>
  <c r="A989" i="11"/>
  <c r="A988" i="11"/>
  <c r="A987" i="11"/>
  <c r="A986" i="11"/>
  <c r="A985" i="11"/>
  <c r="A984" i="11"/>
  <c r="A983" i="11"/>
  <c r="A982" i="11"/>
  <c r="A981" i="11"/>
  <c r="A980" i="11"/>
  <c r="A979" i="11"/>
  <c r="A978" i="11"/>
  <c r="A977" i="11"/>
  <c r="A976" i="11"/>
  <c r="A975" i="11"/>
  <c r="A974" i="11"/>
  <c r="A973" i="11"/>
  <c r="A972" i="11"/>
  <c r="A971" i="11"/>
  <c r="A970" i="11"/>
  <c r="A969" i="11"/>
  <c r="A968" i="11"/>
  <c r="A967" i="11"/>
  <c r="A966" i="11"/>
  <c r="A965" i="11"/>
  <c r="A964" i="11"/>
  <c r="A963" i="11"/>
  <c r="A962" i="11"/>
  <c r="A961" i="11"/>
  <c r="A960" i="11"/>
  <c r="A959" i="11"/>
  <c r="A958" i="11"/>
  <c r="A957" i="11"/>
  <c r="A956" i="11"/>
  <c r="A955" i="11"/>
  <c r="A954" i="11"/>
  <c r="A953" i="11"/>
  <c r="A952" i="11"/>
  <c r="A951" i="11"/>
  <c r="A950" i="11"/>
  <c r="A949" i="11"/>
  <c r="A948" i="11"/>
  <c r="A947" i="11"/>
  <c r="A946" i="11"/>
  <c r="A945" i="11"/>
  <c r="A944" i="11"/>
  <c r="A943" i="11"/>
  <c r="A942" i="11"/>
  <c r="A941" i="11"/>
  <c r="A940" i="11"/>
  <c r="A939" i="11"/>
  <c r="A938" i="11"/>
  <c r="A937" i="11"/>
  <c r="A936" i="11"/>
  <c r="A935" i="11"/>
  <c r="A934" i="11"/>
  <c r="A933" i="11"/>
  <c r="A932" i="11"/>
  <c r="A931" i="11"/>
  <c r="A930" i="11"/>
  <c r="A929" i="11"/>
  <c r="A928" i="11"/>
  <c r="A927" i="11"/>
  <c r="A926" i="11"/>
  <c r="A925" i="11"/>
  <c r="A924" i="11"/>
  <c r="A923" i="11"/>
  <c r="A922" i="11"/>
  <c r="A921" i="11"/>
  <c r="A920" i="11"/>
  <c r="A919" i="11"/>
  <c r="A918" i="11"/>
  <c r="A917" i="11"/>
  <c r="A916" i="11"/>
  <c r="A915" i="11"/>
  <c r="A914" i="11"/>
  <c r="A913" i="11"/>
  <c r="A912" i="11"/>
  <c r="A911" i="11"/>
  <c r="A910" i="11"/>
  <c r="A909" i="11"/>
  <c r="A908" i="11"/>
  <c r="A907" i="11"/>
  <c r="A906" i="11"/>
  <c r="A905" i="11"/>
  <c r="A904" i="11"/>
  <c r="A903" i="11"/>
  <c r="A902" i="11"/>
  <c r="A901" i="11"/>
  <c r="A900" i="11"/>
  <c r="A899" i="11"/>
  <c r="A898" i="11"/>
  <c r="A897" i="11"/>
  <c r="A896" i="11"/>
  <c r="A895" i="11"/>
  <c r="A894" i="11"/>
  <c r="A893" i="11"/>
  <c r="A892" i="11"/>
  <c r="A891" i="11"/>
  <c r="A890" i="11"/>
  <c r="A889" i="11"/>
  <c r="A888" i="11"/>
  <c r="A887" i="11"/>
  <c r="A886" i="11"/>
  <c r="A885" i="11"/>
  <c r="A884" i="11"/>
  <c r="A883" i="11"/>
  <c r="A882" i="11"/>
  <c r="A881" i="11"/>
  <c r="A880" i="11"/>
  <c r="A879" i="11"/>
  <c r="A878" i="11"/>
  <c r="A877" i="11"/>
  <c r="A876" i="11"/>
  <c r="A875" i="11"/>
  <c r="A874" i="11"/>
  <c r="A873" i="11"/>
  <c r="A872" i="11"/>
  <c r="A871" i="11"/>
  <c r="A870" i="11"/>
  <c r="A869" i="11"/>
  <c r="A868" i="11"/>
  <c r="A867" i="11"/>
  <c r="A866" i="11"/>
  <c r="A865" i="11"/>
  <c r="A864" i="11"/>
  <c r="A863" i="11"/>
  <c r="A862" i="11"/>
  <c r="A861" i="11"/>
  <c r="A860" i="11"/>
  <c r="A859" i="11"/>
  <c r="A858" i="11"/>
  <c r="A857" i="11"/>
  <c r="A856" i="11"/>
  <c r="A855" i="11"/>
  <c r="A854" i="11"/>
  <c r="A853" i="11"/>
  <c r="A852" i="11"/>
  <c r="A851" i="11"/>
  <c r="A850" i="11"/>
  <c r="A849" i="11"/>
  <c r="A848" i="11"/>
  <c r="A847" i="11"/>
  <c r="A846" i="11"/>
  <c r="A845" i="11"/>
  <c r="A844" i="11"/>
  <c r="A843" i="11"/>
  <c r="A842" i="11"/>
  <c r="A841" i="11"/>
  <c r="A840" i="11"/>
  <c r="A839" i="11"/>
  <c r="A838" i="11"/>
  <c r="A837" i="11"/>
  <c r="A836" i="11"/>
  <c r="A835" i="11"/>
  <c r="A834" i="11"/>
  <c r="A833" i="11"/>
  <c r="A832" i="11"/>
  <c r="A831" i="11"/>
  <c r="A830" i="11"/>
  <c r="A829" i="11"/>
  <c r="A828" i="11"/>
  <c r="A827" i="11"/>
  <c r="A826" i="11"/>
  <c r="A825" i="11"/>
  <c r="A824" i="11"/>
  <c r="A823" i="11"/>
  <c r="A822" i="11"/>
  <c r="A821" i="11"/>
  <c r="A820" i="11"/>
  <c r="A819" i="11"/>
  <c r="A818" i="11"/>
  <c r="A817" i="11"/>
  <c r="A816" i="11"/>
  <c r="A815" i="11"/>
  <c r="A814" i="11"/>
  <c r="A813" i="11"/>
  <c r="A812" i="11"/>
  <c r="A811" i="11"/>
  <c r="A810" i="11"/>
  <c r="A809" i="11"/>
  <c r="A808" i="11"/>
  <c r="A807" i="11"/>
  <c r="A806" i="11"/>
  <c r="A805" i="11"/>
  <c r="A804" i="11"/>
  <c r="A803" i="11"/>
  <c r="A802" i="11"/>
  <c r="A801" i="11"/>
  <c r="A800" i="11"/>
  <c r="A799" i="11"/>
  <c r="A798" i="11"/>
  <c r="A797" i="11"/>
  <c r="A796" i="11"/>
  <c r="A795" i="11"/>
  <c r="A794" i="11"/>
  <c r="A793" i="11"/>
  <c r="A792" i="11"/>
  <c r="A791" i="11"/>
  <c r="A790" i="11"/>
  <c r="A789" i="11"/>
  <c r="A788" i="11"/>
  <c r="A787" i="11"/>
  <c r="A786" i="11"/>
  <c r="A785" i="11"/>
  <c r="A784" i="11"/>
  <c r="A783" i="11"/>
  <c r="A782" i="11"/>
  <c r="A781" i="11"/>
  <c r="A780" i="11"/>
  <c r="A779" i="11"/>
  <c r="A778" i="11"/>
  <c r="A777" i="11"/>
  <c r="A776" i="11"/>
  <c r="A775" i="11"/>
  <c r="A774" i="11"/>
  <c r="A773" i="11"/>
  <c r="A772" i="11"/>
  <c r="A771" i="11"/>
  <c r="A770" i="11"/>
  <c r="A769" i="11"/>
  <c r="A768" i="11"/>
  <c r="A767" i="11"/>
  <c r="A766" i="11"/>
  <c r="A765" i="11"/>
  <c r="A764" i="11"/>
  <c r="A763" i="11"/>
  <c r="A762" i="11"/>
  <c r="A761" i="11"/>
  <c r="A760" i="11"/>
  <c r="A759" i="11"/>
  <c r="A758" i="11"/>
  <c r="A757" i="11"/>
  <c r="A756" i="11"/>
  <c r="A755" i="11"/>
  <c r="A754" i="11"/>
  <c r="A753" i="11"/>
  <c r="A752" i="11"/>
  <c r="A751" i="11"/>
  <c r="A750" i="11"/>
  <c r="A749" i="11"/>
  <c r="A748" i="11"/>
  <c r="A747" i="11"/>
  <c r="A746" i="11"/>
  <c r="A745" i="11"/>
  <c r="A744" i="11"/>
  <c r="A743" i="11"/>
  <c r="A742" i="11"/>
  <c r="A741" i="11"/>
  <c r="A740" i="11"/>
  <c r="A739" i="11"/>
  <c r="A738" i="11"/>
  <c r="A737" i="11"/>
  <c r="A736" i="11"/>
  <c r="A735" i="11"/>
  <c r="A734" i="11"/>
  <c r="A733" i="11"/>
  <c r="A732" i="11"/>
  <c r="A731" i="11"/>
  <c r="A730" i="11"/>
  <c r="A729" i="11"/>
  <c r="A728" i="11"/>
  <c r="A727" i="11"/>
  <c r="A726" i="11"/>
  <c r="A725" i="11"/>
  <c r="A724" i="11"/>
  <c r="A723" i="11"/>
  <c r="A722" i="11"/>
  <c r="A721" i="11"/>
  <c r="A720" i="11"/>
  <c r="A719" i="11"/>
  <c r="A718" i="11"/>
  <c r="A717" i="11"/>
  <c r="A716" i="11"/>
  <c r="A715" i="11"/>
  <c r="A714" i="11"/>
  <c r="A713" i="11"/>
  <c r="A712" i="11"/>
  <c r="A711" i="11"/>
  <c r="A710" i="11"/>
  <c r="A709" i="11"/>
  <c r="A708" i="11"/>
  <c r="A707" i="11"/>
  <c r="A706" i="11"/>
  <c r="A705" i="11"/>
  <c r="A704" i="11"/>
  <c r="A703" i="11"/>
  <c r="A702" i="11"/>
  <c r="A701" i="11"/>
  <c r="A700" i="11"/>
  <c r="A699" i="11"/>
  <c r="A698" i="11"/>
  <c r="A697" i="11"/>
  <c r="A696" i="11"/>
  <c r="A695" i="11"/>
  <c r="A694" i="11"/>
  <c r="A693" i="11"/>
  <c r="A692" i="11"/>
  <c r="A691" i="11"/>
  <c r="A690" i="11"/>
  <c r="A689" i="11"/>
  <c r="A688" i="11"/>
  <c r="A687" i="11"/>
  <c r="A686" i="11"/>
  <c r="A685" i="11"/>
  <c r="A684" i="11"/>
  <c r="A683" i="11"/>
  <c r="A682" i="11"/>
  <c r="A681" i="11"/>
  <c r="A680" i="11"/>
  <c r="A679" i="11"/>
  <c r="A678" i="11"/>
  <c r="A677" i="11"/>
  <c r="A676" i="11"/>
  <c r="A675" i="11"/>
  <c r="A674" i="11"/>
  <c r="A673" i="11"/>
  <c r="A672" i="11"/>
  <c r="A671" i="11"/>
  <c r="A670" i="11"/>
  <c r="A669" i="11"/>
  <c r="A668" i="11"/>
  <c r="A667" i="11"/>
  <c r="A666" i="11"/>
  <c r="A665" i="11"/>
  <c r="A664" i="11"/>
  <c r="A663" i="11"/>
  <c r="A662" i="11"/>
  <c r="A661" i="11"/>
  <c r="A660" i="11"/>
  <c r="A659" i="11"/>
  <c r="A658" i="11"/>
  <c r="A657" i="11"/>
  <c r="A656" i="11"/>
  <c r="A655" i="11"/>
  <c r="A654" i="11"/>
  <c r="A653" i="11"/>
  <c r="A652" i="11"/>
  <c r="A651" i="11"/>
  <c r="A650" i="11"/>
  <c r="A649" i="11"/>
  <c r="A648" i="11"/>
  <c r="A647" i="11"/>
  <c r="A646" i="11"/>
  <c r="A645" i="11"/>
  <c r="A644" i="11"/>
  <c r="A643" i="11"/>
  <c r="A642" i="11"/>
  <c r="A641" i="11"/>
  <c r="A640" i="11"/>
  <c r="A639" i="11"/>
  <c r="A638" i="11"/>
  <c r="A637" i="11"/>
  <c r="A636" i="11"/>
  <c r="A635" i="11"/>
  <c r="A634" i="11"/>
  <c r="A633" i="11"/>
  <c r="A632" i="11"/>
  <c r="A631" i="11"/>
  <c r="A630" i="11"/>
  <c r="A629" i="11"/>
  <c r="A628" i="11"/>
  <c r="A627" i="11"/>
  <c r="A626" i="11"/>
  <c r="A625" i="11"/>
  <c r="A624" i="11"/>
  <c r="A623" i="11"/>
  <c r="A622" i="11"/>
  <c r="A621" i="11"/>
  <c r="A620" i="11"/>
  <c r="A619" i="11"/>
  <c r="A618" i="11"/>
  <c r="A617" i="11"/>
  <c r="A616" i="11"/>
  <c r="A615" i="11"/>
  <c r="A614" i="11"/>
  <c r="A613" i="11"/>
  <c r="A612" i="11"/>
  <c r="A611" i="11"/>
  <c r="A610" i="11"/>
  <c r="A609" i="11"/>
  <c r="A608" i="11"/>
  <c r="A607" i="11"/>
  <c r="A606" i="11"/>
  <c r="A605" i="11"/>
  <c r="A604" i="11"/>
  <c r="A603" i="11"/>
  <c r="A602" i="11"/>
  <c r="A601" i="11"/>
  <c r="A600" i="11"/>
  <c r="A599" i="11"/>
  <c r="A598" i="11"/>
  <c r="A597" i="11"/>
  <c r="A596" i="11"/>
  <c r="A595" i="11"/>
  <c r="A594" i="11"/>
  <c r="A593" i="11"/>
  <c r="A592" i="11"/>
  <c r="A591" i="11"/>
  <c r="A590" i="11"/>
  <c r="A589" i="11"/>
  <c r="A588" i="11"/>
  <c r="A587" i="11"/>
  <c r="A586" i="11"/>
  <c r="A585" i="11"/>
  <c r="A584" i="11"/>
  <c r="A583" i="11"/>
  <c r="A582" i="11"/>
  <c r="A581" i="11"/>
  <c r="A580" i="11"/>
  <c r="A579" i="11"/>
  <c r="A578" i="11"/>
  <c r="A577" i="11"/>
  <c r="A576" i="11"/>
  <c r="A575" i="11"/>
  <c r="A574" i="11"/>
  <c r="A573" i="11"/>
  <c r="A572" i="11"/>
  <c r="A571" i="11"/>
  <c r="A570" i="11"/>
  <c r="A569" i="11"/>
  <c r="A568" i="11"/>
  <c r="A567" i="11"/>
  <c r="A566" i="11"/>
  <c r="A565" i="11"/>
  <c r="A564" i="11"/>
  <c r="A563" i="11"/>
  <c r="A562" i="11"/>
  <c r="A561" i="11"/>
  <c r="A560" i="11"/>
  <c r="A559" i="11"/>
  <c r="A558" i="11"/>
  <c r="A557" i="11"/>
  <c r="A556" i="11"/>
  <c r="A555" i="11"/>
  <c r="A554" i="11"/>
  <c r="A553" i="11"/>
  <c r="A552" i="11"/>
  <c r="A551" i="11"/>
  <c r="A550" i="11"/>
  <c r="A549" i="11"/>
  <c r="A548" i="11"/>
  <c r="A547" i="11"/>
  <c r="A546" i="11"/>
  <c r="A545" i="11"/>
  <c r="A544" i="11"/>
  <c r="A543" i="11"/>
  <c r="A542" i="11"/>
  <c r="A541" i="11"/>
  <c r="A540" i="11"/>
  <c r="A539" i="11"/>
  <c r="A538" i="11"/>
  <c r="A537" i="11"/>
  <c r="A536" i="11"/>
  <c r="A535" i="11"/>
  <c r="A534" i="11"/>
  <c r="A533" i="11"/>
  <c r="A532" i="11"/>
  <c r="A531" i="11"/>
  <c r="A530" i="11"/>
  <c r="A529" i="11"/>
  <c r="A528" i="11"/>
  <c r="A527" i="11"/>
  <c r="A526" i="11"/>
  <c r="A525" i="11"/>
  <c r="A524" i="11"/>
  <c r="A523" i="11"/>
  <c r="A522" i="11"/>
  <c r="A521" i="11"/>
  <c r="A520" i="11"/>
  <c r="A519" i="11"/>
  <c r="A518" i="11"/>
  <c r="A517" i="11"/>
  <c r="A516" i="11"/>
  <c r="A515" i="11"/>
  <c r="A514" i="11"/>
  <c r="A513" i="11"/>
  <c r="A512" i="11"/>
  <c r="A511" i="11"/>
  <c r="A510" i="11"/>
  <c r="A509" i="11"/>
  <c r="A508" i="11"/>
  <c r="A507" i="11"/>
  <c r="A506" i="11"/>
  <c r="A505" i="11"/>
  <c r="A504" i="11"/>
  <c r="A503" i="11"/>
  <c r="A502" i="11"/>
  <c r="A501" i="11"/>
  <c r="A500" i="11"/>
  <c r="A499" i="11"/>
  <c r="A498" i="11"/>
  <c r="A497" i="11"/>
  <c r="A496" i="11"/>
  <c r="A495" i="11"/>
  <c r="A494" i="11"/>
  <c r="A493" i="11"/>
  <c r="A492" i="11"/>
  <c r="A491" i="11"/>
  <c r="A490" i="11"/>
  <c r="A489" i="11"/>
  <c r="A488" i="11"/>
  <c r="A487" i="11"/>
  <c r="A486" i="11"/>
  <c r="A485" i="11"/>
  <c r="A484" i="11"/>
  <c r="A483" i="11"/>
  <c r="A482" i="11"/>
  <c r="A481" i="11"/>
  <c r="A480" i="11"/>
  <c r="A479" i="11"/>
  <c r="A478" i="11"/>
  <c r="A477" i="11"/>
  <c r="A476" i="11"/>
  <c r="A475" i="11"/>
  <c r="A474" i="11"/>
  <c r="A473" i="11"/>
  <c r="A472" i="11"/>
  <c r="A471" i="11"/>
  <c r="A470" i="11"/>
  <c r="A469" i="11"/>
  <c r="A468" i="11"/>
  <c r="A467" i="11"/>
  <c r="A466" i="11"/>
  <c r="A465" i="11"/>
  <c r="A464" i="11"/>
  <c r="A463" i="11"/>
  <c r="A462" i="11"/>
  <c r="A461" i="11"/>
  <c r="A460" i="11"/>
  <c r="A459" i="11"/>
  <c r="A458" i="11"/>
  <c r="A457" i="11"/>
  <c r="A456" i="11"/>
  <c r="A455" i="11"/>
  <c r="A454" i="11"/>
  <c r="A453" i="11"/>
  <c r="A452" i="11"/>
  <c r="A451" i="11"/>
  <c r="A450" i="11"/>
  <c r="A449" i="11"/>
  <c r="A448" i="11"/>
  <c r="A447" i="11"/>
  <c r="A446" i="11"/>
  <c r="A445" i="11"/>
  <c r="A444" i="11"/>
  <c r="A443" i="11"/>
  <c r="A442" i="11"/>
  <c r="A441" i="11"/>
  <c r="A440" i="11"/>
  <c r="A439" i="11"/>
  <c r="A438" i="11"/>
  <c r="A437" i="11"/>
  <c r="A436" i="11"/>
  <c r="A435" i="11"/>
  <c r="A434" i="11"/>
  <c r="A433" i="11"/>
  <c r="A432" i="11"/>
  <c r="A431" i="11"/>
  <c r="A430" i="11"/>
  <c r="A429" i="11"/>
  <c r="A428" i="11"/>
  <c r="A427" i="11"/>
  <c r="A426" i="11"/>
  <c r="A425" i="11"/>
  <c r="A424" i="11"/>
  <c r="A423" i="11"/>
  <c r="A422" i="11"/>
  <c r="A421" i="11"/>
  <c r="A420" i="11"/>
  <c r="A419" i="11"/>
  <c r="A418" i="11"/>
  <c r="A417" i="11"/>
  <c r="A416" i="11"/>
  <c r="A415" i="11"/>
  <c r="A414" i="11"/>
  <c r="A413" i="11"/>
  <c r="A412" i="11"/>
  <c r="A411" i="11"/>
  <c r="A410" i="11"/>
  <c r="A409" i="11"/>
  <c r="A408" i="11"/>
  <c r="A407" i="11"/>
  <c r="A406" i="11"/>
  <c r="A405" i="11"/>
  <c r="A404" i="11"/>
  <c r="A403" i="11"/>
  <c r="A402" i="11"/>
  <c r="A401" i="11"/>
  <c r="A400" i="11"/>
  <c r="A399" i="11"/>
  <c r="A398" i="11"/>
  <c r="A397" i="11"/>
  <c r="A396" i="11"/>
  <c r="A395" i="11"/>
  <c r="A394" i="11"/>
  <c r="A393" i="11"/>
  <c r="A392" i="11"/>
  <c r="A391" i="11"/>
  <c r="A390" i="11"/>
  <c r="A389" i="11"/>
  <c r="A388" i="11"/>
  <c r="A387" i="11"/>
  <c r="A386" i="11"/>
  <c r="A385" i="11"/>
  <c r="A384" i="11"/>
  <c r="A383" i="11"/>
  <c r="A382" i="11"/>
  <c r="A381" i="11"/>
  <c r="A380" i="11"/>
  <c r="A379" i="11"/>
  <c r="A378" i="11"/>
  <c r="A377" i="11"/>
  <c r="A376" i="11"/>
  <c r="A375" i="11"/>
  <c r="A374" i="11"/>
  <c r="A373" i="11"/>
  <c r="A372" i="11"/>
  <c r="A371" i="11"/>
  <c r="A370" i="11"/>
  <c r="A369" i="11"/>
  <c r="A368" i="11"/>
  <c r="A367" i="11"/>
  <c r="A366" i="11"/>
  <c r="A365" i="11"/>
  <c r="A364" i="11"/>
  <c r="A363" i="11"/>
  <c r="A362" i="11"/>
  <c r="A361" i="11"/>
  <c r="A360" i="11"/>
  <c r="A359" i="11"/>
  <c r="A358" i="11"/>
  <c r="A357" i="11"/>
  <c r="A356" i="11"/>
  <c r="A355" i="11"/>
  <c r="A354" i="11"/>
  <c r="A353" i="11"/>
  <c r="A352" i="11"/>
  <c r="A351" i="11"/>
  <c r="A350" i="11"/>
  <c r="A349" i="11"/>
  <c r="A348" i="11"/>
  <c r="A347" i="11"/>
  <c r="A346" i="11"/>
  <c r="A345" i="11"/>
  <c r="A344" i="11"/>
  <c r="A343" i="11"/>
  <c r="A342" i="11"/>
  <c r="A341" i="11"/>
  <c r="A340" i="11"/>
  <c r="A339" i="11"/>
  <c r="A338" i="11"/>
  <c r="A337" i="11"/>
  <c r="A336" i="11"/>
  <c r="A335" i="11"/>
  <c r="A334" i="11"/>
  <c r="A333" i="11"/>
  <c r="A332" i="11"/>
  <c r="A331" i="11"/>
  <c r="A330" i="11"/>
  <c r="A329" i="11"/>
  <c r="A328" i="11"/>
  <c r="A327" i="11"/>
  <c r="A326" i="11"/>
  <c r="A325" i="11"/>
  <c r="A324" i="11"/>
  <c r="A323" i="11"/>
  <c r="A322" i="11"/>
  <c r="A321" i="11"/>
  <c r="A320" i="11"/>
  <c r="A319" i="11"/>
  <c r="A318" i="11"/>
  <c r="A317" i="11"/>
  <c r="A316" i="11"/>
  <c r="A315" i="11"/>
  <c r="A314" i="11"/>
  <c r="A313" i="11"/>
  <c r="A312" i="11"/>
  <c r="A311" i="11"/>
  <c r="A310" i="11"/>
  <c r="A309" i="11"/>
  <c r="A308" i="11"/>
  <c r="A307" i="11"/>
  <c r="A306" i="11"/>
  <c r="A305" i="11"/>
  <c r="A304" i="11"/>
  <c r="A303" i="11"/>
  <c r="A302" i="11"/>
  <c r="A301" i="11"/>
  <c r="A300" i="11"/>
  <c r="A299" i="11"/>
  <c r="A298" i="11"/>
  <c r="A297" i="11"/>
  <c r="A296" i="11"/>
  <c r="A295" i="11"/>
  <c r="A294" i="11"/>
  <c r="A293" i="11"/>
  <c r="A292" i="11"/>
  <c r="A291" i="11"/>
  <c r="A290" i="11"/>
  <c r="A289" i="11"/>
  <c r="A288" i="11"/>
  <c r="A287" i="11"/>
  <c r="A286" i="11"/>
  <c r="A285" i="11"/>
  <c r="A284" i="11"/>
  <c r="A283" i="11"/>
  <c r="A282" i="11"/>
  <c r="A281" i="11"/>
  <c r="A280" i="11"/>
  <c r="A279" i="11"/>
  <c r="A278" i="11"/>
  <c r="A277" i="11"/>
  <c r="A276" i="11"/>
  <c r="A275" i="11"/>
  <c r="A274" i="11"/>
  <c r="A273" i="11"/>
  <c r="A272" i="11"/>
  <c r="A271" i="11"/>
  <c r="A270" i="11"/>
  <c r="A269" i="11"/>
  <c r="A268" i="11"/>
  <c r="A267" i="11"/>
  <c r="A266" i="11"/>
  <c r="A265" i="11"/>
  <c r="A264" i="11"/>
  <c r="A263" i="11"/>
  <c r="A262" i="11"/>
  <c r="A261" i="11"/>
  <c r="A260" i="11"/>
  <c r="A259" i="11"/>
  <c r="A258" i="11"/>
  <c r="A257" i="11"/>
  <c r="A256" i="11"/>
  <c r="A255" i="11"/>
  <c r="A254" i="11"/>
  <c r="A253" i="11"/>
  <c r="A252" i="11"/>
  <c r="A251" i="11"/>
  <c r="A250" i="11"/>
  <c r="A249" i="11"/>
  <c r="A248" i="11"/>
  <c r="A247" i="11"/>
  <c r="A246" i="11"/>
  <c r="A245" i="11"/>
  <c r="A244" i="11"/>
  <c r="A243" i="11"/>
  <c r="A242" i="11"/>
  <c r="A241" i="11"/>
  <c r="A240" i="11"/>
  <c r="A239" i="11"/>
  <c r="A238" i="11"/>
  <c r="A237" i="11"/>
  <c r="A236" i="11"/>
  <c r="A235" i="11"/>
  <c r="A234" i="11"/>
  <c r="A233" i="11"/>
  <c r="A232" i="11"/>
  <c r="A231" i="11"/>
  <c r="A230" i="11"/>
  <c r="A229" i="11"/>
  <c r="A228" i="11"/>
  <c r="A227" i="11"/>
  <c r="A226" i="11"/>
  <c r="A225" i="11"/>
  <c r="A224" i="11"/>
  <c r="A223" i="11"/>
  <c r="A222" i="11"/>
  <c r="A221" i="11"/>
  <c r="A220" i="11"/>
  <c r="A219" i="11"/>
  <c r="A218" i="11"/>
  <c r="A217" i="11"/>
  <c r="A216" i="11"/>
  <c r="A215" i="11"/>
  <c r="A214" i="11"/>
  <c r="A213" i="11"/>
  <c r="A212" i="11"/>
  <c r="A211" i="11"/>
  <c r="A210" i="11"/>
  <c r="A209" i="11"/>
  <c r="A208" i="11"/>
  <c r="A207" i="11"/>
  <c r="A206" i="11"/>
  <c r="A205" i="11"/>
  <c r="A204" i="11"/>
  <c r="A203" i="11"/>
  <c r="A202" i="11"/>
  <c r="A201" i="11"/>
  <c r="A200" i="11"/>
  <c r="A199" i="11"/>
  <c r="A198" i="11"/>
  <c r="A197" i="11"/>
  <c r="A196" i="11"/>
  <c r="A195" i="11"/>
  <c r="A194" i="11"/>
  <c r="A193" i="11"/>
  <c r="A192" i="11"/>
  <c r="A191" i="11"/>
  <c r="A190" i="11"/>
  <c r="A189" i="11"/>
  <c r="A188" i="11"/>
  <c r="A187" i="11"/>
  <c r="A186" i="11"/>
  <c r="A185" i="11"/>
  <c r="A184" i="11"/>
  <c r="A183" i="11"/>
  <c r="A182" i="11"/>
  <c r="A181" i="11"/>
  <c r="A180" i="11"/>
  <c r="A179" i="11"/>
  <c r="A178" i="11"/>
  <c r="A177" i="11"/>
  <c r="A176" i="11"/>
  <c r="A175" i="11"/>
  <c r="A174" i="11"/>
  <c r="A173" i="11"/>
  <c r="A172" i="11"/>
  <c r="A171" i="11"/>
  <c r="A170" i="11"/>
  <c r="A169" i="11"/>
  <c r="A168" i="11"/>
  <c r="A167" i="11"/>
  <c r="A166" i="11"/>
  <c r="A165" i="11"/>
  <c r="A164" i="11"/>
  <c r="A163" i="11"/>
  <c r="A162" i="11"/>
  <c r="A161" i="11"/>
  <c r="A160" i="11"/>
  <c r="A159" i="11"/>
  <c r="A158" i="11"/>
  <c r="A157" i="11"/>
  <c r="A156" i="11"/>
  <c r="A155" i="11"/>
  <c r="A154" i="11"/>
  <c r="A153" i="11"/>
  <c r="A152" i="11"/>
  <c r="A151" i="11"/>
  <c r="A150" i="11"/>
  <c r="A149" i="11"/>
  <c r="A148" i="11"/>
  <c r="A147" i="11"/>
  <c r="A146" i="11"/>
  <c r="A145" i="11"/>
  <c r="A144" i="11"/>
  <c r="A143" i="11"/>
  <c r="A142" i="11"/>
  <c r="A141" i="11"/>
  <c r="A140" i="11"/>
  <c r="A139" i="11"/>
  <c r="A138" i="11"/>
  <c r="A137" i="11"/>
  <c r="A136" i="11"/>
  <c r="A135" i="11"/>
  <c r="A134" i="11"/>
  <c r="A133" i="11"/>
  <c r="A132" i="11"/>
  <c r="A131" i="11"/>
  <c r="A130" i="11"/>
  <c r="A129" i="11"/>
  <c r="A128" i="11"/>
  <c r="A127" i="11"/>
  <c r="A126" i="11"/>
  <c r="A125" i="11"/>
  <c r="A124" i="11"/>
  <c r="A123" i="11"/>
  <c r="A122" i="11"/>
  <c r="A121" i="11"/>
  <c r="A120" i="11"/>
  <c r="A119" i="11"/>
  <c r="A118" i="11"/>
  <c r="A117" i="11"/>
  <c r="A116" i="11"/>
  <c r="A115" i="11"/>
  <c r="A114" i="11"/>
  <c r="A113" i="11"/>
  <c r="A112" i="11"/>
  <c r="A111" i="11"/>
  <c r="A110" i="11"/>
  <c r="A109" i="11"/>
  <c r="A108" i="11"/>
  <c r="A107" i="11"/>
  <c r="A106" i="11"/>
  <c r="A105" i="11"/>
  <c r="A104" i="11"/>
  <c r="A103" i="11"/>
  <c r="A102" i="11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R2041" i="11" l="1"/>
  <c r="P2041" i="11"/>
  <c r="R2040" i="11"/>
  <c r="P2040" i="11"/>
  <c r="R2039" i="11"/>
  <c r="P2039" i="11"/>
  <c r="R2038" i="11"/>
  <c r="P2038" i="11"/>
  <c r="R2037" i="11"/>
  <c r="P2037" i="11"/>
  <c r="R2036" i="11"/>
  <c r="P2036" i="11"/>
  <c r="R2035" i="11"/>
  <c r="P2035" i="11"/>
  <c r="R2034" i="11"/>
  <c r="P2034" i="11"/>
  <c r="R2033" i="11"/>
  <c r="P2033" i="11"/>
  <c r="R2032" i="11"/>
  <c r="P2032" i="11"/>
  <c r="R2031" i="11"/>
  <c r="P2031" i="11"/>
  <c r="R2030" i="11"/>
  <c r="P2030" i="11"/>
  <c r="R2029" i="11"/>
  <c r="P2029" i="11"/>
  <c r="R2028" i="11"/>
  <c r="P2028" i="11"/>
  <c r="R2027" i="11"/>
  <c r="P2027" i="11"/>
  <c r="R2026" i="11"/>
  <c r="P2026" i="11"/>
  <c r="R2025" i="11"/>
  <c r="P2025" i="11"/>
  <c r="R2024" i="11"/>
  <c r="P2024" i="11"/>
  <c r="R2023" i="11"/>
  <c r="P2023" i="11"/>
  <c r="R2022" i="11"/>
  <c r="P2022" i="11"/>
  <c r="R2021" i="11"/>
  <c r="P2021" i="11"/>
  <c r="R2020" i="11"/>
  <c r="P2020" i="11"/>
  <c r="R2019" i="11"/>
  <c r="P2019" i="11"/>
  <c r="R2018" i="11"/>
  <c r="P2018" i="11"/>
  <c r="R2017" i="11"/>
  <c r="P2017" i="11"/>
  <c r="R2016" i="11"/>
  <c r="P2016" i="11"/>
  <c r="R2015" i="11"/>
  <c r="P2015" i="11"/>
  <c r="R2014" i="11"/>
  <c r="P2014" i="11"/>
  <c r="R2013" i="11"/>
  <c r="P2013" i="11"/>
  <c r="R2012" i="11"/>
  <c r="P2012" i="11"/>
  <c r="R2011" i="11"/>
  <c r="P2011" i="11"/>
  <c r="R2010" i="11"/>
  <c r="P2010" i="11"/>
  <c r="R2009" i="11"/>
  <c r="P2009" i="11"/>
  <c r="R2008" i="11"/>
  <c r="P2008" i="11"/>
  <c r="R2007" i="11"/>
  <c r="P2007" i="11"/>
  <c r="R2006" i="11"/>
  <c r="P2006" i="11"/>
  <c r="R2005" i="11"/>
  <c r="P2005" i="11"/>
  <c r="R2004" i="11"/>
  <c r="P2004" i="11"/>
  <c r="R2003" i="11"/>
  <c r="P2003" i="11"/>
  <c r="R2002" i="11"/>
  <c r="P2002" i="11"/>
  <c r="R2001" i="11"/>
  <c r="P2001" i="11"/>
  <c r="R2000" i="11"/>
  <c r="P2000" i="11"/>
  <c r="R1999" i="11"/>
  <c r="P1999" i="11"/>
  <c r="R1998" i="11"/>
  <c r="P1998" i="11"/>
  <c r="R1997" i="11"/>
  <c r="P1997" i="11"/>
  <c r="R1996" i="11"/>
  <c r="P1996" i="11"/>
  <c r="R1995" i="11"/>
  <c r="P1995" i="11"/>
  <c r="R1994" i="11"/>
  <c r="P1994" i="11"/>
  <c r="R1993" i="11"/>
  <c r="P1993" i="11"/>
  <c r="R1992" i="11"/>
  <c r="P1992" i="11"/>
  <c r="R1991" i="11"/>
  <c r="P1991" i="11"/>
  <c r="R1990" i="11"/>
  <c r="P1990" i="11"/>
  <c r="R1989" i="11"/>
  <c r="P1989" i="11"/>
  <c r="R1988" i="11"/>
  <c r="P1988" i="11"/>
  <c r="R1987" i="11"/>
  <c r="P1987" i="11"/>
  <c r="R1986" i="11"/>
  <c r="P1986" i="11"/>
  <c r="R1985" i="11"/>
  <c r="P1985" i="11"/>
  <c r="R1984" i="11"/>
  <c r="P1984" i="11"/>
  <c r="R1983" i="11"/>
  <c r="P1983" i="11"/>
  <c r="R1982" i="11"/>
  <c r="P1982" i="11"/>
  <c r="R1981" i="11"/>
  <c r="P1981" i="11"/>
  <c r="R1980" i="11"/>
  <c r="P1980" i="11"/>
  <c r="R1979" i="11"/>
  <c r="P1979" i="11"/>
  <c r="R1978" i="11"/>
  <c r="P1978" i="11"/>
  <c r="R1977" i="11"/>
  <c r="P1977" i="11"/>
  <c r="R1976" i="11"/>
  <c r="P1976" i="11"/>
  <c r="R1975" i="11"/>
  <c r="P1975" i="11"/>
  <c r="R1974" i="11"/>
  <c r="P1974" i="11"/>
  <c r="R1973" i="11"/>
  <c r="P1973" i="11"/>
  <c r="R1972" i="11"/>
  <c r="P1972" i="11"/>
  <c r="R1971" i="11"/>
  <c r="P1971" i="11"/>
  <c r="R1970" i="11"/>
  <c r="P1970" i="11"/>
  <c r="R1969" i="11"/>
  <c r="P1969" i="11"/>
  <c r="R1968" i="11"/>
  <c r="P1968" i="11"/>
  <c r="R1967" i="11"/>
  <c r="P1967" i="11"/>
  <c r="R1966" i="11"/>
  <c r="P1966" i="11"/>
  <c r="R1965" i="11"/>
  <c r="P1965" i="11"/>
  <c r="R1964" i="11"/>
  <c r="P1964" i="11"/>
  <c r="R1963" i="11"/>
  <c r="P1963" i="11"/>
  <c r="R1962" i="11"/>
  <c r="P1962" i="11"/>
  <c r="R1961" i="11"/>
  <c r="P1961" i="11"/>
  <c r="R1960" i="11"/>
  <c r="P1960" i="11"/>
  <c r="R1959" i="11"/>
  <c r="P1959" i="11"/>
  <c r="R1958" i="11"/>
  <c r="P1958" i="11"/>
  <c r="R1957" i="11"/>
  <c r="P1957" i="11"/>
  <c r="R1956" i="11"/>
  <c r="P1956" i="11"/>
  <c r="R1955" i="11"/>
  <c r="P1955" i="11"/>
  <c r="R1954" i="11"/>
  <c r="P1954" i="11"/>
  <c r="R1953" i="11"/>
  <c r="P1953" i="11"/>
  <c r="R1952" i="11"/>
  <c r="P1952" i="11"/>
  <c r="R1951" i="11"/>
  <c r="P1951" i="11"/>
  <c r="R1950" i="11"/>
  <c r="P1950" i="11"/>
  <c r="R1949" i="11"/>
  <c r="P1949" i="11"/>
  <c r="R1948" i="11"/>
  <c r="P1948" i="11"/>
  <c r="R1947" i="11"/>
  <c r="P1947" i="11"/>
  <c r="R1946" i="11"/>
  <c r="P1946" i="11"/>
  <c r="R1945" i="11"/>
  <c r="P1945" i="11"/>
  <c r="R1944" i="11"/>
  <c r="P1944" i="11"/>
  <c r="R1943" i="11"/>
  <c r="P1943" i="11"/>
  <c r="R1942" i="11"/>
  <c r="P1942" i="11"/>
  <c r="R1941" i="11"/>
  <c r="P1941" i="11"/>
  <c r="R1940" i="11"/>
  <c r="P1940" i="11"/>
  <c r="R1939" i="11"/>
  <c r="P1939" i="11"/>
  <c r="R1938" i="11"/>
  <c r="P1938" i="11"/>
  <c r="R1937" i="11"/>
  <c r="P1937" i="11"/>
  <c r="R1936" i="11"/>
  <c r="P1936" i="11"/>
  <c r="R1935" i="11"/>
  <c r="P1935" i="11"/>
  <c r="R1934" i="11"/>
  <c r="P1934" i="11"/>
  <c r="R1933" i="11"/>
  <c r="P1933" i="11"/>
  <c r="R1932" i="11"/>
  <c r="P1932" i="11"/>
  <c r="R1931" i="11"/>
  <c r="P1931" i="11"/>
  <c r="R1930" i="11"/>
  <c r="P1930" i="11"/>
  <c r="R1929" i="11"/>
  <c r="P1929" i="11"/>
  <c r="R1928" i="11"/>
  <c r="P1928" i="11"/>
  <c r="R1927" i="11"/>
  <c r="P1927" i="11"/>
  <c r="R1926" i="11"/>
  <c r="P1926" i="11"/>
  <c r="R1925" i="11"/>
  <c r="P1925" i="11"/>
  <c r="R1924" i="11"/>
  <c r="P1924" i="11"/>
  <c r="R1923" i="11"/>
  <c r="P1923" i="11"/>
  <c r="R1922" i="11"/>
  <c r="P1922" i="11"/>
  <c r="R1921" i="11"/>
  <c r="P1921" i="11"/>
  <c r="R1920" i="11"/>
  <c r="P1920" i="11"/>
  <c r="R1919" i="11"/>
  <c r="P1919" i="11"/>
  <c r="R1918" i="11"/>
  <c r="P1918" i="11"/>
  <c r="R1917" i="11"/>
  <c r="P1917" i="11"/>
  <c r="R1916" i="11"/>
  <c r="P1916" i="11"/>
  <c r="R1915" i="11"/>
  <c r="P1915" i="11"/>
  <c r="R1914" i="11"/>
  <c r="P1914" i="11"/>
  <c r="R1913" i="11"/>
  <c r="P1913" i="11"/>
  <c r="R1912" i="11"/>
  <c r="P1912" i="11"/>
  <c r="R1911" i="11"/>
  <c r="P1911" i="11"/>
  <c r="R1910" i="11"/>
  <c r="P1910" i="11"/>
  <c r="R1909" i="11"/>
  <c r="P1909" i="11"/>
  <c r="R1908" i="11"/>
  <c r="P1908" i="11"/>
  <c r="R1907" i="11"/>
  <c r="P1907" i="11"/>
  <c r="R1906" i="11"/>
  <c r="P1906" i="11"/>
  <c r="R1905" i="11"/>
  <c r="P1905" i="11"/>
  <c r="R1904" i="11"/>
  <c r="P1904" i="11"/>
  <c r="R1903" i="11"/>
  <c r="P1903" i="11"/>
  <c r="R1902" i="11"/>
  <c r="P1902" i="11"/>
  <c r="R1901" i="11"/>
  <c r="P1901" i="11"/>
  <c r="R1900" i="11"/>
  <c r="P1900" i="11"/>
  <c r="R1899" i="11"/>
  <c r="P1899" i="11"/>
  <c r="R1898" i="11"/>
  <c r="P1898" i="11"/>
  <c r="R1897" i="11"/>
  <c r="P1897" i="11"/>
  <c r="R1896" i="11"/>
  <c r="P1896" i="11"/>
  <c r="R1895" i="11"/>
  <c r="P1895" i="11"/>
  <c r="R1894" i="11"/>
  <c r="P1894" i="11"/>
  <c r="R1893" i="11"/>
  <c r="P1893" i="11"/>
  <c r="R1892" i="11"/>
  <c r="P1892" i="11"/>
  <c r="R1891" i="11"/>
  <c r="P1891" i="11"/>
  <c r="R1890" i="11"/>
  <c r="P1890" i="11"/>
  <c r="R1889" i="11"/>
  <c r="P1889" i="11"/>
  <c r="R1888" i="11"/>
  <c r="P1888" i="11"/>
  <c r="R1887" i="11"/>
  <c r="P1887" i="11"/>
  <c r="R1886" i="11"/>
  <c r="P1886" i="11"/>
  <c r="R1885" i="11"/>
  <c r="P1885" i="11"/>
  <c r="R1884" i="11"/>
  <c r="P1884" i="11"/>
  <c r="R1883" i="11"/>
  <c r="P1883" i="11"/>
  <c r="R1882" i="11"/>
  <c r="P1882" i="11"/>
  <c r="R1881" i="11"/>
  <c r="P1881" i="11"/>
  <c r="R1880" i="11"/>
  <c r="P1880" i="11"/>
  <c r="R1879" i="11"/>
  <c r="P1879" i="11"/>
  <c r="R1878" i="11"/>
  <c r="P1878" i="11"/>
  <c r="R1877" i="11"/>
  <c r="P1877" i="11"/>
  <c r="R1876" i="11"/>
  <c r="P1876" i="11"/>
  <c r="R1875" i="11"/>
  <c r="P1875" i="11"/>
  <c r="R1874" i="11"/>
  <c r="P1874" i="11"/>
  <c r="R1873" i="11"/>
  <c r="P1873" i="11"/>
  <c r="R1872" i="11"/>
  <c r="P1872" i="11"/>
  <c r="R1871" i="11"/>
  <c r="P1871" i="11"/>
  <c r="R1870" i="11"/>
  <c r="P1870" i="11"/>
  <c r="R1869" i="11"/>
  <c r="P1869" i="11"/>
  <c r="R1868" i="11"/>
  <c r="P1868" i="11"/>
  <c r="R1867" i="11"/>
  <c r="P1867" i="11"/>
  <c r="R1866" i="11"/>
  <c r="P1866" i="11"/>
  <c r="R1865" i="11"/>
  <c r="P1865" i="11"/>
  <c r="R1864" i="11"/>
  <c r="P1864" i="11"/>
  <c r="R1863" i="11"/>
  <c r="P1863" i="11"/>
  <c r="R1862" i="11"/>
  <c r="P1862" i="11"/>
  <c r="R1861" i="11"/>
  <c r="P1861" i="11"/>
  <c r="R1860" i="11"/>
  <c r="P1860" i="11"/>
  <c r="R1859" i="11"/>
  <c r="P1859" i="11"/>
  <c r="R1858" i="11"/>
  <c r="P1858" i="11"/>
  <c r="R1857" i="11"/>
  <c r="P1857" i="11"/>
  <c r="R1856" i="11"/>
  <c r="P1856" i="11"/>
  <c r="R1855" i="11"/>
  <c r="P1855" i="11"/>
  <c r="R1854" i="11"/>
  <c r="P1854" i="11"/>
  <c r="R1853" i="11"/>
  <c r="P1853" i="11"/>
  <c r="R1852" i="11"/>
  <c r="P1852" i="11"/>
  <c r="R1851" i="11"/>
  <c r="P1851" i="11"/>
  <c r="R1850" i="11"/>
  <c r="P1850" i="11"/>
  <c r="R1849" i="11"/>
  <c r="P1849" i="11"/>
  <c r="R1848" i="11"/>
  <c r="P1848" i="11"/>
  <c r="R1847" i="11"/>
  <c r="P1847" i="11"/>
  <c r="R1846" i="11"/>
  <c r="P1846" i="11"/>
  <c r="R1845" i="11"/>
  <c r="P1845" i="11"/>
  <c r="R1844" i="11"/>
  <c r="P1844" i="11"/>
  <c r="R1843" i="11"/>
  <c r="P1843" i="11"/>
  <c r="R1842" i="11"/>
  <c r="P1842" i="11"/>
  <c r="R1841" i="11"/>
  <c r="P1841" i="11"/>
  <c r="R1840" i="11"/>
  <c r="P1840" i="11"/>
  <c r="R1839" i="11"/>
  <c r="P1839" i="11"/>
  <c r="R1838" i="11"/>
  <c r="P1838" i="11"/>
  <c r="R1837" i="11"/>
  <c r="P1837" i="11"/>
  <c r="R1836" i="11"/>
  <c r="P1836" i="11"/>
  <c r="R1835" i="11"/>
  <c r="P1835" i="11"/>
  <c r="R1834" i="11"/>
  <c r="P1834" i="11"/>
  <c r="R1833" i="11"/>
  <c r="P1833" i="11"/>
  <c r="R1832" i="11"/>
  <c r="P1832" i="11"/>
  <c r="R1831" i="11"/>
  <c r="P1831" i="11"/>
  <c r="R1830" i="11"/>
  <c r="P1830" i="11"/>
  <c r="R1829" i="11"/>
  <c r="P1829" i="11"/>
  <c r="R1828" i="11"/>
  <c r="P1828" i="11"/>
  <c r="R1827" i="11"/>
  <c r="P1827" i="11"/>
  <c r="R1826" i="11"/>
  <c r="P1826" i="11"/>
  <c r="R1825" i="11"/>
  <c r="P1825" i="11"/>
  <c r="R1824" i="11"/>
  <c r="P1824" i="11"/>
  <c r="R1823" i="11"/>
  <c r="P1823" i="11"/>
  <c r="R1822" i="11"/>
  <c r="P1822" i="11"/>
  <c r="R1821" i="11"/>
  <c r="P1821" i="11"/>
  <c r="R1820" i="11"/>
  <c r="P1820" i="11"/>
  <c r="R1819" i="11"/>
  <c r="P1819" i="11"/>
  <c r="R1818" i="11"/>
  <c r="P1818" i="11"/>
  <c r="R1817" i="11"/>
  <c r="P1817" i="11"/>
  <c r="R1816" i="11"/>
  <c r="P1816" i="11"/>
  <c r="R1815" i="11"/>
  <c r="P1815" i="11"/>
  <c r="R1814" i="11"/>
  <c r="P1814" i="11"/>
  <c r="R1813" i="11"/>
  <c r="P1813" i="11"/>
  <c r="R1812" i="11"/>
  <c r="P1812" i="11"/>
  <c r="R1811" i="11"/>
  <c r="P1811" i="11"/>
  <c r="R1810" i="11"/>
  <c r="P1810" i="11"/>
  <c r="R1809" i="11"/>
  <c r="P1809" i="11"/>
  <c r="R1808" i="11"/>
  <c r="P1808" i="11"/>
  <c r="R1807" i="11"/>
  <c r="P1807" i="11"/>
  <c r="R1806" i="11"/>
  <c r="P1806" i="11"/>
  <c r="R1805" i="11"/>
  <c r="P1805" i="11"/>
  <c r="R1804" i="11"/>
  <c r="P1804" i="11"/>
  <c r="R1803" i="11"/>
  <c r="P1803" i="11"/>
  <c r="R1802" i="11"/>
  <c r="P1802" i="11"/>
  <c r="R1801" i="11"/>
  <c r="P1801" i="11"/>
  <c r="R1800" i="11"/>
  <c r="P1800" i="11"/>
  <c r="R1799" i="11"/>
  <c r="P1799" i="11"/>
  <c r="R1798" i="11"/>
  <c r="P1798" i="11"/>
  <c r="R1797" i="11"/>
  <c r="P1797" i="11"/>
  <c r="R1796" i="11"/>
  <c r="P1796" i="11"/>
  <c r="R1795" i="11"/>
  <c r="P1795" i="11"/>
  <c r="R1794" i="11"/>
  <c r="P1794" i="11"/>
  <c r="R1793" i="11"/>
  <c r="P1793" i="11"/>
  <c r="R1792" i="11"/>
  <c r="P1792" i="11"/>
  <c r="R1791" i="11"/>
  <c r="P1791" i="11"/>
  <c r="R1790" i="11"/>
  <c r="P1790" i="11"/>
  <c r="R1789" i="11"/>
  <c r="P1789" i="11"/>
  <c r="R1788" i="11"/>
  <c r="P1788" i="11"/>
  <c r="R1787" i="11"/>
  <c r="P1787" i="11"/>
  <c r="R1786" i="11"/>
  <c r="P1786" i="11"/>
  <c r="R1785" i="11"/>
  <c r="P1785" i="11"/>
  <c r="R1784" i="11"/>
  <c r="P1784" i="11"/>
  <c r="R1783" i="11"/>
  <c r="P1783" i="11"/>
  <c r="R1782" i="11"/>
  <c r="P1782" i="11"/>
  <c r="R1781" i="11"/>
  <c r="P1781" i="11"/>
  <c r="R1780" i="11"/>
  <c r="P1780" i="11"/>
  <c r="R1779" i="11"/>
  <c r="P1779" i="11"/>
  <c r="R1778" i="11"/>
  <c r="P1778" i="11"/>
  <c r="R1777" i="11"/>
  <c r="P1777" i="11"/>
  <c r="R1776" i="11"/>
  <c r="P1776" i="11"/>
  <c r="R1775" i="11"/>
  <c r="P1775" i="11"/>
  <c r="R1774" i="11"/>
  <c r="P1774" i="11"/>
  <c r="R1773" i="11"/>
  <c r="P1773" i="11"/>
  <c r="R1772" i="11"/>
  <c r="P1772" i="11"/>
  <c r="R1771" i="11"/>
  <c r="P1771" i="11"/>
  <c r="R1770" i="11"/>
  <c r="P1770" i="11"/>
  <c r="R1769" i="11"/>
  <c r="P1769" i="11"/>
  <c r="R1768" i="11"/>
  <c r="P1768" i="11"/>
  <c r="R1767" i="11"/>
  <c r="P1767" i="11"/>
  <c r="R1766" i="11"/>
  <c r="P1766" i="11"/>
  <c r="R1765" i="11"/>
  <c r="P1765" i="11"/>
  <c r="R1764" i="11"/>
  <c r="P1764" i="11"/>
  <c r="R1763" i="11"/>
  <c r="P1763" i="11"/>
  <c r="R1762" i="11"/>
  <c r="P1762" i="11"/>
  <c r="R1761" i="11"/>
  <c r="P1761" i="11"/>
  <c r="R1760" i="11"/>
  <c r="P1760" i="11"/>
  <c r="R1759" i="11"/>
  <c r="P1759" i="11"/>
  <c r="R1758" i="11"/>
  <c r="P1758" i="11"/>
  <c r="R1757" i="11"/>
  <c r="P1757" i="11"/>
  <c r="R1756" i="11"/>
  <c r="P1756" i="11"/>
  <c r="R1755" i="11"/>
  <c r="P1755" i="11"/>
  <c r="R1754" i="11"/>
  <c r="P1754" i="11"/>
  <c r="R1753" i="11"/>
  <c r="P1753" i="11"/>
  <c r="R1752" i="11"/>
  <c r="P1752" i="11"/>
  <c r="R1751" i="11"/>
  <c r="P1751" i="11"/>
  <c r="R1750" i="11"/>
  <c r="P1750" i="11"/>
  <c r="R1749" i="11"/>
  <c r="P1749" i="11"/>
  <c r="R1748" i="11"/>
  <c r="P1748" i="11"/>
  <c r="R1747" i="11"/>
  <c r="P1747" i="11"/>
  <c r="R1746" i="11"/>
  <c r="P1746" i="11"/>
  <c r="R1745" i="11"/>
  <c r="P1745" i="11"/>
  <c r="R1744" i="11"/>
  <c r="P1744" i="11"/>
  <c r="R1743" i="11"/>
  <c r="P1743" i="11"/>
  <c r="R1742" i="11"/>
  <c r="P1742" i="11"/>
  <c r="R1741" i="11"/>
  <c r="P1741" i="11"/>
  <c r="R1740" i="11"/>
  <c r="P1740" i="11"/>
  <c r="R1739" i="11"/>
  <c r="P1739" i="11"/>
  <c r="R1738" i="11"/>
  <c r="P1738" i="11"/>
  <c r="R1737" i="11"/>
  <c r="P1737" i="11"/>
  <c r="R1736" i="11"/>
  <c r="P1736" i="11"/>
  <c r="R1735" i="11"/>
  <c r="P1735" i="11"/>
  <c r="R1734" i="11"/>
  <c r="P1734" i="11"/>
  <c r="R1733" i="11"/>
  <c r="P1733" i="11"/>
  <c r="R1732" i="11"/>
  <c r="P1732" i="11"/>
  <c r="R1731" i="11"/>
  <c r="P1731" i="11"/>
  <c r="R1730" i="11"/>
  <c r="P1730" i="11"/>
  <c r="R1729" i="11"/>
  <c r="P1729" i="11"/>
  <c r="R1728" i="11"/>
  <c r="P1728" i="11"/>
  <c r="R1727" i="11"/>
  <c r="P1727" i="11"/>
  <c r="R1726" i="11"/>
  <c r="P1726" i="11"/>
  <c r="R1725" i="11"/>
  <c r="P1725" i="11"/>
  <c r="R1724" i="11"/>
  <c r="P1724" i="11"/>
  <c r="R1723" i="11"/>
  <c r="P1723" i="11"/>
  <c r="R1722" i="11"/>
  <c r="P1722" i="11"/>
  <c r="R1721" i="11"/>
  <c r="P1721" i="11"/>
  <c r="R1720" i="11"/>
  <c r="P1720" i="11"/>
  <c r="R1719" i="11"/>
  <c r="P1719" i="11"/>
  <c r="R1718" i="11"/>
  <c r="P1718" i="11"/>
  <c r="R1717" i="11"/>
  <c r="P1717" i="11"/>
  <c r="R1716" i="11"/>
  <c r="P1716" i="11"/>
  <c r="R1715" i="11"/>
  <c r="P1715" i="11"/>
  <c r="R1714" i="11"/>
  <c r="P1714" i="11"/>
  <c r="R1713" i="11"/>
  <c r="P1713" i="11"/>
  <c r="R1712" i="11"/>
  <c r="P1712" i="11"/>
  <c r="R1711" i="11"/>
  <c r="P1711" i="11"/>
  <c r="R1710" i="11"/>
  <c r="P1710" i="11"/>
  <c r="R1709" i="11"/>
  <c r="P1709" i="11"/>
  <c r="R1708" i="11"/>
  <c r="P1708" i="11"/>
  <c r="R1707" i="11"/>
  <c r="P1707" i="11"/>
  <c r="R1706" i="11"/>
  <c r="P1706" i="11"/>
  <c r="R1705" i="11"/>
  <c r="P1705" i="11"/>
  <c r="R1704" i="11"/>
  <c r="P1704" i="11"/>
  <c r="R1703" i="11"/>
  <c r="P1703" i="11"/>
  <c r="R1702" i="11"/>
  <c r="P1702" i="11"/>
  <c r="R1701" i="11"/>
  <c r="P1701" i="11"/>
  <c r="R1700" i="11"/>
  <c r="P1700" i="11"/>
  <c r="R1699" i="11"/>
  <c r="P1699" i="11"/>
  <c r="R1698" i="11"/>
  <c r="P1698" i="11"/>
  <c r="R1697" i="11"/>
  <c r="P1697" i="11"/>
  <c r="R1696" i="11"/>
  <c r="P1696" i="11"/>
  <c r="R1695" i="11"/>
  <c r="P1695" i="11"/>
  <c r="R1694" i="11"/>
  <c r="P1694" i="11"/>
  <c r="R1693" i="11"/>
  <c r="P1693" i="11"/>
  <c r="R1692" i="11"/>
  <c r="P1692" i="11"/>
  <c r="R1691" i="11"/>
  <c r="P1691" i="11"/>
  <c r="R1690" i="11"/>
  <c r="P1690" i="11"/>
  <c r="R1689" i="11"/>
  <c r="P1689" i="11"/>
  <c r="R1688" i="11"/>
  <c r="P1688" i="11"/>
  <c r="R1687" i="11"/>
  <c r="P1687" i="11"/>
  <c r="R1686" i="11"/>
  <c r="P1686" i="11"/>
  <c r="R1685" i="11"/>
  <c r="P1685" i="11"/>
  <c r="R1684" i="11"/>
  <c r="P1684" i="11"/>
  <c r="R1683" i="11"/>
  <c r="P1683" i="11"/>
  <c r="R1682" i="11"/>
  <c r="P1682" i="11"/>
  <c r="R1681" i="11"/>
  <c r="P1681" i="11"/>
  <c r="R1680" i="11"/>
  <c r="P1680" i="11"/>
  <c r="R1679" i="11"/>
  <c r="P1679" i="11"/>
  <c r="R1678" i="11"/>
  <c r="P1678" i="11"/>
  <c r="R1677" i="11"/>
  <c r="P1677" i="11"/>
  <c r="R1676" i="11"/>
  <c r="P1676" i="11"/>
  <c r="R1675" i="11"/>
  <c r="P1675" i="11"/>
  <c r="R1674" i="11"/>
  <c r="P1674" i="11"/>
  <c r="R1673" i="11"/>
  <c r="P1673" i="11"/>
  <c r="R1672" i="11"/>
  <c r="P1672" i="11"/>
  <c r="R1671" i="11"/>
  <c r="P1671" i="11"/>
  <c r="R1670" i="11"/>
  <c r="P1670" i="11"/>
  <c r="R1669" i="11"/>
  <c r="P1669" i="11"/>
  <c r="R1668" i="11"/>
  <c r="P1668" i="11"/>
  <c r="R1667" i="11"/>
  <c r="P1667" i="11"/>
  <c r="R1666" i="11"/>
  <c r="P1666" i="11"/>
  <c r="R1665" i="11"/>
  <c r="P1665" i="11"/>
  <c r="R1664" i="11"/>
  <c r="P1664" i="11"/>
  <c r="R1663" i="11"/>
  <c r="P1663" i="11"/>
  <c r="R1662" i="11"/>
  <c r="P1662" i="11"/>
  <c r="R1661" i="11"/>
  <c r="P1661" i="11"/>
  <c r="R1660" i="11"/>
  <c r="P1660" i="11"/>
  <c r="R1659" i="11"/>
  <c r="P1659" i="11"/>
  <c r="R1658" i="11"/>
  <c r="P1658" i="11"/>
  <c r="R1657" i="11"/>
  <c r="P1657" i="11"/>
  <c r="R1656" i="11"/>
  <c r="P1656" i="11"/>
  <c r="R1655" i="11"/>
  <c r="P1655" i="11"/>
  <c r="R1654" i="11"/>
  <c r="P1654" i="11"/>
  <c r="R1653" i="11"/>
  <c r="P1653" i="11"/>
  <c r="R1652" i="11"/>
  <c r="P1652" i="11"/>
  <c r="R1651" i="11"/>
  <c r="P1651" i="11"/>
  <c r="R1650" i="11"/>
  <c r="P1650" i="11"/>
  <c r="R1649" i="11"/>
  <c r="P1649" i="11"/>
  <c r="R1648" i="11"/>
  <c r="P1648" i="11"/>
  <c r="R1647" i="11"/>
  <c r="P1647" i="11"/>
  <c r="R1646" i="11"/>
  <c r="P1646" i="11"/>
  <c r="R1645" i="11"/>
  <c r="P1645" i="11"/>
  <c r="R1644" i="11"/>
  <c r="P1644" i="11"/>
  <c r="R1643" i="11"/>
  <c r="P1643" i="11"/>
  <c r="R1642" i="11"/>
  <c r="P1642" i="11"/>
  <c r="R1641" i="11"/>
  <c r="P1641" i="11"/>
  <c r="R1640" i="11"/>
  <c r="P1640" i="11"/>
  <c r="R1639" i="11"/>
  <c r="P1639" i="11"/>
  <c r="R1638" i="11"/>
  <c r="P1638" i="11"/>
  <c r="R1637" i="11"/>
  <c r="P1637" i="11"/>
  <c r="R1636" i="11"/>
  <c r="P1636" i="11"/>
  <c r="R1635" i="11"/>
  <c r="P1635" i="11"/>
  <c r="R1634" i="11"/>
  <c r="P1634" i="11"/>
  <c r="R1633" i="11"/>
  <c r="P1633" i="11"/>
  <c r="R1632" i="11"/>
  <c r="P1632" i="11"/>
  <c r="R1631" i="11"/>
  <c r="P1631" i="11"/>
  <c r="R1630" i="11"/>
  <c r="P1630" i="11"/>
  <c r="R1629" i="11"/>
  <c r="P1629" i="11"/>
  <c r="R1628" i="11"/>
  <c r="P1628" i="11"/>
  <c r="R1627" i="11"/>
  <c r="P1627" i="11"/>
  <c r="R1626" i="11"/>
  <c r="P1626" i="11"/>
  <c r="R1625" i="11"/>
  <c r="P1625" i="11"/>
  <c r="R1624" i="11"/>
  <c r="P1624" i="11"/>
  <c r="R1623" i="11"/>
  <c r="P1623" i="11"/>
  <c r="R1622" i="11"/>
  <c r="P1622" i="11"/>
  <c r="R1621" i="11"/>
  <c r="P1621" i="11"/>
  <c r="R1620" i="11"/>
  <c r="P1620" i="11"/>
  <c r="R1619" i="11"/>
  <c r="P1619" i="11"/>
  <c r="R1618" i="11"/>
  <c r="P1618" i="11"/>
  <c r="R1617" i="11"/>
  <c r="P1617" i="11"/>
  <c r="R1616" i="11"/>
  <c r="P1616" i="11"/>
  <c r="R1615" i="11"/>
  <c r="P1615" i="11"/>
  <c r="R1614" i="11"/>
  <c r="P1614" i="11"/>
  <c r="R1613" i="11"/>
  <c r="P1613" i="11"/>
  <c r="R1612" i="11"/>
  <c r="P1612" i="11"/>
  <c r="R1611" i="11"/>
  <c r="P1611" i="11"/>
  <c r="R1610" i="11"/>
  <c r="P1610" i="11"/>
  <c r="R1609" i="11"/>
  <c r="P1609" i="11"/>
  <c r="R1608" i="11"/>
  <c r="P1608" i="11"/>
  <c r="R1607" i="11"/>
  <c r="P1607" i="11"/>
  <c r="R1606" i="11"/>
  <c r="P1606" i="11"/>
  <c r="R1605" i="11"/>
  <c r="P1605" i="11"/>
  <c r="R1604" i="11"/>
  <c r="P1604" i="11"/>
  <c r="R1603" i="11"/>
  <c r="P1603" i="11"/>
  <c r="R1602" i="11"/>
  <c r="P1602" i="11"/>
  <c r="R1601" i="11"/>
  <c r="P1601" i="11"/>
  <c r="R1600" i="11"/>
  <c r="P1600" i="11"/>
  <c r="R1599" i="11"/>
  <c r="P1599" i="11"/>
  <c r="R1598" i="11"/>
  <c r="P1598" i="11"/>
  <c r="R1597" i="11"/>
  <c r="P1597" i="11"/>
  <c r="R1596" i="11"/>
  <c r="P1596" i="11"/>
  <c r="R1595" i="11"/>
  <c r="P1595" i="11"/>
  <c r="R1594" i="11"/>
  <c r="P1594" i="11"/>
  <c r="R1593" i="11"/>
  <c r="P1593" i="11"/>
  <c r="R1592" i="11"/>
  <c r="P1592" i="11"/>
  <c r="R1591" i="11"/>
  <c r="P1591" i="11"/>
  <c r="R1590" i="11"/>
  <c r="P1590" i="11"/>
  <c r="R1589" i="11"/>
  <c r="P1589" i="11"/>
  <c r="R1588" i="11"/>
  <c r="P1588" i="11"/>
  <c r="R1587" i="11"/>
  <c r="P1587" i="11"/>
  <c r="R1586" i="11"/>
  <c r="P1586" i="11"/>
  <c r="R1585" i="11"/>
  <c r="P1585" i="11"/>
  <c r="R1584" i="11"/>
  <c r="P1584" i="11"/>
  <c r="R1583" i="11"/>
  <c r="P1583" i="11"/>
  <c r="R1582" i="11"/>
  <c r="P1582" i="11"/>
  <c r="R1581" i="11"/>
  <c r="P1581" i="11"/>
  <c r="R1580" i="11"/>
  <c r="P1580" i="11"/>
  <c r="R1579" i="11"/>
  <c r="P1579" i="11"/>
  <c r="R1578" i="11"/>
  <c r="P1578" i="11"/>
  <c r="R1577" i="11"/>
  <c r="P1577" i="11"/>
  <c r="R1576" i="11"/>
  <c r="P1576" i="11"/>
  <c r="R1575" i="11"/>
  <c r="P1575" i="11"/>
  <c r="R1574" i="11"/>
  <c r="P1574" i="11"/>
  <c r="R1573" i="11"/>
  <c r="P1573" i="11"/>
  <c r="R1572" i="11"/>
  <c r="P1572" i="11"/>
  <c r="R1571" i="11"/>
  <c r="P1571" i="11"/>
  <c r="R1570" i="11"/>
  <c r="P1570" i="11"/>
  <c r="R1569" i="11"/>
  <c r="P1569" i="11"/>
  <c r="R1568" i="11"/>
  <c r="P1568" i="11"/>
  <c r="R1567" i="11"/>
  <c r="P1567" i="11"/>
  <c r="R1566" i="11"/>
  <c r="P1566" i="11"/>
  <c r="R1565" i="11"/>
  <c r="P1565" i="11"/>
  <c r="R1564" i="11"/>
  <c r="P1564" i="11"/>
  <c r="R1563" i="11"/>
  <c r="P1563" i="11"/>
  <c r="R1562" i="11"/>
  <c r="P1562" i="11"/>
  <c r="R1561" i="11"/>
  <c r="P1561" i="11"/>
  <c r="R1560" i="11"/>
  <c r="P1560" i="11"/>
  <c r="R1559" i="11"/>
  <c r="P1559" i="11"/>
  <c r="R1558" i="11"/>
  <c r="P1558" i="11"/>
  <c r="R1557" i="11"/>
  <c r="P1557" i="11"/>
  <c r="R1556" i="11"/>
  <c r="P1556" i="11"/>
  <c r="R1555" i="11"/>
  <c r="P1555" i="11"/>
  <c r="R1554" i="11"/>
  <c r="P1554" i="11"/>
  <c r="R1553" i="11"/>
  <c r="P1553" i="11"/>
  <c r="R1552" i="11"/>
  <c r="P1552" i="11"/>
  <c r="R1551" i="11"/>
  <c r="P1551" i="11"/>
  <c r="R1550" i="11"/>
  <c r="P1550" i="11"/>
  <c r="R1549" i="11"/>
  <c r="P1549" i="11"/>
  <c r="R1548" i="11"/>
  <c r="P1548" i="11"/>
  <c r="R1547" i="11"/>
  <c r="P1547" i="11"/>
  <c r="R1546" i="11"/>
  <c r="P1546" i="11"/>
  <c r="R1545" i="11"/>
  <c r="P1545" i="11"/>
  <c r="R1544" i="11"/>
  <c r="P1544" i="11"/>
  <c r="R1543" i="11"/>
  <c r="P1543" i="11"/>
  <c r="R1542" i="11"/>
  <c r="P1542" i="11"/>
  <c r="R1541" i="11"/>
  <c r="P1541" i="11"/>
  <c r="R1540" i="11"/>
  <c r="P1540" i="11"/>
  <c r="R1539" i="11"/>
  <c r="P1539" i="11"/>
  <c r="R1538" i="11"/>
  <c r="P1538" i="11"/>
  <c r="R1537" i="11"/>
  <c r="P1537" i="11"/>
  <c r="R1536" i="11"/>
  <c r="P1536" i="11"/>
  <c r="R1535" i="11"/>
  <c r="P1535" i="11"/>
  <c r="R1534" i="11"/>
  <c r="P1534" i="11"/>
  <c r="R1533" i="11"/>
  <c r="P1533" i="11"/>
  <c r="R1532" i="11"/>
  <c r="P1532" i="11"/>
  <c r="R1531" i="11"/>
  <c r="P1531" i="11"/>
  <c r="R1530" i="11"/>
  <c r="P1530" i="11"/>
  <c r="R1529" i="11"/>
  <c r="P1529" i="11"/>
  <c r="R1528" i="11"/>
  <c r="P1528" i="11"/>
  <c r="R1527" i="11"/>
  <c r="P1527" i="11"/>
  <c r="R1526" i="11"/>
  <c r="P1526" i="11"/>
  <c r="R1525" i="11"/>
  <c r="P1525" i="11"/>
  <c r="R1524" i="11"/>
  <c r="P1524" i="11"/>
  <c r="R1523" i="11"/>
  <c r="P1523" i="11"/>
  <c r="R1522" i="11"/>
  <c r="P1522" i="11"/>
  <c r="R1521" i="11"/>
  <c r="P1521" i="11"/>
  <c r="R1520" i="11"/>
  <c r="P1520" i="11"/>
  <c r="R1519" i="11"/>
  <c r="P1519" i="11"/>
  <c r="R1518" i="11"/>
  <c r="P1518" i="11"/>
  <c r="R1517" i="11"/>
  <c r="P1517" i="11"/>
  <c r="R1516" i="11"/>
  <c r="P1516" i="11"/>
  <c r="R1515" i="11"/>
  <c r="P1515" i="11"/>
  <c r="R1514" i="11"/>
  <c r="P1514" i="11"/>
  <c r="R1513" i="11"/>
  <c r="P1513" i="11"/>
  <c r="R1512" i="11"/>
  <c r="P1512" i="11"/>
  <c r="R1511" i="11"/>
  <c r="P1511" i="11"/>
  <c r="R1510" i="11"/>
  <c r="P1510" i="11"/>
  <c r="R1509" i="11"/>
  <c r="P1509" i="11"/>
  <c r="R1508" i="11"/>
  <c r="P1508" i="11"/>
  <c r="R1507" i="11"/>
  <c r="P1507" i="11"/>
  <c r="R1506" i="11"/>
  <c r="P1506" i="11"/>
  <c r="R1505" i="11"/>
  <c r="P1505" i="11"/>
  <c r="R1504" i="11"/>
  <c r="P1504" i="11"/>
  <c r="R1503" i="11"/>
  <c r="P1503" i="11"/>
  <c r="R1502" i="11"/>
  <c r="P1502" i="11"/>
  <c r="R1501" i="11"/>
  <c r="P1501" i="11"/>
  <c r="R1500" i="11"/>
  <c r="P1500" i="11"/>
  <c r="R1499" i="11"/>
  <c r="P1499" i="11"/>
  <c r="R1498" i="11"/>
  <c r="P1498" i="11"/>
  <c r="R1497" i="11"/>
  <c r="P1497" i="11"/>
  <c r="R1496" i="11"/>
  <c r="P1496" i="11"/>
  <c r="R1495" i="11"/>
  <c r="P1495" i="11"/>
  <c r="R1494" i="11"/>
  <c r="P1494" i="11"/>
  <c r="R1493" i="11"/>
  <c r="P1493" i="11"/>
  <c r="R1492" i="11"/>
  <c r="P1492" i="11"/>
  <c r="R1491" i="11"/>
  <c r="P1491" i="11"/>
  <c r="R1490" i="11"/>
  <c r="P1490" i="11"/>
  <c r="R1489" i="11"/>
  <c r="P1489" i="11"/>
  <c r="R1488" i="11"/>
  <c r="P1488" i="11"/>
  <c r="R1487" i="11"/>
  <c r="P1487" i="11"/>
  <c r="R1486" i="11"/>
  <c r="P1486" i="11"/>
  <c r="R1485" i="11"/>
  <c r="P1485" i="11"/>
  <c r="R1484" i="11"/>
  <c r="P1484" i="11"/>
  <c r="R1483" i="11"/>
  <c r="P1483" i="11"/>
  <c r="R1482" i="11"/>
  <c r="P1482" i="11"/>
  <c r="R1481" i="11"/>
  <c r="P1481" i="11"/>
  <c r="R1480" i="11"/>
  <c r="P1480" i="11"/>
  <c r="R1479" i="11"/>
  <c r="P1479" i="11"/>
  <c r="R1478" i="11"/>
  <c r="P1478" i="11"/>
  <c r="R1477" i="11"/>
  <c r="P1477" i="11"/>
  <c r="R1476" i="11"/>
  <c r="P1476" i="11"/>
  <c r="R1475" i="11"/>
  <c r="P1475" i="11"/>
  <c r="R1474" i="11"/>
  <c r="P1474" i="11"/>
  <c r="R1473" i="11"/>
  <c r="P1473" i="11"/>
  <c r="R1472" i="11"/>
  <c r="P1472" i="11"/>
  <c r="R1471" i="11"/>
  <c r="P1471" i="11"/>
  <c r="R1470" i="11"/>
  <c r="P1470" i="11"/>
  <c r="R1469" i="11"/>
  <c r="P1469" i="11"/>
  <c r="R1468" i="11"/>
  <c r="P1468" i="11"/>
  <c r="R1467" i="11"/>
  <c r="P1467" i="11"/>
  <c r="R1466" i="11"/>
  <c r="P1466" i="11"/>
  <c r="R1465" i="11"/>
  <c r="P1465" i="11"/>
  <c r="R1464" i="11"/>
  <c r="P1464" i="11"/>
  <c r="R1463" i="11"/>
  <c r="P1463" i="11"/>
  <c r="R1462" i="11"/>
  <c r="P1462" i="11"/>
  <c r="R1461" i="11"/>
  <c r="P1461" i="11"/>
  <c r="R1460" i="11"/>
  <c r="P1460" i="11"/>
  <c r="R1459" i="11"/>
  <c r="P1459" i="11"/>
  <c r="R1458" i="11"/>
  <c r="P1458" i="11"/>
  <c r="R1457" i="11"/>
  <c r="P1457" i="11"/>
  <c r="R1456" i="11"/>
  <c r="P1456" i="11"/>
  <c r="R1455" i="11"/>
  <c r="P1455" i="11"/>
  <c r="R1454" i="11"/>
  <c r="P1454" i="11"/>
  <c r="R1453" i="11"/>
  <c r="P1453" i="11"/>
  <c r="R1452" i="11"/>
  <c r="P1452" i="11"/>
  <c r="R1451" i="11"/>
  <c r="P1451" i="11"/>
  <c r="R1450" i="11"/>
  <c r="P1450" i="11"/>
  <c r="R1449" i="11"/>
  <c r="P1449" i="11"/>
  <c r="R1448" i="11"/>
  <c r="P1448" i="11"/>
  <c r="R1447" i="11"/>
  <c r="P1447" i="11"/>
  <c r="R1446" i="11"/>
  <c r="P1446" i="11"/>
  <c r="R1445" i="11"/>
  <c r="P1445" i="11"/>
  <c r="R1444" i="11"/>
  <c r="P1444" i="11"/>
  <c r="R1443" i="11"/>
  <c r="P1443" i="11"/>
  <c r="R1442" i="11"/>
  <c r="P1442" i="11"/>
  <c r="R1441" i="11"/>
  <c r="P1441" i="11"/>
  <c r="R1440" i="11"/>
  <c r="P1440" i="11"/>
  <c r="R1439" i="11"/>
  <c r="P1439" i="11"/>
  <c r="R1438" i="11"/>
  <c r="P1438" i="11"/>
  <c r="R1437" i="11"/>
  <c r="P1437" i="11"/>
  <c r="R1436" i="11"/>
  <c r="P1436" i="11"/>
  <c r="R1435" i="11"/>
  <c r="P1435" i="11"/>
  <c r="R1434" i="11"/>
  <c r="P1434" i="11"/>
  <c r="R1433" i="11"/>
  <c r="P1433" i="11"/>
  <c r="R1432" i="11"/>
  <c r="P1432" i="11"/>
  <c r="R1431" i="11"/>
  <c r="P1431" i="11"/>
  <c r="R1430" i="11"/>
  <c r="P1430" i="11"/>
  <c r="R1429" i="11"/>
  <c r="P1429" i="11"/>
  <c r="R1428" i="11"/>
  <c r="P1428" i="11"/>
  <c r="R1427" i="11"/>
  <c r="P1427" i="11"/>
  <c r="R1426" i="11"/>
  <c r="P1426" i="11"/>
  <c r="R1425" i="11"/>
  <c r="P1425" i="11"/>
  <c r="R1424" i="11"/>
  <c r="P1424" i="11"/>
  <c r="R1423" i="11"/>
  <c r="P1423" i="11"/>
  <c r="R1422" i="11"/>
  <c r="P1422" i="11"/>
  <c r="R1421" i="11"/>
  <c r="P1421" i="11"/>
  <c r="R1420" i="11"/>
  <c r="P1420" i="11"/>
  <c r="R1419" i="11"/>
  <c r="P1419" i="11"/>
  <c r="R1418" i="11"/>
  <c r="P1418" i="11"/>
  <c r="R1417" i="11"/>
  <c r="P1417" i="11"/>
  <c r="R1416" i="11"/>
  <c r="P1416" i="11"/>
  <c r="R1415" i="11"/>
  <c r="P1415" i="11"/>
  <c r="R1414" i="11"/>
  <c r="P1414" i="11"/>
  <c r="R1413" i="11"/>
  <c r="P1413" i="11"/>
  <c r="R1412" i="11"/>
  <c r="P1412" i="11"/>
  <c r="R1411" i="11"/>
  <c r="P1411" i="11"/>
  <c r="R1410" i="11"/>
  <c r="P1410" i="11"/>
  <c r="R1409" i="11"/>
  <c r="P1409" i="11"/>
  <c r="R1408" i="11"/>
  <c r="P1408" i="11"/>
  <c r="R1407" i="11"/>
  <c r="P1407" i="11"/>
  <c r="R1406" i="11"/>
  <c r="P1406" i="11"/>
  <c r="R1405" i="11"/>
  <c r="P1405" i="11"/>
  <c r="R1404" i="11"/>
  <c r="P1404" i="11"/>
  <c r="R1403" i="11"/>
  <c r="P1403" i="11"/>
  <c r="R1402" i="11"/>
  <c r="P1402" i="11"/>
  <c r="R1401" i="11"/>
  <c r="P1401" i="11"/>
  <c r="R1400" i="11"/>
  <c r="P1400" i="11"/>
  <c r="R1399" i="11"/>
  <c r="P1399" i="11"/>
  <c r="R1398" i="11"/>
  <c r="P1398" i="11"/>
  <c r="R1397" i="11"/>
  <c r="P1397" i="11"/>
  <c r="R1396" i="11"/>
  <c r="P1396" i="11"/>
  <c r="R1395" i="11"/>
  <c r="P1395" i="11"/>
  <c r="R1394" i="11"/>
  <c r="P1394" i="11"/>
  <c r="R1393" i="11"/>
  <c r="P1393" i="11"/>
  <c r="R1392" i="11"/>
  <c r="P1392" i="11"/>
  <c r="R1391" i="11"/>
  <c r="P1391" i="11"/>
  <c r="R1390" i="11"/>
  <c r="P1390" i="11"/>
  <c r="R1389" i="11"/>
  <c r="P1389" i="11"/>
  <c r="R1388" i="11"/>
  <c r="P1388" i="11"/>
  <c r="R1387" i="11"/>
  <c r="P1387" i="11"/>
  <c r="R1386" i="11"/>
  <c r="P1386" i="11"/>
  <c r="R1385" i="11"/>
  <c r="P1385" i="11"/>
  <c r="R1384" i="11"/>
  <c r="P1384" i="11"/>
  <c r="R1383" i="11"/>
  <c r="P1383" i="11"/>
  <c r="R1382" i="11"/>
  <c r="P1382" i="11"/>
  <c r="R1381" i="11"/>
  <c r="P1381" i="11"/>
  <c r="R1380" i="11"/>
  <c r="P1380" i="11"/>
  <c r="R1379" i="11"/>
  <c r="P1379" i="11"/>
  <c r="R1378" i="11"/>
  <c r="P1378" i="11"/>
  <c r="R1377" i="11"/>
  <c r="P1377" i="11"/>
  <c r="R1376" i="11"/>
  <c r="P1376" i="11"/>
  <c r="R1375" i="11"/>
  <c r="P1375" i="11"/>
  <c r="R1374" i="11"/>
  <c r="P1374" i="11"/>
  <c r="R1373" i="11"/>
  <c r="P1373" i="11"/>
  <c r="R1372" i="11"/>
  <c r="P1372" i="11"/>
  <c r="R1371" i="11"/>
  <c r="P1371" i="11"/>
  <c r="R1370" i="11"/>
  <c r="P1370" i="11"/>
  <c r="R1369" i="11"/>
  <c r="P1369" i="11"/>
  <c r="R1368" i="11"/>
  <c r="P1368" i="11"/>
  <c r="R1367" i="11"/>
  <c r="P1367" i="11"/>
  <c r="R1366" i="11"/>
  <c r="P1366" i="11"/>
  <c r="R1365" i="11"/>
  <c r="P1365" i="11"/>
  <c r="R1364" i="11"/>
  <c r="P1364" i="11"/>
  <c r="R1363" i="11"/>
  <c r="P1363" i="11"/>
  <c r="R1362" i="11"/>
  <c r="P1362" i="11"/>
  <c r="R1361" i="11"/>
  <c r="P1361" i="11"/>
  <c r="R1360" i="11"/>
  <c r="P1360" i="11"/>
  <c r="R1359" i="11"/>
  <c r="P1359" i="11"/>
  <c r="R1358" i="11"/>
  <c r="P1358" i="11"/>
  <c r="R1357" i="11"/>
  <c r="P1357" i="11"/>
  <c r="R1356" i="11"/>
  <c r="P1356" i="11"/>
  <c r="R1355" i="11"/>
  <c r="P1355" i="11"/>
  <c r="R1354" i="11"/>
  <c r="P1354" i="11"/>
  <c r="R1353" i="11"/>
  <c r="P1353" i="11"/>
  <c r="R1352" i="11"/>
  <c r="P1352" i="11"/>
  <c r="R1351" i="11"/>
  <c r="P1351" i="11"/>
  <c r="R1350" i="11"/>
  <c r="P1350" i="11"/>
  <c r="R1349" i="11"/>
  <c r="P1349" i="11"/>
  <c r="R1348" i="11"/>
  <c r="P1348" i="11"/>
  <c r="R1347" i="11"/>
  <c r="P1347" i="11"/>
  <c r="R1346" i="11"/>
  <c r="P1346" i="11"/>
  <c r="R1345" i="11"/>
  <c r="P1345" i="11"/>
  <c r="R1344" i="11"/>
  <c r="P1344" i="11"/>
  <c r="R1343" i="11"/>
  <c r="P1343" i="11"/>
  <c r="R1342" i="11"/>
  <c r="P1342" i="11"/>
  <c r="R1341" i="11"/>
  <c r="P1341" i="11"/>
  <c r="R1340" i="11"/>
  <c r="P1340" i="11"/>
  <c r="R1339" i="11"/>
  <c r="P1339" i="11"/>
  <c r="R1338" i="11"/>
  <c r="P1338" i="11"/>
  <c r="R1337" i="11"/>
  <c r="P1337" i="11"/>
  <c r="R1336" i="11"/>
  <c r="P1336" i="11"/>
  <c r="R1335" i="11"/>
  <c r="P1335" i="11"/>
  <c r="R1334" i="11"/>
  <c r="P1334" i="11"/>
  <c r="R1333" i="11"/>
  <c r="P1333" i="11"/>
  <c r="R1332" i="11"/>
  <c r="P1332" i="11"/>
  <c r="R1331" i="11"/>
  <c r="P1331" i="11"/>
  <c r="R1330" i="11"/>
  <c r="P1330" i="11"/>
  <c r="R1329" i="11"/>
  <c r="P1329" i="11"/>
  <c r="R1328" i="11"/>
  <c r="P1328" i="11"/>
  <c r="R1327" i="11"/>
  <c r="P1327" i="11"/>
  <c r="R1326" i="11"/>
  <c r="P1326" i="11"/>
  <c r="R1325" i="11"/>
  <c r="P1325" i="11"/>
  <c r="R1324" i="11"/>
  <c r="P1324" i="11"/>
  <c r="R1323" i="11"/>
  <c r="P1323" i="11"/>
  <c r="R1322" i="11"/>
  <c r="P1322" i="11"/>
  <c r="R1321" i="11"/>
  <c r="P1321" i="11"/>
  <c r="R1320" i="11"/>
  <c r="P1320" i="11"/>
  <c r="R1319" i="11"/>
  <c r="P1319" i="11"/>
  <c r="R1318" i="11"/>
  <c r="P1318" i="11"/>
  <c r="R1317" i="11"/>
  <c r="P1317" i="11"/>
  <c r="R1316" i="11"/>
  <c r="P1316" i="11"/>
  <c r="R1315" i="11"/>
  <c r="P1315" i="11"/>
  <c r="R1314" i="11"/>
  <c r="P1314" i="11"/>
  <c r="R1313" i="11"/>
  <c r="P1313" i="11"/>
  <c r="R1312" i="11"/>
  <c r="P1312" i="11"/>
  <c r="R1311" i="11"/>
  <c r="P1311" i="11"/>
  <c r="R1310" i="11"/>
  <c r="P1310" i="11"/>
  <c r="R1309" i="11"/>
  <c r="P1309" i="11"/>
  <c r="R1308" i="11"/>
  <c r="P1308" i="11"/>
  <c r="R1307" i="11"/>
  <c r="P1307" i="11"/>
  <c r="R1306" i="11"/>
  <c r="P1306" i="11"/>
  <c r="R1305" i="11"/>
  <c r="P1305" i="11"/>
  <c r="R1304" i="11"/>
  <c r="P1304" i="11"/>
  <c r="R1303" i="11"/>
  <c r="P1303" i="11"/>
  <c r="R1302" i="11"/>
  <c r="P1302" i="11"/>
  <c r="R1301" i="11"/>
  <c r="P1301" i="11"/>
  <c r="R1300" i="11"/>
  <c r="P1300" i="11"/>
  <c r="R1299" i="11"/>
  <c r="P1299" i="11"/>
  <c r="R1298" i="11"/>
  <c r="P1298" i="11"/>
  <c r="R1297" i="11"/>
  <c r="P1297" i="11"/>
  <c r="R1296" i="11"/>
  <c r="P1296" i="11"/>
  <c r="R1295" i="11"/>
  <c r="P1295" i="11"/>
  <c r="R1294" i="11"/>
  <c r="P1294" i="11"/>
  <c r="R1293" i="11"/>
  <c r="P1293" i="11"/>
  <c r="R1292" i="11"/>
  <c r="P1292" i="11"/>
  <c r="R1291" i="11"/>
  <c r="P1291" i="11"/>
  <c r="R1290" i="11"/>
  <c r="P1290" i="11"/>
  <c r="R1289" i="11"/>
  <c r="P1289" i="11"/>
  <c r="R1288" i="11"/>
  <c r="P1288" i="11"/>
  <c r="R1287" i="11"/>
  <c r="P1287" i="11"/>
  <c r="R1286" i="11"/>
  <c r="P1286" i="11"/>
  <c r="R1285" i="11"/>
  <c r="P1285" i="11"/>
  <c r="R1284" i="11"/>
  <c r="P1284" i="11"/>
  <c r="R1283" i="11"/>
  <c r="P1283" i="11"/>
  <c r="R1282" i="11"/>
  <c r="P1282" i="11"/>
  <c r="R1281" i="11"/>
  <c r="P1281" i="11"/>
  <c r="R1280" i="11"/>
  <c r="P1280" i="11"/>
  <c r="R1279" i="11"/>
  <c r="P1279" i="11"/>
  <c r="R1278" i="11"/>
  <c r="P1278" i="11"/>
  <c r="R1277" i="11"/>
  <c r="P1277" i="11"/>
  <c r="R1276" i="11"/>
  <c r="P1276" i="11"/>
  <c r="R1275" i="11"/>
  <c r="P1275" i="11"/>
  <c r="R1274" i="11"/>
  <c r="P1274" i="11"/>
  <c r="R1273" i="11"/>
  <c r="P1273" i="11"/>
  <c r="R1272" i="11"/>
  <c r="P1272" i="11"/>
  <c r="R1271" i="11"/>
  <c r="P1271" i="11"/>
  <c r="R1270" i="11"/>
  <c r="P1270" i="11"/>
  <c r="R1269" i="11"/>
  <c r="P1269" i="11"/>
  <c r="R1268" i="11"/>
  <c r="P1268" i="11"/>
  <c r="R1267" i="11"/>
  <c r="P1267" i="11"/>
  <c r="R1266" i="11"/>
  <c r="P1266" i="11"/>
  <c r="R1265" i="11"/>
  <c r="P1265" i="11"/>
  <c r="R1264" i="11"/>
  <c r="P1264" i="11"/>
  <c r="R1263" i="11"/>
  <c r="P1263" i="11"/>
  <c r="R1262" i="11"/>
  <c r="P1262" i="11"/>
  <c r="R1261" i="11"/>
  <c r="P1261" i="11"/>
  <c r="R1260" i="11"/>
  <c r="P1260" i="11"/>
  <c r="R1259" i="11"/>
  <c r="P1259" i="11"/>
  <c r="R1258" i="11"/>
  <c r="P1258" i="11"/>
  <c r="R1257" i="11"/>
  <c r="P1257" i="11"/>
  <c r="R1256" i="11"/>
  <c r="P1256" i="11"/>
  <c r="R1255" i="11"/>
  <c r="P1255" i="11"/>
  <c r="R1254" i="11"/>
  <c r="P1254" i="11"/>
  <c r="R1253" i="11"/>
  <c r="P1253" i="11"/>
  <c r="R1252" i="11"/>
  <c r="P1252" i="11"/>
  <c r="R1251" i="11"/>
  <c r="P1251" i="11"/>
  <c r="R1250" i="11"/>
  <c r="P1250" i="11"/>
  <c r="R1249" i="11"/>
  <c r="P1249" i="11"/>
  <c r="R1248" i="11"/>
  <c r="P1248" i="11"/>
  <c r="R1247" i="11"/>
  <c r="P1247" i="11"/>
  <c r="R1246" i="11"/>
  <c r="P1246" i="11"/>
  <c r="R1245" i="11"/>
  <c r="P1245" i="11"/>
  <c r="R1244" i="11"/>
  <c r="P1244" i="11"/>
  <c r="R1243" i="11"/>
  <c r="P1243" i="11"/>
  <c r="R1242" i="11"/>
  <c r="P1242" i="11"/>
  <c r="R1241" i="11"/>
  <c r="P1241" i="11"/>
  <c r="R1240" i="11"/>
  <c r="P1240" i="11"/>
  <c r="R1239" i="11"/>
  <c r="P1239" i="11"/>
  <c r="R1238" i="11"/>
  <c r="P1238" i="11"/>
  <c r="R1237" i="11"/>
  <c r="P1237" i="11"/>
  <c r="R1236" i="11"/>
  <c r="P1236" i="11"/>
  <c r="R1235" i="11"/>
  <c r="P1235" i="11"/>
  <c r="R1234" i="11"/>
  <c r="P1234" i="11"/>
  <c r="R1233" i="11"/>
  <c r="P1233" i="11"/>
  <c r="R1232" i="11"/>
  <c r="P1232" i="11"/>
  <c r="R1231" i="11"/>
  <c r="P1231" i="11"/>
  <c r="R1230" i="11"/>
  <c r="P1230" i="11"/>
  <c r="R1229" i="11"/>
  <c r="P1229" i="11"/>
  <c r="R1228" i="11"/>
  <c r="P1228" i="11"/>
  <c r="R1227" i="11"/>
  <c r="P1227" i="11"/>
  <c r="R1226" i="11"/>
  <c r="P1226" i="11"/>
  <c r="R1225" i="11"/>
  <c r="P1225" i="11"/>
  <c r="R1224" i="11"/>
  <c r="P1224" i="11"/>
  <c r="R1223" i="11"/>
  <c r="P1223" i="11"/>
  <c r="R1222" i="11"/>
  <c r="P1222" i="11"/>
  <c r="R1221" i="11"/>
  <c r="P1221" i="11"/>
  <c r="R1220" i="11"/>
  <c r="P1220" i="11"/>
  <c r="R1219" i="11"/>
  <c r="P1219" i="11"/>
  <c r="R1218" i="11"/>
  <c r="P1218" i="11"/>
  <c r="R1217" i="11"/>
  <c r="P1217" i="11"/>
  <c r="R1216" i="11"/>
  <c r="P1216" i="11"/>
  <c r="R1215" i="11"/>
  <c r="P1215" i="11"/>
  <c r="R1214" i="11"/>
  <c r="P1214" i="11"/>
  <c r="R1213" i="11"/>
  <c r="P1213" i="11"/>
  <c r="R1212" i="11"/>
  <c r="P1212" i="11"/>
  <c r="R1211" i="11"/>
  <c r="P1211" i="11"/>
  <c r="R1210" i="11"/>
  <c r="P1210" i="11"/>
  <c r="R1209" i="11"/>
  <c r="P1209" i="11"/>
  <c r="R1208" i="11"/>
  <c r="P1208" i="11"/>
  <c r="R1207" i="11"/>
  <c r="P1207" i="11"/>
  <c r="R1206" i="11"/>
  <c r="P1206" i="11"/>
  <c r="R1205" i="11"/>
  <c r="P1205" i="11"/>
  <c r="R1204" i="11"/>
  <c r="P1204" i="11"/>
  <c r="R1203" i="11"/>
  <c r="P1203" i="11"/>
  <c r="R1202" i="11"/>
  <c r="P1202" i="11"/>
  <c r="R1201" i="11"/>
  <c r="P1201" i="11"/>
  <c r="R1200" i="11"/>
  <c r="P1200" i="11"/>
  <c r="R1199" i="11"/>
  <c r="P1199" i="11"/>
  <c r="R1198" i="11"/>
  <c r="P1198" i="11"/>
  <c r="R1197" i="11"/>
  <c r="P1197" i="11"/>
  <c r="R1196" i="11"/>
  <c r="P1196" i="11"/>
  <c r="R1195" i="11"/>
  <c r="P1195" i="11"/>
  <c r="R1194" i="11"/>
  <c r="P1194" i="11"/>
  <c r="R1193" i="11"/>
  <c r="P1193" i="11"/>
  <c r="R1192" i="11"/>
  <c r="P1192" i="11"/>
  <c r="R1191" i="11"/>
  <c r="P1191" i="11"/>
  <c r="R1190" i="11"/>
  <c r="P1190" i="11"/>
  <c r="R1189" i="11"/>
  <c r="P1189" i="11"/>
  <c r="R1188" i="11"/>
  <c r="P1188" i="11"/>
  <c r="R1187" i="11"/>
  <c r="P1187" i="11"/>
  <c r="R1186" i="11"/>
  <c r="P1186" i="11"/>
  <c r="R1185" i="11"/>
  <c r="P1185" i="11"/>
  <c r="R1184" i="11"/>
  <c r="P1184" i="11"/>
  <c r="R1183" i="11"/>
  <c r="P1183" i="11"/>
  <c r="R1182" i="11"/>
  <c r="P1182" i="11"/>
  <c r="R1181" i="11"/>
  <c r="P1181" i="11"/>
  <c r="R1180" i="11"/>
  <c r="P1180" i="11"/>
  <c r="R1179" i="11"/>
  <c r="P1179" i="11"/>
  <c r="R1178" i="11"/>
  <c r="P1178" i="11"/>
  <c r="R1177" i="11"/>
  <c r="P1177" i="11"/>
  <c r="R1176" i="11"/>
  <c r="P1176" i="11"/>
  <c r="R1175" i="11"/>
  <c r="P1175" i="11"/>
  <c r="R1174" i="11"/>
  <c r="P1174" i="11"/>
  <c r="R1173" i="11"/>
  <c r="P1173" i="11"/>
  <c r="R1172" i="11"/>
  <c r="P1172" i="11"/>
  <c r="R1171" i="11"/>
  <c r="P1171" i="11"/>
  <c r="R1170" i="11"/>
  <c r="P1170" i="11"/>
  <c r="R1169" i="11"/>
  <c r="P1169" i="11"/>
  <c r="R1168" i="11"/>
  <c r="P1168" i="11"/>
  <c r="R1167" i="11"/>
  <c r="P1167" i="11"/>
  <c r="R1166" i="11"/>
  <c r="P1166" i="11"/>
  <c r="R1165" i="11"/>
  <c r="P1165" i="11"/>
  <c r="R1164" i="11"/>
  <c r="P1164" i="11"/>
  <c r="R1163" i="11"/>
  <c r="P1163" i="11"/>
  <c r="R1162" i="11"/>
  <c r="P1162" i="11"/>
  <c r="R1161" i="11"/>
  <c r="P1161" i="11"/>
  <c r="R1160" i="11"/>
  <c r="P1160" i="11"/>
  <c r="R1159" i="11"/>
  <c r="P1159" i="11"/>
  <c r="R1158" i="11"/>
  <c r="P1158" i="11"/>
  <c r="R1157" i="11"/>
  <c r="P1157" i="11"/>
  <c r="R1156" i="11"/>
  <c r="P1156" i="11"/>
  <c r="R1155" i="11"/>
  <c r="P1155" i="11"/>
  <c r="R1154" i="11"/>
  <c r="P1154" i="11"/>
  <c r="R1153" i="11"/>
  <c r="P1153" i="11"/>
  <c r="R1152" i="11"/>
  <c r="P1152" i="11"/>
  <c r="R1151" i="11"/>
  <c r="P1151" i="11"/>
  <c r="R1150" i="11"/>
  <c r="P1150" i="11"/>
  <c r="R1149" i="11"/>
  <c r="P1149" i="11"/>
  <c r="R1148" i="11"/>
  <c r="P1148" i="11"/>
  <c r="R1147" i="11"/>
  <c r="P1147" i="11"/>
  <c r="R1146" i="11"/>
  <c r="P1146" i="11"/>
  <c r="R1145" i="11"/>
  <c r="P1145" i="11"/>
  <c r="R1144" i="11"/>
  <c r="P1144" i="11"/>
  <c r="R1143" i="11"/>
  <c r="P1143" i="11"/>
  <c r="R1142" i="11"/>
  <c r="P1142" i="11"/>
  <c r="R1141" i="11"/>
  <c r="P1141" i="11"/>
  <c r="R1140" i="11"/>
  <c r="P1140" i="11"/>
  <c r="R1139" i="11"/>
  <c r="P1139" i="11"/>
  <c r="R1138" i="11"/>
  <c r="P1138" i="11"/>
  <c r="R1137" i="11"/>
  <c r="P1137" i="11"/>
  <c r="R1136" i="11"/>
  <c r="P1136" i="11"/>
  <c r="R1135" i="11"/>
  <c r="P1135" i="11"/>
  <c r="R1134" i="11"/>
  <c r="P1134" i="11"/>
  <c r="R1133" i="11"/>
  <c r="P1133" i="11"/>
  <c r="R1132" i="11"/>
  <c r="P1132" i="11"/>
  <c r="R1131" i="11"/>
  <c r="P1131" i="11"/>
  <c r="R1130" i="11"/>
  <c r="P1130" i="11"/>
  <c r="R1129" i="11"/>
  <c r="P1129" i="11"/>
  <c r="R1128" i="11"/>
  <c r="P1128" i="11"/>
  <c r="R1127" i="11"/>
  <c r="P1127" i="11"/>
  <c r="R1126" i="11"/>
  <c r="P1126" i="11"/>
  <c r="R1125" i="11"/>
  <c r="P1125" i="11"/>
  <c r="R1124" i="11"/>
  <c r="P1124" i="11"/>
  <c r="R1123" i="11"/>
  <c r="P1123" i="11"/>
  <c r="R1122" i="11"/>
  <c r="P1122" i="11"/>
  <c r="R1121" i="11"/>
  <c r="P1121" i="11"/>
  <c r="R1120" i="11"/>
  <c r="P1120" i="11"/>
  <c r="R1119" i="11"/>
  <c r="P1119" i="11"/>
  <c r="R1118" i="11"/>
  <c r="P1118" i="11"/>
  <c r="R1117" i="11"/>
  <c r="P1117" i="11"/>
  <c r="R1116" i="11"/>
  <c r="P1116" i="11"/>
  <c r="R1115" i="11"/>
  <c r="P1115" i="11"/>
  <c r="R1114" i="11"/>
  <c r="P1114" i="11"/>
  <c r="R1113" i="11"/>
  <c r="P1113" i="11"/>
  <c r="R1112" i="11"/>
  <c r="P1112" i="11"/>
  <c r="R1111" i="11"/>
  <c r="P1111" i="11"/>
  <c r="R1110" i="11"/>
  <c r="P1110" i="11"/>
  <c r="R1109" i="11"/>
  <c r="P1109" i="11"/>
  <c r="R1108" i="11"/>
  <c r="P1108" i="11"/>
  <c r="R1107" i="11"/>
  <c r="P1107" i="11"/>
  <c r="R1106" i="11"/>
  <c r="P1106" i="11"/>
  <c r="R1105" i="11"/>
  <c r="P1105" i="11"/>
  <c r="R1104" i="11"/>
  <c r="P1104" i="11"/>
  <c r="R1103" i="11"/>
  <c r="P1103" i="11"/>
  <c r="R1102" i="11"/>
  <c r="P1102" i="11"/>
  <c r="R1101" i="11"/>
  <c r="P1101" i="11"/>
  <c r="R1100" i="11"/>
  <c r="P1100" i="11"/>
  <c r="R1099" i="11"/>
  <c r="P1099" i="11"/>
  <c r="R1098" i="11"/>
  <c r="P1098" i="11"/>
  <c r="R1097" i="11"/>
  <c r="P1097" i="11"/>
  <c r="R1096" i="11"/>
  <c r="P1096" i="11"/>
  <c r="R1095" i="11"/>
  <c r="P1095" i="11"/>
  <c r="R1094" i="11"/>
  <c r="P1094" i="11"/>
  <c r="R1093" i="11"/>
  <c r="P1093" i="11"/>
  <c r="R1092" i="11"/>
  <c r="P1092" i="11"/>
  <c r="R1091" i="11"/>
  <c r="P1091" i="11"/>
  <c r="R1090" i="11"/>
  <c r="P1090" i="11"/>
  <c r="R1089" i="11"/>
  <c r="P1089" i="11"/>
  <c r="R1088" i="11"/>
  <c r="P1088" i="11"/>
  <c r="R1087" i="11"/>
  <c r="P1087" i="11"/>
  <c r="R1086" i="11"/>
  <c r="P1086" i="11"/>
  <c r="R1085" i="11"/>
  <c r="P1085" i="11"/>
  <c r="R1084" i="11"/>
  <c r="P1084" i="11"/>
  <c r="R1083" i="11"/>
  <c r="P1083" i="11"/>
  <c r="R1082" i="11"/>
  <c r="P1082" i="11"/>
  <c r="R1081" i="11"/>
  <c r="P1081" i="11"/>
  <c r="R1080" i="11"/>
  <c r="P1080" i="11"/>
  <c r="R1079" i="11"/>
  <c r="P1079" i="11"/>
  <c r="R1078" i="11"/>
  <c r="P1078" i="11"/>
  <c r="R1077" i="11"/>
  <c r="P1077" i="11"/>
  <c r="R1076" i="11"/>
  <c r="P1076" i="11"/>
  <c r="R1075" i="11"/>
  <c r="P1075" i="11"/>
  <c r="R1074" i="11"/>
  <c r="P1074" i="11"/>
  <c r="R1073" i="11"/>
  <c r="P1073" i="11"/>
  <c r="R1072" i="11"/>
  <c r="P1072" i="11"/>
  <c r="R1071" i="11"/>
  <c r="P1071" i="11"/>
  <c r="R1070" i="11"/>
  <c r="P1070" i="11"/>
  <c r="R1069" i="11"/>
  <c r="P1069" i="11"/>
  <c r="R1068" i="11"/>
  <c r="P1068" i="11"/>
  <c r="R1067" i="11"/>
  <c r="P1067" i="11"/>
  <c r="R1066" i="11"/>
  <c r="P1066" i="11"/>
  <c r="R1065" i="11"/>
  <c r="P1065" i="11"/>
  <c r="R1064" i="11"/>
  <c r="P1064" i="11"/>
  <c r="R1063" i="11"/>
  <c r="P1063" i="11"/>
  <c r="R1062" i="11"/>
  <c r="P1062" i="11"/>
  <c r="R1061" i="11"/>
  <c r="P1061" i="11"/>
  <c r="R1060" i="11"/>
  <c r="P1060" i="11"/>
  <c r="R1059" i="11"/>
  <c r="P1059" i="11"/>
  <c r="R1058" i="11"/>
  <c r="P1058" i="11"/>
  <c r="R1057" i="11"/>
  <c r="P1057" i="11"/>
  <c r="R1056" i="11"/>
  <c r="P1056" i="11"/>
  <c r="R1055" i="11"/>
  <c r="P1055" i="11"/>
  <c r="R1054" i="11"/>
  <c r="P1054" i="11"/>
  <c r="R1053" i="11"/>
  <c r="P1053" i="11"/>
  <c r="R1052" i="11"/>
  <c r="P1052" i="11"/>
  <c r="R1051" i="11"/>
  <c r="P1051" i="11"/>
  <c r="R1050" i="11"/>
  <c r="P1050" i="11"/>
  <c r="R1049" i="11"/>
  <c r="P1049" i="11"/>
  <c r="R1048" i="11"/>
  <c r="P1048" i="11"/>
  <c r="R1047" i="11"/>
  <c r="P1047" i="11"/>
  <c r="R1046" i="11"/>
  <c r="P1046" i="11"/>
  <c r="R1045" i="11"/>
  <c r="P1045" i="11"/>
  <c r="R1044" i="11"/>
  <c r="P1044" i="11"/>
  <c r="R1043" i="11"/>
  <c r="P1043" i="11"/>
  <c r="R1042" i="11"/>
  <c r="P1042" i="11"/>
  <c r="R1041" i="11"/>
  <c r="P1041" i="11"/>
  <c r="R1040" i="11"/>
  <c r="P1040" i="11"/>
  <c r="R1039" i="11"/>
  <c r="P1039" i="11"/>
  <c r="R1038" i="11"/>
  <c r="P1038" i="11"/>
  <c r="R1037" i="11"/>
  <c r="P1037" i="11"/>
  <c r="R1036" i="11"/>
  <c r="P1036" i="11"/>
  <c r="R1035" i="11"/>
  <c r="P1035" i="11"/>
  <c r="R1034" i="11"/>
  <c r="P1034" i="11"/>
  <c r="R1033" i="11"/>
  <c r="P1033" i="11"/>
  <c r="R1032" i="11"/>
  <c r="P1032" i="11"/>
  <c r="R1031" i="11"/>
  <c r="P1031" i="11"/>
  <c r="R1030" i="11"/>
  <c r="P1030" i="11"/>
  <c r="R1029" i="11"/>
  <c r="P1029" i="11"/>
  <c r="R1028" i="11"/>
  <c r="P1028" i="11"/>
  <c r="R1027" i="11"/>
  <c r="P1027" i="11"/>
  <c r="R1026" i="11"/>
  <c r="P1026" i="11"/>
  <c r="R1025" i="11"/>
  <c r="P1025" i="11"/>
  <c r="R1024" i="11"/>
  <c r="P1024" i="11"/>
  <c r="R1023" i="11"/>
  <c r="P1023" i="11"/>
  <c r="R1022" i="11"/>
  <c r="P1022" i="11"/>
  <c r="R1021" i="11"/>
  <c r="P1021" i="11"/>
  <c r="R1020" i="11"/>
  <c r="P1020" i="11"/>
  <c r="R1019" i="11"/>
  <c r="P1019" i="11"/>
  <c r="R1018" i="11"/>
  <c r="P1018" i="11"/>
  <c r="R1017" i="11"/>
  <c r="P1017" i="11"/>
  <c r="R1016" i="11"/>
  <c r="P1016" i="11"/>
  <c r="R1015" i="11"/>
  <c r="P1015" i="11"/>
  <c r="R1014" i="11"/>
  <c r="P1014" i="11"/>
  <c r="R1013" i="11"/>
  <c r="P1013" i="11"/>
  <c r="R1012" i="11"/>
  <c r="P1012" i="11"/>
  <c r="R1011" i="11"/>
  <c r="P1011" i="11"/>
  <c r="R1010" i="11"/>
  <c r="P1010" i="11"/>
  <c r="R1009" i="11"/>
  <c r="P1009" i="11"/>
  <c r="R1008" i="11"/>
  <c r="P1008" i="11"/>
  <c r="R1007" i="11"/>
  <c r="P1007" i="11"/>
  <c r="R1006" i="11"/>
  <c r="P1006" i="11"/>
  <c r="R1005" i="11"/>
  <c r="P1005" i="11"/>
  <c r="R1004" i="11"/>
  <c r="P1004" i="11"/>
  <c r="R1003" i="11"/>
  <c r="P1003" i="11"/>
  <c r="R1002" i="11"/>
  <c r="P1002" i="11"/>
  <c r="R1001" i="11"/>
  <c r="P1001" i="11"/>
  <c r="R1000" i="11"/>
  <c r="P1000" i="11"/>
  <c r="R999" i="11"/>
  <c r="P999" i="11"/>
  <c r="R998" i="11"/>
  <c r="P998" i="11"/>
  <c r="R997" i="11"/>
  <c r="P997" i="11"/>
  <c r="R996" i="11"/>
  <c r="P996" i="11"/>
  <c r="R995" i="11"/>
  <c r="P995" i="11"/>
  <c r="R994" i="11"/>
  <c r="P994" i="11"/>
  <c r="R993" i="11"/>
  <c r="P993" i="11"/>
  <c r="R992" i="11"/>
  <c r="P992" i="11"/>
  <c r="R991" i="11"/>
  <c r="P991" i="11"/>
  <c r="R990" i="11"/>
  <c r="P990" i="11"/>
  <c r="R989" i="11"/>
  <c r="P989" i="11"/>
  <c r="R988" i="11"/>
  <c r="P988" i="11"/>
  <c r="R987" i="11"/>
  <c r="P987" i="11"/>
  <c r="R986" i="11"/>
  <c r="P986" i="11"/>
  <c r="R985" i="11"/>
  <c r="P985" i="11"/>
  <c r="R984" i="11"/>
  <c r="P984" i="11"/>
  <c r="R983" i="11"/>
  <c r="P983" i="11"/>
  <c r="R982" i="11"/>
  <c r="P982" i="11"/>
  <c r="R981" i="11"/>
  <c r="P981" i="11"/>
  <c r="R980" i="11"/>
  <c r="P980" i="11"/>
  <c r="R979" i="11"/>
  <c r="P979" i="11"/>
  <c r="R978" i="11"/>
  <c r="P978" i="11"/>
  <c r="R977" i="11"/>
  <c r="P977" i="11"/>
  <c r="R976" i="11"/>
  <c r="P976" i="11"/>
  <c r="R975" i="11"/>
  <c r="P975" i="11"/>
  <c r="R974" i="11"/>
  <c r="P974" i="11"/>
  <c r="R973" i="11"/>
  <c r="P973" i="11"/>
  <c r="R972" i="11"/>
  <c r="P972" i="11"/>
  <c r="R971" i="11"/>
  <c r="P971" i="11"/>
  <c r="R970" i="11"/>
  <c r="P970" i="11"/>
  <c r="R969" i="11"/>
  <c r="P969" i="11"/>
  <c r="R968" i="11"/>
  <c r="P968" i="11"/>
  <c r="R967" i="11"/>
  <c r="P967" i="11"/>
  <c r="R966" i="11"/>
  <c r="P966" i="11"/>
  <c r="R965" i="11"/>
  <c r="P965" i="11"/>
  <c r="R964" i="11"/>
  <c r="P964" i="11"/>
  <c r="R963" i="11"/>
  <c r="P963" i="11"/>
  <c r="R962" i="11"/>
  <c r="P962" i="11"/>
  <c r="R961" i="11"/>
  <c r="P961" i="11"/>
  <c r="R960" i="11"/>
  <c r="P960" i="11"/>
  <c r="R959" i="11"/>
  <c r="P959" i="11"/>
  <c r="R958" i="11"/>
  <c r="P958" i="11"/>
  <c r="R957" i="11"/>
  <c r="P957" i="11"/>
  <c r="R956" i="11"/>
  <c r="P956" i="11"/>
  <c r="R955" i="11"/>
  <c r="P955" i="11"/>
  <c r="R954" i="11"/>
  <c r="P954" i="11"/>
  <c r="R953" i="11"/>
  <c r="P953" i="11"/>
  <c r="R952" i="11"/>
  <c r="P952" i="11"/>
  <c r="R951" i="11"/>
  <c r="P951" i="11"/>
  <c r="R950" i="11"/>
  <c r="P950" i="11"/>
  <c r="R949" i="11"/>
  <c r="P949" i="11"/>
  <c r="R948" i="11"/>
  <c r="P948" i="11"/>
  <c r="R947" i="11"/>
  <c r="P947" i="11"/>
  <c r="R946" i="11"/>
  <c r="P946" i="11"/>
  <c r="R945" i="11"/>
  <c r="P945" i="11"/>
  <c r="R944" i="11"/>
  <c r="P944" i="11"/>
  <c r="R943" i="11"/>
  <c r="P943" i="11"/>
  <c r="R942" i="11"/>
  <c r="P942" i="11"/>
  <c r="R941" i="11"/>
  <c r="P941" i="11"/>
  <c r="R940" i="11"/>
  <c r="P940" i="11"/>
  <c r="R939" i="11"/>
  <c r="P939" i="11"/>
  <c r="R938" i="11"/>
  <c r="P938" i="11"/>
  <c r="R937" i="11"/>
  <c r="P937" i="11"/>
  <c r="R936" i="11"/>
  <c r="P936" i="11"/>
  <c r="R935" i="11"/>
  <c r="P935" i="11"/>
  <c r="R934" i="11"/>
  <c r="P934" i="11"/>
  <c r="R933" i="11"/>
  <c r="P933" i="11"/>
  <c r="R932" i="11"/>
  <c r="P932" i="11"/>
  <c r="R931" i="11"/>
  <c r="P931" i="11"/>
  <c r="R930" i="11"/>
  <c r="P930" i="11"/>
  <c r="R929" i="11"/>
  <c r="P929" i="11"/>
  <c r="R928" i="11"/>
  <c r="P928" i="11"/>
  <c r="R927" i="11"/>
  <c r="P927" i="11"/>
  <c r="R926" i="11"/>
  <c r="P926" i="11"/>
  <c r="R925" i="11"/>
  <c r="P925" i="11"/>
  <c r="R924" i="11"/>
  <c r="P924" i="11"/>
  <c r="R923" i="11"/>
  <c r="P923" i="11"/>
  <c r="R922" i="11"/>
  <c r="P922" i="11"/>
  <c r="R921" i="11"/>
  <c r="P921" i="11"/>
  <c r="R920" i="11"/>
  <c r="P920" i="11"/>
  <c r="R919" i="11"/>
  <c r="P919" i="11"/>
  <c r="R918" i="11"/>
  <c r="P918" i="11"/>
  <c r="R917" i="11"/>
  <c r="P917" i="11"/>
  <c r="R916" i="11"/>
  <c r="P916" i="11"/>
  <c r="R915" i="11"/>
  <c r="P915" i="11"/>
  <c r="R914" i="11"/>
  <c r="P914" i="11"/>
  <c r="R913" i="11"/>
  <c r="P913" i="11"/>
  <c r="R912" i="11"/>
  <c r="P912" i="11"/>
  <c r="R911" i="11"/>
  <c r="P911" i="11"/>
  <c r="R910" i="11"/>
  <c r="P910" i="11"/>
  <c r="R909" i="11"/>
  <c r="P909" i="11"/>
  <c r="R908" i="11"/>
  <c r="P908" i="11"/>
  <c r="R907" i="11"/>
  <c r="P907" i="11"/>
  <c r="R906" i="11"/>
  <c r="P906" i="11"/>
  <c r="R905" i="11"/>
  <c r="P905" i="11"/>
  <c r="R904" i="11"/>
  <c r="P904" i="11"/>
  <c r="R903" i="11"/>
  <c r="P903" i="11"/>
  <c r="R902" i="11"/>
  <c r="P902" i="11"/>
  <c r="R901" i="11"/>
  <c r="P901" i="11"/>
  <c r="R900" i="11"/>
  <c r="P900" i="11"/>
  <c r="R899" i="11"/>
  <c r="P899" i="11"/>
  <c r="R898" i="11"/>
  <c r="P898" i="11"/>
  <c r="R897" i="11"/>
  <c r="P897" i="11"/>
  <c r="R896" i="11"/>
  <c r="P896" i="11"/>
  <c r="R895" i="11"/>
  <c r="P895" i="11"/>
  <c r="R894" i="11"/>
  <c r="P894" i="11"/>
  <c r="R893" i="11"/>
  <c r="P893" i="11"/>
  <c r="R892" i="11"/>
  <c r="P892" i="11"/>
  <c r="R891" i="11"/>
  <c r="P891" i="11"/>
  <c r="R890" i="11"/>
  <c r="P890" i="11"/>
  <c r="R889" i="11"/>
  <c r="P889" i="11"/>
  <c r="R888" i="11"/>
  <c r="P888" i="11"/>
  <c r="R887" i="11"/>
  <c r="P887" i="11"/>
  <c r="R886" i="11"/>
  <c r="P886" i="11"/>
  <c r="R885" i="11"/>
  <c r="P885" i="11"/>
  <c r="R884" i="11"/>
  <c r="P884" i="11"/>
  <c r="R883" i="11"/>
  <c r="P883" i="11"/>
  <c r="R882" i="11"/>
  <c r="P882" i="11"/>
  <c r="R881" i="11"/>
  <c r="P881" i="11"/>
  <c r="R880" i="11"/>
  <c r="P880" i="11"/>
  <c r="R879" i="11"/>
  <c r="P879" i="11"/>
  <c r="R878" i="11"/>
  <c r="P878" i="11"/>
  <c r="R877" i="11"/>
  <c r="P877" i="11"/>
  <c r="R876" i="11"/>
  <c r="P876" i="11"/>
  <c r="R875" i="11"/>
  <c r="P875" i="11"/>
  <c r="R874" i="11"/>
  <c r="P874" i="11"/>
  <c r="R873" i="11"/>
  <c r="P873" i="11"/>
  <c r="R872" i="11"/>
  <c r="P872" i="11"/>
  <c r="R871" i="11"/>
  <c r="P871" i="11"/>
  <c r="R870" i="11"/>
  <c r="P870" i="11"/>
  <c r="R869" i="11"/>
  <c r="P869" i="11"/>
  <c r="R868" i="11"/>
  <c r="P868" i="11"/>
  <c r="R867" i="11"/>
  <c r="P867" i="11"/>
  <c r="R866" i="11"/>
  <c r="P866" i="11"/>
  <c r="R865" i="11"/>
  <c r="P865" i="11"/>
  <c r="R864" i="11"/>
  <c r="P864" i="11"/>
  <c r="R863" i="11"/>
  <c r="P863" i="11"/>
  <c r="R862" i="11"/>
  <c r="P862" i="11"/>
  <c r="R861" i="11"/>
  <c r="P861" i="11"/>
  <c r="R860" i="11"/>
  <c r="P860" i="11"/>
  <c r="R859" i="11"/>
  <c r="P859" i="11"/>
  <c r="R858" i="11"/>
  <c r="P858" i="11"/>
  <c r="R857" i="11"/>
  <c r="P857" i="11"/>
  <c r="R856" i="11"/>
  <c r="P856" i="11"/>
  <c r="R855" i="11"/>
  <c r="P855" i="11"/>
  <c r="R854" i="11"/>
  <c r="P854" i="11"/>
  <c r="R853" i="11"/>
  <c r="P853" i="11"/>
  <c r="R852" i="11"/>
  <c r="P852" i="11"/>
  <c r="R851" i="11"/>
  <c r="P851" i="11"/>
  <c r="R850" i="11"/>
  <c r="P850" i="11"/>
  <c r="R849" i="11"/>
  <c r="P849" i="11"/>
  <c r="R848" i="11"/>
  <c r="P848" i="11"/>
  <c r="R847" i="11"/>
  <c r="P847" i="11"/>
  <c r="R846" i="11"/>
  <c r="P846" i="11"/>
  <c r="R845" i="11"/>
  <c r="P845" i="11"/>
  <c r="R844" i="11"/>
  <c r="P844" i="11"/>
  <c r="R843" i="11"/>
  <c r="P843" i="11"/>
  <c r="R842" i="11"/>
  <c r="P842" i="11"/>
  <c r="R841" i="11"/>
  <c r="P841" i="11"/>
  <c r="R840" i="11"/>
  <c r="P840" i="11"/>
  <c r="R839" i="11"/>
  <c r="P839" i="11"/>
  <c r="R838" i="11"/>
  <c r="P838" i="11"/>
  <c r="R837" i="11"/>
  <c r="P837" i="11"/>
  <c r="R836" i="11"/>
  <c r="P836" i="11"/>
  <c r="R835" i="11"/>
  <c r="P835" i="11"/>
  <c r="R834" i="11"/>
  <c r="P834" i="11"/>
  <c r="R833" i="11"/>
  <c r="P833" i="11"/>
  <c r="R832" i="11"/>
  <c r="P832" i="11"/>
  <c r="R831" i="11"/>
  <c r="P831" i="11"/>
  <c r="R830" i="11"/>
  <c r="P830" i="11"/>
  <c r="R829" i="11"/>
  <c r="P829" i="11"/>
  <c r="R828" i="11"/>
  <c r="P828" i="11"/>
  <c r="R827" i="11"/>
  <c r="P827" i="11"/>
  <c r="R826" i="11"/>
  <c r="P826" i="11"/>
  <c r="R825" i="11"/>
  <c r="P825" i="11"/>
  <c r="R824" i="11"/>
  <c r="P824" i="11"/>
  <c r="R823" i="11"/>
  <c r="P823" i="11"/>
  <c r="R822" i="11"/>
  <c r="P822" i="11"/>
  <c r="R821" i="11"/>
  <c r="P821" i="11"/>
  <c r="R820" i="11"/>
  <c r="P820" i="11"/>
  <c r="R819" i="11"/>
  <c r="P819" i="11"/>
  <c r="R818" i="11"/>
  <c r="P818" i="11"/>
  <c r="R817" i="11"/>
  <c r="P817" i="11"/>
  <c r="R816" i="11"/>
  <c r="P816" i="11"/>
  <c r="R815" i="11"/>
  <c r="P815" i="11"/>
  <c r="R814" i="11"/>
  <c r="P814" i="11"/>
  <c r="R813" i="11"/>
  <c r="P813" i="11"/>
  <c r="R812" i="11"/>
  <c r="P812" i="11"/>
  <c r="R811" i="11"/>
  <c r="P811" i="11"/>
  <c r="R810" i="11"/>
  <c r="P810" i="11"/>
  <c r="R809" i="11"/>
  <c r="P809" i="11"/>
  <c r="R808" i="11"/>
  <c r="P808" i="11"/>
  <c r="R807" i="11"/>
  <c r="P807" i="11"/>
  <c r="R806" i="11"/>
  <c r="P806" i="11"/>
  <c r="R805" i="11"/>
  <c r="P805" i="11"/>
  <c r="R804" i="11"/>
  <c r="P804" i="11"/>
  <c r="R803" i="11"/>
  <c r="P803" i="11"/>
  <c r="R802" i="11"/>
  <c r="P802" i="11"/>
  <c r="R801" i="11"/>
  <c r="P801" i="11"/>
  <c r="R800" i="11"/>
  <c r="P800" i="11"/>
  <c r="R799" i="11"/>
  <c r="P799" i="11"/>
  <c r="R798" i="11"/>
  <c r="P798" i="11"/>
  <c r="R797" i="11"/>
  <c r="P797" i="11"/>
  <c r="R796" i="11"/>
  <c r="P796" i="11"/>
  <c r="R795" i="11"/>
  <c r="P795" i="11"/>
  <c r="R794" i="11"/>
  <c r="P794" i="11"/>
  <c r="R793" i="11"/>
  <c r="P793" i="11"/>
  <c r="R792" i="11"/>
  <c r="P792" i="11"/>
  <c r="R791" i="11"/>
  <c r="P791" i="11"/>
  <c r="R790" i="11"/>
  <c r="P790" i="11"/>
  <c r="R789" i="11"/>
  <c r="P789" i="11"/>
  <c r="R788" i="11"/>
  <c r="P788" i="11"/>
  <c r="R787" i="11"/>
  <c r="P787" i="11"/>
  <c r="R786" i="11"/>
  <c r="P786" i="11"/>
  <c r="R785" i="11"/>
  <c r="P785" i="11"/>
  <c r="R784" i="11"/>
  <c r="P784" i="11"/>
  <c r="R783" i="11"/>
  <c r="P783" i="11"/>
  <c r="R782" i="11"/>
  <c r="P782" i="11"/>
  <c r="R781" i="11"/>
  <c r="P781" i="11"/>
  <c r="R780" i="11"/>
  <c r="P780" i="11"/>
  <c r="R779" i="11"/>
  <c r="P779" i="11"/>
  <c r="R778" i="11"/>
  <c r="P778" i="11"/>
  <c r="R777" i="11"/>
  <c r="P777" i="11"/>
  <c r="R776" i="11"/>
  <c r="P776" i="11"/>
  <c r="R775" i="11"/>
  <c r="P775" i="11"/>
  <c r="R774" i="11"/>
  <c r="P774" i="11"/>
  <c r="R773" i="11"/>
  <c r="P773" i="11"/>
  <c r="R772" i="11"/>
  <c r="P772" i="11"/>
  <c r="R771" i="11"/>
  <c r="P771" i="11"/>
  <c r="R770" i="11"/>
  <c r="P770" i="11"/>
  <c r="R769" i="11"/>
  <c r="P769" i="11"/>
  <c r="R768" i="11"/>
  <c r="P768" i="11"/>
  <c r="R767" i="11"/>
  <c r="P767" i="11"/>
  <c r="R766" i="11"/>
  <c r="P766" i="11"/>
  <c r="R765" i="11"/>
  <c r="P765" i="11"/>
  <c r="R764" i="11"/>
  <c r="P764" i="11"/>
  <c r="R763" i="11"/>
  <c r="P763" i="11"/>
  <c r="R762" i="11"/>
  <c r="P762" i="11"/>
  <c r="R761" i="11"/>
  <c r="P761" i="11"/>
  <c r="R760" i="11"/>
  <c r="P760" i="11"/>
  <c r="R759" i="11"/>
  <c r="P759" i="11"/>
  <c r="R758" i="11"/>
  <c r="P758" i="11"/>
  <c r="R757" i="11"/>
  <c r="P757" i="11"/>
  <c r="R756" i="11"/>
  <c r="P756" i="11"/>
  <c r="R755" i="11"/>
  <c r="P755" i="11"/>
  <c r="R754" i="11"/>
  <c r="P754" i="11"/>
  <c r="R753" i="11"/>
  <c r="P753" i="11"/>
  <c r="R752" i="11"/>
  <c r="P752" i="11"/>
  <c r="R751" i="11"/>
  <c r="P751" i="11"/>
  <c r="R750" i="11"/>
  <c r="P750" i="11"/>
  <c r="R749" i="11"/>
  <c r="P749" i="11"/>
  <c r="R748" i="11"/>
  <c r="P748" i="11"/>
  <c r="R747" i="11"/>
  <c r="P747" i="11"/>
  <c r="R746" i="11"/>
  <c r="P746" i="11"/>
  <c r="R745" i="11"/>
  <c r="P745" i="11"/>
  <c r="R744" i="11"/>
  <c r="P744" i="11"/>
  <c r="R743" i="11"/>
  <c r="P743" i="11"/>
  <c r="R742" i="11"/>
  <c r="P742" i="11"/>
  <c r="R741" i="11"/>
  <c r="P741" i="11"/>
  <c r="R740" i="11"/>
  <c r="P740" i="11"/>
  <c r="R739" i="11"/>
  <c r="P739" i="11"/>
  <c r="R738" i="11"/>
  <c r="P738" i="11"/>
  <c r="R737" i="11"/>
  <c r="P737" i="11"/>
  <c r="R736" i="11"/>
  <c r="P736" i="11"/>
  <c r="R735" i="11"/>
  <c r="P735" i="11"/>
  <c r="R734" i="11"/>
  <c r="P734" i="11"/>
  <c r="R733" i="11"/>
  <c r="P733" i="11"/>
  <c r="R732" i="11"/>
  <c r="P732" i="11"/>
  <c r="R731" i="11"/>
  <c r="P731" i="11"/>
  <c r="R730" i="11"/>
  <c r="P730" i="11"/>
  <c r="R729" i="11"/>
  <c r="P729" i="11"/>
  <c r="R728" i="11"/>
  <c r="P728" i="11"/>
  <c r="R727" i="11"/>
  <c r="P727" i="11"/>
  <c r="R726" i="11"/>
  <c r="P726" i="11"/>
  <c r="R725" i="11"/>
  <c r="P725" i="11"/>
  <c r="R724" i="11"/>
  <c r="P724" i="11"/>
  <c r="R723" i="11"/>
  <c r="P723" i="11"/>
  <c r="R722" i="11"/>
  <c r="P722" i="11"/>
  <c r="R721" i="11"/>
  <c r="P721" i="11"/>
  <c r="R720" i="11"/>
  <c r="P720" i="11"/>
  <c r="R719" i="11"/>
  <c r="P719" i="11"/>
  <c r="R718" i="11"/>
  <c r="P718" i="11"/>
  <c r="R717" i="11"/>
  <c r="P717" i="11"/>
  <c r="R716" i="11"/>
  <c r="P716" i="11"/>
  <c r="R715" i="11"/>
  <c r="P715" i="11"/>
  <c r="R714" i="11"/>
  <c r="P714" i="11"/>
  <c r="R713" i="11"/>
  <c r="P713" i="11"/>
  <c r="R712" i="11"/>
  <c r="P712" i="11"/>
  <c r="R711" i="11"/>
  <c r="P711" i="11"/>
  <c r="R710" i="11"/>
  <c r="P710" i="11"/>
  <c r="R709" i="11"/>
  <c r="P709" i="11"/>
  <c r="R708" i="11"/>
  <c r="P708" i="11"/>
  <c r="R707" i="11"/>
  <c r="P707" i="11"/>
  <c r="R706" i="11"/>
  <c r="P706" i="11"/>
  <c r="R705" i="11"/>
  <c r="P705" i="11"/>
  <c r="R704" i="11"/>
  <c r="P704" i="11"/>
  <c r="R703" i="11"/>
  <c r="P703" i="11"/>
  <c r="R702" i="11"/>
  <c r="P702" i="11"/>
  <c r="R701" i="11"/>
  <c r="P701" i="11"/>
  <c r="R700" i="11"/>
  <c r="P700" i="11"/>
  <c r="R699" i="11"/>
  <c r="P699" i="11"/>
  <c r="R698" i="11"/>
  <c r="P698" i="11"/>
  <c r="R697" i="11"/>
  <c r="P697" i="11"/>
  <c r="R696" i="11"/>
  <c r="P696" i="11"/>
  <c r="R695" i="11"/>
  <c r="P695" i="11"/>
  <c r="R694" i="11"/>
  <c r="P694" i="11"/>
  <c r="R693" i="11"/>
  <c r="P693" i="11"/>
  <c r="R692" i="11"/>
  <c r="P692" i="11"/>
  <c r="R691" i="11"/>
  <c r="P691" i="11"/>
  <c r="R690" i="11"/>
  <c r="P690" i="11"/>
  <c r="R689" i="11"/>
  <c r="P689" i="11"/>
  <c r="R688" i="11"/>
  <c r="P688" i="11"/>
  <c r="R687" i="11"/>
  <c r="P687" i="11"/>
  <c r="R686" i="11"/>
  <c r="P686" i="11"/>
  <c r="R685" i="11"/>
  <c r="P685" i="11"/>
  <c r="R684" i="11"/>
  <c r="P684" i="11"/>
  <c r="R683" i="11"/>
  <c r="P683" i="11"/>
  <c r="R682" i="11"/>
  <c r="P682" i="11"/>
  <c r="R681" i="11"/>
  <c r="P681" i="11"/>
  <c r="R680" i="11"/>
  <c r="P680" i="11"/>
  <c r="R679" i="11"/>
  <c r="P679" i="11"/>
  <c r="R678" i="11"/>
  <c r="P678" i="11"/>
  <c r="R677" i="11"/>
  <c r="P677" i="11"/>
  <c r="R676" i="11"/>
  <c r="P676" i="11"/>
  <c r="R675" i="11"/>
  <c r="P675" i="11"/>
  <c r="R674" i="11"/>
  <c r="P674" i="11"/>
  <c r="R673" i="11"/>
  <c r="P673" i="11"/>
  <c r="R672" i="11"/>
  <c r="P672" i="11"/>
  <c r="R671" i="11"/>
  <c r="P671" i="11"/>
  <c r="R670" i="11"/>
  <c r="P670" i="11"/>
  <c r="R669" i="11"/>
  <c r="P669" i="11"/>
  <c r="R668" i="11"/>
  <c r="P668" i="11"/>
  <c r="R667" i="11"/>
  <c r="P667" i="11"/>
  <c r="R666" i="11"/>
  <c r="P666" i="11"/>
  <c r="R665" i="11"/>
  <c r="P665" i="11"/>
  <c r="R664" i="11"/>
  <c r="P664" i="11"/>
  <c r="R663" i="11"/>
  <c r="P663" i="11"/>
  <c r="R662" i="11"/>
  <c r="P662" i="11"/>
  <c r="R661" i="11"/>
  <c r="P661" i="11"/>
  <c r="R660" i="11"/>
  <c r="P660" i="11"/>
  <c r="R659" i="11"/>
  <c r="P659" i="11"/>
  <c r="R658" i="11"/>
  <c r="P658" i="11"/>
  <c r="R657" i="11"/>
  <c r="P657" i="11"/>
  <c r="R656" i="11"/>
  <c r="P656" i="11"/>
  <c r="R655" i="11"/>
  <c r="P655" i="11"/>
  <c r="R654" i="11"/>
  <c r="P654" i="11"/>
  <c r="R653" i="11"/>
  <c r="P653" i="11"/>
  <c r="R652" i="11"/>
  <c r="P652" i="11"/>
  <c r="R651" i="11"/>
  <c r="P651" i="11"/>
  <c r="R650" i="11"/>
  <c r="P650" i="11"/>
  <c r="R649" i="11"/>
  <c r="P649" i="11"/>
  <c r="R648" i="11"/>
  <c r="P648" i="11"/>
  <c r="R647" i="11"/>
  <c r="P647" i="11"/>
  <c r="R646" i="11"/>
  <c r="P646" i="11"/>
  <c r="R645" i="11"/>
  <c r="P645" i="11"/>
  <c r="R644" i="11"/>
  <c r="P644" i="11"/>
  <c r="R643" i="11"/>
  <c r="P643" i="11"/>
  <c r="R642" i="11"/>
  <c r="P642" i="11"/>
  <c r="R641" i="11"/>
  <c r="P641" i="11"/>
  <c r="R640" i="11"/>
  <c r="P640" i="11"/>
  <c r="R639" i="11"/>
  <c r="P639" i="11"/>
  <c r="R638" i="11"/>
  <c r="P638" i="11"/>
  <c r="R637" i="11"/>
  <c r="P637" i="11"/>
  <c r="R636" i="11"/>
  <c r="P636" i="11"/>
  <c r="R635" i="11"/>
  <c r="P635" i="11"/>
  <c r="R634" i="11"/>
  <c r="P634" i="11"/>
  <c r="R633" i="11"/>
  <c r="P633" i="11"/>
  <c r="R632" i="11"/>
  <c r="P632" i="11"/>
  <c r="R631" i="11"/>
  <c r="P631" i="11"/>
  <c r="R630" i="11"/>
  <c r="P630" i="11"/>
  <c r="R629" i="11"/>
  <c r="P629" i="11"/>
  <c r="R628" i="11"/>
  <c r="P628" i="11"/>
  <c r="R627" i="11"/>
  <c r="P627" i="11"/>
  <c r="R626" i="11"/>
  <c r="P626" i="11"/>
  <c r="R625" i="11"/>
  <c r="P625" i="11"/>
  <c r="R624" i="11"/>
  <c r="P624" i="11"/>
  <c r="R623" i="11"/>
  <c r="P623" i="11"/>
  <c r="R622" i="11"/>
  <c r="P622" i="11"/>
  <c r="R621" i="11"/>
  <c r="P621" i="11"/>
  <c r="R620" i="11"/>
  <c r="P620" i="11"/>
  <c r="R619" i="11"/>
  <c r="P619" i="11"/>
  <c r="R618" i="11"/>
  <c r="P618" i="11"/>
  <c r="R617" i="11"/>
  <c r="P617" i="11"/>
  <c r="R616" i="11"/>
  <c r="P616" i="11"/>
  <c r="R615" i="11"/>
  <c r="P615" i="11"/>
  <c r="R614" i="11"/>
  <c r="P614" i="11"/>
  <c r="R613" i="11"/>
  <c r="P613" i="11"/>
  <c r="R612" i="11"/>
  <c r="P612" i="11"/>
  <c r="R611" i="11"/>
  <c r="P611" i="11"/>
  <c r="R610" i="11"/>
  <c r="P610" i="11"/>
  <c r="R609" i="11"/>
  <c r="P609" i="11"/>
  <c r="R608" i="11"/>
  <c r="P608" i="11"/>
  <c r="R607" i="11"/>
  <c r="P607" i="11"/>
  <c r="R606" i="11"/>
  <c r="P606" i="11"/>
  <c r="R605" i="11"/>
  <c r="P605" i="11"/>
  <c r="R604" i="11"/>
  <c r="P604" i="11"/>
  <c r="R603" i="11"/>
  <c r="P603" i="11"/>
  <c r="R602" i="11"/>
  <c r="P602" i="11"/>
  <c r="R601" i="11"/>
  <c r="P601" i="11"/>
  <c r="R600" i="11"/>
  <c r="P600" i="11"/>
  <c r="R599" i="11"/>
  <c r="P599" i="11"/>
  <c r="R598" i="11"/>
  <c r="P598" i="11"/>
  <c r="R597" i="11"/>
  <c r="P597" i="11"/>
  <c r="R596" i="11"/>
  <c r="P596" i="11"/>
  <c r="R595" i="11"/>
  <c r="P595" i="11"/>
  <c r="R594" i="11"/>
  <c r="P594" i="11"/>
  <c r="R593" i="11"/>
  <c r="P593" i="11"/>
  <c r="R592" i="11"/>
  <c r="P592" i="11"/>
  <c r="R591" i="11"/>
  <c r="P591" i="11"/>
  <c r="R590" i="11"/>
  <c r="P590" i="11"/>
  <c r="R589" i="11"/>
  <c r="P589" i="11"/>
  <c r="R588" i="11"/>
  <c r="P588" i="11"/>
  <c r="R587" i="11"/>
  <c r="P587" i="11"/>
  <c r="R586" i="11"/>
  <c r="P586" i="11"/>
  <c r="R585" i="11"/>
  <c r="P585" i="11"/>
  <c r="R584" i="11"/>
  <c r="P584" i="11"/>
  <c r="R583" i="11"/>
  <c r="P583" i="11"/>
  <c r="R582" i="11"/>
  <c r="P582" i="11"/>
  <c r="R581" i="11"/>
  <c r="P581" i="11"/>
  <c r="R580" i="11"/>
  <c r="P580" i="11"/>
  <c r="R579" i="11"/>
  <c r="P579" i="11"/>
  <c r="R578" i="11"/>
  <c r="P578" i="11"/>
  <c r="R577" i="11"/>
  <c r="P577" i="11"/>
  <c r="R576" i="11"/>
  <c r="P576" i="11"/>
  <c r="R575" i="11"/>
  <c r="P575" i="11"/>
  <c r="R574" i="11"/>
  <c r="P574" i="11"/>
  <c r="R573" i="11"/>
  <c r="P573" i="11"/>
  <c r="R572" i="11"/>
  <c r="P572" i="11"/>
  <c r="R571" i="11"/>
  <c r="P571" i="11"/>
  <c r="R570" i="11"/>
  <c r="P570" i="11"/>
  <c r="R569" i="11"/>
  <c r="P569" i="11"/>
  <c r="R568" i="11"/>
  <c r="P568" i="11"/>
  <c r="R567" i="11"/>
  <c r="P567" i="11"/>
  <c r="R566" i="11"/>
  <c r="P566" i="11"/>
  <c r="R565" i="11"/>
  <c r="P565" i="11"/>
  <c r="R564" i="11"/>
  <c r="P564" i="11"/>
  <c r="R563" i="11"/>
  <c r="P563" i="11"/>
  <c r="R562" i="11"/>
  <c r="P562" i="11"/>
  <c r="R561" i="11"/>
  <c r="P561" i="11"/>
  <c r="R560" i="11"/>
  <c r="P560" i="11"/>
  <c r="R559" i="11"/>
  <c r="P559" i="11"/>
  <c r="R558" i="11"/>
  <c r="P558" i="11"/>
  <c r="R557" i="11"/>
  <c r="P557" i="11"/>
  <c r="R556" i="11"/>
  <c r="P556" i="11"/>
  <c r="R555" i="11"/>
  <c r="P555" i="11"/>
  <c r="R554" i="11"/>
  <c r="P554" i="11"/>
  <c r="R553" i="11"/>
  <c r="P553" i="11"/>
  <c r="R552" i="11"/>
  <c r="P552" i="11"/>
  <c r="R551" i="11"/>
  <c r="P551" i="11"/>
  <c r="R550" i="11"/>
  <c r="P550" i="11"/>
  <c r="R549" i="11"/>
  <c r="P549" i="11"/>
  <c r="R548" i="11"/>
  <c r="P548" i="11"/>
  <c r="R547" i="11"/>
  <c r="P547" i="11"/>
  <c r="R546" i="11"/>
  <c r="P546" i="11"/>
  <c r="R545" i="11"/>
  <c r="P545" i="11"/>
  <c r="R544" i="11"/>
  <c r="P544" i="11"/>
  <c r="R543" i="11"/>
  <c r="P543" i="11"/>
  <c r="R542" i="11"/>
  <c r="P542" i="11"/>
  <c r="R541" i="11"/>
  <c r="P541" i="11"/>
  <c r="R540" i="11"/>
  <c r="P540" i="11"/>
  <c r="R539" i="11"/>
  <c r="P539" i="11"/>
  <c r="R538" i="11"/>
  <c r="P538" i="11"/>
  <c r="R537" i="11"/>
  <c r="P537" i="11"/>
  <c r="R536" i="11"/>
  <c r="P536" i="11"/>
  <c r="R535" i="11"/>
  <c r="P535" i="11"/>
  <c r="R534" i="11"/>
  <c r="P534" i="11"/>
  <c r="R533" i="11"/>
  <c r="P533" i="11"/>
  <c r="R532" i="11"/>
  <c r="P532" i="11"/>
  <c r="R531" i="11"/>
  <c r="P531" i="11"/>
  <c r="R530" i="11"/>
  <c r="P530" i="11"/>
  <c r="R529" i="11"/>
  <c r="P529" i="11"/>
  <c r="R528" i="11"/>
  <c r="P528" i="11"/>
  <c r="R527" i="11"/>
  <c r="P527" i="11"/>
  <c r="R526" i="11"/>
  <c r="P526" i="11"/>
  <c r="R525" i="11"/>
  <c r="P525" i="11"/>
  <c r="R524" i="11"/>
  <c r="P524" i="11"/>
  <c r="R523" i="11"/>
  <c r="P523" i="11"/>
  <c r="R522" i="11"/>
  <c r="P522" i="11"/>
  <c r="R521" i="11"/>
  <c r="P521" i="11"/>
  <c r="R520" i="11"/>
  <c r="P520" i="11"/>
  <c r="R519" i="11"/>
  <c r="P519" i="11"/>
  <c r="R518" i="11"/>
  <c r="P518" i="11"/>
  <c r="R517" i="11"/>
  <c r="P517" i="11"/>
  <c r="R516" i="11"/>
  <c r="P516" i="11"/>
  <c r="R515" i="11"/>
  <c r="P515" i="11"/>
  <c r="R514" i="11"/>
  <c r="P514" i="11"/>
  <c r="R513" i="11"/>
  <c r="P513" i="11"/>
  <c r="R512" i="11"/>
  <c r="P512" i="11"/>
  <c r="R511" i="11"/>
  <c r="P511" i="11"/>
  <c r="R510" i="11"/>
  <c r="P510" i="11"/>
  <c r="R509" i="11"/>
  <c r="P509" i="11"/>
  <c r="R508" i="11"/>
  <c r="P508" i="11"/>
  <c r="R507" i="11"/>
  <c r="P507" i="11"/>
  <c r="R506" i="11"/>
  <c r="P506" i="11"/>
  <c r="R505" i="11"/>
  <c r="P505" i="11"/>
  <c r="R504" i="11"/>
  <c r="P504" i="11"/>
  <c r="R503" i="11"/>
  <c r="P503" i="11"/>
  <c r="R502" i="11"/>
  <c r="P502" i="11"/>
  <c r="R501" i="11"/>
  <c r="P501" i="11"/>
  <c r="R500" i="11"/>
  <c r="P500" i="11"/>
  <c r="R499" i="11"/>
  <c r="P499" i="11"/>
  <c r="R498" i="11"/>
  <c r="P498" i="11"/>
  <c r="R497" i="11"/>
  <c r="P497" i="11"/>
  <c r="R496" i="11"/>
  <c r="P496" i="11"/>
  <c r="R495" i="11"/>
  <c r="P495" i="11"/>
  <c r="R494" i="11"/>
  <c r="P494" i="11"/>
  <c r="R493" i="11"/>
  <c r="P493" i="11"/>
  <c r="R492" i="11"/>
  <c r="P492" i="11"/>
  <c r="R491" i="11"/>
  <c r="P491" i="11"/>
  <c r="R490" i="11"/>
  <c r="P490" i="11"/>
  <c r="R489" i="11"/>
  <c r="P489" i="11"/>
  <c r="R488" i="11"/>
  <c r="P488" i="11"/>
  <c r="R487" i="11"/>
  <c r="P487" i="11"/>
  <c r="R486" i="11"/>
  <c r="P486" i="11"/>
  <c r="R485" i="11"/>
  <c r="P485" i="11"/>
  <c r="R484" i="11"/>
  <c r="P484" i="11"/>
  <c r="R483" i="11"/>
  <c r="P483" i="11"/>
  <c r="R482" i="11"/>
  <c r="P482" i="11"/>
  <c r="R481" i="11"/>
  <c r="P481" i="11"/>
  <c r="R480" i="11"/>
  <c r="P480" i="11"/>
  <c r="R479" i="11"/>
  <c r="P479" i="11"/>
  <c r="R478" i="11"/>
  <c r="P478" i="11"/>
  <c r="R477" i="11"/>
  <c r="P477" i="11"/>
  <c r="R476" i="11"/>
  <c r="P476" i="11"/>
  <c r="R475" i="11"/>
  <c r="P475" i="11"/>
  <c r="R474" i="11"/>
  <c r="P474" i="11"/>
  <c r="R473" i="11"/>
  <c r="P473" i="11"/>
  <c r="R472" i="11"/>
  <c r="P472" i="11"/>
  <c r="R471" i="11"/>
  <c r="P471" i="11"/>
  <c r="R470" i="11"/>
  <c r="P470" i="11"/>
  <c r="R469" i="11"/>
  <c r="P469" i="11"/>
  <c r="R468" i="11"/>
  <c r="P468" i="11"/>
  <c r="R467" i="11"/>
  <c r="P467" i="11"/>
  <c r="R466" i="11"/>
  <c r="P466" i="11"/>
  <c r="R465" i="11"/>
  <c r="P465" i="11"/>
  <c r="R464" i="11"/>
  <c r="P464" i="11"/>
  <c r="R463" i="11"/>
  <c r="P463" i="11"/>
  <c r="R462" i="11"/>
  <c r="P462" i="11"/>
  <c r="R461" i="11"/>
  <c r="P461" i="11"/>
  <c r="R460" i="11"/>
  <c r="P460" i="11"/>
  <c r="R459" i="11"/>
  <c r="P459" i="11"/>
  <c r="R458" i="11"/>
  <c r="P458" i="11"/>
  <c r="R457" i="11"/>
  <c r="P457" i="11"/>
  <c r="R456" i="11"/>
  <c r="P456" i="11"/>
  <c r="R455" i="11"/>
  <c r="P455" i="11"/>
  <c r="R454" i="11"/>
  <c r="P454" i="11"/>
  <c r="R453" i="11"/>
  <c r="P453" i="11"/>
  <c r="R452" i="11"/>
  <c r="P452" i="11"/>
  <c r="R451" i="11"/>
  <c r="P451" i="11"/>
  <c r="R450" i="11"/>
  <c r="P450" i="11"/>
  <c r="R449" i="11"/>
  <c r="P449" i="11"/>
  <c r="R448" i="11"/>
  <c r="P448" i="11"/>
  <c r="R447" i="11"/>
  <c r="P447" i="11"/>
  <c r="R446" i="11"/>
  <c r="P446" i="11"/>
  <c r="R445" i="11"/>
  <c r="P445" i="11"/>
  <c r="R444" i="11"/>
  <c r="P444" i="11"/>
  <c r="R443" i="11"/>
  <c r="P443" i="11"/>
  <c r="R442" i="11"/>
  <c r="P442" i="11"/>
  <c r="R441" i="11"/>
  <c r="P441" i="11"/>
  <c r="R440" i="11"/>
  <c r="P440" i="11"/>
  <c r="R439" i="11"/>
  <c r="P439" i="11"/>
  <c r="R438" i="11"/>
  <c r="P438" i="11"/>
  <c r="R437" i="11"/>
  <c r="P437" i="11"/>
  <c r="R436" i="11"/>
  <c r="P436" i="11"/>
  <c r="R435" i="11"/>
  <c r="P435" i="11"/>
  <c r="R434" i="11"/>
  <c r="P434" i="11"/>
  <c r="R433" i="11"/>
  <c r="P433" i="11"/>
  <c r="R432" i="11"/>
  <c r="P432" i="11"/>
  <c r="R431" i="11"/>
  <c r="P431" i="11"/>
  <c r="R430" i="11"/>
  <c r="P430" i="11"/>
  <c r="R429" i="11"/>
  <c r="P429" i="11"/>
  <c r="R428" i="11"/>
  <c r="P428" i="11"/>
  <c r="R427" i="11"/>
  <c r="P427" i="11"/>
  <c r="R426" i="11"/>
  <c r="P426" i="11"/>
  <c r="R425" i="11"/>
  <c r="P425" i="11"/>
  <c r="R424" i="11"/>
  <c r="P424" i="11"/>
  <c r="R423" i="11"/>
  <c r="P423" i="11"/>
  <c r="R422" i="11"/>
  <c r="P422" i="11"/>
  <c r="R421" i="11"/>
  <c r="P421" i="11"/>
  <c r="R420" i="11"/>
  <c r="P420" i="11"/>
  <c r="R419" i="11"/>
  <c r="P419" i="11"/>
  <c r="R418" i="11"/>
  <c r="P418" i="11"/>
  <c r="R417" i="11"/>
  <c r="P417" i="11"/>
  <c r="R416" i="11"/>
  <c r="P416" i="11"/>
  <c r="R415" i="11"/>
  <c r="P415" i="11"/>
  <c r="R414" i="11"/>
  <c r="P414" i="11"/>
  <c r="R413" i="11"/>
  <c r="P413" i="11"/>
  <c r="R412" i="11"/>
  <c r="P412" i="11"/>
  <c r="R411" i="11"/>
  <c r="P411" i="11"/>
  <c r="R410" i="11"/>
  <c r="P410" i="11"/>
  <c r="R409" i="11"/>
  <c r="P409" i="11"/>
  <c r="R408" i="11"/>
  <c r="P408" i="11"/>
  <c r="R407" i="11"/>
  <c r="P407" i="11"/>
  <c r="R406" i="11"/>
  <c r="P406" i="11"/>
  <c r="R405" i="11"/>
  <c r="P405" i="11"/>
  <c r="R404" i="11"/>
  <c r="P404" i="11"/>
  <c r="R403" i="11"/>
  <c r="P403" i="11"/>
  <c r="R402" i="11"/>
  <c r="P402" i="11"/>
  <c r="R401" i="11"/>
  <c r="P401" i="11"/>
  <c r="R400" i="11"/>
  <c r="P400" i="11"/>
  <c r="R399" i="11"/>
  <c r="P399" i="11"/>
  <c r="R398" i="11"/>
  <c r="P398" i="11"/>
  <c r="R397" i="11"/>
  <c r="P397" i="11"/>
  <c r="R396" i="11"/>
  <c r="P396" i="11"/>
  <c r="R395" i="11"/>
  <c r="P395" i="11"/>
  <c r="R394" i="11"/>
  <c r="P394" i="11"/>
  <c r="R393" i="11"/>
  <c r="P393" i="11"/>
  <c r="R392" i="11"/>
  <c r="P392" i="11"/>
  <c r="R391" i="11"/>
  <c r="P391" i="11"/>
  <c r="R390" i="11"/>
  <c r="P390" i="11"/>
  <c r="R389" i="11"/>
  <c r="P389" i="11"/>
  <c r="R388" i="11"/>
  <c r="P388" i="11"/>
  <c r="R387" i="11"/>
  <c r="P387" i="11"/>
  <c r="R386" i="11"/>
  <c r="P386" i="11"/>
  <c r="R385" i="11"/>
  <c r="P385" i="11"/>
  <c r="R384" i="11"/>
  <c r="P384" i="11"/>
  <c r="R383" i="11"/>
  <c r="P383" i="11"/>
  <c r="R382" i="11"/>
  <c r="P382" i="11"/>
  <c r="R381" i="11"/>
  <c r="P381" i="11"/>
  <c r="R380" i="11"/>
  <c r="P380" i="11"/>
  <c r="R379" i="11"/>
  <c r="P379" i="11"/>
  <c r="R378" i="11"/>
  <c r="P378" i="11"/>
  <c r="R377" i="11"/>
  <c r="P377" i="11"/>
  <c r="R376" i="11"/>
  <c r="P376" i="11"/>
  <c r="R375" i="11"/>
  <c r="P375" i="11"/>
  <c r="R374" i="11"/>
  <c r="P374" i="11"/>
  <c r="R373" i="11"/>
  <c r="P373" i="11"/>
  <c r="R372" i="11"/>
  <c r="P372" i="11"/>
  <c r="R371" i="11"/>
  <c r="P371" i="11"/>
  <c r="R370" i="11"/>
  <c r="P370" i="11"/>
  <c r="R369" i="11"/>
  <c r="P369" i="11"/>
  <c r="R368" i="11"/>
  <c r="P368" i="11"/>
  <c r="R367" i="11"/>
  <c r="P367" i="11"/>
  <c r="R366" i="11"/>
  <c r="P366" i="11"/>
  <c r="R365" i="11"/>
  <c r="P365" i="11"/>
  <c r="R364" i="11"/>
  <c r="P364" i="11"/>
  <c r="G273" i="11"/>
  <c r="R363" i="11"/>
  <c r="P363" i="11"/>
  <c r="G272" i="11"/>
  <c r="R362" i="11"/>
  <c r="P362" i="11"/>
  <c r="R361" i="11"/>
  <c r="P361" i="11"/>
  <c r="R360" i="11"/>
  <c r="P360" i="11"/>
  <c r="R359" i="11"/>
  <c r="P359" i="11"/>
  <c r="R358" i="11"/>
  <c r="P358" i="11"/>
  <c r="R357" i="11"/>
  <c r="P357" i="11"/>
  <c r="R356" i="11"/>
  <c r="P356" i="11"/>
  <c r="R355" i="11"/>
  <c r="P355" i="11"/>
  <c r="G271" i="11"/>
  <c r="R354" i="11"/>
  <c r="P354" i="11"/>
  <c r="G270" i="11"/>
  <c r="R353" i="11"/>
  <c r="P353" i="11"/>
  <c r="G269" i="11"/>
  <c r="R352" i="11"/>
  <c r="P352" i="11"/>
  <c r="G268" i="11"/>
  <c r="R351" i="11"/>
  <c r="P351" i="11"/>
  <c r="G267" i="11"/>
  <c r="R350" i="11"/>
  <c r="P350" i="11"/>
  <c r="G266" i="11"/>
  <c r="R349" i="11"/>
  <c r="P349" i="11"/>
  <c r="G265" i="11"/>
  <c r="R348" i="11"/>
  <c r="P348" i="11"/>
  <c r="G264" i="11"/>
  <c r="R347" i="11"/>
  <c r="P347" i="11"/>
  <c r="R346" i="11"/>
  <c r="P346" i="11"/>
  <c r="R345" i="11"/>
  <c r="P345" i="11"/>
  <c r="R344" i="11"/>
  <c r="P344" i="11"/>
  <c r="R343" i="11"/>
  <c r="P343" i="11"/>
  <c r="R342" i="11"/>
  <c r="P342" i="11"/>
  <c r="R341" i="11"/>
  <c r="P341" i="11"/>
  <c r="R340" i="11"/>
  <c r="P340" i="11"/>
  <c r="R339" i="11"/>
  <c r="P339" i="11"/>
  <c r="R338" i="11"/>
  <c r="P338" i="11"/>
  <c r="R337" i="11"/>
  <c r="P337" i="11"/>
  <c r="R336" i="11"/>
  <c r="P336" i="11"/>
  <c r="R335" i="11"/>
  <c r="P335" i="11"/>
  <c r="R334" i="11"/>
  <c r="P334" i="11"/>
  <c r="R333" i="11"/>
  <c r="P333" i="11"/>
  <c r="R332" i="11"/>
  <c r="P332" i="11"/>
  <c r="G261" i="11"/>
  <c r="R331" i="11"/>
  <c r="P331" i="11"/>
  <c r="G260" i="11"/>
  <c r="R330" i="11"/>
  <c r="P330" i="11"/>
  <c r="R329" i="11"/>
  <c r="P329" i="11"/>
  <c r="R328" i="11"/>
  <c r="P328" i="11"/>
  <c r="R327" i="11"/>
  <c r="P327" i="11"/>
  <c r="R326" i="11"/>
  <c r="P326" i="11"/>
  <c r="R325" i="11"/>
  <c r="P325" i="11"/>
  <c r="R324" i="11"/>
  <c r="P324" i="11"/>
  <c r="G259" i="11"/>
  <c r="R323" i="11"/>
  <c r="P323" i="11"/>
  <c r="G258" i="11"/>
  <c r="R322" i="11"/>
  <c r="P322" i="11"/>
  <c r="G257" i="11"/>
  <c r="R321" i="11"/>
  <c r="P321" i="11"/>
  <c r="G256" i="11"/>
  <c r="R320" i="11"/>
  <c r="P320" i="11"/>
  <c r="G255" i="11"/>
  <c r="R319" i="11"/>
  <c r="P319" i="11"/>
  <c r="G254" i="11"/>
  <c r="R318" i="11"/>
  <c r="P318" i="11"/>
  <c r="G253" i="11"/>
  <c r="R317" i="11"/>
  <c r="P317" i="11"/>
  <c r="G252" i="11"/>
  <c r="R316" i="11"/>
  <c r="P316" i="11"/>
  <c r="G251" i="11"/>
  <c r="R315" i="11"/>
  <c r="P315" i="11"/>
  <c r="R314" i="11"/>
  <c r="P314" i="11"/>
  <c r="R313" i="11"/>
  <c r="P313" i="11"/>
  <c r="R312" i="11"/>
  <c r="P312" i="11"/>
  <c r="R311" i="11"/>
  <c r="P311" i="11"/>
  <c r="R310" i="11"/>
  <c r="P310" i="11"/>
  <c r="R309" i="11"/>
  <c r="P309" i="11"/>
  <c r="R308" i="11"/>
  <c r="P308" i="11"/>
  <c r="R307" i="11"/>
  <c r="P307" i="11"/>
  <c r="R306" i="11"/>
  <c r="P306" i="11"/>
  <c r="R305" i="11"/>
  <c r="P305" i="11"/>
  <c r="R304" i="11"/>
  <c r="P304" i="11"/>
  <c r="R303" i="11"/>
  <c r="P303" i="11"/>
  <c r="R302" i="11"/>
  <c r="P302" i="11"/>
  <c r="R301" i="11"/>
  <c r="P301" i="11"/>
  <c r="R300" i="11"/>
  <c r="P300" i="11"/>
  <c r="G248" i="11"/>
  <c r="R299" i="11"/>
  <c r="P299" i="11"/>
  <c r="G247" i="11"/>
  <c r="R298" i="11"/>
  <c r="P298" i="11"/>
  <c r="R297" i="11"/>
  <c r="P297" i="11"/>
  <c r="R296" i="11"/>
  <c r="P296" i="11"/>
  <c r="R295" i="11"/>
  <c r="P295" i="11"/>
  <c r="R294" i="11"/>
  <c r="P294" i="11"/>
  <c r="R293" i="11"/>
  <c r="P293" i="11"/>
  <c r="R292" i="11"/>
  <c r="P292" i="11"/>
  <c r="G246" i="11"/>
  <c r="R291" i="11"/>
  <c r="P291" i="11"/>
  <c r="G245" i="11"/>
  <c r="R290" i="11"/>
  <c r="P290" i="11"/>
  <c r="G244" i="11"/>
  <c r="R289" i="11"/>
  <c r="P289" i="11"/>
  <c r="G243" i="11"/>
  <c r="R288" i="11"/>
  <c r="P288" i="11"/>
  <c r="G242" i="11"/>
  <c r="R287" i="11"/>
  <c r="P287" i="11"/>
  <c r="G241" i="11"/>
  <c r="R286" i="11"/>
  <c r="P286" i="11"/>
  <c r="G240" i="11"/>
  <c r="R285" i="11"/>
  <c r="P285" i="11"/>
  <c r="G239" i="11"/>
  <c r="R284" i="11"/>
  <c r="P284" i="11"/>
  <c r="G238" i="11"/>
  <c r="R283" i="11"/>
  <c r="P283" i="11"/>
  <c r="R282" i="11"/>
  <c r="P282" i="11"/>
  <c r="R281" i="11"/>
  <c r="P281" i="11"/>
  <c r="R280" i="11"/>
  <c r="P280" i="11"/>
  <c r="R279" i="11"/>
  <c r="P279" i="11"/>
  <c r="R278" i="11"/>
  <c r="P278" i="11"/>
  <c r="R277" i="11"/>
  <c r="P277" i="11"/>
  <c r="R276" i="11"/>
  <c r="P276" i="11"/>
  <c r="R275" i="11"/>
  <c r="P275" i="11"/>
  <c r="R274" i="11"/>
  <c r="P274" i="11"/>
  <c r="R273" i="11"/>
  <c r="P273" i="11"/>
  <c r="R272" i="11"/>
  <c r="P272" i="11"/>
  <c r="R271" i="11"/>
  <c r="P271" i="11"/>
  <c r="R270" i="11"/>
  <c r="P270" i="11"/>
  <c r="R269" i="11"/>
  <c r="P269" i="11"/>
  <c r="R268" i="11"/>
  <c r="P268" i="11"/>
  <c r="G235" i="11"/>
  <c r="R267" i="11"/>
  <c r="P267" i="11"/>
  <c r="R266" i="11"/>
  <c r="P266" i="11"/>
  <c r="R265" i="11"/>
  <c r="P265" i="11"/>
  <c r="R264" i="11"/>
  <c r="P264" i="11"/>
  <c r="R263" i="11"/>
  <c r="P263" i="11"/>
  <c r="R262" i="11"/>
  <c r="P262" i="11"/>
  <c r="R261" i="11"/>
  <c r="P261" i="11"/>
  <c r="R260" i="11"/>
  <c r="P260" i="11"/>
  <c r="G233" i="11"/>
  <c r="R259" i="11"/>
  <c r="P259" i="11"/>
  <c r="G232" i="11"/>
  <c r="R258" i="11"/>
  <c r="P258" i="11"/>
  <c r="G231" i="11"/>
  <c r="R257" i="11"/>
  <c r="P257" i="11"/>
  <c r="G230" i="11"/>
  <c r="R256" i="11"/>
  <c r="P256" i="11"/>
  <c r="G229" i="11"/>
  <c r="R255" i="11"/>
  <c r="P255" i="11"/>
  <c r="G228" i="11"/>
  <c r="R254" i="11"/>
  <c r="P254" i="11"/>
  <c r="G227" i="11"/>
  <c r="R253" i="11"/>
  <c r="P253" i="11"/>
  <c r="G226" i="11"/>
  <c r="R252" i="11"/>
  <c r="P252" i="11"/>
  <c r="G225" i="11"/>
  <c r="R251" i="11"/>
  <c r="P251" i="11"/>
  <c r="R250" i="11"/>
  <c r="P250" i="11"/>
  <c r="R249" i="11"/>
  <c r="P249" i="11"/>
  <c r="R248" i="11"/>
  <c r="P248" i="11"/>
  <c r="R247" i="11"/>
  <c r="P247" i="11"/>
  <c r="R246" i="11"/>
  <c r="P246" i="11"/>
  <c r="R245" i="11"/>
  <c r="P245" i="11"/>
  <c r="R244" i="11"/>
  <c r="P244" i="11"/>
  <c r="R243" i="11"/>
  <c r="P243" i="11"/>
  <c r="R242" i="11"/>
  <c r="P242" i="11"/>
  <c r="R241" i="11"/>
  <c r="P241" i="11"/>
  <c r="R240" i="11"/>
  <c r="P240" i="11"/>
  <c r="R239" i="11"/>
  <c r="P239" i="11"/>
  <c r="R238" i="11"/>
  <c r="P238" i="11"/>
  <c r="R237" i="11"/>
  <c r="P237" i="11"/>
  <c r="R236" i="11"/>
  <c r="P236" i="11"/>
  <c r="R235" i="11"/>
  <c r="P235" i="11"/>
  <c r="R234" i="11"/>
  <c r="P234" i="11"/>
  <c r="R233" i="11"/>
  <c r="P233" i="11"/>
  <c r="R232" i="11"/>
  <c r="P232" i="11"/>
  <c r="R231" i="11"/>
  <c r="P231" i="11"/>
  <c r="R230" i="11"/>
  <c r="P230" i="11"/>
  <c r="R229" i="11"/>
  <c r="P229" i="11"/>
  <c r="R228" i="11"/>
  <c r="P228" i="11"/>
  <c r="R227" i="11"/>
  <c r="P227" i="11"/>
  <c r="R226" i="11"/>
  <c r="P226" i="11"/>
  <c r="R225" i="11"/>
  <c r="P225" i="11"/>
  <c r="R224" i="11"/>
  <c r="P224" i="11"/>
  <c r="R223" i="11"/>
  <c r="P223" i="11"/>
  <c r="R222" i="11"/>
  <c r="P222" i="11"/>
  <c r="R221" i="11"/>
  <c r="P221" i="11"/>
  <c r="R220" i="11"/>
  <c r="P220" i="11"/>
  <c r="R219" i="11"/>
  <c r="P219" i="11"/>
  <c r="R218" i="11"/>
  <c r="P218" i="11"/>
  <c r="R217" i="11"/>
  <c r="P217" i="11"/>
  <c r="R216" i="11"/>
  <c r="P216" i="11"/>
  <c r="R215" i="11"/>
  <c r="P215" i="11"/>
  <c r="R214" i="11"/>
  <c r="P214" i="11"/>
  <c r="R213" i="11"/>
  <c r="P213" i="11"/>
  <c r="R212" i="11"/>
  <c r="P212" i="11"/>
  <c r="R211" i="11"/>
  <c r="P211" i="11"/>
  <c r="R210" i="11"/>
  <c r="P210" i="11"/>
  <c r="R209" i="11"/>
  <c r="P209" i="11"/>
  <c r="R208" i="11"/>
  <c r="P208" i="11"/>
  <c r="R207" i="11"/>
  <c r="P207" i="11"/>
  <c r="R206" i="11"/>
  <c r="P206" i="11"/>
  <c r="R205" i="11"/>
  <c r="P205" i="11"/>
  <c r="R204" i="11"/>
  <c r="P204" i="11"/>
  <c r="R203" i="11"/>
  <c r="P203" i="11"/>
  <c r="R202" i="11"/>
  <c r="P202" i="11"/>
  <c r="R201" i="11"/>
  <c r="P201" i="11"/>
  <c r="R200" i="11"/>
  <c r="P200" i="11"/>
  <c r="R199" i="11"/>
  <c r="P199" i="11"/>
  <c r="R198" i="11"/>
  <c r="P198" i="11"/>
  <c r="R197" i="11"/>
  <c r="P197" i="11"/>
  <c r="R196" i="11"/>
  <c r="P196" i="11"/>
  <c r="R195" i="11"/>
  <c r="P195" i="11"/>
  <c r="R194" i="11"/>
  <c r="P194" i="11"/>
  <c r="R193" i="11"/>
  <c r="P193" i="11"/>
  <c r="R192" i="11"/>
  <c r="P192" i="11"/>
  <c r="R191" i="11"/>
  <c r="P191" i="11"/>
  <c r="R190" i="11"/>
  <c r="P190" i="11"/>
  <c r="R189" i="11"/>
  <c r="P189" i="11"/>
  <c r="R188" i="11"/>
  <c r="P188" i="11"/>
  <c r="R187" i="11"/>
  <c r="P187" i="11"/>
  <c r="R186" i="11"/>
  <c r="P186" i="11"/>
  <c r="R185" i="11"/>
  <c r="P185" i="11"/>
  <c r="R184" i="11"/>
  <c r="P184" i="11"/>
  <c r="R183" i="11"/>
  <c r="P183" i="11"/>
  <c r="R182" i="11"/>
  <c r="P182" i="11"/>
  <c r="R181" i="11"/>
  <c r="P181" i="11"/>
  <c r="R180" i="11"/>
  <c r="P180" i="11"/>
  <c r="R179" i="11"/>
  <c r="P179" i="11"/>
  <c r="R178" i="11"/>
  <c r="P178" i="11"/>
  <c r="R177" i="11"/>
  <c r="P177" i="11"/>
  <c r="R176" i="11"/>
  <c r="P176" i="11"/>
  <c r="R175" i="11"/>
  <c r="P175" i="11"/>
  <c r="R174" i="11"/>
  <c r="P174" i="11"/>
  <c r="R173" i="11"/>
  <c r="P173" i="11"/>
  <c r="R172" i="11"/>
  <c r="P172" i="11"/>
  <c r="R171" i="11"/>
  <c r="P171" i="11"/>
  <c r="R170" i="11"/>
  <c r="P170" i="11"/>
  <c r="R169" i="11"/>
  <c r="P169" i="11"/>
  <c r="R168" i="11"/>
  <c r="P168" i="11"/>
  <c r="R167" i="11"/>
  <c r="P167" i="11"/>
  <c r="R166" i="11"/>
  <c r="P166" i="11"/>
  <c r="R165" i="11"/>
  <c r="P165" i="11"/>
  <c r="R164" i="11"/>
  <c r="P164" i="11"/>
  <c r="R163" i="11"/>
  <c r="P163" i="11"/>
  <c r="R162" i="11"/>
  <c r="P162" i="11"/>
  <c r="R161" i="11"/>
  <c r="P161" i="11"/>
  <c r="R160" i="11"/>
  <c r="P160" i="11"/>
  <c r="R159" i="11"/>
  <c r="P159" i="11"/>
  <c r="R158" i="11"/>
  <c r="P158" i="11"/>
  <c r="R157" i="11"/>
  <c r="P157" i="11"/>
  <c r="R156" i="11"/>
  <c r="P156" i="11"/>
  <c r="R155" i="11"/>
  <c r="P155" i="11"/>
  <c r="R154" i="11"/>
  <c r="P154" i="11"/>
  <c r="R153" i="11"/>
  <c r="P153" i="11"/>
  <c r="R152" i="11"/>
  <c r="P152" i="11"/>
  <c r="R151" i="11"/>
  <c r="P151" i="11"/>
  <c r="R150" i="11"/>
  <c r="P150" i="11"/>
  <c r="R149" i="11"/>
  <c r="P149" i="11"/>
  <c r="R148" i="11"/>
  <c r="P148" i="11"/>
  <c r="R147" i="11"/>
  <c r="P147" i="11"/>
  <c r="R146" i="11"/>
  <c r="P146" i="11"/>
  <c r="R145" i="11"/>
  <c r="P145" i="11"/>
  <c r="R144" i="11"/>
  <c r="P144" i="11"/>
  <c r="R143" i="11"/>
  <c r="P143" i="11"/>
  <c r="R142" i="11"/>
  <c r="P142" i="11"/>
  <c r="R141" i="11"/>
  <c r="P141" i="11"/>
  <c r="R140" i="11"/>
  <c r="P140" i="11"/>
  <c r="R139" i="11"/>
  <c r="P139" i="11"/>
  <c r="R138" i="11"/>
  <c r="P138" i="11"/>
  <c r="R137" i="11"/>
  <c r="P137" i="11"/>
  <c r="R136" i="11"/>
  <c r="P136" i="11"/>
  <c r="R135" i="11"/>
  <c r="P135" i="11"/>
  <c r="R134" i="11"/>
  <c r="P134" i="11"/>
  <c r="R133" i="11"/>
  <c r="P133" i="11"/>
  <c r="R132" i="11"/>
  <c r="P132" i="11"/>
  <c r="R131" i="11"/>
  <c r="P131" i="11"/>
  <c r="R130" i="11"/>
  <c r="P130" i="11"/>
  <c r="R129" i="11"/>
  <c r="P129" i="11"/>
  <c r="R128" i="11"/>
  <c r="P128" i="11"/>
  <c r="R127" i="11"/>
  <c r="P127" i="11"/>
  <c r="R126" i="11"/>
  <c r="P126" i="11"/>
  <c r="R125" i="11"/>
  <c r="P125" i="11"/>
  <c r="R124" i="11"/>
  <c r="P124" i="11"/>
  <c r="R123" i="11"/>
  <c r="P123" i="11"/>
  <c r="R122" i="11"/>
  <c r="P122" i="11"/>
  <c r="R121" i="11"/>
  <c r="P121" i="11"/>
  <c r="R120" i="11"/>
  <c r="P120" i="11"/>
  <c r="R119" i="11"/>
  <c r="P119" i="11"/>
  <c r="R118" i="11"/>
  <c r="P118" i="11"/>
  <c r="R117" i="11"/>
  <c r="P117" i="11"/>
  <c r="R116" i="11"/>
  <c r="P116" i="11"/>
  <c r="R115" i="11"/>
  <c r="P115" i="11"/>
  <c r="R114" i="11"/>
  <c r="P114" i="11"/>
  <c r="R113" i="11"/>
  <c r="P113" i="11"/>
  <c r="R112" i="11"/>
  <c r="P112" i="11"/>
  <c r="R111" i="11"/>
  <c r="P111" i="11"/>
  <c r="R110" i="11"/>
  <c r="P110" i="11"/>
  <c r="R109" i="11"/>
  <c r="P109" i="11"/>
  <c r="R108" i="11"/>
  <c r="P108" i="11"/>
  <c r="R107" i="11"/>
  <c r="P107" i="11"/>
  <c r="R106" i="11"/>
  <c r="P106" i="11"/>
  <c r="R105" i="11"/>
  <c r="P105" i="11"/>
  <c r="R104" i="11"/>
  <c r="P104" i="11"/>
  <c r="R103" i="11"/>
  <c r="P103" i="11"/>
  <c r="R102" i="11"/>
  <c r="P102" i="11"/>
  <c r="R101" i="11"/>
  <c r="P101" i="11"/>
  <c r="R100" i="11"/>
  <c r="P100" i="11"/>
  <c r="R99" i="11"/>
  <c r="P99" i="11"/>
  <c r="R98" i="11"/>
  <c r="P98" i="11"/>
  <c r="R97" i="11"/>
  <c r="P97" i="11"/>
  <c r="R96" i="11"/>
  <c r="P96" i="11"/>
  <c r="R95" i="11"/>
  <c r="P95" i="11"/>
  <c r="R94" i="11"/>
  <c r="P94" i="11"/>
  <c r="R93" i="11"/>
  <c r="P93" i="11"/>
  <c r="R92" i="11"/>
  <c r="P92" i="11"/>
  <c r="R91" i="11"/>
  <c r="P91" i="11"/>
  <c r="R90" i="11"/>
  <c r="P90" i="11"/>
  <c r="R89" i="11"/>
  <c r="P89" i="11"/>
  <c r="R88" i="11"/>
  <c r="P88" i="11"/>
  <c r="R87" i="11"/>
  <c r="P87" i="11"/>
  <c r="R86" i="11"/>
  <c r="P86" i="11"/>
  <c r="R85" i="11"/>
  <c r="P85" i="11"/>
  <c r="R84" i="11"/>
  <c r="P84" i="11"/>
  <c r="R83" i="11"/>
  <c r="P83" i="11"/>
  <c r="R82" i="11"/>
  <c r="P82" i="11"/>
  <c r="R81" i="11"/>
  <c r="P81" i="11"/>
  <c r="R80" i="11"/>
  <c r="P80" i="11"/>
  <c r="R79" i="11"/>
  <c r="P79" i="11"/>
  <c r="R78" i="11"/>
  <c r="P78" i="11"/>
  <c r="R77" i="11"/>
  <c r="P77" i="11"/>
  <c r="R76" i="11"/>
  <c r="P76" i="11"/>
  <c r="R75" i="11"/>
  <c r="P75" i="11"/>
  <c r="R74" i="11"/>
  <c r="P74" i="11"/>
  <c r="R73" i="11"/>
  <c r="P73" i="11"/>
  <c r="R72" i="11"/>
  <c r="P72" i="11"/>
  <c r="R71" i="11"/>
  <c r="P71" i="11"/>
  <c r="R70" i="11"/>
  <c r="P70" i="11"/>
  <c r="R69" i="11"/>
  <c r="P69" i="11"/>
  <c r="R68" i="11"/>
  <c r="P68" i="11"/>
  <c r="R67" i="11"/>
  <c r="P67" i="11"/>
  <c r="R66" i="11"/>
  <c r="P66" i="11"/>
  <c r="R65" i="11"/>
  <c r="P65" i="11"/>
  <c r="R64" i="11"/>
  <c r="P64" i="11"/>
  <c r="R63" i="11"/>
  <c r="P63" i="11"/>
  <c r="R62" i="11"/>
  <c r="P62" i="11"/>
  <c r="R61" i="11"/>
  <c r="P61" i="11"/>
  <c r="R60" i="11"/>
  <c r="P60" i="11"/>
  <c r="R59" i="11"/>
  <c r="P59" i="11"/>
  <c r="R58" i="11"/>
  <c r="P58" i="11"/>
  <c r="R57" i="11"/>
  <c r="P57" i="11"/>
  <c r="R56" i="11"/>
  <c r="P56" i="11"/>
  <c r="R55" i="11"/>
  <c r="P55" i="11"/>
  <c r="R54" i="11"/>
  <c r="P54" i="11"/>
  <c r="R53" i="11"/>
  <c r="P53" i="11"/>
  <c r="R52" i="11"/>
  <c r="P52" i="11"/>
  <c r="R51" i="11"/>
  <c r="R50" i="11"/>
  <c r="R49" i="11"/>
  <c r="R48" i="11"/>
  <c r="R47" i="11"/>
  <c r="R46" i="11"/>
  <c r="R45" i="11"/>
  <c r="R44" i="11"/>
  <c r="R43" i="11"/>
  <c r="R42" i="11"/>
  <c r="R41" i="11"/>
  <c r="R40" i="11"/>
  <c r="R39" i="11"/>
  <c r="R38" i="11"/>
  <c r="R37" i="11"/>
  <c r="R36" i="11"/>
  <c r="R35" i="11"/>
  <c r="R34" i="11"/>
  <c r="R33" i="11"/>
  <c r="R32" i="11"/>
  <c r="R31" i="11"/>
  <c r="R30" i="11"/>
  <c r="R29" i="11"/>
  <c r="R28" i="11"/>
  <c r="R27" i="11"/>
  <c r="R26" i="11"/>
  <c r="R25" i="11"/>
  <c r="R24" i="11"/>
  <c r="R23" i="11"/>
  <c r="R22" i="11"/>
  <c r="R21" i="11"/>
  <c r="R20" i="11"/>
  <c r="R19" i="11"/>
  <c r="R18" i="11"/>
  <c r="R17" i="11"/>
  <c r="R16" i="11"/>
  <c r="R15" i="11"/>
  <c r="R14" i="11"/>
  <c r="R13" i="11"/>
  <c r="R12" i="11"/>
  <c r="R11" i="11"/>
  <c r="B6" i="11"/>
  <c r="B5" i="11"/>
  <c r="W4" i="11"/>
  <c r="V4" i="11"/>
  <c r="U4" i="11"/>
  <c r="T4" i="11"/>
  <c r="R4" i="11"/>
  <c r="Q4" i="11"/>
  <c r="P4" i="11"/>
  <c r="O4" i="11"/>
  <c r="M4" i="11"/>
  <c r="L4" i="11"/>
  <c r="J4" i="11"/>
  <c r="I4" i="11"/>
  <c r="G4" i="11"/>
  <c r="F4" i="11"/>
  <c r="E4" i="11"/>
  <c r="D4" i="11"/>
  <c r="C4" i="11"/>
  <c r="D11" i="1" l="1"/>
</calcChain>
</file>

<file path=xl/sharedStrings.xml><?xml version="1.0" encoding="utf-8"?>
<sst xmlns="http://schemas.openxmlformats.org/spreadsheetml/2006/main" count="27495" uniqueCount="431">
  <si>
    <t>value type</t>
    <phoneticPr fontId="1" type="noConversion"/>
  </si>
  <si>
    <t>열1</t>
    <phoneticPr fontId="1" type="noConversion"/>
  </si>
  <si>
    <t>index</t>
    <phoneticPr fontId="1" type="noConversion"/>
  </si>
  <si>
    <t>Column1</t>
  </si>
  <si>
    <t>Column2</t>
  </si>
  <si>
    <t>stopbit</t>
    <phoneticPr fontId="1" type="noConversion"/>
  </si>
  <si>
    <t>evCode</t>
    <phoneticPr fontId="1" type="noConversion"/>
  </si>
  <si>
    <t>timeStamp</t>
    <phoneticPr fontId="1" type="noConversion"/>
  </si>
  <si>
    <t>code</t>
    <phoneticPr fontId="1" type="noConversion"/>
  </si>
  <si>
    <t>Name</t>
    <phoneticPr fontId="1" type="noConversion"/>
  </si>
  <si>
    <t>value</t>
    <phoneticPr fontId="1" type="noConversion"/>
  </si>
  <si>
    <t>dec val</t>
    <phoneticPr fontId="1" type="noConversion"/>
  </si>
  <si>
    <t>MXC_00</t>
  </si>
  <si>
    <t>MXC_01</t>
  </si>
  <si>
    <t>MXC_02</t>
  </si>
  <si>
    <t>MXC_03</t>
  </si>
  <si>
    <t>MXC_04</t>
  </si>
  <si>
    <t>MXC_05</t>
  </si>
  <si>
    <t>MXC_06</t>
  </si>
  <si>
    <t>ev source</t>
    <phoneticPr fontId="1" type="noConversion"/>
  </si>
  <si>
    <t>ev source number</t>
    <phoneticPr fontId="1" type="noConversion"/>
  </si>
  <si>
    <t>seq Mask combination</t>
    <phoneticPr fontId="1" type="noConversion"/>
  </si>
  <si>
    <t>-</t>
    <phoneticPr fontId="1" type="noConversion"/>
  </si>
  <si>
    <t>"" or 1</t>
    <phoneticPr fontId="1" type="noConversion"/>
  </si>
  <si>
    <t>(seq repeat)</t>
    <phoneticPr fontId="1" type="noConversion"/>
  </si>
  <si>
    <t>0~4294967294</t>
    <phoneticPr fontId="1" type="noConversion"/>
  </si>
  <si>
    <t>end</t>
    <phoneticPr fontId="1" type="noConversion"/>
  </si>
  <si>
    <t>0~2031</t>
    <phoneticPr fontId="1" type="noConversion"/>
  </si>
  <si>
    <t>## evg.mxc, txDBUS, evCodeA, seq ##</t>
    <phoneticPr fontId="1" type="noConversion"/>
  </si>
  <si>
    <t>## evr.xps ##</t>
    <phoneticPr fontId="1" type="noConversion"/>
  </si>
  <si>
    <t>DEV NAME</t>
    <phoneticPr fontId="1" type="noConversion"/>
  </si>
  <si>
    <t>SCL3</t>
    <phoneticPr fontId="1" type="noConversion"/>
  </si>
  <si>
    <t>TS</t>
    <phoneticPr fontId="1" type="noConversion"/>
  </si>
  <si>
    <t>----------------</t>
    <phoneticPr fontId="1" type="noConversion"/>
  </si>
  <si>
    <t>EVG</t>
    <phoneticPr fontId="1" type="noConversion"/>
  </si>
  <si>
    <t>EVR</t>
    <phoneticPr fontId="1" type="noConversion"/>
  </si>
  <si>
    <t>EVS</t>
    <phoneticPr fontId="1" type="noConversion"/>
  </si>
  <si>
    <t>EVRUP</t>
    <phoneticPr fontId="1" type="noConversion"/>
  </si>
  <si>
    <t>EVF</t>
    <phoneticPr fontId="1" type="noConversion"/>
  </si>
  <si>
    <t>device</t>
    <phoneticPr fontId="1" type="noConversion"/>
  </si>
  <si>
    <t>001</t>
    <phoneticPr fontId="1" type="noConversion"/>
  </si>
  <si>
    <t>User Trigger</t>
  </si>
  <si>
    <t>User Trigger</t>
    <phoneticPr fontId="1" type="noConversion"/>
  </si>
  <si>
    <t>none</t>
    <phoneticPr fontId="1" type="noConversion"/>
  </si>
  <si>
    <t>MASK A1</t>
    <phoneticPr fontId="1" type="noConversion"/>
  </si>
  <si>
    <t>MASK A0</t>
    <phoneticPr fontId="1" type="noConversion"/>
  </si>
  <si>
    <t>MASK B0</t>
    <phoneticPr fontId="1" type="noConversion"/>
  </si>
  <si>
    <t>MASK B1</t>
    <phoneticPr fontId="1" type="noConversion"/>
  </si>
  <si>
    <t>-1 : infinite</t>
    <phoneticPr fontId="1" type="noConversion"/>
  </si>
  <si>
    <t>MSB:SH15</t>
  </si>
  <si>
    <t>LSB:SL0</t>
  </si>
  <si>
    <t>-1:infinite</t>
  </si>
  <si>
    <t>tick</t>
  </si>
  <si>
    <t>UserTrigger</t>
  </si>
  <si>
    <t>mxc00</t>
  </si>
  <si>
    <t>mxc01</t>
  </si>
  <si>
    <t>mxc02</t>
  </si>
  <si>
    <t>mxc03</t>
  </si>
  <si>
    <t>mxc04</t>
  </si>
  <si>
    <t>mxc05</t>
  </si>
  <si>
    <t>mxc06</t>
  </si>
  <si>
    <t>mxc07</t>
  </si>
  <si>
    <t>extIn00</t>
  </si>
  <si>
    <t>extIn01</t>
  </si>
  <si>
    <t>min : 2</t>
  </si>
  <si>
    <t>0~2031</t>
  </si>
  <si>
    <t>0~4294967294</t>
  </si>
  <si>
    <t>end</t>
    <phoneticPr fontId="1" type="noConversion"/>
  </si>
  <si>
    <t>## evg.seqA [evCodeB, timeStamp]##</t>
    <phoneticPr fontId="1" type="noConversion"/>
  </si>
  <si>
    <t>## evg.seqB [evCodeB, timeStamp]##</t>
    <phoneticPr fontId="1" type="noConversion"/>
  </si>
  <si>
    <r>
      <t>Hz(</t>
    </r>
    <r>
      <rPr>
        <sz val="9"/>
        <color rgb="FF0070C0"/>
        <rFont val="Bitstream Vera Sans Mono"/>
        <family val="3"/>
        <charset val="129"/>
      </rPr>
      <t>우선</t>
    </r>
    <r>
      <rPr>
        <sz val="9"/>
        <color rgb="FF0070C0"/>
        <rFont val="Consolas"/>
        <family val="3"/>
      </rPr>
      <t>)</t>
    </r>
  </si>
  <si>
    <t>## 1:DBUS, 0:PDP ##</t>
    <phoneticPr fontId="1" type="noConversion"/>
  </si>
  <si>
    <t>none</t>
  </si>
  <si>
    <t>MASK A0 and A1</t>
    <phoneticPr fontId="1" type="noConversion"/>
  </si>
  <si>
    <t>MASK B0 and B1</t>
    <phoneticPr fontId="1" type="noConversion"/>
  </si>
  <si>
    <t>0x00000000</t>
    <phoneticPr fontId="1" type="noConversion"/>
  </si>
  <si>
    <t>h1</t>
    <phoneticPr fontId="1" type="noConversion"/>
  </si>
  <si>
    <t>d1</t>
    <phoneticPr fontId="1" type="noConversion"/>
  </si>
  <si>
    <t>h2</t>
    <phoneticPr fontId="1" type="noConversion"/>
  </si>
  <si>
    <t>d2</t>
    <phoneticPr fontId="1" type="noConversion"/>
  </si>
  <si>
    <t>MASK A0</t>
  </si>
  <si>
    <t>MXC_07</t>
    <phoneticPr fontId="1" type="noConversion"/>
  </si>
  <si>
    <t>ZQ9R</t>
    <phoneticPr fontId="1" type="noConversion"/>
  </si>
  <si>
    <t>init val</t>
    <phoneticPr fontId="1" type="noConversion"/>
  </si>
  <si>
    <t>[HEX]</t>
    <phoneticPr fontId="1" type="noConversion"/>
  </si>
  <si>
    <t>config</t>
    <phoneticPr fontId="1" type="noConversion"/>
  </si>
  <si>
    <t>ZQ_FRONT_IOT_0</t>
    <phoneticPr fontId="1" type="noConversion"/>
  </si>
  <si>
    <t>ZQ_FRONT_IOT_1</t>
  </si>
  <si>
    <t>ZQ_FRONT_IOT_2</t>
  </si>
  <si>
    <t>ZQ_FRONT_IOT_3</t>
  </si>
  <si>
    <t>EVF</t>
  </si>
  <si>
    <t>EV_CPS_CTL_GT0</t>
  </si>
  <si>
    <t>EV_CPS_CTL_GT1</t>
  </si>
  <si>
    <t>EV_CPS_CTL_FMC1</t>
  </si>
  <si>
    <t>EV_CPS_CTL_FMC2</t>
  </si>
  <si>
    <t>EV_CPS_CTL_SL</t>
  </si>
  <si>
    <t>EV_CPS_CTL_SH</t>
  </si>
  <si>
    <t>EV_CPS_CTL_CTL</t>
  </si>
  <si>
    <t>EV_CPS_SL_CTRL</t>
  </si>
  <si>
    <t>EV_CPS_SL_SH</t>
  </si>
  <si>
    <t>EV_CPS_SL_RSL</t>
  </si>
  <si>
    <t>EV_CPS_SL_RSH</t>
  </si>
  <si>
    <t>EV_CPS_SL_00</t>
  </si>
  <si>
    <t>EV_CPS_SL_01</t>
  </si>
  <si>
    <t>EV_CPS_SL_02</t>
  </si>
  <si>
    <t>EV_CPS_SL_03</t>
  </si>
  <si>
    <t>EV_CPS_SL_04</t>
  </si>
  <si>
    <t>EV_CPS_SL_05</t>
  </si>
  <si>
    <t>EV_CPS_SL_06</t>
  </si>
  <si>
    <t>EV_CPS_SL_07</t>
  </si>
  <si>
    <t>EV_CPS_SL_08</t>
  </si>
  <si>
    <t>EV_CPS_SL_09</t>
  </si>
  <si>
    <t>EV_CPS_SL_10</t>
  </si>
  <si>
    <t>EV_CPS_SL_11</t>
  </si>
  <si>
    <t>EV_CPS_SH_CTRL</t>
  </si>
  <si>
    <t>EV_CPS_SH_SL</t>
  </si>
  <si>
    <t>EV_CPS_SH_RSH</t>
  </si>
  <si>
    <t>EV_CPS_SH_RSL</t>
  </si>
  <si>
    <t>EV_CPS_SH_00</t>
  </si>
  <si>
    <t>EV_CPS_SH_01</t>
  </si>
  <si>
    <t>EV_CPS_SH_02</t>
  </si>
  <si>
    <t>EV_CPS_SH_03</t>
  </si>
  <si>
    <t>EV_CPS_SH_04</t>
  </si>
  <si>
    <t>EV_CPS_SH_05</t>
  </si>
  <si>
    <t>EV_CPS_SH_06</t>
  </si>
  <si>
    <t>EV_CPS_SH_07</t>
  </si>
  <si>
    <t>EV_CPS_SH_08</t>
  </si>
  <si>
    <t>EV_CPS_SH_09</t>
  </si>
  <si>
    <t>EV_CPS_SH_10</t>
  </si>
  <si>
    <t>EV_CPS_SH_11</t>
  </si>
  <si>
    <t>CTRL</t>
  </si>
  <si>
    <t>EV_CPS_SET</t>
  </si>
  <si>
    <t>GT0</t>
    <phoneticPr fontId="1" type="noConversion"/>
  </si>
  <si>
    <t>GT1</t>
    <phoneticPr fontId="1" type="noConversion"/>
  </si>
  <si>
    <t>EVS</t>
  </si>
  <si>
    <t>EVR1_MAP_RAM, EVR1_MAP_RAM_N</t>
  </si>
  <si>
    <t>EVR1_MAP_RAM</t>
  </si>
  <si>
    <t>EVR1_MAP_RAM_N</t>
  </si>
  <si>
    <t>EVR1_TIMEDELAY</t>
  </si>
  <si>
    <t>EVR1_RX_DBUSSEL_0</t>
  </si>
  <si>
    <t>EVR1_RX_DBUSSEL_1</t>
  </si>
  <si>
    <t>EVR1_RX_DBUSSEL_2</t>
  </si>
  <si>
    <t>EVR1_RX_DBUSSEL_3</t>
  </si>
  <si>
    <t>EVR1_RX_DBUSSEL_4</t>
  </si>
  <si>
    <t>EVR1_RX_DBUSSEL_5</t>
  </si>
  <si>
    <t>EVR1_RX_DBUSSEL_6</t>
  </si>
  <si>
    <t>EVR1_RX_DBUSSEL_7</t>
  </si>
  <si>
    <t>EVR1_EXOUTINVERT_0</t>
  </si>
  <si>
    <t>EVR1_EXOUTINVERT_1</t>
  </si>
  <si>
    <t>EVR1_EXOUTINVERT_2</t>
  </si>
  <si>
    <t>EVR1_EXOUTINVERT_3</t>
  </si>
  <si>
    <t>EVR1_EXOUTINVERT_4</t>
  </si>
  <si>
    <t>EVR1_EXOUTINVERT_5</t>
  </si>
  <si>
    <t>EVR1_EXOUTINVERT_6</t>
  </si>
  <si>
    <t>EVR1_EXOUTINVERT_7</t>
  </si>
  <si>
    <t>EVR1_EXOUTINVERT_8</t>
  </si>
  <si>
    <t>EVR1_EXOUTINVERT_9</t>
  </si>
  <si>
    <t>EVR1_EXOUTINVERT_10</t>
  </si>
  <si>
    <t>EVR1_EXOUTINVERT_11</t>
  </si>
  <si>
    <t>EVR1_EXOUTINVERT_12</t>
  </si>
  <si>
    <t>EVR1_EXOUTINVERT_13</t>
  </si>
  <si>
    <t>EVR1_EXOUTINVERT_14</t>
  </si>
  <si>
    <t>EVR1_EXOUTINVERT_15</t>
  </si>
  <si>
    <t>EVR1_EXOUTINVERT_16</t>
  </si>
  <si>
    <t>EVR1_EXOUTINVERT_17</t>
  </si>
  <si>
    <t>EVR1_EXOUTINVERT_18</t>
  </si>
  <si>
    <t>EVR1_EXOUTINVERT_19</t>
  </si>
  <si>
    <t>EVR1_EXOUTINVERT_20</t>
  </si>
  <si>
    <t>EVR1_EXOUTINVERT_21</t>
  </si>
  <si>
    <t>EVR1_EXOUTINVERT_22</t>
  </si>
  <si>
    <t>EVR1_EXOUTINVERT_23</t>
  </si>
  <si>
    <t>EVR1_EXOUTINVERT_24</t>
  </si>
  <si>
    <t>EVR1_EXOUTINVERT_25</t>
  </si>
  <si>
    <t>EVR1_EXOUTINVERT_26</t>
  </si>
  <si>
    <t>EVR1_EXOUTINVERT_27</t>
  </si>
  <si>
    <t>EVR1_EXOUTINVERT_28</t>
  </si>
  <si>
    <t>EVR1_EXOUTINVERT_29</t>
  </si>
  <si>
    <t>EVR1_EXOUTINVERT_30</t>
  </si>
  <si>
    <t>EVR1_EXOUTINVERT_31</t>
  </si>
  <si>
    <t>EVR1_PDPDELAY_0</t>
  </si>
  <si>
    <t>EVR1_PDPDELAY_1</t>
  </si>
  <si>
    <t>EVR1_PDPDELAY_2</t>
  </si>
  <si>
    <t>EVR1_PDPDELAY_3</t>
  </si>
  <si>
    <t>EVR1_PDPDELAY_4</t>
  </si>
  <si>
    <t>EVR1_PDPDELAY_5</t>
  </si>
  <si>
    <t>EVR1_PDPDELAY_6</t>
  </si>
  <si>
    <t>EVR1_PDPDELAY_7</t>
  </si>
  <si>
    <t>EVR1_PDPDELAY_8</t>
  </si>
  <si>
    <t>EVR1_PDPDELAY_9</t>
  </si>
  <si>
    <t>EVR1_PDPDELAY_10</t>
  </si>
  <si>
    <t>EVR1_PDPDELAY_11</t>
  </si>
  <si>
    <t>EVR1_PDPDELAY_12</t>
  </si>
  <si>
    <t>EVR1_PDPDELAY_13</t>
  </si>
  <si>
    <t>EVR1_PDPDELAY_14</t>
  </si>
  <si>
    <t>EVR1_PDPDELAY_15</t>
  </si>
  <si>
    <t>EVR1_PDPDELAY_16</t>
  </si>
  <si>
    <t>EVR1_PDPDELAY_17</t>
  </si>
  <si>
    <t>EVR1_PDPDELAY_18</t>
  </si>
  <si>
    <t>EVR1_PDPDELAY_19</t>
  </si>
  <si>
    <t>EVR1_PDPDELAY_20</t>
  </si>
  <si>
    <t>EVR1_PDPDELAY_21</t>
  </si>
  <si>
    <t>EVR1_PDPDELAY_22</t>
  </si>
  <si>
    <t>EVR1_PDPDELAY_23</t>
  </si>
  <si>
    <t>EVR1_PDPDELAY_24</t>
  </si>
  <si>
    <t>EVR1_PDPDELAY_25</t>
  </si>
  <si>
    <t>EVR1_PDPDELAY_26</t>
  </si>
  <si>
    <t>EVR1_PDPDELAY_27</t>
  </si>
  <si>
    <t>EVR1_PDPDELAY_28</t>
  </si>
  <si>
    <t>EVR1_PDPDELAY_29</t>
  </si>
  <si>
    <t>EVR1_PDPDELAY_30</t>
  </si>
  <si>
    <t>EVR1_PDPDELAY_31</t>
  </si>
  <si>
    <t>EVR1_PDPWIDTH_0</t>
  </si>
  <si>
    <t>EVR1_PDPWIDTH_1</t>
  </si>
  <si>
    <t>EVR1_PDPWIDTH_2</t>
  </si>
  <si>
    <t>EVR1_PDPWIDTH_3</t>
  </si>
  <si>
    <t>EVR1_PDPWIDTH_4</t>
  </si>
  <si>
    <t>EVR1_PDPWIDTH_5</t>
  </si>
  <si>
    <t>EVR1_PDPWIDTH_6</t>
  </si>
  <si>
    <t>EVR1_PDPWIDTH_7</t>
  </si>
  <si>
    <t>EVR1_PDPWIDTH_8</t>
  </si>
  <si>
    <t>EVR1_PDPWIDTH_9</t>
  </si>
  <si>
    <t>EVR1_PDPWIDTH_10</t>
  </si>
  <si>
    <t>EVR1_PDPWIDTH_11</t>
  </si>
  <si>
    <t>EVR1_PDPWIDTH_12</t>
  </si>
  <si>
    <t>EVR1_PDPWIDTH_13</t>
  </si>
  <si>
    <t>EVR1_PDPWIDTH_14</t>
  </si>
  <si>
    <t>EVR1_PDPWIDTH_15</t>
  </si>
  <si>
    <t>EVR1_PDPWIDTH_16</t>
  </si>
  <si>
    <t>EVR1_PDPWIDTH_17</t>
  </si>
  <si>
    <t>EVR1_PDPWIDTH_18</t>
  </si>
  <si>
    <t>EVR1_PDPWIDTH_19</t>
  </si>
  <si>
    <t>EVR1_PDPWIDTH_20</t>
  </si>
  <si>
    <t>EVR1_PDPWIDTH_21</t>
  </si>
  <si>
    <t>EVR1_PDPWIDTH_22</t>
  </si>
  <si>
    <t>EVR1_PDPWIDTH_23</t>
  </si>
  <si>
    <t>EVR1_PDPWIDTH_24</t>
  </si>
  <si>
    <t>EVR1_PDPWIDTH_25</t>
  </si>
  <si>
    <t>EVR1_PDPWIDTH_26</t>
  </si>
  <si>
    <t>EVR1_PDPWIDTH_27</t>
  </si>
  <si>
    <t>EVR1_PDPWIDTH_28</t>
  </si>
  <si>
    <t>EVR1_PDPWIDTH_29</t>
  </si>
  <si>
    <t>EVR1_PDPWIDTH_30</t>
  </si>
  <si>
    <t>EVR1_PDPWIDTH_31</t>
  </si>
  <si>
    <t>EVR1_SETCTRLREG</t>
  </si>
  <si>
    <t>EVR1_EXTOUTSWAP</t>
  </si>
  <si>
    <t>EVR1_EXTOUTSEL_1PPS</t>
  </si>
  <si>
    <t>EVR1_EXTOUTSEL_XPS</t>
  </si>
  <si>
    <t>EVR1_LOGFIFO_ENABLE</t>
  </si>
  <si>
    <t>EVR1_EXOUTENABLE</t>
  </si>
  <si>
    <t>EVR1_RXENABLE</t>
  </si>
  <si>
    <t>EVG1_SEQA_CFG</t>
  </si>
  <si>
    <t>EVG1_SEQA_TSTAMP</t>
  </si>
  <si>
    <t>EVG1_SEQB_CFG</t>
  </si>
  <si>
    <t>EVG1_SEQB_TSTAMP</t>
  </si>
  <si>
    <t>EVG1_MXC14_PRESCALERREG_0</t>
  </si>
  <si>
    <t>EVG1_MXC14_PRESCALERREG_1</t>
  </si>
  <si>
    <t>EVG1_MXC14_PRESCALERREG_2</t>
  </si>
  <si>
    <t>EVG1_MXC14_PRESCALERREG_3</t>
  </si>
  <si>
    <t>EVG1_MXC14_PRESCALERREG_4</t>
  </si>
  <si>
    <t>EVG1_MXC14_PRESCALERREG_5</t>
  </si>
  <si>
    <t>EVG1_MXC14_PRESCALERREG_6</t>
  </si>
  <si>
    <t>EVG1_MXC14_PRESCALERREG_7</t>
  </si>
  <si>
    <t>EVG1_MXC14_PRESCALERREG_8</t>
  </si>
  <si>
    <t>EVG1_MXC14_PRESCALERREG_9</t>
  </si>
  <si>
    <t>EVG1_MXC14_PRESCALERREG_10</t>
  </si>
  <si>
    <t>EVG1_MXC14_PRESCALERREG_11</t>
  </si>
  <si>
    <t>EVG1_MXC14_PRESCALERREG_12</t>
  </si>
  <si>
    <t>EVG1_MXC14_PRESCALERREG_13</t>
  </si>
  <si>
    <t>EVG1_TX_DBUS_SEL_0</t>
  </si>
  <si>
    <t>EVG1_TX_DBUS_SEL_1</t>
  </si>
  <si>
    <t>EVG1_TX_DBUS_SEL_2</t>
  </si>
  <si>
    <t>EVG1_TX_DBUS_SEL_3</t>
  </si>
  <si>
    <t>EVG1_TX_DBUS_SEL_4</t>
  </si>
  <si>
    <t>EVG1_TX_DBUS_SEL_5</t>
  </si>
  <si>
    <t>EVG1_TX_DBUS_SEL_6</t>
  </si>
  <si>
    <t>EVG1_TX_DBUS_SEL_7</t>
  </si>
  <si>
    <t>EVG1_SEQ_REPEATREG_0</t>
  </si>
  <si>
    <t>EVG1_SEQ_REPEATREG_1</t>
  </si>
  <si>
    <t>EVG1_SEQTRGSEL_0</t>
  </si>
  <si>
    <t>EVG1_SEQTRGSEL_1</t>
  </si>
  <si>
    <t>EVG1_SEQTRGMSKA0_0</t>
  </si>
  <si>
    <t>EVG1_SEQTRGMSKA0_1</t>
  </si>
  <si>
    <t>EVG1_SEQTRGMSKA0_2</t>
  </si>
  <si>
    <t>EVG1_SEQTRGMSKA0_3</t>
  </si>
  <si>
    <t>EVG1_SEQTRGMSKA0_4</t>
  </si>
  <si>
    <t>EVG1_SEQTRGMSKA0_5</t>
  </si>
  <si>
    <t>EVG1_SEQTRGMSKA0_6</t>
  </si>
  <si>
    <t>EVG1_SEQTRGMSKA0_7</t>
  </si>
  <si>
    <t>EVG1_SEQTRGMSKA0_8</t>
  </si>
  <si>
    <t>EVG1_SEQTRGMSKA0_15</t>
  </si>
  <si>
    <t>EVG1_SEQTRGMSKA0_16</t>
  </si>
  <si>
    <t>EVG1_SEQTRGMSKA1_0</t>
  </si>
  <si>
    <t>EVG1_SEQTRGMSKA1_1</t>
  </si>
  <si>
    <t>EVG1_SEQTRGMSKA1_2</t>
  </si>
  <si>
    <t>EVG1_SEQTRGMSKA1_3</t>
  </si>
  <si>
    <t>EVG1_SEQTRGMSKA1_4</t>
  </si>
  <si>
    <t>EVG1_SEQTRGMSKA1_5</t>
  </si>
  <si>
    <t>EVG1_SEQTRGMSKA1_6</t>
  </si>
  <si>
    <t>EVG1_SEQTRGMSKA1_7</t>
  </si>
  <si>
    <t>EVG1_SEQTRGMSKA1_8</t>
  </si>
  <si>
    <t>EVG1_SEQTRGMSKA1_15</t>
  </si>
  <si>
    <t>EVG1_SEQTRGMSKA1_16</t>
  </si>
  <si>
    <t>EVG1_SEQTRGMSKB0_0</t>
  </si>
  <si>
    <t>EVG1_SEQTRGMSKB0_1</t>
  </si>
  <si>
    <t>EVG1_SEQTRGMSKB0_2</t>
  </si>
  <si>
    <t>EVG1_SEQTRGMSKB0_3</t>
  </si>
  <si>
    <t>EVG1_SEQTRGMSKB0_4</t>
  </si>
  <si>
    <t>EVG1_SEQTRGMSKB0_5</t>
  </si>
  <si>
    <t>EVG1_SEQTRGMSKB0_6</t>
  </si>
  <si>
    <t>EVG1_SEQTRGMSKB0_7</t>
  </si>
  <si>
    <t>EVG1_SEQTRGMSKB0_8</t>
  </si>
  <si>
    <t>EVG1_SEQTRGMSKB0_15</t>
  </si>
  <si>
    <t>EVG1_SEQTRGMSKB0_16</t>
  </si>
  <si>
    <t>EVG1_SEQTRGMSKB1_0</t>
  </si>
  <si>
    <t>EVG1_SEQTRGMSKB1_1</t>
  </si>
  <si>
    <t>EVG1_SEQTRGMSKB1_2</t>
  </si>
  <si>
    <t>EVG1_SEQTRGMSKB1_3</t>
  </si>
  <si>
    <t>EVG1_SEQTRGMSKB1_4</t>
  </si>
  <si>
    <t>EVG1_SEQTRGMSKB1_5</t>
  </si>
  <si>
    <t>EVG1_SEQTRGMSKB1_6</t>
  </si>
  <si>
    <t>EVG1_SEQTRGMSKB1_7</t>
  </si>
  <si>
    <t>EVG1_SEQTRGMSKB1_15</t>
  </si>
  <si>
    <t>EVG1_SEQTRGMSKB1_16</t>
  </si>
  <si>
    <t>EVG1_TXENABLE_EVCODEA</t>
  </si>
  <si>
    <t>EVG1_TXENABLE_EVCODEB</t>
  </si>
  <si>
    <t>EVG1_TXENABLE_MEVCODEA</t>
  </si>
  <si>
    <t>EVG1_SEQTRG_EN_0</t>
  </si>
  <si>
    <t>EVG1_SEQTRG_EN_1</t>
  </si>
  <si>
    <t>EVG1_MXC14ENABLE</t>
  </si>
  <si>
    <t>EVR</t>
  </si>
  <si>
    <t>EVG</t>
  </si>
  <si>
    <t>EVR0_RXENABLE</t>
    <phoneticPr fontId="1" type="noConversion"/>
  </si>
  <si>
    <t>0x00010000</t>
    <phoneticPr fontId="1" type="noConversion"/>
  </si>
  <si>
    <t>0x00030000</t>
    <phoneticPr fontId="1" type="noConversion"/>
  </si>
  <si>
    <t>0x00070000</t>
    <phoneticPr fontId="1" type="noConversion"/>
  </si>
  <si>
    <t>0x000F0000</t>
    <phoneticPr fontId="1" type="noConversion"/>
  </si>
  <si>
    <t>0x00000000</t>
    <phoneticPr fontId="1" type="noConversion"/>
  </si>
  <si>
    <t>EXT_IN_SL_00</t>
    <phoneticPr fontId="1" type="noConversion"/>
  </si>
  <si>
    <t>EVG1_SEQTRGMSKA0_31</t>
    <phoneticPr fontId="1" type="noConversion"/>
  </si>
  <si>
    <t>sync</t>
    <phoneticPr fontId="1" type="noConversion"/>
  </si>
  <si>
    <t>EVG1_SEQTRGMSKA1_31</t>
    <phoneticPr fontId="1" type="noConversion"/>
  </si>
  <si>
    <t>sync</t>
    <phoneticPr fontId="1" type="noConversion"/>
  </si>
  <si>
    <t>EVG1_SEQTRGMSKB0_31</t>
    <phoneticPr fontId="1" type="noConversion"/>
  </si>
  <si>
    <t>EVG1_SEQTRGMSKB1_31</t>
    <phoneticPr fontId="1" type="noConversion"/>
  </si>
  <si>
    <t>EVG1_SEQMODE_0</t>
    <phoneticPr fontId="1" type="noConversion"/>
  </si>
  <si>
    <t>EVG1_SEQMODE_1</t>
    <phoneticPr fontId="1" type="noConversion"/>
  </si>
  <si>
    <t>EVR1_PDPTRGSEL_0</t>
    <phoneticPr fontId="1" type="noConversion"/>
  </si>
  <si>
    <t>EVR1_PDPTRGSEL_1</t>
  </si>
  <si>
    <t>EVR1_PDPTRGSEL_2</t>
  </si>
  <si>
    <t>EVR1_PDPTRGSEL_3</t>
  </si>
  <si>
    <t>EVR1_PDPTRGSEL_4</t>
  </si>
  <si>
    <t>EVR1_PDPTRGSEL_5</t>
  </si>
  <si>
    <t>EVR1_PDPTRGSEL_6</t>
  </si>
  <si>
    <t>EVR1_PDPTRGSEL_7</t>
  </si>
  <si>
    <t>EVR1_PDPTRGSEL_8</t>
  </si>
  <si>
    <t>EVR1_PDPTRGSEL_9</t>
  </si>
  <si>
    <t>EVR1_PDPTRGSEL_10</t>
  </si>
  <si>
    <t>EVR1_PDPTRGSEL_11</t>
  </si>
  <si>
    <t>EVR1_PDPTRGSEL_12</t>
  </si>
  <si>
    <t>EVR1_PDPTRGSEL_13</t>
  </si>
  <si>
    <t>EVR1_PDPTRGSEL_14</t>
  </si>
  <si>
    <t>EVR1_PDPTRGSEL_15</t>
  </si>
  <si>
    <t>EVR1_PDPTRGSEL_16</t>
  </si>
  <si>
    <t>EVR1_PDPTRGSEL_17</t>
  </si>
  <si>
    <t>EVR1_PDPTRGSEL_18</t>
  </si>
  <si>
    <t>EVR1_PDPTRGSEL_19</t>
  </si>
  <si>
    <t>EVR1_PDPTRGSEL_20</t>
  </si>
  <si>
    <t>EVR1_PDPTRGSEL_21</t>
  </si>
  <si>
    <t>EVR1_PDPTRGSEL_22</t>
  </si>
  <si>
    <t>EVR1_PDPTRGSEL_23</t>
  </si>
  <si>
    <t>EVR1_PDPTRGSEL_24</t>
  </si>
  <si>
    <t>EVR1_PDPTRGSEL_25</t>
  </si>
  <si>
    <t>EVR1_PDPTRGSEL_26</t>
  </si>
  <si>
    <t>EVR1_PDPTRGSEL_27</t>
  </si>
  <si>
    <t>EVR1_PDPTRGSEL_28</t>
  </si>
  <si>
    <t>EVR1_PDPTRGSEL_29</t>
  </si>
  <si>
    <t>EVR1_PDPTRGSEL_30</t>
  </si>
  <si>
    <t>EVR1_PDPTRGSEL_31</t>
  </si>
  <si>
    <t>evCode</t>
  </si>
  <si>
    <t>evCode</t>
    <phoneticPr fontId="1" type="noConversion"/>
  </si>
  <si>
    <t>dBus0</t>
  </si>
  <si>
    <t>dBus0</t>
    <phoneticPr fontId="1" type="noConversion"/>
  </si>
  <si>
    <t>dBus1</t>
  </si>
  <si>
    <t>dBus2</t>
  </si>
  <si>
    <t>dBus3</t>
  </si>
  <si>
    <t>dBus4</t>
  </si>
  <si>
    <t>dBus5</t>
  </si>
  <si>
    <t>dBus6</t>
  </si>
  <si>
    <t>dBus7</t>
  </si>
  <si>
    <t>EXT_IN_SL_01</t>
  </si>
  <si>
    <t>0</t>
    <phoneticPr fontId="1" type="noConversion"/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</si>
  <si>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</si>
  <si>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</si>
  <si>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</si>
  <si>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</si>
  <si>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</si>
  <si>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</si>
  <si>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</si>
  <si>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</si>
  <si>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</si>
  <si>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</si>
  <si>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31</t>
    <phoneticPr fontId="1" type="noConversion"/>
  </si>
  <si>
    <t>Sync_MXC_0</t>
    <phoneticPr fontId="1" type="noConversion"/>
  </si>
  <si>
    <t>0x00010000</t>
    <phoneticPr fontId="1" type="noConversion"/>
  </si>
  <si>
    <t>0x00030000</t>
    <phoneticPr fontId="1" type="noConversion"/>
  </si>
  <si>
    <t>0x00070000</t>
    <phoneticPr fontId="1" type="noConversion"/>
  </si>
  <si>
    <t>0x000F0000</t>
    <phoneticPr fontId="1" type="noConversion"/>
  </si>
  <si>
    <t>0x001f0000</t>
    <phoneticPr fontId="1" type="noConversion"/>
  </si>
  <si>
    <t>end</t>
  </si>
  <si>
    <t>EVR1_MAP_RAM_1</t>
    <phoneticPr fontId="1" type="noConversion"/>
  </si>
  <si>
    <t>EVR1_MAP_RAM_2</t>
  </si>
  <si>
    <t>EVR1_MAP_RAM_3</t>
  </si>
  <si>
    <t>EVR1_MAP_RAM_4</t>
  </si>
  <si>
    <t>EVR1_MAP_RAM_5</t>
  </si>
  <si>
    <t>EVR1_MAP_RAM_6</t>
  </si>
  <si>
    <t>EVR1_MAP_RAM_7</t>
  </si>
  <si>
    <t>EVR1_MAP_RAM_8</t>
  </si>
  <si>
    <t>EVR1_MAP_RAM_9</t>
  </si>
  <si>
    <t>EVR1_MAP_RAM_10</t>
  </si>
  <si>
    <t>EVR1_MAP_RAM_11</t>
  </si>
  <si>
    <t>EVR1_MAP_RAM_12</t>
  </si>
  <si>
    <t>EVR1_MAP_RAM_13</t>
  </si>
  <si>
    <t>EVR1_MAP_RAM_14</t>
  </si>
  <si>
    <t>EVR1_MAP_RAM_15</t>
  </si>
  <si>
    <t>EVR1_MAP_RAM_16</t>
  </si>
  <si>
    <t>0x00000000</t>
    <phoneticPr fontId="1" type="noConversion"/>
  </si>
  <si>
    <t>EVG1_TXENABLE_DBUS</t>
    <phoneticPr fontId="1" type="noConversion"/>
  </si>
  <si>
    <t>evcode delay</t>
    <phoneticPr fontId="1" type="noConversion"/>
  </si>
  <si>
    <t>FMC1</t>
  </si>
  <si>
    <t>002</t>
    <phoneticPr fontId="1" type="noConversion"/>
  </si>
  <si>
    <t>003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</si>
</sst>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76" formatCode="0_);[Red]\(0\)"/>
  </numFmts>
  <fonts count="1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Bitstream Vera Sans Mono"/>
      <family val="3"/>
      <charset val="129"/>
    </font>
    <font>
      <sz val="9"/>
      <color rgb="FFFF0000"/>
      <name val="Bitstream Vera Sans Mono"/>
      <family val="3"/>
      <charset val="129"/>
    </font>
    <font>
      <sz val="9"/>
      <color rgb="FF0070C0"/>
      <name val="Bitstream Vera Sans Mono"/>
      <family val="3"/>
      <charset val="129"/>
    </font>
    <font>
      <sz val="9"/>
      <color rgb="FFC00000"/>
      <name val="Bitstream Vera Sans Mono"/>
      <family val="3"/>
      <charset val="129"/>
    </font>
    <font>
      <sz val="11"/>
      <color theme="1"/>
      <name val="맑은 고딕"/>
      <family val="2"/>
      <charset val="129"/>
      <scheme val="minor"/>
    </font>
    <font>
      <sz val="9"/>
      <color theme="1"/>
      <name val="Consolas"/>
      <family val="3"/>
    </font>
    <font>
      <sz val="9"/>
      <color rgb="FF7030A0"/>
      <name val="Consolas"/>
      <family val="3"/>
    </font>
    <font>
      <sz val="9"/>
      <color rgb="FF0070C0"/>
      <name val="Consolas"/>
      <family val="3"/>
    </font>
    <font>
      <sz val="9"/>
      <color rgb="FFFF0000"/>
      <name val="Consolas"/>
      <family val="3"/>
    </font>
    <font>
      <sz val="9"/>
      <color rgb="FFC00000"/>
      <name val="Consolas"/>
      <family val="3"/>
    </font>
    <font>
      <sz val="2"/>
      <color theme="1"/>
      <name val="Consolas"/>
      <family val="3"/>
    </font>
    <font>
      <sz val="9"/>
      <color theme="0"/>
      <name val="Consolas"/>
      <family val="3"/>
    </font>
    <font>
      <sz val="11"/>
      <color rgb="FFCE9178"/>
      <name val="Consolas"/>
      <family val="3"/>
    </font>
    <font>
      <sz val="11"/>
      <color theme="1"/>
      <name val="맑은 고딕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6" fillId="0" borderId="0" applyFont="0" applyFill="0" applyBorder="0" applyAlignment="0" applyProtection="0">
      <alignment vertical="center"/>
    </xf>
    <xf numFmtId="0" fontId="15" fillId="0" borderId="0"/>
  </cellStyleXfs>
  <cellXfs count="61">
    <xf numFmtId="0" fontId="0" fillId="0" borderId="0" xfId="0">
      <alignment vertical="center"/>
    </xf>
    <xf numFmtId="0" fontId="3" fillId="0" borderId="0" xfId="0" applyFont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center" vertical="center"/>
    </xf>
    <xf numFmtId="0" fontId="7" fillId="0" borderId="0" xfId="0" quotePrefix="1" applyFont="1" applyAlignment="1">
      <alignment horizontal="center" vertical="center"/>
    </xf>
    <xf numFmtId="0" fontId="7" fillId="0" borderId="0" xfId="0" applyFont="1" applyAlignment="1">
      <alignment vertical="center"/>
    </xf>
    <xf numFmtId="49" fontId="8" fillId="2" borderId="1" xfId="0" applyNumberFormat="1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41" fontId="10" fillId="0" borderId="0" xfId="1" applyFont="1" applyAlignment="1">
      <alignment horizontal="right" vertical="center"/>
    </xf>
    <xf numFmtId="0" fontId="10" fillId="0" borderId="0" xfId="0" applyFont="1" applyAlignment="1">
      <alignment horizontal="center" vertical="center"/>
    </xf>
    <xf numFmtId="41" fontId="7" fillId="0" borderId="0" xfId="1" applyFont="1" applyAlignment="1">
      <alignment horizontal="left" vertical="center"/>
    </xf>
    <xf numFmtId="0" fontId="10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41" fontId="11" fillId="0" borderId="0" xfId="1" applyFont="1" applyAlignment="1">
      <alignment horizontal="right" vertical="center"/>
    </xf>
    <xf numFmtId="0" fontId="7" fillId="0" borderId="0" xfId="0" applyFont="1" applyAlignment="1">
      <alignment horizontal="right" vertical="center"/>
    </xf>
    <xf numFmtId="0" fontId="8" fillId="0" borderId="0" xfId="0" applyFont="1" applyAlignment="1">
      <alignment horizontal="left" vertical="center"/>
    </xf>
    <xf numFmtId="0" fontId="7" fillId="0" borderId="0" xfId="0" quotePrefix="1" applyFont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9" fillId="0" borderId="0" xfId="0" applyFont="1" applyAlignment="1">
      <alignment horizontal="right" vertical="center"/>
    </xf>
    <xf numFmtId="0" fontId="9" fillId="0" borderId="0" xfId="0" quotePrefix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7" fillId="0" borderId="0" xfId="1" applyNumberFormat="1" applyFont="1" applyAlignment="1">
      <alignment horizontal="left" vertical="center"/>
    </xf>
    <xf numFmtId="16" fontId="7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7" fillId="4" borderId="0" xfId="0" applyFont="1" applyFill="1" applyAlignment="1">
      <alignment horizontal="left" vertical="center"/>
    </xf>
    <xf numFmtId="41" fontId="11" fillId="0" borderId="0" xfId="1" applyFont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4" borderId="0" xfId="0" applyFont="1" applyFill="1" applyAlignment="1">
      <alignment horizontal="left" vertical="center"/>
    </xf>
    <xf numFmtId="41" fontId="13" fillId="4" borderId="0" xfId="1" applyFont="1" applyFill="1" applyAlignment="1">
      <alignment horizontal="righ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4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0" xfId="1" applyNumberFormat="1" applyFont="1" applyAlignment="1">
      <alignment horizontal="center" vertical="center"/>
    </xf>
    <xf numFmtId="176" fontId="10" fillId="0" borderId="0" xfId="1" applyNumberFormat="1" applyFont="1" applyAlignment="1">
      <alignment horizontal="right" vertical="center"/>
    </xf>
    <xf numFmtId="176" fontId="9" fillId="0" borderId="0" xfId="1" applyNumberFormat="1" applyFont="1" applyAlignment="1">
      <alignment horizontal="right" vertical="center"/>
    </xf>
    <xf numFmtId="0" fontId="10" fillId="0" borderId="0" xfId="1" applyNumberFormat="1" applyFont="1" applyAlignment="1">
      <alignment horizontal="center" vertical="center"/>
    </xf>
    <xf numFmtId="0" fontId="13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left" vertical="center"/>
    </xf>
    <xf numFmtId="0" fontId="9" fillId="0" borderId="0" xfId="0" applyFont="1" applyFill="1" applyAlignment="1">
      <alignment horizontal="center" vertical="center"/>
    </xf>
    <xf numFmtId="0" fontId="10" fillId="0" borderId="0" xfId="0" quotePrefix="1" applyFont="1" applyAlignment="1">
      <alignment horizontal="center" vertical="center"/>
    </xf>
    <xf numFmtId="0" fontId="9" fillId="2" borderId="0" xfId="0" applyFont="1" applyFill="1" applyAlignment="1">
      <alignment horizontal="right" vertical="center"/>
    </xf>
    <xf numFmtId="0" fontId="10" fillId="3" borderId="0" xfId="0" applyFont="1" applyFill="1" applyAlignment="1">
      <alignment horizontal="right" vertical="center"/>
    </xf>
    <xf numFmtId="0" fontId="10" fillId="3" borderId="0" xfId="0" quotePrefix="1" applyFont="1" applyFill="1" applyAlignment="1">
      <alignment horizontal="right" vertical="center"/>
    </xf>
    <xf numFmtId="0" fontId="7" fillId="0" borderId="0" xfId="0" applyFont="1" applyAlignment="1">
      <alignment horizontal="center" vertical="center"/>
    </xf>
  </cellXfs>
  <cellStyles count="3">
    <cellStyle name="Normal 2" xfId="2"/>
    <cellStyle name="쉼표 [0]" xfId="1" builtinId="6"/>
    <cellStyle name="표준" xfId="0" builtinId="0"/>
  </cellStyles>
  <dxfs count="179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14" name="Table2915" displayName="Table2915" ref="B24:E31" totalsRowShown="0" headerRowDxfId="178">
  <autoFilter ref="B24:E31"/>
  <tableColumns count="4">
    <tableColumn id="1" name="seq Mask combination" dataDxfId="177"/>
    <tableColumn id="2" name="value type" dataDxfId="176"/>
    <tableColumn id="3" name="열1" dataDxfId="175"/>
    <tableColumn id="4" name="index" dataDxfId="174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6" name="Table51117" displayName="Table51117" ref="B10:E22" totalsRowShown="0" headerRowDxfId="173" dataDxfId="172">
  <autoFilter ref="B10:E22"/>
  <tableColumns count="4">
    <tableColumn id="1" name="ev source" dataDxfId="171"/>
    <tableColumn id="2" name="ev source number" dataDxfId="170"/>
    <tableColumn id="3" name="Column1" dataDxfId="169"/>
    <tableColumn id="4" name="Column2" dataDxfId="168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23" name="Table23" displayName="Table23" ref="B36:B43" totalsRowShown="0" headerRowDxfId="167" dataDxfId="166">
  <autoFilter ref="B36:B43"/>
  <tableColumns count="1">
    <tableColumn id="1" name="Column1" dataDxfId="165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6" name="Table237" displayName="Table237" ref="B47:B56" totalsRowShown="0" headerRowDxfId="164" dataDxfId="163">
  <autoFilter ref="B47:B56"/>
  <tableColumns count="1">
    <tableColumn id="1" name="Column1" dataDxfId="162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24" name="Table131925" displayName="Table131925" ref="C3:G2113" totalsRowShown="0" headerRowDxfId="161" dataDxfId="160">
  <autoFilter ref="C3:G2113">
    <filterColumn colId="0" hiddenButton="1"/>
    <filterColumn colId="4" hiddenButton="1"/>
  </autoFilter>
  <tableColumns count="5">
    <tableColumn id="1" name="-" dataDxfId="159"/>
    <tableColumn id="3" name="Name" dataDxfId="158"/>
    <tableColumn id="4" name="value" dataDxfId="157"/>
    <tableColumn id="7" name="dec val" dataDxfId="156"/>
    <tableColumn id="15" name="init val" dataDxfId="155"/>
  </tableColumns>
  <tableStyleInfo name="TableStyleMedium6" showFirstColumn="0" showLastColumn="0" showRowStripes="1" showColumnStripes="0"/>
</table>
</file>

<file path=xl/tables/table6.xml><?xml version="1.0" encoding="utf-8"?>
<table xmlns="http://schemas.openxmlformats.org/spreadsheetml/2006/main" id="25" name="Table1322026" displayName="Table1322026" ref="L3:M2064" totalsRowShown="0" headerRowDxfId="154" dataDxfId="153">
  <autoFilter ref="L3:M2064"/>
  <tableColumns count="2">
    <tableColumn id="14" name="evCode" dataDxfId="152"/>
    <tableColumn id="7" name="timeStamp" dataDxfId="151"/>
  </tableColumns>
  <tableStyleInfo name="TableStyleMedium6" showFirstColumn="0" showLastColumn="0" showRowStripes="1" showColumnStripes="0"/>
</table>
</file>

<file path=xl/tables/table7.xml><?xml version="1.0" encoding="utf-8"?>
<table xmlns="http://schemas.openxmlformats.org/spreadsheetml/2006/main" id="26" name="Table13232127" displayName="Table13232127" ref="O3:R2064" totalsRowShown="0" headerRowDxfId="150" dataDxfId="149">
  <autoFilter ref="O3:R2064"/>
  <tableColumns count="4">
    <tableColumn id="1" name="h1" dataDxfId="148"/>
    <tableColumn id="3" name="d1" dataDxfId="147"/>
    <tableColumn id="2" name="h2" dataDxfId="146"/>
    <tableColumn id="4" name="d2" dataDxfId="145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id="27" name="Table132342228" displayName="Table132342228" ref="T3:W2064" totalsRowShown="0" headerRowDxfId="144" dataDxfId="143">
  <autoFilter ref="T3:W2064"/>
  <tableColumns count="4">
    <tableColumn id="3" name="stopbit" dataDxfId="142"/>
    <tableColumn id="4" name="evCode" dataDxfId="141"/>
    <tableColumn id="14" name="code" dataDxfId="140"/>
    <tableColumn id="15" name="timeStamp" dataDxfId="139"/>
  </tableColumns>
  <tableStyleInfo name="TableStyleMedium6" showFirstColumn="0" showLastColumn="0" showRowStripes="1" showColumnStripes="0"/>
</table>
</file>

<file path=xl/tables/table9.xml><?xml version="1.0" encoding="utf-8"?>
<table xmlns="http://schemas.openxmlformats.org/spreadsheetml/2006/main" id="28" name="Table13262329" displayName="Table13262329" ref="I3:J2064" totalsRowShown="0" headerRowDxfId="138" dataDxfId="137">
  <autoFilter ref="I3:J2064"/>
  <tableColumns count="2">
    <tableColumn id="14" name="evCode" dataDxfId="136"/>
    <tableColumn id="7" name="timeStamp" dataDxfId="135"/>
  </tableColumns>
  <tableStyleInfo name="TableStyleMedium6" showFirstColumn="0" showLastColumn="0" showRowStripes="1" showColumnStripes="0"/>
</table>
</file>

<file path=xl/tables/table10.xml><?xml version="1.0" encoding="utf-8"?>
<table xmlns="http://schemas.openxmlformats.org/spreadsheetml/2006/main" id="50" name="Table13192551" displayName="Table13192551" ref="C3:G2113" totalsRowShown="0" headerRowDxfId="134" dataDxfId="133">
  <autoFilter ref="C3:G2113">
    <filterColumn colId="0" hiddenButton="1"/>
    <filterColumn colId="4" hiddenButton="1"/>
  </autoFilter>
  <tableColumns count="5">
    <tableColumn id="1" name="-" dataDxfId="132"/>
    <tableColumn id="3" name="Name" dataDxfId="131"/>
    <tableColumn id="4" name="value" dataDxfId="130"/>
    <tableColumn id="7" name="dec val" dataDxfId="129"/>
    <tableColumn id="15" name="init val" dataDxfId="128"/>
  </tableColumns>
  <tableStyleInfo name="TableStyleMedium6" showFirstColumn="0" showLastColumn="0" showRowStripes="1" showColumnStripes="0"/>
</table>
</file>

<file path=xl/tables/table11.xml><?xml version="1.0" encoding="utf-8"?>
<table xmlns="http://schemas.openxmlformats.org/spreadsheetml/2006/main" id="51" name="Table132202652" displayName="Table132202652" ref="L3:M2064" totalsRowShown="0" headerRowDxfId="127" dataDxfId="126">
  <autoFilter ref="L3:M2064"/>
  <tableColumns count="2">
    <tableColumn id="14" name="evCode" dataDxfId="125"/>
    <tableColumn id="7" name="timeStamp" dataDxfId="124"/>
  </tableColumns>
  <tableStyleInfo name="TableStyleMedium6" showFirstColumn="0" showLastColumn="0" showRowStripes="1" showColumnStripes="0"/>
</table>
</file>

<file path=xl/tables/table12.xml><?xml version="1.0" encoding="utf-8"?>
<table xmlns="http://schemas.openxmlformats.org/spreadsheetml/2006/main" id="52" name="Table1323212753" displayName="Table1323212753" ref="O3:R2064" totalsRowShown="0" headerRowDxfId="123" dataDxfId="122">
  <autoFilter ref="O3:R2064"/>
  <tableColumns count="4">
    <tableColumn id="1" name="h1" dataDxfId="121"/>
    <tableColumn id="3" name="d1" dataDxfId="120"/>
    <tableColumn id="2" name="h2" dataDxfId="119"/>
    <tableColumn id="4" name="d2" dataDxfId="118"/>
  </tableColumns>
  <tableStyleInfo name="TableStyleMedium6" showFirstColumn="0" showLastColumn="0" showRowStripes="1" showColumnStripes="0"/>
</table>
</file>

<file path=xl/tables/table13.xml><?xml version="1.0" encoding="utf-8"?>
<table xmlns="http://schemas.openxmlformats.org/spreadsheetml/2006/main" id="53" name="Table13234222854" displayName="Table13234222854" ref="T3:W2064" totalsRowShown="0" headerRowDxfId="117" dataDxfId="116">
  <autoFilter ref="T3:W2064"/>
  <tableColumns count="4">
    <tableColumn id="3" name="stopbit" dataDxfId="115"/>
    <tableColumn id="4" name="evCode" dataDxfId="114"/>
    <tableColumn id="14" name="code" dataDxfId="113"/>
    <tableColumn id="15" name="timeStamp" dataDxfId="112"/>
  </tableColumns>
  <tableStyleInfo name="TableStyleMedium6" showFirstColumn="0" showLastColumn="0" showRowStripes="1" showColumnStripes="0"/>
</table>
</file>

<file path=xl/tables/table14.xml><?xml version="1.0" encoding="utf-8"?>
<table xmlns="http://schemas.openxmlformats.org/spreadsheetml/2006/main" id="54" name="Table1326232955" displayName="Table1326232955" ref="I3:J2064" totalsRowShown="0" headerRowDxfId="111" dataDxfId="110">
  <autoFilter ref="I3:J2064"/>
  <tableColumns count="2">
    <tableColumn id="14" name="evCode" dataDxfId="109"/>
    <tableColumn id="7" name="timeStamp" dataDxfId="108"/>
  </tableColumns>
  <tableStyleInfo name="TableStyleMedium6" showFirstColumn="0" showLastColumn="0" showRowStripes="1" showColumnStripes="0"/>
</table>
</file>

<file path=xl/tables/table15.xml><?xml version="1.0" encoding="utf-8"?>
<table xmlns="http://schemas.openxmlformats.org/spreadsheetml/2006/main" id="55" name="Table1319255156" displayName="Table1319255156" ref="C3:G2113" totalsRowShown="0" headerRowDxfId="107" dataDxfId="106">
  <autoFilter ref="C3:G2113">
    <filterColumn colId="0" hiddenButton="1"/>
    <filterColumn colId="4" hiddenButton="1"/>
  </autoFilter>
  <tableColumns count="5">
    <tableColumn id="1" name="-" dataDxfId="105"/>
    <tableColumn id="3" name="Name" dataDxfId="104"/>
    <tableColumn id="4" name="value" dataDxfId="103"/>
    <tableColumn id="7" name="dec val" dataDxfId="102"/>
    <tableColumn id="15" name="init val" dataDxfId="101"/>
  </tableColumns>
  <tableStyleInfo name="TableStyleMedium6" showFirstColumn="0" showLastColumn="0" showRowStripes="1" showColumnStripes="0"/>
</table>
</file>

<file path=xl/tables/table16.xml><?xml version="1.0" encoding="utf-8"?>
<table xmlns="http://schemas.openxmlformats.org/spreadsheetml/2006/main" id="56" name="Table13220265257" displayName="Table13220265257" ref="L3:M2064" totalsRowShown="0" headerRowDxfId="100" dataDxfId="99">
  <autoFilter ref="L3:M2064"/>
  <tableColumns count="2">
    <tableColumn id="14" name="evCode" dataDxfId="98"/>
    <tableColumn id="7" name="timeStamp" dataDxfId="97"/>
  </tableColumns>
  <tableStyleInfo name="TableStyleMedium6" showFirstColumn="0" showLastColumn="0" showRowStripes="1" showColumnStripes="0"/>
</table>
</file>

<file path=xl/tables/table17.xml><?xml version="1.0" encoding="utf-8"?>
<table xmlns="http://schemas.openxmlformats.org/spreadsheetml/2006/main" id="57" name="Table132321275358" displayName="Table132321275358" ref="O3:R2064" totalsRowShown="0" headerRowDxfId="96" dataDxfId="95">
  <autoFilter ref="O3:R2064"/>
  <tableColumns count="4">
    <tableColumn id="1" name="h1" dataDxfId="94"/>
    <tableColumn id="3" name="d1" dataDxfId="93"/>
    <tableColumn id="2" name="h2" dataDxfId="92"/>
    <tableColumn id="4" name="d2" dataDxfId="91"/>
  </tableColumns>
  <tableStyleInfo name="TableStyleMedium6" showFirstColumn="0" showLastColumn="0" showRowStripes="1" showColumnStripes="0"/>
</table>
</file>

<file path=xl/tables/table18.xml><?xml version="1.0" encoding="utf-8"?>
<table xmlns="http://schemas.openxmlformats.org/spreadsheetml/2006/main" id="58" name="Table1323422285459" displayName="Table1323422285459" ref="T3:W2064" totalsRowShown="0" headerRowDxfId="90" dataDxfId="89">
  <autoFilter ref="T3:W2064"/>
  <tableColumns count="4">
    <tableColumn id="3" name="stopbit" dataDxfId="88"/>
    <tableColumn id="4" name="evCode" dataDxfId="87"/>
    <tableColumn id="14" name="code" dataDxfId="86"/>
    <tableColumn id="15" name="timeStamp" dataDxfId="85"/>
  </tableColumns>
  <tableStyleInfo name="TableStyleMedium6" showFirstColumn="0" showLastColumn="0" showRowStripes="1" showColumnStripes="0"/>
</table>
</file>

<file path=xl/tables/table19.xml><?xml version="1.0" encoding="utf-8"?>
<table xmlns="http://schemas.openxmlformats.org/spreadsheetml/2006/main" id="59" name="Table132623295560" displayName="Table132623295560" ref="I3:J2064" totalsRowShown="0" headerRowDxfId="84" dataDxfId="83">
  <autoFilter ref="I3:J2064"/>
  <tableColumns count="2">
    <tableColumn id="14" name="evCode" dataDxfId="82"/>
    <tableColumn id="7" name="timeStamp" dataDxfId="81"/>
  </tableColumns>
  <tableStyleInfo name="TableStyleMedium6" showFirstColumn="0" showLastColumn="0" showRowStripes="1" showColumnStripes="0"/>
</table>
</file>

<file path=xl/tables/table20.xml><?xml version="1.0" encoding="utf-8"?>
<table xmlns="http://schemas.openxmlformats.org/spreadsheetml/2006/main" id="65" name="Table131925515666" displayName="Table131925515666" ref="C3:G2113" totalsRowShown="0" headerRowDxfId="80" dataDxfId="79">
  <autoFilter ref="C3:G2113">
    <filterColumn colId="0" hiddenButton="1"/>
    <filterColumn colId="4" hiddenButton="1"/>
  </autoFilter>
  <tableColumns count="5">
    <tableColumn id="1" name="-" dataDxfId="78"/>
    <tableColumn id="3" name="Name" dataDxfId="77"/>
    <tableColumn id="4" name="value" dataDxfId="76"/>
    <tableColumn id="7" name="dec val" dataDxfId="75"/>
    <tableColumn id="15" name="init val" dataDxfId="74"/>
  </tableColumns>
  <tableStyleInfo name="TableStyleMedium6" showFirstColumn="0" showLastColumn="0" showRowStripes="1" showColumnStripes="0"/>
</table>
</file>

<file path=xl/tables/table21.xml><?xml version="1.0" encoding="utf-8"?>
<table xmlns="http://schemas.openxmlformats.org/spreadsheetml/2006/main" id="66" name="Table1322026525767" displayName="Table1322026525767" ref="L3:M2064" totalsRowShown="0" headerRowDxfId="73" dataDxfId="72">
  <autoFilter ref="L3:M2064"/>
  <tableColumns count="2">
    <tableColumn id="14" name="evCode" dataDxfId="71"/>
    <tableColumn id="7" name="timeStamp" dataDxfId="70"/>
  </tableColumns>
  <tableStyleInfo name="TableStyleMedium6" showFirstColumn="0" showLastColumn="0" showRowStripes="1" showColumnStripes="0"/>
</table>
</file>

<file path=xl/tables/table22.xml><?xml version="1.0" encoding="utf-8"?>
<table xmlns="http://schemas.openxmlformats.org/spreadsheetml/2006/main" id="67" name="Table13232127535868" displayName="Table13232127535868" ref="O3:R2064" totalsRowShown="0" headerRowDxfId="69" dataDxfId="68">
  <autoFilter ref="O3:R2064"/>
  <tableColumns count="4">
    <tableColumn id="1" name="h1" dataDxfId="67"/>
    <tableColumn id="3" name="d1" dataDxfId="66"/>
    <tableColumn id="2" name="h2" dataDxfId="65"/>
    <tableColumn id="4" name="d2" dataDxfId="64"/>
  </tableColumns>
  <tableStyleInfo name="TableStyleMedium6" showFirstColumn="0" showLastColumn="0" showRowStripes="1" showColumnStripes="0"/>
</table>
</file>

<file path=xl/tables/table23.xml><?xml version="1.0" encoding="utf-8"?>
<table xmlns="http://schemas.openxmlformats.org/spreadsheetml/2006/main" id="68" name="Table132342228545969" displayName="Table132342228545969" ref="T3:W2064" totalsRowShown="0" headerRowDxfId="63" dataDxfId="62">
  <autoFilter ref="T3:W2064"/>
  <tableColumns count="4">
    <tableColumn id="3" name="stopbit" dataDxfId="61"/>
    <tableColumn id="4" name="evCode" dataDxfId="60"/>
    <tableColumn id="14" name="code" dataDxfId="59"/>
    <tableColumn id="15" name="timeStamp" dataDxfId="58"/>
  </tableColumns>
  <tableStyleInfo name="TableStyleMedium6" showFirstColumn="0" showLastColumn="0" showRowStripes="1" showColumnStripes="0"/>
</table>
</file>

<file path=xl/tables/table24.xml><?xml version="1.0" encoding="utf-8"?>
<table xmlns="http://schemas.openxmlformats.org/spreadsheetml/2006/main" id="69" name="Table13262329556070" displayName="Table13262329556070" ref="I3:J2064" totalsRowShown="0" headerRowDxfId="57" dataDxfId="56">
  <autoFilter ref="I3:J2064"/>
  <tableColumns count="2">
    <tableColumn id="14" name="evCode" dataDxfId="55"/>
    <tableColumn id="7" name="timeStamp" dataDxfId="54"/>
  </tableColumns>
  <tableStyleInfo name="TableStyleMedium6" showFirstColumn="0" showLastColumn="0" showRowStripes="1" showColumnStripes="0"/>
</table>
</file>

<file path=xl/tables/table25.xml><?xml version="1.0" encoding="utf-8"?>
<table xmlns="http://schemas.openxmlformats.org/spreadsheetml/2006/main" id="70" name="Table13192551566671" displayName="Table13192551566671" ref="C3:G2113" totalsRowShown="0" headerRowDxfId="53" dataDxfId="52">
  <autoFilter ref="C3:G2113">
    <filterColumn colId="0" hiddenButton="1"/>
    <filterColumn colId="4" hiddenButton="1"/>
  </autoFilter>
  <tableColumns count="5">
    <tableColumn id="1" name="-" dataDxfId="51"/>
    <tableColumn id="3" name="Name" dataDxfId="50"/>
    <tableColumn id="4" name="value" dataDxfId="49"/>
    <tableColumn id="7" name="dec val" dataDxfId="48"/>
    <tableColumn id="15" name="init val" dataDxfId="47"/>
  </tableColumns>
  <tableStyleInfo name="TableStyleMedium6" showFirstColumn="0" showLastColumn="0" showRowStripes="1" showColumnStripes="0"/>
</table>
</file>

<file path=xl/tables/table26.xml><?xml version="1.0" encoding="utf-8"?>
<table xmlns="http://schemas.openxmlformats.org/spreadsheetml/2006/main" id="71" name="Table132202652576772" displayName="Table132202652576772" ref="L3:M2064" totalsRowShown="0" headerRowDxfId="46" dataDxfId="45">
  <autoFilter ref="L3:M2064"/>
  <tableColumns count="2">
    <tableColumn id="14" name="evCode" dataDxfId="44"/>
    <tableColumn id="7" name="timeStamp" dataDxfId="43"/>
  </tableColumns>
  <tableStyleInfo name="TableStyleMedium6" showFirstColumn="0" showLastColumn="0" showRowStripes="1" showColumnStripes="0"/>
</table>
</file>

<file path=xl/tables/table27.xml><?xml version="1.0" encoding="utf-8"?>
<table xmlns="http://schemas.openxmlformats.org/spreadsheetml/2006/main" id="72" name="Table1323212753586873" displayName="Table1323212753586873" ref="O3:R2064" totalsRowShown="0" headerRowDxfId="42" dataDxfId="41">
  <autoFilter ref="O3:R2064"/>
  <tableColumns count="4">
    <tableColumn id="1" name="h1" dataDxfId="40"/>
    <tableColumn id="3" name="d1" dataDxfId="39"/>
    <tableColumn id="2" name="h2" dataDxfId="38"/>
    <tableColumn id="4" name="d2" dataDxfId="37"/>
  </tableColumns>
  <tableStyleInfo name="TableStyleMedium6" showFirstColumn="0" showLastColumn="0" showRowStripes="1" showColumnStripes="0"/>
</table>
</file>

<file path=xl/tables/table28.xml><?xml version="1.0" encoding="utf-8"?>
<table xmlns="http://schemas.openxmlformats.org/spreadsheetml/2006/main" id="73" name="Table13234222854596974" displayName="Table13234222854596974" ref="T3:W2064" totalsRowShown="0" headerRowDxfId="36" dataDxfId="35">
  <autoFilter ref="T3:W2064"/>
  <tableColumns count="4">
    <tableColumn id="3" name="stopbit" dataDxfId="34"/>
    <tableColumn id="4" name="evCode" dataDxfId="33"/>
    <tableColumn id="14" name="code" dataDxfId="32"/>
    <tableColumn id="15" name="timeStamp" dataDxfId="31"/>
  </tableColumns>
  <tableStyleInfo name="TableStyleMedium6" showFirstColumn="0" showLastColumn="0" showRowStripes="1" showColumnStripes="0"/>
</table>
</file>

<file path=xl/tables/table29.xml><?xml version="1.0" encoding="utf-8"?>
<table xmlns="http://schemas.openxmlformats.org/spreadsheetml/2006/main" id="74" name="Table1326232955607075" displayName="Table1326232955607075" ref="I3:J2064" totalsRowShown="0" headerRowDxfId="30" dataDxfId="29">
  <autoFilter ref="I3:J2064"/>
  <tableColumns count="2">
    <tableColumn id="14" name="evCode" dataDxfId="28"/>
    <tableColumn id="7" name="timeStamp" dataDxfId="27"/>
  </tableColumns>
  <tableStyleInfo name="TableStyleMedium6" showFirstColumn="0" showLastColumn="0" showRowStripes="1" showColumnStripes="0"/>
</table>
</file>

<file path=xl/tables/table30.xml><?xml version="1.0" encoding="utf-8"?>
<table xmlns="http://schemas.openxmlformats.org/spreadsheetml/2006/main" id="60" name="Table131925515661" displayName="Table131925515661" ref="C3:G2113" totalsRowShown="0" headerRowDxfId="26" dataDxfId="25">
  <autoFilter ref="C3:G2113">
    <filterColumn colId="0" hiddenButton="1"/>
    <filterColumn colId="4" hiddenButton="1"/>
  </autoFilter>
  <tableColumns count="5">
    <tableColumn id="1" name="-" dataDxfId="24"/>
    <tableColumn id="3" name="Name" dataDxfId="23"/>
    <tableColumn id="4" name="value" dataDxfId="22"/>
    <tableColumn id="7" name="dec val" dataDxfId="21"/>
    <tableColumn id="15" name="init val" dataDxfId="20"/>
  </tableColumns>
  <tableStyleInfo name="TableStyleMedium6" showFirstColumn="0" showLastColumn="0" showRowStripes="1" showColumnStripes="0"/>
</table>
</file>

<file path=xl/tables/table31.xml><?xml version="1.0" encoding="utf-8"?>
<table xmlns="http://schemas.openxmlformats.org/spreadsheetml/2006/main" id="61" name="Table1322026525762" displayName="Table1322026525762" ref="L3:M2064" totalsRowShown="0" headerRowDxfId="19" dataDxfId="18">
  <autoFilter ref="L3:M2064"/>
  <tableColumns count="2">
    <tableColumn id="14" name="evCode" dataDxfId="17"/>
    <tableColumn id="7" name="timeStamp" dataDxfId="16"/>
  </tableColumns>
  <tableStyleInfo name="TableStyleMedium6" showFirstColumn="0" showLastColumn="0" showRowStripes="1" showColumnStripes="0"/>
</table>
</file>

<file path=xl/tables/table32.xml><?xml version="1.0" encoding="utf-8"?>
<table xmlns="http://schemas.openxmlformats.org/spreadsheetml/2006/main" id="62" name="Table13232127535863" displayName="Table13232127535863" ref="O3:R2064" totalsRowShown="0" headerRowDxfId="15" dataDxfId="14">
  <autoFilter ref="O3:R2064"/>
  <tableColumns count="4">
    <tableColumn id="1" name="h1" dataDxfId="13"/>
    <tableColumn id="3" name="d1" dataDxfId="12"/>
    <tableColumn id="2" name="h2" dataDxfId="11"/>
    <tableColumn id="4" name="d2" dataDxfId="10"/>
  </tableColumns>
  <tableStyleInfo name="TableStyleMedium6" showFirstColumn="0" showLastColumn="0" showRowStripes="1" showColumnStripes="0"/>
</table>
</file>

<file path=xl/tables/table33.xml><?xml version="1.0" encoding="utf-8"?>
<table xmlns="http://schemas.openxmlformats.org/spreadsheetml/2006/main" id="63" name="Table132342228545964" displayName="Table132342228545964" ref="T3:W2064" totalsRowShown="0" headerRowDxfId="9" dataDxfId="8">
  <autoFilter ref="T3:W2064"/>
  <tableColumns count="4">
    <tableColumn id="3" name="stopbit" dataDxfId="7"/>
    <tableColumn id="4" name="evCode" dataDxfId="6"/>
    <tableColumn id="14" name="code" dataDxfId="5"/>
    <tableColumn id="15" name="timeStamp" dataDxfId="4"/>
  </tableColumns>
  <tableStyleInfo name="TableStyleMedium6" showFirstColumn="0" showLastColumn="0" showRowStripes="1" showColumnStripes="0"/>
</table>
</file>

<file path=xl/tables/table34.xml><?xml version="1.0" encoding="utf-8"?>
<table xmlns="http://schemas.openxmlformats.org/spreadsheetml/2006/main" id="64" name="Table13262329556065" displayName="Table13262329556065" ref="I3:J2064" totalsRowShown="0" headerRowDxfId="3" dataDxfId="2">
  <autoFilter ref="I3:J2064"/>
  <tableColumns count="2">
    <tableColumn id="14" name="evCode" dataDxfId="1"/>
    <tableColumn id="7" name="timeStamp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7" Type="http://schemas.openxmlformats.org/officeDocument/2006/relationships/table" Target="../tables/table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7" Type="http://schemas.openxmlformats.org/officeDocument/2006/relationships/table" Target="../tables/table1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8.xml"/><Relationship Id="rId5" Type="http://schemas.openxmlformats.org/officeDocument/2006/relationships/table" Target="../tables/table17.xml"/><Relationship Id="rId4" Type="http://schemas.openxmlformats.org/officeDocument/2006/relationships/table" Target="../tables/table1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7" Type="http://schemas.openxmlformats.org/officeDocument/2006/relationships/table" Target="../tables/table2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3.xml"/><Relationship Id="rId5" Type="http://schemas.openxmlformats.org/officeDocument/2006/relationships/table" Target="../tables/table22.xml"/><Relationship Id="rId4" Type="http://schemas.openxmlformats.org/officeDocument/2006/relationships/table" Target="../tables/table2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7" Type="http://schemas.openxmlformats.org/officeDocument/2006/relationships/table" Target="../tables/table2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28.xml"/><Relationship Id="rId5" Type="http://schemas.openxmlformats.org/officeDocument/2006/relationships/table" Target="../tables/table27.xml"/><Relationship Id="rId4" Type="http://schemas.openxmlformats.org/officeDocument/2006/relationships/table" Target="../tables/table2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0.xml"/><Relationship Id="rId7" Type="http://schemas.openxmlformats.org/officeDocument/2006/relationships/table" Target="../tables/table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3.xml"/><Relationship Id="rId5" Type="http://schemas.openxmlformats.org/officeDocument/2006/relationships/table" Target="../tables/table32.xml"/><Relationship Id="rId4" Type="http://schemas.openxmlformats.org/officeDocument/2006/relationships/table" Target="../tables/table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AY115"/>
  <sheetViews>
    <sheetView zoomScaleNormal="100" workbookViewId="0">
      <selection activeCell="I21" sqref="I21"/>
    </sheetView>
  </sheetViews>
  <sheetFormatPr defaultColWidth="10.09765625" defaultRowHeight="10.8"/>
  <cols>
    <col min="1" max="1" width="10.09765625" style="3"/>
    <col min="2" max="2" width="24.69921875" style="3" bestFit="1" customWidth="1"/>
    <col min="3" max="3" width="21.8984375" style="2" bestFit="1" customWidth="1"/>
    <col min="4" max="4" width="21" style="3" bestFit="1" customWidth="1"/>
    <col min="5" max="5" width="8.5" style="3" bestFit="1" customWidth="1"/>
    <col min="6" max="6" width="10.19921875" style="3" bestFit="1" customWidth="1"/>
    <col min="7" max="8" width="6.69921875" style="3" bestFit="1" customWidth="1"/>
    <col min="9" max="9" width="7.59765625" style="3" bestFit="1" customWidth="1"/>
    <col min="10" max="10" width="8.5" style="3" bestFit="1" customWidth="1"/>
    <col min="11" max="51" width="5.5" style="3" bestFit="1" customWidth="1"/>
    <col min="52" max="16384" width="10.09765625" style="3"/>
  </cols>
  <sheetData>
    <row r="2" spans="2:51">
      <c r="C2" s="8"/>
      <c r="G2" s="5"/>
      <c r="H2" s="5"/>
      <c r="I2" s="5"/>
      <c r="J2" s="5"/>
      <c r="Z2" s="7"/>
    </row>
    <row r="3" spans="2:51">
      <c r="C3" s="8"/>
      <c r="H3" s="5"/>
      <c r="I3" s="5"/>
      <c r="J3" s="5"/>
      <c r="Z3" s="7"/>
    </row>
    <row r="4" spans="2:51"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2:51">
      <c r="C5" s="8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2:51">
      <c r="C6" s="8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2:51"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</row>
    <row r="8" spans="2:51"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</row>
    <row r="9" spans="2:51"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</row>
    <row r="10" spans="2:51">
      <c r="B10" s="3" t="s">
        <v>19</v>
      </c>
      <c r="C10" s="2" t="s">
        <v>20</v>
      </c>
      <c r="D10" s="5" t="s">
        <v>3</v>
      </c>
      <c r="E10" s="5" t="s">
        <v>4</v>
      </c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</row>
    <row r="11" spans="2:51">
      <c r="B11" s="5" t="s">
        <v>42</v>
      </c>
      <c r="C11" s="2" t="s">
        <v>390</v>
      </c>
      <c r="D11" s="5">
        <f>HEX2DEC(Table51117[[#This Row],[ev source number]])</f>
        <v>0</v>
      </c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</row>
    <row r="12" spans="2:51">
      <c r="B12" s="5" t="s">
        <v>12</v>
      </c>
      <c r="C12" s="2" t="s">
        <v>391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6"/>
      <c r="AQ12" s="6"/>
      <c r="AR12" s="6"/>
      <c r="AS12" s="6"/>
      <c r="AT12" s="6"/>
      <c r="AU12" s="6"/>
      <c r="AV12" s="6"/>
      <c r="AW12" s="6"/>
      <c r="AX12" s="6"/>
      <c r="AY12" s="6"/>
    </row>
    <row r="13" spans="2:51">
      <c r="B13" s="5" t="s">
        <v>13</v>
      </c>
      <c r="C13" s="2" t="s">
        <v>392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6"/>
      <c r="AQ13" s="6"/>
      <c r="AR13" s="6"/>
      <c r="AS13" s="6"/>
      <c r="AT13" s="6"/>
      <c r="AU13" s="6"/>
      <c r="AV13" s="6"/>
      <c r="AW13" s="6"/>
      <c r="AX13" s="6"/>
      <c r="AY13" s="6"/>
    </row>
    <row r="14" spans="2:51">
      <c r="B14" s="5" t="s">
        <v>14</v>
      </c>
      <c r="C14" s="2" t="s">
        <v>393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6"/>
      <c r="AQ14" s="6"/>
      <c r="AR14" s="6"/>
      <c r="AS14" s="6"/>
      <c r="AT14" s="6"/>
      <c r="AU14" s="6"/>
      <c r="AV14" s="6"/>
      <c r="AW14" s="6"/>
      <c r="AX14" s="6"/>
      <c r="AY14" s="6"/>
    </row>
    <row r="15" spans="2:51">
      <c r="B15" s="5" t="s">
        <v>15</v>
      </c>
      <c r="C15" s="2" t="s">
        <v>394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6"/>
      <c r="AQ15" s="6"/>
      <c r="AR15" s="6"/>
      <c r="AS15" s="6"/>
      <c r="AT15" s="6"/>
      <c r="AU15" s="6"/>
      <c r="AV15" s="6"/>
      <c r="AW15" s="6"/>
      <c r="AX15" s="6"/>
      <c r="AY15" s="6"/>
    </row>
    <row r="16" spans="2:51">
      <c r="B16" s="5" t="s">
        <v>16</v>
      </c>
      <c r="C16" s="2" t="s">
        <v>395</v>
      </c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6"/>
      <c r="AQ16" s="6"/>
      <c r="AR16" s="6"/>
      <c r="AS16" s="6"/>
      <c r="AT16" s="6"/>
      <c r="AU16" s="6"/>
      <c r="AV16" s="6"/>
      <c r="AW16" s="6"/>
      <c r="AX16" s="6"/>
      <c r="AY16" s="6"/>
    </row>
    <row r="17" spans="2:51" ht="14.4">
      <c r="B17" s="5" t="s">
        <v>17</v>
      </c>
      <c r="C17" s="2" t="s">
        <v>396</v>
      </c>
      <c r="D17" s="5"/>
      <c r="E17" s="5"/>
      <c r="F17" s="5"/>
      <c r="G17" s="5"/>
      <c r="H17" s="5"/>
      <c r="I17" s="5"/>
      <c r="J17" s="5"/>
      <c r="K17" s="4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6"/>
      <c r="AQ17" s="6"/>
      <c r="AR17" s="6"/>
      <c r="AS17" s="6"/>
      <c r="AT17" s="6"/>
      <c r="AU17" s="6"/>
      <c r="AV17" s="6"/>
      <c r="AW17" s="6"/>
      <c r="AX17" s="6"/>
      <c r="AY17" s="6"/>
    </row>
    <row r="18" spans="2:51">
      <c r="B18" s="5" t="s">
        <v>18</v>
      </c>
      <c r="C18" s="2" t="s">
        <v>397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6"/>
      <c r="AQ18" s="6"/>
      <c r="AR18" s="6"/>
      <c r="AS18" s="6"/>
      <c r="AT18" s="6"/>
      <c r="AU18" s="6"/>
      <c r="AV18" s="6"/>
      <c r="AW18" s="6"/>
      <c r="AX18" s="6"/>
      <c r="AY18" s="6"/>
    </row>
    <row r="19" spans="2:51">
      <c r="B19" s="5" t="s">
        <v>81</v>
      </c>
      <c r="C19" s="2" t="s">
        <v>398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6"/>
      <c r="AQ19" s="6"/>
      <c r="AR19" s="6"/>
      <c r="AS19" s="6"/>
      <c r="AT19" s="6"/>
      <c r="AU19" s="6"/>
      <c r="AV19" s="6"/>
      <c r="AW19" s="6"/>
      <c r="AX19" s="6"/>
      <c r="AY19" s="6"/>
    </row>
    <row r="20" spans="2:51">
      <c r="B20" s="5" t="s">
        <v>337</v>
      </c>
      <c r="C20" s="2" t="s">
        <v>399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6"/>
      <c r="AQ20" s="6"/>
      <c r="AR20" s="6"/>
      <c r="AS20" s="6"/>
      <c r="AT20" s="6"/>
      <c r="AU20" s="6"/>
      <c r="AV20" s="6"/>
      <c r="AW20" s="6"/>
      <c r="AX20" s="6"/>
      <c r="AY20" s="6"/>
    </row>
    <row r="21" spans="2:51">
      <c r="B21" s="5" t="s">
        <v>389</v>
      </c>
      <c r="C21" s="2" t="s">
        <v>400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6"/>
      <c r="AQ21" s="6"/>
      <c r="AR21" s="6"/>
      <c r="AS21" s="6"/>
      <c r="AT21" s="6"/>
      <c r="AU21" s="6"/>
      <c r="AV21" s="6"/>
      <c r="AW21" s="6"/>
      <c r="AX21" s="6"/>
      <c r="AY21" s="6"/>
    </row>
    <row r="22" spans="2:51">
      <c r="B22" s="5" t="s">
        <v>402</v>
      </c>
      <c r="C22" s="2" t="s">
        <v>401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6"/>
      <c r="AQ22" s="6"/>
      <c r="AR22" s="6"/>
      <c r="AS22" s="6"/>
      <c r="AT22" s="6"/>
      <c r="AU22" s="6"/>
      <c r="AV22" s="6"/>
      <c r="AW22" s="6"/>
      <c r="AX22" s="6"/>
      <c r="AY22" s="6"/>
    </row>
    <row r="23" spans="2:51">
      <c r="B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</row>
    <row r="24" spans="2:51">
      <c r="B24" s="3" t="s">
        <v>21</v>
      </c>
      <c r="C24" s="2" t="s">
        <v>0</v>
      </c>
      <c r="D24" s="3" t="s">
        <v>1</v>
      </c>
      <c r="E24" s="5" t="s">
        <v>2</v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</row>
    <row r="25" spans="2:51">
      <c r="B25" s="3" t="s">
        <v>43</v>
      </c>
      <c r="C25" s="2">
        <v>0</v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1"/>
      <c r="AQ25" s="1"/>
      <c r="AR25" s="1"/>
      <c r="AS25" s="1"/>
      <c r="AT25" s="1"/>
      <c r="AU25" s="1"/>
      <c r="AV25" s="1"/>
      <c r="AW25" s="1"/>
      <c r="AX25" s="1"/>
      <c r="AY25" s="1"/>
    </row>
    <row r="26" spans="2:51">
      <c r="B26" s="3" t="s">
        <v>45</v>
      </c>
      <c r="C26" s="2">
        <v>1</v>
      </c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1"/>
      <c r="AQ26" s="1"/>
      <c r="AR26" s="1"/>
      <c r="AS26" s="1"/>
      <c r="AT26" s="1"/>
      <c r="AU26" s="1"/>
      <c r="AV26" s="1"/>
      <c r="AW26" s="1"/>
      <c r="AX26" s="1"/>
      <c r="AY26" s="1"/>
    </row>
    <row r="27" spans="2:51">
      <c r="B27" s="3" t="s">
        <v>44</v>
      </c>
      <c r="C27" s="2">
        <v>2</v>
      </c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1"/>
      <c r="AQ27" s="1"/>
      <c r="AR27" s="1"/>
      <c r="AS27" s="1"/>
      <c r="AT27" s="1"/>
      <c r="AU27" s="1"/>
      <c r="AV27" s="1"/>
      <c r="AW27" s="1"/>
      <c r="AX27" s="1"/>
      <c r="AY27" s="1"/>
    </row>
    <row r="28" spans="2:51">
      <c r="B28" s="3" t="s">
        <v>73</v>
      </c>
      <c r="C28" s="2">
        <v>3</v>
      </c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1"/>
      <c r="AQ28" s="1"/>
      <c r="AR28" s="1"/>
      <c r="AS28" s="1"/>
      <c r="AT28" s="1"/>
      <c r="AU28" s="1"/>
      <c r="AV28" s="1"/>
      <c r="AW28" s="1"/>
      <c r="AX28" s="1"/>
      <c r="AY28" s="1"/>
    </row>
    <row r="29" spans="2:51">
      <c r="B29" s="5" t="s">
        <v>46</v>
      </c>
      <c r="C29" s="2">
        <v>5</v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1"/>
      <c r="AQ29" s="1"/>
      <c r="AR29" s="1"/>
      <c r="AS29" s="1"/>
      <c r="AT29" s="1"/>
      <c r="AU29" s="1"/>
      <c r="AV29" s="1"/>
      <c r="AW29" s="1"/>
      <c r="AX29" s="1"/>
      <c r="AY29" s="1"/>
    </row>
    <row r="30" spans="2:51">
      <c r="B30" s="5" t="s">
        <v>47</v>
      </c>
      <c r="C30" s="2">
        <v>6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1"/>
      <c r="AQ30" s="1"/>
      <c r="AR30" s="1"/>
      <c r="AS30" s="1"/>
      <c r="AT30" s="1"/>
      <c r="AU30" s="1"/>
      <c r="AV30" s="1"/>
      <c r="AW30" s="1"/>
      <c r="AX30" s="1"/>
      <c r="AY30" s="1"/>
    </row>
    <row r="31" spans="2:51">
      <c r="B31" s="5" t="s">
        <v>74</v>
      </c>
      <c r="C31" s="2">
        <v>7</v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1"/>
      <c r="AQ31" s="1"/>
      <c r="AR31" s="1"/>
      <c r="AS31" s="1"/>
      <c r="AT31" s="1"/>
      <c r="AU31" s="1"/>
      <c r="AV31" s="1"/>
      <c r="AW31" s="1"/>
      <c r="AX31" s="1"/>
      <c r="AY31" s="1"/>
    </row>
    <row r="32" spans="2:51">
      <c r="B32" s="5"/>
      <c r="D32" s="5"/>
      <c r="E32" s="5"/>
      <c r="F32" s="5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</row>
    <row r="33" spans="2:51">
      <c r="B33" s="5"/>
      <c r="D33" s="5"/>
      <c r="E33" s="5"/>
      <c r="F33" s="5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</row>
    <row r="34" spans="2:51">
      <c r="B34" s="5"/>
      <c r="D34" s="5"/>
      <c r="E34" s="5"/>
      <c r="F34" s="5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</row>
    <row r="35" spans="2:51">
      <c r="B35" s="5"/>
      <c r="D35" s="5"/>
      <c r="E35" s="5"/>
      <c r="F35" s="5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</row>
    <row r="36" spans="2:51">
      <c r="B36" s="5" t="s">
        <v>3</v>
      </c>
      <c r="D36" s="5"/>
      <c r="E36" s="5"/>
      <c r="F36" s="5"/>
    </row>
    <row r="37" spans="2:51">
      <c r="B37" s="5" t="s">
        <v>39</v>
      </c>
      <c r="D37" s="5"/>
      <c r="E37" s="5"/>
      <c r="F37" s="5"/>
    </row>
    <row r="38" spans="2:51">
      <c r="B38" s="5" t="s">
        <v>34</v>
      </c>
    </row>
    <row r="39" spans="2:51">
      <c r="B39" s="3" t="s">
        <v>35</v>
      </c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2:51">
      <c r="B40" s="3" t="s">
        <v>38</v>
      </c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2:51">
      <c r="B41" s="4" t="s">
        <v>36</v>
      </c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2:51">
      <c r="B42" s="4" t="s">
        <v>37</v>
      </c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2:51">
      <c r="B43" s="4" t="s">
        <v>82</v>
      </c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7" spans="2:51">
      <c r="B47" s="5" t="s">
        <v>3</v>
      </c>
    </row>
    <row r="48" spans="2:51">
      <c r="B48" s="5" t="s">
        <v>379</v>
      </c>
    </row>
    <row r="49" spans="2:3">
      <c r="B49" s="5" t="s">
        <v>381</v>
      </c>
    </row>
    <row r="50" spans="2:3" s="5" customFormat="1">
      <c r="B50" s="5" t="s">
        <v>382</v>
      </c>
      <c r="C50" s="2"/>
    </row>
    <row r="51" spans="2:3" s="5" customFormat="1">
      <c r="B51" s="5" t="s">
        <v>383</v>
      </c>
      <c r="C51" s="2"/>
    </row>
    <row r="52" spans="2:3" s="5" customFormat="1">
      <c r="B52" s="5" t="s">
        <v>384</v>
      </c>
      <c r="C52" s="2"/>
    </row>
    <row r="53" spans="2:3" s="5" customFormat="1">
      <c r="B53" s="5" t="s">
        <v>385</v>
      </c>
      <c r="C53" s="2"/>
    </row>
    <row r="54" spans="2:3" s="5" customFormat="1">
      <c r="B54" s="5" t="s">
        <v>386</v>
      </c>
      <c r="C54" s="2"/>
    </row>
    <row r="55" spans="2:3" s="5" customFormat="1">
      <c r="B55" s="5" t="s">
        <v>387</v>
      </c>
      <c r="C55" s="2"/>
    </row>
    <row r="56" spans="2:3" s="5" customFormat="1">
      <c r="B56" s="5" t="s">
        <v>388</v>
      </c>
      <c r="C56" s="2"/>
    </row>
    <row r="57" spans="2:3" s="5" customFormat="1">
      <c r="C57" s="2"/>
    </row>
    <row r="58" spans="2:3" s="5" customFormat="1">
      <c r="C58" s="2"/>
    </row>
    <row r="59" spans="2:3" s="5" customFormat="1">
      <c r="C59" s="2"/>
    </row>
    <row r="60" spans="2:3" s="5" customFormat="1">
      <c r="C60" s="2"/>
    </row>
    <row r="61" spans="2:3" s="5" customFormat="1">
      <c r="C61" s="2"/>
    </row>
    <row r="62" spans="2:3" s="5" customFormat="1">
      <c r="C62" s="2"/>
    </row>
    <row r="63" spans="2:3" s="5" customFormat="1">
      <c r="C63" s="2"/>
    </row>
    <row r="64" spans="2:3" s="5" customFormat="1">
      <c r="C64" s="2"/>
    </row>
    <row r="65" spans="3:23" s="5" customFormat="1">
      <c r="C65" s="2"/>
    </row>
    <row r="66" spans="3:23" s="5" customFormat="1">
      <c r="C66" s="2"/>
    </row>
    <row r="67" spans="3:23" s="5" customFormat="1">
      <c r="C67" s="2"/>
    </row>
    <row r="68" spans="3:23" s="5" customFormat="1">
      <c r="C68" s="2"/>
    </row>
    <row r="69" spans="3:23" s="5" customFormat="1">
      <c r="C69" s="2"/>
    </row>
    <row r="70" spans="3:23" s="5" customFormat="1">
      <c r="C70" s="2"/>
    </row>
    <row r="71" spans="3:23" s="5" customFormat="1">
      <c r="C71" s="2"/>
    </row>
    <row r="72" spans="3:23" s="5" customFormat="1">
      <c r="C72" s="2"/>
    </row>
    <row r="73" spans="3:23" s="5" customFormat="1">
      <c r="C73" s="2"/>
    </row>
    <row r="74" spans="3:23" s="5" customFormat="1">
      <c r="C74" s="2"/>
    </row>
    <row r="75" spans="3:23" s="5" customFormat="1">
      <c r="C75" s="2"/>
    </row>
    <row r="76" spans="3:23" s="5" customFormat="1">
      <c r="C76" s="2"/>
    </row>
    <row r="77" spans="3:23" s="5" customFormat="1">
      <c r="C77" s="2"/>
    </row>
    <row r="78" spans="3:23" ht="11.25" customHeight="1"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</row>
    <row r="79" spans="3:23" s="5" customFormat="1">
      <c r="C79" s="2"/>
    </row>
    <row r="80" spans="3:23"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</row>
    <row r="81" spans="3:23"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</row>
    <row r="82" spans="3:23"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</row>
    <row r="83" spans="3:23"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</row>
    <row r="84" spans="3:23"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</row>
    <row r="85" spans="3:23"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</row>
    <row r="86" spans="3:23"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</row>
    <row r="87" spans="3:23"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</row>
    <row r="88" spans="3:23"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</row>
    <row r="89" spans="3:23"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</row>
    <row r="90" spans="3:23"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</row>
    <row r="91" spans="3:23" s="4" customFormat="1">
      <c r="C91" s="2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</row>
    <row r="92" spans="3:23" s="5" customFormat="1">
      <c r="C92" s="2"/>
    </row>
    <row r="93" spans="3:23" s="5" customFormat="1">
      <c r="C93" s="2"/>
    </row>
    <row r="94" spans="3:23" s="5" customFormat="1">
      <c r="C94" s="2"/>
    </row>
    <row r="95" spans="3:23" s="5" customFormat="1">
      <c r="C95" s="2"/>
    </row>
    <row r="96" spans="3:23" s="5" customFormat="1">
      <c r="C96" s="2"/>
    </row>
    <row r="97" spans="3:3" s="5" customFormat="1">
      <c r="C97" s="2"/>
    </row>
    <row r="98" spans="3:3" s="5" customFormat="1">
      <c r="C98" s="2"/>
    </row>
    <row r="99" spans="3:3" s="5" customFormat="1">
      <c r="C99" s="2"/>
    </row>
    <row r="100" spans="3:3" s="5" customFormat="1">
      <c r="C100" s="2"/>
    </row>
    <row r="101" spans="3:3" s="5" customFormat="1">
      <c r="C101" s="2"/>
    </row>
    <row r="102" spans="3:3" s="5" customFormat="1">
      <c r="C102" s="2"/>
    </row>
    <row r="103" spans="3:3" s="5" customFormat="1">
      <c r="C103" s="2"/>
    </row>
    <row r="104" spans="3:3" s="5" customFormat="1">
      <c r="C104" s="2"/>
    </row>
    <row r="105" spans="3:3" s="5" customFormat="1" ht="11.25" customHeight="1">
      <c r="C105" s="2"/>
    </row>
    <row r="106" spans="3:3" s="5" customFormat="1">
      <c r="C106" s="2"/>
    </row>
    <row r="107" spans="3:3" s="5" customFormat="1">
      <c r="C107" s="2"/>
    </row>
    <row r="108" spans="3:3" s="5" customFormat="1">
      <c r="C108" s="2"/>
    </row>
    <row r="109" spans="3:3" s="5" customFormat="1">
      <c r="C109" s="2"/>
    </row>
    <row r="110" spans="3:3" s="5" customFormat="1">
      <c r="C110" s="2"/>
    </row>
    <row r="111" spans="3:3" s="5" customFormat="1">
      <c r="C111" s="2"/>
    </row>
    <row r="112" spans="3:3" s="5" customFormat="1">
      <c r="C112" s="2"/>
    </row>
    <row r="113" spans="3:3" s="5" customFormat="1">
      <c r="C113" s="2"/>
    </row>
    <row r="114" spans="3:3" s="5" customFormat="1">
      <c r="C114" s="2"/>
    </row>
    <row r="115" spans="3:3" s="5" customFormat="1">
      <c r="C115" s="2"/>
    </row>
  </sheetData>
  <phoneticPr fontId="1" type="noConversion"/>
  <pageMargins left="0.7" right="0.7" top="0.75" bottom="0.75" header="0.3" footer="0.3"/>
  <pageSetup paperSize="9" orientation="portrait" verticalDpi="0" r:id="rId1"/>
  <tableParts count="4"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W2115"/>
  <sheetViews>
    <sheetView zoomScaleNormal="100" workbookViewId="0">
      <pane xSplit="3" ySplit="6" topLeftCell="D7" activePane="bottomRight" state="frozen"/>
      <selection pane="topRight" activeCell="C1" sqref="C1"/>
      <selection pane="bottomLeft" activeCell="A7" sqref="A7"/>
      <selection pane="bottomRight" activeCell="AA37" sqref="AA37"/>
    </sheetView>
  </sheetViews>
  <sheetFormatPr defaultColWidth="11.5" defaultRowHeight="12"/>
  <cols>
    <col min="1" max="1" width="8.5" style="15" bestFit="1" customWidth="1"/>
    <col min="2" max="2" width="16.09765625" style="15" bestFit="1" customWidth="1"/>
    <col min="3" max="3" width="5" style="41" bestFit="1" customWidth="1"/>
    <col min="4" max="4" width="25.69921875" style="15" bestFit="1" customWidth="1"/>
    <col min="5" max="5" width="11.19921875" style="15" bestFit="1" customWidth="1"/>
    <col min="6" max="6" width="11.59765625" style="15" bestFit="1" customWidth="1"/>
    <col min="7" max="7" width="24.8984375" style="15" bestFit="1" customWidth="1"/>
    <col min="8" max="8" width="1.5" style="15" bestFit="1" customWidth="1"/>
    <col min="9" max="9" width="13.09765625" style="23" bestFit="1" customWidth="1"/>
    <col min="10" max="10" width="16.09765625" style="23" bestFit="1" customWidth="1"/>
    <col min="11" max="11" width="1.69921875" style="15" bestFit="1" customWidth="1"/>
    <col min="12" max="12" width="13.09765625" style="23" bestFit="1" customWidth="1"/>
    <col min="13" max="13" width="16.09765625" style="23" bestFit="1" customWidth="1"/>
    <col min="14" max="14" width="3.19921875" style="46" hidden="1" customWidth="1"/>
    <col min="15" max="16" width="12.19921875" style="41" hidden="1" customWidth="1"/>
    <col min="17" max="18" width="14.09765625" style="41" hidden="1" customWidth="1"/>
    <col min="19" max="19" width="1.69921875" style="41" hidden="1" customWidth="1"/>
    <col min="20" max="20" width="11.59765625" style="15" hidden="1" customWidth="1"/>
    <col min="21" max="21" width="10.69921875" style="15" hidden="1" customWidth="1"/>
    <col min="22" max="22" width="9" style="15" hidden="1" customWidth="1"/>
    <col min="23" max="23" width="13.3984375" style="15" hidden="1" customWidth="1"/>
    <col min="24" max="24" width="13.69921875" style="15" customWidth="1"/>
    <col min="25" max="16384" width="11.5" style="15"/>
  </cols>
  <sheetData>
    <row r="1" spans="1:23" s="41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1" customFormat="1">
      <c r="A2" s="9" t="s">
        <v>30</v>
      </c>
      <c r="B2" s="10" t="s">
        <v>33</v>
      </c>
      <c r="D2" s="60" t="s">
        <v>28</v>
      </c>
      <c r="E2" s="60"/>
      <c r="F2" s="60"/>
      <c r="G2" s="60"/>
      <c r="I2" s="60" t="s">
        <v>68</v>
      </c>
      <c r="J2" s="60"/>
      <c r="K2" s="11"/>
      <c r="L2" s="60" t="s">
        <v>69</v>
      </c>
      <c r="M2" s="60"/>
      <c r="N2" s="46"/>
      <c r="O2" s="60" t="s">
        <v>135</v>
      </c>
      <c r="P2" s="60"/>
      <c r="Q2" s="60"/>
      <c r="R2" s="60"/>
      <c r="T2" s="60" t="s">
        <v>29</v>
      </c>
      <c r="U2" s="60"/>
      <c r="V2" s="60"/>
      <c r="W2" s="60"/>
    </row>
    <row r="3" spans="1:23" s="41" customFormat="1">
      <c r="A3" s="12" t="s">
        <v>31</v>
      </c>
      <c r="C3" s="41" t="s">
        <v>22</v>
      </c>
      <c r="D3" s="41" t="s">
        <v>9</v>
      </c>
      <c r="E3" s="41" t="s">
        <v>10</v>
      </c>
      <c r="F3" s="41" t="s">
        <v>11</v>
      </c>
      <c r="G3" s="41" t="s">
        <v>83</v>
      </c>
      <c r="I3" s="41" t="s">
        <v>6</v>
      </c>
      <c r="J3" s="41" t="s">
        <v>7</v>
      </c>
      <c r="L3" s="41" t="s">
        <v>6</v>
      </c>
      <c r="M3" s="41" t="s">
        <v>7</v>
      </c>
      <c r="N3" s="46"/>
      <c r="O3" s="41" t="s">
        <v>76</v>
      </c>
      <c r="P3" s="32" t="s">
        <v>77</v>
      </c>
      <c r="Q3" s="41" t="s">
        <v>78</v>
      </c>
      <c r="R3" s="41" t="s">
        <v>79</v>
      </c>
      <c r="T3" s="41" t="s">
        <v>5</v>
      </c>
      <c r="U3" s="41" t="s">
        <v>6</v>
      </c>
      <c r="V3" s="41" t="s">
        <v>8</v>
      </c>
      <c r="W3" s="41" t="s">
        <v>7</v>
      </c>
    </row>
    <row r="4" spans="1:23" s="41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N4" s="46"/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1" customFormat="1">
      <c r="A5" s="12" t="s">
        <v>134</v>
      </c>
      <c r="B5" s="41" t="str">
        <f>A3&amp;"."&amp;A4&amp;"."&amp;A5&amp;A6&amp;"."</f>
        <v>SCL3.TS.EVS001.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N5" s="46"/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1" customFormat="1">
      <c r="A6" s="12" t="s">
        <v>40</v>
      </c>
      <c r="B6" s="41" t="str">
        <f>A3&amp;":"&amp;A4&amp;":"&amp;A5&amp;A6&amp;":"</f>
        <v>SCL3:TS:EVS001: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N6" s="46"/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41"/>
      <c r="I7" s="27" t="s">
        <v>250</v>
      </c>
      <c r="J7" s="28" t="s">
        <v>251</v>
      </c>
      <c r="K7" s="29"/>
      <c r="L7" s="27" t="s">
        <v>252</v>
      </c>
      <c r="M7" s="28" t="s">
        <v>253</v>
      </c>
      <c r="O7" s="18" t="s">
        <v>136</v>
      </c>
      <c r="P7" s="18"/>
      <c r="Q7" s="18" t="s">
        <v>137</v>
      </c>
    </row>
    <row r="8" spans="1:23">
      <c r="C8" s="38"/>
      <c r="G8" s="19"/>
      <c r="H8" s="41"/>
      <c r="I8" s="58">
        <v>32768</v>
      </c>
      <c r="J8" s="59">
        <v>10</v>
      </c>
      <c r="K8" s="14"/>
      <c r="L8" s="58">
        <v>32768</v>
      </c>
      <c r="M8" s="59">
        <v>10</v>
      </c>
      <c r="O8" s="18"/>
      <c r="P8" s="18"/>
      <c r="Q8" s="18"/>
      <c r="R8" s="18"/>
    </row>
    <row r="9" spans="1:23">
      <c r="C9" s="38"/>
      <c r="G9" s="19"/>
      <c r="H9" s="41"/>
      <c r="I9" s="58">
        <v>0</v>
      </c>
      <c r="J9" s="59">
        <v>10</v>
      </c>
      <c r="K9" s="14"/>
      <c r="L9" s="58">
        <v>0</v>
      </c>
      <c r="M9" s="59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1"/>
      <c r="I10" s="58">
        <v>0</v>
      </c>
      <c r="J10" s="58">
        <v>10</v>
      </c>
      <c r="K10" s="14"/>
      <c r="L10" s="58">
        <v>0</v>
      </c>
      <c r="M10" s="58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138</v>
      </c>
      <c r="G11" s="31">
        <v>500</v>
      </c>
      <c r="H11" s="41"/>
      <c r="I11" s="27">
        <v>5</v>
      </c>
      <c r="J11" s="27">
        <v>50000</v>
      </c>
      <c r="K11" s="41"/>
      <c r="L11" s="27">
        <v>31</v>
      </c>
      <c r="M11" s="27">
        <v>249999</v>
      </c>
      <c r="N11" s="46">
        <v>1</v>
      </c>
      <c r="O11" s="42" t="s">
        <v>403</v>
      </c>
      <c r="P11" s="42">
        <f>HEX2DEC(RIGHT(Table13232127[[#This Row],[h1]],8))</f>
        <v>65536</v>
      </c>
      <c r="Q11" s="42" t="s">
        <v>75</v>
      </c>
      <c r="R11" s="41">
        <f>HEX2DEC(RIGHT(Table13232127[[#This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41"/>
      <c r="I12" s="27">
        <v>1</v>
      </c>
      <c r="J12" s="27">
        <v>50000</v>
      </c>
      <c r="K12" s="41"/>
      <c r="L12" s="27">
        <v>32</v>
      </c>
      <c r="M12" s="27">
        <v>249999</v>
      </c>
      <c r="N12" s="46">
        <v>2</v>
      </c>
      <c r="O12" s="47" t="s">
        <v>404</v>
      </c>
      <c r="P12" s="43">
        <f>HEX2DEC(RIGHT(Table13232127[[#This Row],[h1]],8))</f>
        <v>196608</v>
      </c>
      <c r="Q12" s="42" t="s">
        <v>75</v>
      </c>
      <c r="R12" s="41">
        <f>HEX2DEC(RIGHT(Table13232127[[#This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41"/>
      <c r="I13" s="27">
        <v>2</v>
      </c>
      <c r="J13" s="27">
        <v>50000</v>
      </c>
      <c r="K13" s="41"/>
      <c r="L13" s="27">
        <v>33</v>
      </c>
      <c r="M13" s="27">
        <v>249999</v>
      </c>
      <c r="N13" s="46">
        <v>3</v>
      </c>
      <c r="O13" s="47" t="s">
        <v>405</v>
      </c>
      <c r="P13" s="43">
        <f>HEX2DEC(RIGHT(Table13232127[[#This Row],[h1]],8))</f>
        <v>458752</v>
      </c>
      <c r="Q13" s="42" t="s">
        <v>75</v>
      </c>
      <c r="R13" s="41">
        <f>HEX2DEC(RIGHT(Table13232127[[#This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9"/>
      <c r="H14" s="41"/>
      <c r="I14" s="27">
        <v>1</v>
      </c>
      <c r="J14" s="27">
        <v>50000</v>
      </c>
      <c r="K14" s="41"/>
      <c r="L14" s="27">
        <v>34</v>
      </c>
      <c r="M14" s="27">
        <v>249999</v>
      </c>
      <c r="N14" s="46">
        <v>4</v>
      </c>
      <c r="O14" s="47" t="s">
        <v>406</v>
      </c>
      <c r="P14" s="43">
        <f>HEX2DEC(RIGHT(Table13232127[[#This Row],[h1]],8))</f>
        <v>983040</v>
      </c>
      <c r="Q14" s="42" t="s">
        <v>75</v>
      </c>
      <c r="R14" s="41">
        <f>HEX2DEC(RIGHT(Table13232127[[#This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147</v>
      </c>
      <c r="G15" s="49">
        <v>0</v>
      </c>
      <c r="H15" s="41"/>
      <c r="I15" s="27">
        <v>3</v>
      </c>
      <c r="J15" s="27">
        <v>50000</v>
      </c>
      <c r="K15" s="41"/>
      <c r="L15" s="57" t="s">
        <v>67</v>
      </c>
      <c r="M15" s="57">
        <v>249999</v>
      </c>
      <c r="N15" s="46">
        <v>5</v>
      </c>
      <c r="O15" s="47" t="s">
        <v>407</v>
      </c>
      <c r="P15" s="43">
        <f>HEX2DEC(RIGHT(Table13232127[[#This Row],[h1]],8))</f>
        <v>2031616</v>
      </c>
      <c r="Q15" s="42" t="s">
        <v>75</v>
      </c>
      <c r="R15" s="41">
        <f>HEX2DEC(RIGHT(Table13232127[[#This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148</v>
      </c>
      <c r="G16" s="49">
        <v>0</v>
      </c>
      <c r="H16" s="41"/>
      <c r="I16" s="27">
        <v>1</v>
      </c>
      <c r="J16" s="27">
        <v>50000</v>
      </c>
      <c r="K16" s="41"/>
      <c r="L16" s="27"/>
      <c r="M16" s="27">
        <v>50000</v>
      </c>
      <c r="N16" s="46">
        <v>6</v>
      </c>
      <c r="O16" s="46" t="s">
        <v>336</v>
      </c>
      <c r="P16" s="43">
        <f>HEX2DEC(RIGHT(Table13232127[[#This Row],[h1]],8))</f>
        <v>0</v>
      </c>
      <c r="Q16" s="42" t="s">
        <v>75</v>
      </c>
      <c r="R16" s="41">
        <f>HEX2DEC(RIGHT(Table13232127[[#This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149</v>
      </c>
      <c r="G17" s="49">
        <v>0</v>
      </c>
      <c r="H17" s="41"/>
      <c r="I17" s="27">
        <v>2</v>
      </c>
      <c r="J17" s="27">
        <v>50000</v>
      </c>
      <c r="K17" s="41"/>
      <c r="L17" s="27"/>
      <c r="M17" s="27">
        <v>50000</v>
      </c>
      <c r="N17" s="46">
        <v>7</v>
      </c>
      <c r="O17" s="46" t="s">
        <v>336</v>
      </c>
      <c r="P17" s="43">
        <f>HEX2DEC(RIGHT(Table13232127[[#This Row],[h1]],8))</f>
        <v>0</v>
      </c>
      <c r="Q17" s="42" t="s">
        <v>75</v>
      </c>
      <c r="R17" s="41">
        <f>HEX2DEC(RIGHT(Table13232127[[#This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150</v>
      </c>
      <c r="G18" s="49">
        <v>0</v>
      </c>
      <c r="H18" s="41"/>
      <c r="I18" s="27">
        <v>1</v>
      </c>
      <c r="J18" s="27">
        <v>50000</v>
      </c>
      <c r="K18" s="41"/>
      <c r="L18" s="27"/>
      <c r="M18" s="27">
        <v>50000</v>
      </c>
      <c r="N18" s="46">
        <v>8</v>
      </c>
      <c r="O18" s="46" t="s">
        <v>336</v>
      </c>
      <c r="P18" s="43">
        <f>HEX2DEC(RIGHT(Table13232127[[#This Row],[h1]],8))</f>
        <v>0</v>
      </c>
      <c r="Q18" s="42" t="s">
        <v>75</v>
      </c>
      <c r="R18" s="41">
        <f>HEX2DEC(RIGHT(Table13232127[[#This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151</v>
      </c>
      <c r="G19" s="49">
        <v>0</v>
      </c>
      <c r="H19" s="41"/>
      <c r="I19" s="27">
        <v>3</v>
      </c>
      <c r="J19" s="27">
        <v>50000</v>
      </c>
      <c r="K19" s="41"/>
      <c r="L19" s="27"/>
      <c r="M19" s="27">
        <v>50000</v>
      </c>
      <c r="N19" s="46">
        <v>9</v>
      </c>
      <c r="O19" s="46" t="s">
        <v>336</v>
      </c>
      <c r="P19" s="43">
        <f>HEX2DEC(RIGHT(Table13232127[[#This Row],[h1]],8))</f>
        <v>0</v>
      </c>
      <c r="Q19" s="42" t="s">
        <v>75</v>
      </c>
      <c r="R19" s="41">
        <f>HEX2DEC(RIGHT(Table13232127[[#This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152</v>
      </c>
      <c r="G20" s="49">
        <v>0</v>
      </c>
      <c r="H20" s="41"/>
      <c r="I20" s="27">
        <v>1</v>
      </c>
      <c r="J20" s="27">
        <v>50000</v>
      </c>
      <c r="K20" s="41"/>
      <c r="L20" s="27"/>
      <c r="M20" s="27">
        <v>50000</v>
      </c>
      <c r="N20" s="46">
        <v>10</v>
      </c>
      <c r="O20" s="46" t="s">
        <v>336</v>
      </c>
      <c r="P20" s="43">
        <f>HEX2DEC(RIGHT(Table13232127[[#This Row],[h1]],8))</f>
        <v>0</v>
      </c>
      <c r="Q20" s="42" t="s">
        <v>75</v>
      </c>
      <c r="R20" s="41">
        <f>HEX2DEC(RIGHT(Table13232127[[#This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153</v>
      </c>
      <c r="G21" s="49">
        <v>0</v>
      </c>
      <c r="H21" s="41"/>
      <c r="I21" s="27">
        <v>2</v>
      </c>
      <c r="J21" s="27">
        <v>50000</v>
      </c>
      <c r="K21" s="41"/>
      <c r="L21" s="27"/>
      <c r="M21" s="27">
        <v>50000</v>
      </c>
      <c r="N21" s="46">
        <v>11</v>
      </c>
      <c r="O21" s="46" t="s">
        <v>336</v>
      </c>
      <c r="P21" s="43">
        <f>HEX2DEC(RIGHT(Table13232127[[#This Row],[h1]],8))</f>
        <v>0</v>
      </c>
      <c r="Q21" s="42" t="s">
        <v>75</v>
      </c>
      <c r="R21" s="41">
        <f>HEX2DEC(RIGHT(Table13232127[[#This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154</v>
      </c>
      <c r="G22" s="49">
        <v>0</v>
      </c>
      <c r="H22" s="41"/>
      <c r="I22" s="27">
        <v>1</v>
      </c>
      <c r="J22" s="27">
        <v>50000</v>
      </c>
      <c r="K22" s="41"/>
      <c r="L22" s="27"/>
      <c r="M22" s="27">
        <v>50000</v>
      </c>
      <c r="N22" s="46">
        <v>12</v>
      </c>
      <c r="O22" s="46" t="s">
        <v>336</v>
      </c>
      <c r="P22" s="43">
        <f>HEX2DEC(RIGHT(Table13232127[[#This Row],[h1]],8))</f>
        <v>0</v>
      </c>
      <c r="Q22" s="42" t="s">
        <v>75</v>
      </c>
      <c r="R22" s="41">
        <f>HEX2DEC(RIGHT(Table13232127[[#This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155</v>
      </c>
      <c r="G23" s="49">
        <v>0</v>
      </c>
      <c r="H23" s="41"/>
      <c r="I23" s="27">
        <v>4</v>
      </c>
      <c r="J23" s="27">
        <v>50000</v>
      </c>
      <c r="K23" s="41"/>
      <c r="L23" s="27"/>
      <c r="M23" s="27">
        <v>50000</v>
      </c>
      <c r="N23" s="46">
        <v>13</v>
      </c>
      <c r="O23" s="46" t="s">
        <v>336</v>
      </c>
      <c r="P23" s="43">
        <f>HEX2DEC(RIGHT(Table13232127[[#This Row],[h1]],8))</f>
        <v>0</v>
      </c>
      <c r="Q23" s="42" t="s">
        <v>75</v>
      </c>
      <c r="R23" s="41">
        <f>HEX2DEC(RIGHT(Table13232127[[#This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156</v>
      </c>
      <c r="G24" s="49">
        <v>0</v>
      </c>
      <c r="H24" s="41"/>
      <c r="I24" s="27">
        <v>1</v>
      </c>
      <c r="J24" s="27">
        <v>50000</v>
      </c>
      <c r="K24" s="41"/>
      <c r="L24" s="27"/>
      <c r="M24" s="27">
        <v>50000</v>
      </c>
      <c r="N24" s="46">
        <v>14</v>
      </c>
      <c r="O24" s="46" t="s">
        <v>336</v>
      </c>
      <c r="P24" s="43">
        <f>HEX2DEC(RIGHT(Table13232127[[#This Row],[h1]],8))</f>
        <v>0</v>
      </c>
      <c r="Q24" s="42" t="s">
        <v>75</v>
      </c>
      <c r="R24" s="41">
        <f>HEX2DEC(RIGHT(Table13232127[[#This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157</v>
      </c>
      <c r="G25" s="49">
        <v>0</v>
      </c>
      <c r="H25" s="41"/>
      <c r="I25" s="27">
        <v>2</v>
      </c>
      <c r="J25" s="27">
        <v>50000</v>
      </c>
      <c r="K25" s="41"/>
      <c r="L25" s="27"/>
      <c r="M25" s="27">
        <v>50000</v>
      </c>
      <c r="N25" s="46">
        <v>15</v>
      </c>
      <c r="O25" s="46" t="s">
        <v>336</v>
      </c>
      <c r="P25" s="43">
        <f>HEX2DEC(RIGHT(Table13232127[[#This Row],[h1]],8))</f>
        <v>0</v>
      </c>
      <c r="Q25" s="42" t="s">
        <v>75</v>
      </c>
      <c r="R25" s="41">
        <f>HEX2DEC(RIGHT(Table13232127[[#This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158</v>
      </c>
      <c r="G26" s="49">
        <v>0</v>
      </c>
      <c r="H26" s="41"/>
      <c r="I26" s="27">
        <v>1</v>
      </c>
      <c r="J26" s="27">
        <v>50000</v>
      </c>
      <c r="K26" s="41"/>
      <c r="L26" s="27"/>
      <c r="M26" s="27">
        <v>50000</v>
      </c>
      <c r="N26" s="46">
        <v>16</v>
      </c>
      <c r="O26" s="46" t="s">
        <v>336</v>
      </c>
      <c r="P26" s="43">
        <f>HEX2DEC(RIGHT(Table13232127[[#This Row],[h1]],8))</f>
        <v>0</v>
      </c>
      <c r="Q26" s="42" t="s">
        <v>75</v>
      </c>
      <c r="R26" s="41">
        <f>HEX2DEC(RIGHT(Table13232127[[#This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159</v>
      </c>
      <c r="G27" s="49">
        <v>0</v>
      </c>
      <c r="H27" s="41"/>
      <c r="I27" s="27">
        <v>3</v>
      </c>
      <c r="J27" s="27">
        <v>50000</v>
      </c>
      <c r="K27" s="41"/>
      <c r="L27" s="27"/>
      <c r="M27" s="27">
        <v>50000</v>
      </c>
      <c r="N27" s="46">
        <v>17</v>
      </c>
      <c r="O27" s="46" t="s">
        <v>336</v>
      </c>
      <c r="P27" s="43">
        <f>HEX2DEC(RIGHT(Table13232127[[#This Row],[h1]],8))</f>
        <v>0</v>
      </c>
      <c r="Q27" s="42" t="s">
        <v>75</v>
      </c>
      <c r="R27" s="41">
        <f>HEX2DEC(RIGHT(Table13232127[[#This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160</v>
      </c>
      <c r="G28" s="49">
        <v>0</v>
      </c>
      <c r="H28" s="41"/>
      <c r="I28" s="27">
        <v>1</v>
      </c>
      <c r="J28" s="27">
        <v>50000</v>
      </c>
      <c r="K28" s="41"/>
      <c r="L28" s="27"/>
      <c r="M28" s="27">
        <v>50000</v>
      </c>
      <c r="N28" s="46">
        <v>18</v>
      </c>
      <c r="O28" s="46" t="s">
        <v>336</v>
      </c>
      <c r="P28" s="43">
        <f>HEX2DEC(RIGHT(Table13232127[[#This Row],[h1]],8))</f>
        <v>0</v>
      </c>
      <c r="Q28" s="42" t="s">
        <v>75</v>
      </c>
      <c r="R28" s="41">
        <f>HEX2DEC(RIGHT(Table13232127[[#This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161</v>
      </c>
      <c r="G29" s="49">
        <v>0</v>
      </c>
      <c r="H29" s="41"/>
      <c r="I29" s="27">
        <v>2</v>
      </c>
      <c r="J29" s="27">
        <v>50000</v>
      </c>
      <c r="K29" s="41"/>
      <c r="L29" s="27"/>
      <c r="M29" s="27">
        <v>50000</v>
      </c>
      <c r="N29" s="46">
        <v>19</v>
      </c>
      <c r="O29" s="46" t="s">
        <v>336</v>
      </c>
      <c r="P29" s="43">
        <f>HEX2DEC(RIGHT(Table13232127[[#This Row],[h1]],8))</f>
        <v>0</v>
      </c>
      <c r="Q29" s="42" t="s">
        <v>75</v>
      </c>
      <c r="R29" s="41">
        <f>HEX2DEC(RIGHT(Table13232127[[#This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162</v>
      </c>
      <c r="G30" s="49">
        <v>0</v>
      </c>
      <c r="H30" s="41"/>
      <c r="I30" s="27">
        <v>1</v>
      </c>
      <c r="J30" s="27">
        <v>50000</v>
      </c>
      <c r="K30" s="41"/>
      <c r="L30" s="27"/>
      <c r="M30" s="27">
        <v>50000</v>
      </c>
      <c r="N30" s="46">
        <v>20</v>
      </c>
      <c r="O30" s="46" t="s">
        <v>336</v>
      </c>
      <c r="P30" s="43">
        <f>HEX2DEC(RIGHT(Table13232127[[#This Row],[h1]],8))</f>
        <v>0</v>
      </c>
      <c r="Q30" s="42" t="s">
        <v>75</v>
      </c>
      <c r="R30" s="41">
        <f>HEX2DEC(RIGHT(Table13232127[[#This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163</v>
      </c>
      <c r="G31" s="49">
        <v>0</v>
      </c>
      <c r="H31" s="41"/>
      <c r="I31" s="27">
        <v>3</v>
      </c>
      <c r="J31" s="27">
        <v>50000</v>
      </c>
      <c r="K31" s="41"/>
      <c r="L31" s="27"/>
      <c r="M31" s="27">
        <v>50000</v>
      </c>
      <c r="N31" s="46">
        <v>21</v>
      </c>
      <c r="O31" s="46" t="s">
        <v>336</v>
      </c>
      <c r="P31" s="43">
        <f>HEX2DEC(RIGHT(Table13232127[[#This Row],[h1]],8))</f>
        <v>0</v>
      </c>
      <c r="Q31" s="42" t="s">
        <v>75</v>
      </c>
      <c r="R31" s="41">
        <f>HEX2DEC(RIGHT(Table13232127[[#This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164</v>
      </c>
      <c r="G32" s="49">
        <v>0</v>
      </c>
      <c r="H32" s="41"/>
      <c r="I32" s="27">
        <v>1</v>
      </c>
      <c r="J32" s="27">
        <v>50000</v>
      </c>
      <c r="K32" s="41"/>
      <c r="L32" s="27"/>
      <c r="M32" s="27">
        <v>50000</v>
      </c>
      <c r="N32" s="46">
        <v>22</v>
      </c>
      <c r="O32" s="46" t="s">
        <v>336</v>
      </c>
      <c r="P32" s="43">
        <f>HEX2DEC(RIGHT(Table13232127[[#This Row],[h1]],8))</f>
        <v>0</v>
      </c>
      <c r="Q32" s="42" t="s">
        <v>75</v>
      </c>
      <c r="R32" s="41">
        <f>HEX2DEC(RIGHT(Table13232127[[#This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165</v>
      </c>
      <c r="G33" s="49">
        <v>0</v>
      </c>
      <c r="H33" s="41"/>
      <c r="I33" s="27">
        <v>2</v>
      </c>
      <c r="J33" s="27">
        <v>50000</v>
      </c>
      <c r="K33" s="41"/>
      <c r="L33" s="27"/>
      <c r="M33" s="27">
        <v>50000</v>
      </c>
      <c r="N33" s="46">
        <v>23</v>
      </c>
      <c r="O33" s="46" t="s">
        <v>336</v>
      </c>
      <c r="P33" s="43">
        <f>HEX2DEC(RIGHT(Table13232127[[#This Row],[h1]],8))</f>
        <v>0</v>
      </c>
      <c r="Q33" s="42" t="s">
        <v>75</v>
      </c>
      <c r="R33" s="41">
        <f>HEX2DEC(RIGHT(Table13232127[[#This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166</v>
      </c>
      <c r="G34" s="49">
        <v>0</v>
      </c>
      <c r="H34" s="41"/>
      <c r="I34" s="27">
        <v>1</v>
      </c>
      <c r="J34" s="27">
        <v>50000</v>
      </c>
      <c r="K34" s="41"/>
      <c r="L34" s="27"/>
      <c r="M34" s="27">
        <v>50000</v>
      </c>
      <c r="N34" s="46">
        <v>24</v>
      </c>
      <c r="O34" s="46" t="s">
        <v>336</v>
      </c>
      <c r="P34" s="43">
        <f>HEX2DEC(RIGHT(Table13232127[[#This Row],[h1]],8))</f>
        <v>0</v>
      </c>
      <c r="Q34" s="42" t="s">
        <v>75</v>
      </c>
      <c r="R34" s="41">
        <f>HEX2DEC(RIGHT(Table13232127[[#This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167</v>
      </c>
      <c r="G35" s="49">
        <v>0</v>
      </c>
      <c r="H35" s="41"/>
      <c r="I35" s="27">
        <v>4</v>
      </c>
      <c r="J35" s="27">
        <v>50000</v>
      </c>
      <c r="K35" s="41"/>
      <c r="L35" s="27"/>
      <c r="M35" s="27">
        <v>50000</v>
      </c>
      <c r="N35" s="46">
        <v>25</v>
      </c>
      <c r="O35" s="46" t="s">
        <v>336</v>
      </c>
      <c r="P35" s="43">
        <f>HEX2DEC(RIGHT(Table13232127[[#This Row],[h1]],8))</f>
        <v>0</v>
      </c>
      <c r="Q35" s="42" t="s">
        <v>75</v>
      </c>
      <c r="R35" s="41">
        <f>HEX2DEC(RIGHT(Table13232127[[#This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168</v>
      </c>
      <c r="G36" s="49">
        <v>0</v>
      </c>
      <c r="H36" s="41"/>
      <c r="I36" s="27">
        <v>1</v>
      </c>
      <c r="J36" s="27">
        <v>50000</v>
      </c>
      <c r="K36" s="41"/>
      <c r="L36" s="27"/>
      <c r="M36" s="27">
        <v>50000</v>
      </c>
      <c r="N36" s="46">
        <v>26</v>
      </c>
      <c r="O36" s="46" t="s">
        <v>336</v>
      </c>
      <c r="P36" s="43">
        <f>HEX2DEC(RIGHT(Table13232127[[#This Row],[h1]],8))</f>
        <v>0</v>
      </c>
      <c r="Q36" s="42" t="s">
        <v>75</v>
      </c>
      <c r="R36" s="41">
        <f>HEX2DEC(RIGHT(Table13232127[[#This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169</v>
      </c>
      <c r="G37" s="49">
        <v>0</v>
      </c>
      <c r="H37" s="41"/>
      <c r="I37" s="27">
        <v>2</v>
      </c>
      <c r="J37" s="27">
        <v>50000</v>
      </c>
      <c r="K37" s="41"/>
      <c r="L37" s="27"/>
      <c r="M37" s="27">
        <v>50000</v>
      </c>
      <c r="N37" s="46">
        <v>27</v>
      </c>
      <c r="O37" s="43" t="s">
        <v>336</v>
      </c>
      <c r="P37" s="43">
        <f>HEX2DEC(RIGHT(Table13232127[[#This Row],[h1]],8))</f>
        <v>0</v>
      </c>
      <c r="Q37" s="42" t="s">
        <v>75</v>
      </c>
      <c r="R37" s="41">
        <f>HEX2DEC(RIGHT(Table13232127[[#This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170</v>
      </c>
      <c r="G38" s="49">
        <v>0</v>
      </c>
      <c r="H38" s="41"/>
      <c r="I38" s="27">
        <v>1</v>
      </c>
      <c r="J38" s="27">
        <v>50000</v>
      </c>
      <c r="K38" s="41"/>
      <c r="L38" s="27"/>
      <c r="M38" s="27">
        <v>50000</v>
      </c>
      <c r="N38" s="46">
        <v>28</v>
      </c>
      <c r="O38" s="43" t="s">
        <v>336</v>
      </c>
      <c r="P38" s="43">
        <f>HEX2DEC(RIGHT(Table13232127[[#This Row],[h1]],8))</f>
        <v>0</v>
      </c>
      <c r="Q38" s="42" t="s">
        <v>75</v>
      </c>
      <c r="R38" s="41">
        <f>HEX2DEC(RIGHT(Table13232127[[#This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171</v>
      </c>
      <c r="G39" s="49">
        <v>0</v>
      </c>
      <c r="H39" s="41"/>
      <c r="I39" s="27">
        <v>3</v>
      </c>
      <c r="J39" s="27">
        <v>50000</v>
      </c>
      <c r="K39" s="41"/>
      <c r="L39" s="27"/>
      <c r="M39" s="27">
        <v>50000</v>
      </c>
      <c r="N39" s="46">
        <v>29</v>
      </c>
      <c r="O39" s="43" t="s">
        <v>336</v>
      </c>
      <c r="P39" s="43">
        <f>HEX2DEC(RIGHT(Table13232127[[#This Row],[h1]],8))</f>
        <v>0</v>
      </c>
      <c r="Q39" s="42" t="s">
        <v>75</v>
      </c>
      <c r="R39" s="41">
        <f>HEX2DEC(RIGHT(Table13232127[[#This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172</v>
      </c>
      <c r="G40" s="49">
        <v>0</v>
      </c>
      <c r="H40" s="41"/>
      <c r="I40" s="27">
        <v>1</v>
      </c>
      <c r="J40" s="27">
        <v>50000</v>
      </c>
      <c r="K40" s="41"/>
      <c r="L40" s="27"/>
      <c r="M40" s="27">
        <v>50000</v>
      </c>
      <c r="N40" s="46">
        <v>30</v>
      </c>
      <c r="O40" s="43" t="s">
        <v>336</v>
      </c>
      <c r="P40" s="43">
        <f>HEX2DEC(RIGHT(Table13232127[[#This Row],[h1]],8))</f>
        <v>0</v>
      </c>
      <c r="Q40" s="42" t="s">
        <v>75</v>
      </c>
      <c r="R40" s="41">
        <f>HEX2DEC(RIGHT(Table13232127[[#This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173</v>
      </c>
      <c r="G41" s="49">
        <v>0</v>
      </c>
      <c r="H41" s="41"/>
      <c r="I41" s="27">
        <v>2</v>
      </c>
      <c r="J41" s="27">
        <v>50000</v>
      </c>
      <c r="K41" s="41"/>
      <c r="L41" s="27"/>
      <c r="M41" s="27">
        <v>50000</v>
      </c>
      <c r="N41" s="46">
        <v>31</v>
      </c>
      <c r="O41" s="43" t="s">
        <v>336</v>
      </c>
      <c r="P41" s="43">
        <f>HEX2DEC(RIGHT(Table13232127[[#This Row],[h1]],8))</f>
        <v>0</v>
      </c>
      <c r="Q41" s="42" t="s">
        <v>75</v>
      </c>
      <c r="R41" s="41">
        <f>HEX2DEC(RIGHT(Table13232127[[#This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174</v>
      </c>
      <c r="G42" s="49">
        <v>0</v>
      </c>
      <c r="H42" s="41"/>
      <c r="I42" s="27">
        <v>1</v>
      </c>
      <c r="J42" s="27">
        <v>50000</v>
      </c>
      <c r="K42" s="41"/>
      <c r="L42" s="27"/>
      <c r="M42" s="27">
        <v>50000</v>
      </c>
      <c r="N42" s="46">
        <v>32</v>
      </c>
      <c r="O42" s="43" t="s">
        <v>336</v>
      </c>
      <c r="P42" s="43">
        <f>HEX2DEC(RIGHT(Table13232127[[#This Row],[h1]],8))</f>
        <v>0</v>
      </c>
      <c r="Q42" s="42" t="s">
        <v>75</v>
      </c>
      <c r="R42" s="41">
        <f>HEX2DEC(RIGHT(Table13232127[[#This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175</v>
      </c>
      <c r="G43" s="49">
        <v>0</v>
      </c>
      <c r="H43" s="41"/>
      <c r="I43" s="27">
        <v>3</v>
      </c>
      <c r="J43" s="27">
        <v>50000</v>
      </c>
      <c r="K43" s="41"/>
      <c r="L43" s="27"/>
      <c r="M43" s="27">
        <v>50000</v>
      </c>
      <c r="N43" s="46">
        <v>33</v>
      </c>
      <c r="O43" s="43" t="s">
        <v>336</v>
      </c>
      <c r="P43" s="43">
        <f>HEX2DEC(RIGHT(Table13232127[[#This Row],[h1]],8))</f>
        <v>0</v>
      </c>
      <c r="Q43" s="42" t="s">
        <v>75</v>
      </c>
      <c r="R43" s="41">
        <f>HEX2DEC(RIGHT(Table13232127[[#This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176</v>
      </c>
      <c r="G44" s="49">
        <v>0</v>
      </c>
      <c r="H44" s="41"/>
      <c r="I44" s="27">
        <v>1</v>
      </c>
      <c r="J44" s="27">
        <v>50000</v>
      </c>
      <c r="K44" s="41"/>
      <c r="L44" s="27"/>
      <c r="M44" s="27">
        <v>50000</v>
      </c>
      <c r="N44" s="46">
        <v>34</v>
      </c>
      <c r="O44" s="43" t="s">
        <v>336</v>
      </c>
      <c r="P44" s="43">
        <f>HEX2DEC(RIGHT(Table13232127[[#This Row],[h1]],8))</f>
        <v>0</v>
      </c>
      <c r="Q44" s="42" t="s">
        <v>75</v>
      </c>
      <c r="R44" s="41">
        <f>HEX2DEC(RIGHT(Table13232127[[#This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177</v>
      </c>
      <c r="G45" s="49">
        <v>0</v>
      </c>
      <c r="H45" s="41"/>
      <c r="I45" s="27">
        <v>2</v>
      </c>
      <c r="J45" s="27">
        <v>50000</v>
      </c>
      <c r="K45" s="41"/>
      <c r="L45" s="27"/>
      <c r="M45" s="27">
        <v>50000</v>
      </c>
      <c r="N45" s="46">
        <v>35</v>
      </c>
      <c r="O45" s="43" t="s">
        <v>336</v>
      </c>
      <c r="P45" s="43">
        <f>HEX2DEC(RIGHT(Table13232127[[#This Row],[h1]],8))</f>
        <v>0</v>
      </c>
      <c r="Q45" s="41" t="s">
        <v>75</v>
      </c>
      <c r="R45" s="41">
        <f>HEX2DEC(RIGHT(Table13232127[[#This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178</v>
      </c>
      <c r="G46" s="49">
        <v>0</v>
      </c>
      <c r="H46" s="41"/>
      <c r="I46" s="27">
        <v>1</v>
      </c>
      <c r="J46" s="27">
        <v>50000</v>
      </c>
      <c r="K46" s="41"/>
      <c r="L46" s="27"/>
      <c r="M46" s="27">
        <v>50000</v>
      </c>
      <c r="N46" s="46">
        <v>36</v>
      </c>
      <c r="O46" s="43" t="s">
        <v>336</v>
      </c>
      <c r="P46" s="43">
        <f>HEX2DEC(RIGHT(Table13232127[[#This Row],[h1]],8))</f>
        <v>0</v>
      </c>
      <c r="Q46" s="41" t="s">
        <v>75</v>
      </c>
      <c r="R46" s="41">
        <f>HEX2DEC(RIGHT(Table13232127[[#This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9"/>
      <c r="H47" s="41"/>
      <c r="I47" s="27">
        <v>4</v>
      </c>
      <c r="J47" s="27">
        <v>50000</v>
      </c>
      <c r="K47" s="41"/>
      <c r="L47" s="27"/>
      <c r="M47" s="27">
        <v>50000</v>
      </c>
      <c r="N47" s="46">
        <v>37</v>
      </c>
      <c r="O47" s="43" t="s">
        <v>336</v>
      </c>
      <c r="P47" s="43">
        <f>HEX2DEC(RIGHT(Table13232127[[#This Row],[h1]],8))</f>
        <v>0</v>
      </c>
      <c r="Q47" s="41" t="s">
        <v>75</v>
      </c>
      <c r="R47" s="41">
        <f>HEX2DEC(RIGHT(Table13232127[[#This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179</v>
      </c>
      <c r="G48" s="49">
        <v>0</v>
      </c>
      <c r="H48" s="41"/>
      <c r="I48" s="27">
        <v>1</v>
      </c>
      <c r="J48" s="27">
        <v>50000</v>
      </c>
      <c r="K48" s="41"/>
      <c r="L48" s="27"/>
      <c r="M48" s="27">
        <v>50000</v>
      </c>
      <c r="N48" s="46">
        <v>38</v>
      </c>
      <c r="O48" s="41" t="s">
        <v>75</v>
      </c>
      <c r="P48" s="43">
        <f>HEX2DEC(RIGHT(Table13232127[[#This Row],[h1]],8))</f>
        <v>0</v>
      </c>
      <c r="Q48" s="41" t="s">
        <v>75</v>
      </c>
      <c r="R48" s="41">
        <f>HEX2DEC(RIGHT(Table13232127[[#This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180</v>
      </c>
      <c r="G49" s="49">
        <v>0</v>
      </c>
      <c r="H49" s="41"/>
      <c r="I49" s="27">
        <v>2</v>
      </c>
      <c r="J49" s="27">
        <v>50000</v>
      </c>
      <c r="K49" s="41"/>
      <c r="L49" s="27"/>
      <c r="M49" s="27">
        <v>50000</v>
      </c>
      <c r="N49" s="46">
        <v>39</v>
      </c>
      <c r="O49" s="41" t="s">
        <v>75</v>
      </c>
      <c r="P49" s="43">
        <f>HEX2DEC(RIGHT(Table13232127[[#This Row],[h1]],8))</f>
        <v>0</v>
      </c>
      <c r="Q49" s="41" t="s">
        <v>75</v>
      </c>
      <c r="R49" s="41">
        <f>HEX2DEC(RIGHT(Table13232127[[#This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181</v>
      </c>
      <c r="G50" s="49">
        <v>0</v>
      </c>
      <c r="H50" s="41"/>
      <c r="I50" s="27">
        <v>1</v>
      </c>
      <c r="J50" s="27">
        <v>50000</v>
      </c>
      <c r="K50" s="41"/>
      <c r="L50" s="27"/>
      <c r="M50" s="27">
        <v>50000</v>
      </c>
      <c r="N50" s="46">
        <v>40</v>
      </c>
      <c r="O50" s="41" t="s">
        <v>75</v>
      </c>
      <c r="P50" s="43">
        <f>HEX2DEC(RIGHT(Table13232127[[#This Row],[h1]],8))</f>
        <v>0</v>
      </c>
      <c r="Q50" s="41" t="s">
        <v>75</v>
      </c>
      <c r="R50" s="41">
        <f>HEX2DEC(RIGHT(Table13232127[[#This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182</v>
      </c>
      <c r="G51" s="49">
        <v>0</v>
      </c>
      <c r="H51" s="41"/>
      <c r="I51" s="27">
        <v>3</v>
      </c>
      <c r="J51" s="27">
        <v>50000</v>
      </c>
      <c r="K51" s="41"/>
      <c r="L51" s="27"/>
      <c r="M51" s="27">
        <v>50000</v>
      </c>
      <c r="N51" s="46">
        <v>41</v>
      </c>
      <c r="O51" s="41" t="s">
        <v>75</v>
      </c>
      <c r="P51" s="43">
        <f>HEX2DEC(RIGHT(Table13232127[[#This Row],[h1]],8))</f>
        <v>0</v>
      </c>
      <c r="Q51" s="41" t="s">
        <v>75</v>
      </c>
      <c r="R51" s="41">
        <f>HEX2DEC(RIGHT(Table13232127[[#This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183</v>
      </c>
      <c r="G52" s="49">
        <v>0</v>
      </c>
      <c r="H52" s="41"/>
      <c r="I52" s="27">
        <v>1</v>
      </c>
      <c r="J52" s="27">
        <v>50000</v>
      </c>
      <c r="K52" s="41"/>
      <c r="L52" s="27"/>
      <c r="M52" s="27">
        <v>50000</v>
      </c>
      <c r="N52" s="46">
        <v>42</v>
      </c>
      <c r="O52" s="41" t="s">
        <v>75</v>
      </c>
      <c r="P52" s="41">
        <f>HEX2DEC(RIGHT(Table13232127[[#This Row],[h1]],8))</f>
        <v>0</v>
      </c>
      <c r="Q52" s="41" t="s">
        <v>75</v>
      </c>
      <c r="R52" s="41">
        <f>HEX2DEC(RIGHT(Table13232127[[#This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184</v>
      </c>
      <c r="G53" s="49">
        <v>0</v>
      </c>
      <c r="H53" s="41"/>
      <c r="I53" s="27">
        <v>2</v>
      </c>
      <c r="J53" s="27">
        <v>50000</v>
      </c>
      <c r="K53" s="41"/>
      <c r="L53" s="27"/>
      <c r="M53" s="27">
        <v>50000</v>
      </c>
      <c r="N53" s="46">
        <v>43</v>
      </c>
      <c r="O53" s="41" t="s">
        <v>75</v>
      </c>
      <c r="P53" s="41">
        <f>HEX2DEC(RIGHT(Table13232127[[#This Row],[h1]],8))</f>
        <v>0</v>
      </c>
      <c r="Q53" s="41" t="s">
        <v>75</v>
      </c>
      <c r="R53" s="41">
        <f>HEX2DEC(RIGHT(Table13232127[[#This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185</v>
      </c>
      <c r="G54" s="49">
        <v>0</v>
      </c>
      <c r="H54" s="41"/>
      <c r="I54" s="27">
        <v>1</v>
      </c>
      <c r="J54" s="27">
        <v>50000</v>
      </c>
      <c r="K54" s="41"/>
      <c r="L54" s="27"/>
      <c r="M54" s="27">
        <v>50000</v>
      </c>
      <c r="N54" s="46">
        <v>44</v>
      </c>
      <c r="O54" s="41" t="s">
        <v>75</v>
      </c>
      <c r="P54" s="41">
        <f>HEX2DEC(RIGHT(Table13232127[[#This Row],[h1]],8))</f>
        <v>0</v>
      </c>
      <c r="Q54" s="41" t="s">
        <v>75</v>
      </c>
      <c r="R54" s="41">
        <f>HEX2DEC(RIGHT(Table13232127[[#This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186</v>
      </c>
      <c r="G55" s="49">
        <v>0</v>
      </c>
      <c r="H55" s="41"/>
      <c r="I55" s="27">
        <v>3</v>
      </c>
      <c r="J55" s="27">
        <v>50000</v>
      </c>
      <c r="K55" s="41"/>
      <c r="L55" s="27"/>
      <c r="M55" s="27">
        <v>50000</v>
      </c>
      <c r="N55" s="46">
        <v>45</v>
      </c>
      <c r="O55" s="41" t="s">
        <v>75</v>
      </c>
      <c r="P55" s="41">
        <f>HEX2DEC(RIGHT(Table13232127[[#This Row],[h1]],8))</f>
        <v>0</v>
      </c>
      <c r="Q55" s="41" t="s">
        <v>75</v>
      </c>
      <c r="R55" s="41">
        <f>HEX2DEC(RIGHT(Table13232127[[#This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187</v>
      </c>
      <c r="G56" s="49">
        <v>0</v>
      </c>
      <c r="H56" s="41"/>
      <c r="I56" s="27">
        <v>1</v>
      </c>
      <c r="J56" s="27">
        <v>50000</v>
      </c>
      <c r="K56" s="41"/>
      <c r="L56" s="27"/>
      <c r="M56" s="27">
        <v>50000</v>
      </c>
      <c r="N56" s="46">
        <v>46</v>
      </c>
      <c r="O56" s="41" t="s">
        <v>75</v>
      </c>
      <c r="P56" s="41">
        <f>HEX2DEC(RIGHT(Table13232127[[#This Row],[h1]],8))</f>
        <v>0</v>
      </c>
      <c r="Q56" s="41" t="s">
        <v>75</v>
      </c>
      <c r="R56" s="41">
        <f>HEX2DEC(RIGHT(Table13232127[[#This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188</v>
      </c>
      <c r="G57" s="49">
        <v>0</v>
      </c>
      <c r="H57" s="41"/>
      <c r="I57" s="27">
        <v>2</v>
      </c>
      <c r="J57" s="27">
        <v>50000</v>
      </c>
      <c r="K57" s="41"/>
      <c r="L57" s="27"/>
      <c r="M57" s="27">
        <v>50000</v>
      </c>
      <c r="N57" s="46">
        <v>47</v>
      </c>
      <c r="O57" s="41" t="s">
        <v>75</v>
      </c>
      <c r="P57" s="41">
        <f>HEX2DEC(RIGHT(Table13232127[[#This Row],[h1]],8))</f>
        <v>0</v>
      </c>
      <c r="Q57" s="41" t="s">
        <v>75</v>
      </c>
      <c r="R57" s="41">
        <f>HEX2DEC(RIGHT(Table13232127[[#This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189</v>
      </c>
      <c r="G58" s="49">
        <v>0</v>
      </c>
      <c r="H58" s="41"/>
      <c r="I58" s="27">
        <v>1</v>
      </c>
      <c r="J58" s="27">
        <v>50000</v>
      </c>
      <c r="K58" s="41"/>
      <c r="L58" s="27"/>
      <c r="M58" s="27">
        <v>50000</v>
      </c>
      <c r="N58" s="46">
        <v>48</v>
      </c>
      <c r="O58" s="41" t="s">
        <v>75</v>
      </c>
      <c r="P58" s="41">
        <f>HEX2DEC(RIGHT(Table13232127[[#This Row],[h1]],8))</f>
        <v>0</v>
      </c>
      <c r="Q58" s="41" t="s">
        <v>75</v>
      </c>
      <c r="R58" s="41">
        <f>HEX2DEC(RIGHT(Table13232127[[#This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190</v>
      </c>
      <c r="G59" s="49">
        <v>0</v>
      </c>
      <c r="H59" s="41"/>
      <c r="I59" s="27">
        <v>4</v>
      </c>
      <c r="J59" s="27">
        <v>50000</v>
      </c>
      <c r="K59" s="41"/>
      <c r="L59" s="27"/>
      <c r="M59" s="27">
        <v>50000</v>
      </c>
      <c r="N59" s="46">
        <v>49</v>
      </c>
      <c r="O59" s="41" t="s">
        <v>75</v>
      </c>
      <c r="P59" s="41">
        <f>HEX2DEC(RIGHT(Table13232127[[#This Row],[h1]],8))</f>
        <v>0</v>
      </c>
      <c r="Q59" s="41" t="s">
        <v>75</v>
      </c>
      <c r="R59" s="41">
        <f>HEX2DEC(RIGHT(Table13232127[[#This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191</v>
      </c>
      <c r="G60" s="49">
        <v>0</v>
      </c>
      <c r="H60" s="41"/>
      <c r="I60" s="27">
        <v>1</v>
      </c>
      <c r="J60" s="27">
        <v>50000</v>
      </c>
      <c r="K60" s="41"/>
      <c r="L60" s="27"/>
      <c r="M60" s="27">
        <v>50000</v>
      </c>
      <c r="N60" s="46">
        <v>50</v>
      </c>
      <c r="O60" s="41" t="s">
        <v>75</v>
      </c>
      <c r="P60" s="41">
        <f>HEX2DEC(RIGHT(Table13232127[[#This Row],[h1]],8))</f>
        <v>0</v>
      </c>
      <c r="Q60" s="41" t="s">
        <v>75</v>
      </c>
      <c r="R60" s="41">
        <f>HEX2DEC(RIGHT(Table13232127[[#This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192</v>
      </c>
      <c r="G61" s="49">
        <v>0</v>
      </c>
      <c r="H61" s="41"/>
      <c r="I61" s="27">
        <v>2</v>
      </c>
      <c r="J61" s="27">
        <v>50000</v>
      </c>
      <c r="K61" s="41"/>
      <c r="L61" s="27"/>
      <c r="M61" s="27">
        <v>50000</v>
      </c>
      <c r="O61" s="41" t="s">
        <v>75</v>
      </c>
      <c r="P61" s="41">
        <f>HEX2DEC(RIGHT(Table13232127[[#This Row],[h1]],8))</f>
        <v>0</v>
      </c>
      <c r="Q61" s="41" t="s">
        <v>75</v>
      </c>
      <c r="R61" s="41">
        <f>HEX2DEC(RIGHT(Table13232127[[#This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193</v>
      </c>
      <c r="G62" s="49">
        <v>0</v>
      </c>
      <c r="I62" s="27">
        <v>1</v>
      </c>
      <c r="J62" s="27">
        <v>50000</v>
      </c>
      <c r="L62" s="27"/>
      <c r="M62" s="27">
        <v>50000</v>
      </c>
      <c r="O62" s="41" t="s">
        <v>75</v>
      </c>
      <c r="P62" s="41">
        <f>HEX2DEC(RIGHT(Table13232127[[#This Row],[h1]],8))</f>
        <v>0</v>
      </c>
      <c r="Q62" s="41" t="s">
        <v>75</v>
      </c>
      <c r="R62" s="41">
        <f>HEX2DEC(RIGHT(Table13232127[[#This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194</v>
      </c>
      <c r="G63" s="49">
        <v>0</v>
      </c>
      <c r="I63" s="27">
        <v>3</v>
      </c>
      <c r="J63" s="27">
        <v>50000</v>
      </c>
      <c r="L63" s="27"/>
      <c r="M63" s="27">
        <v>50000</v>
      </c>
      <c r="O63" s="41" t="s">
        <v>75</v>
      </c>
      <c r="P63" s="41">
        <f>HEX2DEC(RIGHT(Table13232127[[#This Row],[h1]],8))</f>
        <v>0</v>
      </c>
      <c r="Q63" s="41" t="s">
        <v>75</v>
      </c>
      <c r="R63" s="41">
        <f>HEX2DEC(RIGHT(Table13232127[[#This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195</v>
      </c>
      <c r="F64" s="24" t="s">
        <v>427</v>
      </c>
      <c r="G64" s="49">
        <v>1</v>
      </c>
      <c r="I64" s="27">
        <v>1</v>
      </c>
      <c r="J64" s="27">
        <v>50000</v>
      </c>
      <c r="L64" s="27"/>
      <c r="M64" s="27">
        <v>50000</v>
      </c>
      <c r="O64" s="41" t="s">
        <v>75</v>
      </c>
      <c r="P64" s="41">
        <f>HEX2DEC(RIGHT(Table13232127[[#This Row],[h1]],8))</f>
        <v>0</v>
      </c>
      <c r="Q64" s="41" t="s">
        <v>75</v>
      </c>
      <c r="R64" s="41">
        <f>HEX2DEC(RIGHT(Table13232127[[#This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196</v>
      </c>
      <c r="F65" s="24" t="s">
        <v>427</v>
      </c>
      <c r="G65" s="49">
        <v>1</v>
      </c>
      <c r="I65" s="27">
        <v>2</v>
      </c>
      <c r="J65" s="27">
        <v>50000</v>
      </c>
      <c r="L65" s="27"/>
      <c r="M65" s="27">
        <v>50000</v>
      </c>
      <c r="O65" s="41" t="s">
        <v>75</v>
      </c>
      <c r="P65" s="41">
        <f>HEX2DEC(RIGHT(Table13232127[[#This Row],[h1]],8))</f>
        <v>0</v>
      </c>
      <c r="Q65" s="41" t="s">
        <v>75</v>
      </c>
      <c r="R65" s="41">
        <f>HEX2DEC(RIGHT(Table13232127[[#This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197</v>
      </c>
      <c r="F66" s="24" t="s">
        <v>427</v>
      </c>
      <c r="G66" s="49">
        <v>1</v>
      </c>
      <c r="I66" s="27">
        <v>1</v>
      </c>
      <c r="J66" s="27">
        <v>50000</v>
      </c>
      <c r="L66" s="27"/>
      <c r="M66" s="27">
        <v>50000</v>
      </c>
      <c r="O66" s="41" t="s">
        <v>75</v>
      </c>
      <c r="P66" s="41">
        <f>HEX2DEC(RIGHT(Table13232127[[#This Row],[h1]],8))</f>
        <v>0</v>
      </c>
      <c r="Q66" s="41" t="s">
        <v>75</v>
      </c>
      <c r="R66" s="41">
        <f>HEX2DEC(RIGHT(Table13232127[[#This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198</v>
      </c>
      <c r="F67" s="24" t="s">
        <v>427</v>
      </c>
      <c r="G67" s="49">
        <v>1</v>
      </c>
      <c r="I67" s="27">
        <v>3</v>
      </c>
      <c r="J67" s="27">
        <v>50000</v>
      </c>
      <c r="L67" s="27"/>
      <c r="M67" s="27">
        <v>50000</v>
      </c>
      <c r="O67" s="41" t="s">
        <v>75</v>
      </c>
      <c r="P67" s="41">
        <f>HEX2DEC(RIGHT(Table13232127[[#This Row],[h1]],8))</f>
        <v>0</v>
      </c>
      <c r="Q67" s="41" t="s">
        <v>75</v>
      </c>
      <c r="R67" s="41">
        <f>HEX2DEC(RIGHT(Table13232127[[#This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199</v>
      </c>
      <c r="F68" s="24" t="s">
        <v>427</v>
      </c>
      <c r="G68" s="49">
        <v>1</v>
      </c>
      <c r="I68" s="27">
        <v>1</v>
      </c>
      <c r="J68" s="27">
        <v>50000</v>
      </c>
      <c r="L68" s="27"/>
      <c r="M68" s="27">
        <v>50000</v>
      </c>
      <c r="O68" s="41" t="s">
        <v>75</v>
      </c>
      <c r="P68" s="41">
        <f>HEX2DEC(RIGHT(Table13232127[[#This Row],[h1]],8))</f>
        <v>0</v>
      </c>
      <c r="Q68" s="41" t="s">
        <v>75</v>
      </c>
      <c r="R68" s="41">
        <f>HEX2DEC(RIGHT(Table13232127[[#This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200</v>
      </c>
      <c r="F69" s="24" t="s">
        <v>427</v>
      </c>
      <c r="G69" s="49">
        <v>1</v>
      </c>
      <c r="I69" s="27">
        <v>2</v>
      </c>
      <c r="J69" s="27">
        <v>50000</v>
      </c>
      <c r="L69" s="27"/>
      <c r="M69" s="27">
        <v>50000</v>
      </c>
      <c r="O69" s="41" t="s">
        <v>75</v>
      </c>
      <c r="P69" s="41">
        <f>HEX2DEC(RIGHT(Table13232127[[#This Row],[h1]],8))</f>
        <v>0</v>
      </c>
      <c r="Q69" s="41" t="s">
        <v>75</v>
      </c>
      <c r="R69" s="41">
        <f>HEX2DEC(RIGHT(Table13232127[[#This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201</v>
      </c>
      <c r="F70" s="24" t="s">
        <v>427</v>
      </c>
      <c r="G70" s="49">
        <v>1</v>
      </c>
      <c r="I70" s="27">
        <v>1</v>
      </c>
      <c r="J70" s="27">
        <v>50000</v>
      </c>
      <c r="L70" s="27"/>
      <c r="M70" s="27">
        <v>50000</v>
      </c>
      <c r="O70" s="41" t="s">
        <v>75</v>
      </c>
      <c r="P70" s="41">
        <f>HEX2DEC(RIGHT(Table13232127[[#This Row],[h1]],8))</f>
        <v>0</v>
      </c>
      <c r="Q70" s="41" t="s">
        <v>75</v>
      </c>
      <c r="R70" s="41">
        <f>HEX2DEC(RIGHT(Table13232127[[#This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202</v>
      </c>
      <c r="F71" s="24" t="s">
        <v>427</v>
      </c>
      <c r="G71" s="49">
        <v>1</v>
      </c>
      <c r="I71" s="27">
        <v>4</v>
      </c>
      <c r="J71" s="27">
        <v>50000</v>
      </c>
      <c r="L71" s="27"/>
      <c r="M71" s="27">
        <v>50000</v>
      </c>
      <c r="O71" s="41" t="s">
        <v>75</v>
      </c>
      <c r="P71" s="41">
        <f>HEX2DEC(RIGHT(Table13232127[[#This Row],[h1]],8))</f>
        <v>0</v>
      </c>
      <c r="Q71" s="41" t="s">
        <v>75</v>
      </c>
      <c r="R71" s="41">
        <f>HEX2DEC(RIGHT(Table13232127[[#This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203</v>
      </c>
      <c r="F72" s="24" t="s">
        <v>427</v>
      </c>
      <c r="G72" s="49">
        <v>1</v>
      </c>
      <c r="I72" s="27">
        <v>1</v>
      </c>
      <c r="J72" s="27">
        <v>50000</v>
      </c>
      <c r="L72" s="27"/>
      <c r="M72" s="27">
        <v>50000</v>
      </c>
      <c r="O72" s="41" t="s">
        <v>75</v>
      </c>
      <c r="P72" s="41">
        <f>HEX2DEC(RIGHT(Table13232127[[#This Row],[h1]],8))</f>
        <v>0</v>
      </c>
      <c r="Q72" s="41" t="s">
        <v>75</v>
      </c>
      <c r="R72" s="41">
        <f>HEX2DEC(RIGHT(Table13232127[[#This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204</v>
      </c>
      <c r="F73" s="24" t="s">
        <v>427</v>
      </c>
      <c r="G73" s="49">
        <v>1</v>
      </c>
      <c r="I73" s="27">
        <v>2</v>
      </c>
      <c r="J73" s="27">
        <v>50000</v>
      </c>
      <c r="L73" s="27"/>
      <c r="M73" s="27">
        <v>50000</v>
      </c>
      <c r="O73" s="41" t="s">
        <v>75</v>
      </c>
      <c r="P73" s="41">
        <f>HEX2DEC(RIGHT(Table13232127[[#This Row],[h1]],8))</f>
        <v>0</v>
      </c>
      <c r="Q73" s="41" t="s">
        <v>75</v>
      </c>
      <c r="R73" s="41">
        <f>HEX2DEC(RIGHT(Table13232127[[#This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205</v>
      </c>
      <c r="F74" s="24" t="s">
        <v>427</v>
      </c>
      <c r="G74" s="49">
        <v>1</v>
      </c>
      <c r="I74" s="27">
        <v>1</v>
      </c>
      <c r="J74" s="27">
        <v>50000</v>
      </c>
      <c r="L74" s="27"/>
      <c r="M74" s="27">
        <v>50000</v>
      </c>
      <c r="O74" s="41" t="s">
        <v>75</v>
      </c>
      <c r="P74" s="41">
        <f>HEX2DEC(RIGHT(Table13232127[[#This Row],[h1]],8))</f>
        <v>0</v>
      </c>
      <c r="Q74" s="41" t="s">
        <v>75</v>
      </c>
      <c r="R74" s="41">
        <f>HEX2DEC(RIGHT(Table13232127[[#This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206</v>
      </c>
      <c r="F75" s="24" t="s">
        <v>427</v>
      </c>
      <c r="G75" s="49">
        <v>1</v>
      </c>
      <c r="I75" s="27">
        <v>3</v>
      </c>
      <c r="J75" s="27">
        <v>50000</v>
      </c>
      <c r="L75" s="27"/>
      <c r="M75" s="27">
        <v>50000</v>
      </c>
      <c r="O75" s="41" t="s">
        <v>75</v>
      </c>
      <c r="P75" s="41">
        <f>HEX2DEC(RIGHT(Table13232127[[#This Row],[h1]],8))</f>
        <v>0</v>
      </c>
      <c r="Q75" s="41" t="s">
        <v>75</v>
      </c>
      <c r="R75" s="41">
        <f>HEX2DEC(RIGHT(Table13232127[[#This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207</v>
      </c>
      <c r="F76" s="24" t="s">
        <v>427</v>
      </c>
      <c r="G76" s="49">
        <v>1</v>
      </c>
      <c r="I76" s="27">
        <v>1</v>
      </c>
      <c r="J76" s="27">
        <v>50000</v>
      </c>
      <c r="L76" s="27"/>
      <c r="M76" s="27">
        <v>50000</v>
      </c>
      <c r="O76" s="41" t="s">
        <v>75</v>
      </c>
      <c r="P76" s="41">
        <f>HEX2DEC(RIGHT(Table13232127[[#This Row],[h1]],8))</f>
        <v>0</v>
      </c>
      <c r="Q76" s="41" t="s">
        <v>75</v>
      </c>
      <c r="R76" s="41">
        <f>HEX2DEC(RIGHT(Table13232127[[#This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208</v>
      </c>
      <c r="F77" s="24" t="s">
        <v>427</v>
      </c>
      <c r="G77" s="49">
        <v>1</v>
      </c>
      <c r="I77" s="27">
        <v>2</v>
      </c>
      <c r="J77" s="27">
        <v>50000</v>
      </c>
      <c r="L77" s="27"/>
      <c r="M77" s="27">
        <v>50000</v>
      </c>
      <c r="O77" s="41" t="s">
        <v>75</v>
      </c>
      <c r="P77" s="41">
        <f>HEX2DEC(RIGHT(Table13232127[[#This Row],[h1]],8))</f>
        <v>0</v>
      </c>
      <c r="Q77" s="41" t="s">
        <v>75</v>
      </c>
      <c r="R77" s="41">
        <f>HEX2DEC(RIGHT(Table13232127[[#This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209</v>
      </c>
      <c r="F78" s="24" t="s">
        <v>427</v>
      </c>
      <c r="G78" s="49">
        <v>1</v>
      </c>
      <c r="I78" s="27">
        <v>1</v>
      </c>
      <c r="J78" s="27">
        <v>50000</v>
      </c>
      <c r="L78" s="27"/>
      <c r="M78" s="27">
        <v>50000</v>
      </c>
      <c r="O78" s="41" t="s">
        <v>75</v>
      </c>
      <c r="P78" s="41">
        <f>HEX2DEC(RIGHT(Table13232127[[#This Row],[h1]],8))</f>
        <v>0</v>
      </c>
      <c r="Q78" s="41" t="s">
        <v>75</v>
      </c>
      <c r="R78" s="41">
        <f>HEX2DEC(RIGHT(Table13232127[[#This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210</v>
      </c>
      <c r="F79" s="24" t="s">
        <v>427</v>
      </c>
      <c r="G79" s="49">
        <v>1</v>
      </c>
      <c r="I79" s="27">
        <v>3</v>
      </c>
      <c r="J79" s="27">
        <v>50000</v>
      </c>
      <c r="L79" s="27"/>
      <c r="M79" s="27">
        <v>50000</v>
      </c>
      <c r="O79" s="41" t="s">
        <v>75</v>
      </c>
      <c r="P79" s="41">
        <f>HEX2DEC(RIGHT(Table13232127[[#This Row],[h1]],8))</f>
        <v>0</v>
      </c>
      <c r="Q79" s="41" t="s">
        <v>75</v>
      </c>
      <c r="R79" s="41">
        <f>HEX2DEC(RIGHT(Table13232127[[#This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9"/>
      <c r="I80" s="27">
        <v>1</v>
      </c>
      <c r="J80" s="27">
        <v>50000</v>
      </c>
      <c r="L80" s="27"/>
      <c r="M80" s="27">
        <v>50000</v>
      </c>
      <c r="O80" s="41" t="s">
        <v>75</v>
      </c>
      <c r="P80" s="41">
        <f>HEX2DEC(RIGHT(Table13232127[[#This Row],[h1]],8))</f>
        <v>0</v>
      </c>
      <c r="Q80" s="41" t="s">
        <v>75</v>
      </c>
      <c r="R80" s="41">
        <f>HEX2DEC(RIGHT(Table13232127[[#This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211</v>
      </c>
      <c r="G81" s="49">
        <v>5000</v>
      </c>
      <c r="I81" s="27">
        <v>2</v>
      </c>
      <c r="J81" s="27">
        <v>50000</v>
      </c>
      <c r="L81" s="27"/>
      <c r="M81" s="27">
        <v>50000</v>
      </c>
      <c r="O81" s="41" t="s">
        <v>75</v>
      </c>
      <c r="P81" s="41">
        <f>HEX2DEC(RIGHT(Table13232127[[#This Row],[h1]],8))</f>
        <v>0</v>
      </c>
      <c r="Q81" s="41" t="s">
        <v>75</v>
      </c>
      <c r="R81" s="41">
        <f>HEX2DEC(RIGHT(Table13232127[[#This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212</v>
      </c>
      <c r="G82" s="49">
        <v>5000</v>
      </c>
      <c r="I82" s="27">
        <v>1</v>
      </c>
      <c r="J82" s="27">
        <v>50000</v>
      </c>
      <c r="L82" s="27"/>
      <c r="M82" s="27">
        <v>50000</v>
      </c>
      <c r="O82" s="41" t="s">
        <v>75</v>
      </c>
      <c r="P82" s="41">
        <f>HEX2DEC(RIGHT(Table13232127[[#This Row],[h1]],8))</f>
        <v>0</v>
      </c>
      <c r="Q82" s="41" t="s">
        <v>75</v>
      </c>
      <c r="R82" s="41">
        <f>HEX2DEC(RIGHT(Table13232127[[#This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213</v>
      </c>
      <c r="G83" s="49">
        <v>8</v>
      </c>
      <c r="I83" s="27">
        <v>4</v>
      </c>
      <c r="J83" s="27">
        <v>50000</v>
      </c>
      <c r="L83" s="27"/>
      <c r="M83" s="27">
        <v>50000</v>
      </c>
      <c r="O83" s="41" t="s">
        <v>75</v>
      </c>
      <c r="P83" s="41">
        <f>HEX2DEC(RIGHT(Table13232127[[#This Row],[h1]],8))</f>
        <v>0</v>
      </c>
      <c r="Q83" s="41" t="s">
        <v>75</v>
      </c>
      <c r="R83" s="41">
        <f>HEX2DEC(RIGHT(Table13232127[[#This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214</v>
      </c>
      <c r="G84" s="49">
        <v>8</v>
      </c>
      <c r="I84" s="27">
        <v>1</v>
      </c>
      <c r="J84" s="27">
        <v>50000</v>
      </c>
      <c r="L84" s="27"/>
      <c r="M84" s="27">
        <v>50000</v>
      </c>
      <c r="O84" s="41" t="s">
        <v>75</v>
      </c>
      <c r="P84" s="41">
        <f>HEX2DEC(RIGHT(Table13232127[[#This Row],[h1]],8))</f>
        <v>0</v>
      </c>
      <c r="Q84" s="41" t="s">
        <v>75</v>
      </c>
      <c r="R84" s="41">
        <f>HEX2DEC(RIGHT(Table13232127[[#This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215</v>
      </c>
      <c r="G85" s="49">
        <v>8</v>
      </c>
      <c r="I85" s="27">
        <v>2</v>
      </c>
      <c r="J85" s="27">
        <v>50000</v>
      </c>
      <c r="L85" s="27"/>
      <c r="M85" s="27">
        <v>50000</v>
      </c>
      <c r="O85" s="41" t="s">
        <v>75</v>
      </c>
      <c r="P85" s="41">
        <f>HEX2DEC(RIGHT(Table13232127[[#This Row],[h1]],8))</f>
        <v>0</v>
      </c>
      <c r="Q85" s="41" t="s">
        <v>75</v>
      </c>
      <c r="R85" s="41">
        <f>HEX2DEC(RIGHT(Table13232127[[#This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216</v>
      </c>
      <c r="G86" s="49">
        <v>8</v>
      </c>
      <c r="I86" s="27">
        <v>1</v>
      </c>
      <c r="J86" s="27">
        <v>50000</v>
      </c>
      <c r="L86" s="27"/>
      <c r="M86" s="27">
        <v>50000</v>
      </c>
      <c r="O86" s="41" t="s">
        <v>75</v>
      </c>
      <c r="P86" s="41">
        <f>HEX2DEC(RIGHT(Table13232127[[#This Row],[h1]],8))</f>
        <v>0</v>
      </c>
      <c r="Q86" s="41" t="s">
        <v>75</v>
      </c>
      <c r="R86" s="41">
        <f>HEX2DEC(RIGHT(Table13232127[[#This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217</v>
      </c>
      <c r="G87" s="49">
        <v>8</v>
      </c>
      <c r="I87" s="27">
        <v>3</v>
      </c>
      <c r="J87" s="27">
        <v>50000</v>
      </c>
      <c r="L87" s="27"/>
      <c r="M87" s="27">
        <v>50000</v>
      </c>
      <c r="O87" s="41" t="s">
        <v>75</v>
      </c>
      <c r="P87" s="41">
        <f>HEX2DEC(RIGHT(Table13232127[[#This Row],[h1]],8))</f>
        <v>0</v>
      </c>
      <c r="Q87" s="41" t="s">
        <v>75</v>
      </c>
      <c r="R87" s="41">
        <f>HEX2DEC(RIGHT(Table13232127[[#This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218</v>
      </c>
      <c r="G88" s="49">
        <v>5000</v>
      </c>
      <c r="I88" s="27">
        <v>1</v>
      </c>
      <c r="J88" s="27">
        <v>50000</v>
      </c>
      <c r="L88" s="27"/>
      <c r="M88" s="27">
        <v>50000</v>
      </c>
      <c r="O88" s="41" t="s">
        <v>75</v>
      </c>
      <c r="P88" s="41">
        <f>HEX2DEC(RIGHT(Table13232127[[#This Row],[h1]],8))</f>
        <v>0</v>
      </c>
      <c r="Q88" s="41" t="s">
        <v>75</v>
      </c>
      <c r="R88" s="41">
        <f>HEX2DEC(RIGHT(Table13232127[[#This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219</v>
      </c>
      <c r="G89" s="49">
        <v>5000</v>
      </c>
      <c r="I89" s="27">
        <v>2</v>
      </c>
      <c r="J89" s="27">
        <v>50000</v>
      </c>
      <c r="L89" s="27"/>
      <c r="M89" s="27">
        <v>50000</v>
      </c>
      <c r="O89" s="41" t="s">
        <v>75</v>
      </c>
      <c r="P89" s="41">
        <f>HEX2DEC(RIGHT(Table13232127[[#This Row],[h1]],8))</f>
        <v>0</v>
      </c>
      <c r="Q89" s="41" t="s">
        <v>75</v>
      </c>
      <c r="R89" s="41">
        <f>HEX2DEC(RIGHT(Table13232127[[#This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220</v>
      </c>
      <c r="G90" s="49">
        <v>5000</v>
      </c>
      <c r="I90" s="27">
        <v>1</v>
      </c>
      <c r="J90" s="27">
        <v>50000</v>
      </c>
      <c r="L90" s="27"/>
      <c r="M90" s="27">
        <v>50000</v>
      </c>
      <c r="O90" s="41" t="s">
        <v>75</v>
      </c>
      <c r="P90" s="41">
        <f>HEX2DEC(RIGHT(Table13232127[[#This Row],[h1]],8))</f>
        <v>0</v>
      </c>
      <c r="Q90" s="41" t="s">
        <v>75</v>
      </c>
      <c r="R90" s="41">
        <f>HEX2DEC(RIGHT(Table13232127[[#This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221</v>
      </c>
      <c r="G91" s="49">
        <v>5000</v>
      </c>
      <c r="I91" s="27">
        <v>3</v>
      </c>
      <c r="J91" s="27">
        <v>50000</v>
      </c>
      <c r="L91" s="27"/>
      <c r="M91" s="27">
        <v>50000</v>
      </c>
      <c r="O91" s="41" t="s">
        <v>75</v>
      </c>
      <c r="P91" s="41">
        <f>HEX2DEC(RIGHT(Table13232127[[#This Row],[h1]],8))</f>
        <v>0</v>
      </c>
      <c r="Q91" s="41" t="s">
        <v>75</v>
      </c>
      <c r="R91" s="41">
        <f>HEX2DEC(RIGHT(Table13232127[[#This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222</v>
      </c>
      <c r="G92" s="49">
        <v>5000</v>
      </c>
      <c r="I92" s="27">
        <v>1</v>
      </c>
      <c r="J92" s="27">
        <v>50000</v>
      </c>
      <c r="L92" s="27"/>
      <c r="M92" s="27">
        <v>50000</v>
      </c>
      <c r="O92" s="41" t="s">
        <v>75</v>
      </c>
      <c r="P92" s="41">
        <f>HEX2DEC(RIGHT(Table13232127[[#This Row],[h1]],8))</f>
        <v>0</v>
      </c>
      <c r="Q92" s="41" t="s">
        <v>75</v>
      </c>
      <c r="R92" s="41">
        <f>HEX2DEC(RIGHT(Table13232127[[#This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223</v>
      </c>
      <c r="G93" s="49">
        <v>5000</v>
      </c>
      <c r="I93" s="27">
        <v>2</v>
      </c>
      <c r="J93" s="27">
        <v>50000</v>
      </c>
      <c r="L93" s="27"/>
      <c r="M93" s="27">
        <v>50000</v>
      </c>
      <c r="O93" s="41" t="s">
        <v>75</v>
      </c>
      <c r="P93" s="41">
        <f>HEX2DEC(RIGHT(Table13232127[[#This Row],[h1]],8))</f>
        <v>0</v>
      </c>
      <c r="Q93" s="41" t="s">
        <v>75</v>
      </c>
      <c r="R93" s="41">
        <f>HEX2DEC(RIGHT(Table13232127[[#This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224</v>
      </c>
      <c r="G94" s="49">
        <v>5000</v>
      </c>
      <c r="I94" s="27">
        <v>1</v>
      </c>
      <c r="J94" s="27">
        <v>50000</v>
      </c>
      <c r="L94" s="27"/>
      <c r="M94" s="27">
        <v>50000</v>
      </c>
      <c r="O94" s="41" t="s">
        <v>75</v>
      </c>
      <c r="P94" s="41">
        <f>HEX2DEC(RIGHT(Table13232127[[#This Row],[h1]],8))</f>
        <v>0</v>
      </c>
      <c r="Q94" s="41" t="s">
        <v>75</v>
      </c>
      <c r="R94" s="41">
        <f>HEX2DEC(RIGHT(Table13232127[[#This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225</v>
      </c>
      <c r="G95" s="49">
        <v>5000</v>
      </c>
      <c r="I95" s="27">
        <v>4</v>
      </c>
      <c r="J95" s="27">
        <v>50000</v>
      </c>
      <c r="L95" s="27"/>
      <c r="M95" s="27">
        <v>50000</v>
      </c>
      <c r="O95" s="41" t="s">
        <v>75</v>
      </c>
      <c r="P95" s="41">
        <f>HEX2DEC(RIGHT(Table13232127[[#This Row],[h1]],8))</f>
        <v>0</v>
      </c>
      <c r="Q95" s="41" t="s">
        <v>75</v>
      </c>
      <c r="R95" s="41">
        <f>HEX2DEC(RIGHT(Table13232127[[#This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226</v>
      </c>
      <c r="G96" s="49">
        <v>5000</v>
      </c>
      <c r="I96" s="27">
        <v>1</v>
      </c>
      <c r="J96" s="27">
        <v>50000</v>
      </c>
      <c r="L96" s="27"/>
      <c r="M96" s="27">
        <v>50000</v>
      </c>
      <c r="O96" s="41" t="s">
        <v>75</v>
      </c>
      <c r="P96" s="41">
        <f>HEX2DEC(RIGHT(Table13232127[[#This Row],[h1]],8))</f>
        <v>0</v>
      </c>
      <c r="Q96" s="41" t="s">
        <v>75</v>
      </c>
      <c r="R96" s="41">
        <f>HEX2DEC(RIGHT(Table13232127[[#This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227</v>
      </c>
      <c r="G97" s="49">
        <v>5000</v>
      </c>
      <c r="I97" s="27">
        <v>2</v>
      </c>
      <c r="J97" s="27">
        <v>50000</v>
      </c>
      <c r="L97" s="27"/>
      <c r="M97" s="27">
        <v>50000</v>
      </c>
      <c r="O97" s="41" t="s">
        <v>75</v>
      </c>
      <c r="P97" s="41">
        <f>HEX2DEC(RIGHT(Table13232127[[#This Row],[h1]],8))</f>
        <v>0</v>
      </c>
      <c r="Q97" s="41" t="s">
        <v>75</v>
      </c>
      <c r="R97" s="41">
        <f>HEX2DEC(RIGHT(Table13232127[[#This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228</v>
      </c>
      <c r="G98" s="49">
        <v>5000</v>
      </c>
      <c r="I98" s="27">
        <v>1</v>
      </c>
      <c r="J98" s="27">
        <v>50000</v>
      </c>
      <c r="L98" s="27"/>
      <c r="M98" s="27">
        <v>50000</v>
      </c>
      <c r="O98" s="41" t="s">
        <v>75</v>
      </c>
      <c r="P98" s="41">
        <f>HEX2DEC(RIGHT(Table13232127[[#This Row],[h1]],8))</f>
        <v>0</v>
      </c>
      <c r="Q98" s="41" t="s">
        <v>75</v>
      </c>
      <c r="R98" s="41">
        <f>HEX2DEC(RIGHT(Table13232127[[#This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229</v>
      </c>
      <c r="G99" s="49">
        <v>5000</v>
      </c>
      <c r="I99" s="27">
        <v>3</v>
      </c>
      <c r="J99" s="27">
        <v>50000</v>
      </c>
      <c r="L99" s="27"/>
      <c r="M99" s="27">
        <v>50000</v>
      </c>
      <c r="O99" s="41" t="s">
        <v>75</v>
      </c>
      <c r="P99" s="41">
        <f>HEX2DEC(RIGHT(Table13232127[[#This Row],[h1]],8))</f>
        <v>0</v>
      </c>
      <c r="Q99" s="41" t="s">
        <v>75</v>
      </c>
      <c r="R99" s="41">
        <f>HEX2DEC(RIGHT(Table13232127[[#This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230</v>
      </c>
      <c r="G100" s="49">
        <v>5000</v>
      </c>
      <c r="I100" s="27">
        <v>1</v>
      </c>
      <c r="J100" s="27">
        <v>50000</v>
      </c>
      <c r="L100" s="27"/>
      <c r="M100" s="27">
        <v>50000</v>
      </c>
      <c r="O100" s="41" t="s">
        <v>75</v>
      </c>
      <c r="P100" s="41">
        <f>HEX2DEC(RIGHT(Table13232127[[#This Row],[h1]],8))</f>
        <v>0</v>
      </c>
      <c r="Q100" s="41" t="s">
        <v>75</v>
      </c>
      <c r="R100" s="41">
        <f>HEX2DEC(RIGHT(Table13232127[[#This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231</v>
      </c>
      <c r="G101" s="49">
        <v>5000</v>
      </c>
      <c r="I101" s="27">
        <v>2</v>
      </c>
      <c r="J101" s="27">
        <v>50000</v>
      </c>
      <c r="L101" s="27"/>
      <c r="M101" s="27">
        <v>50000</v>
      </c>
      <c r="O101" s="41" t="s">
        <v>75</v>
      </c>
      <c r="P101" s="41">
        <f>HEX2DEC(RIGHT(Table13232127[[#This Row],[h1]],8))</f>
        <v>0</v>
      </c>
      <c r="Q101" s="41" t="s">
        <v>75</v>
      </c>
      <c r="R101" s="41">
        <f>HEX2DEC(RIGHT(Table13232127[[#This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232</v>
      </c>
      <c r="G102" s="49">
        <v>5000</v>
      </c>
      <c r="I102" s="27">
        <v>1</v>
      </c>
      <c r="J102" s="27">
        <v>50000</v>
      </c>
      <c r="L102" s="27"/>
      <c r="M102" s="27">
        <v>50000</v>
      </c>
      <c r="O102" s="41" t="s">
        <v>75</v>
      </c>
      <c r="P102" s="41">
        <f>HEX2DEC(RIGHT(Table13232127[[#This Row],[h1]],8))</f>
        <v>0</v>
      </c>
      <c r="Q102" s="41" t="s">
        <v>75</v>
      </c>
      <c r="R102" s="41">
        <f>HEX2DEC(RIGHT(Table13232127[[#This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233</v>
      </c>
      <c r="G103" s="49">
        <v>5000</v>
      </c>
      <c r="I103" s="27">
        <v>3</v>
      </c>
      <c r="J103" s="27">
        <v>50000</v>
      </c>
      <c r="L103" s="27"/>
      <c r="M103" s="27">
        <v>50000</v>
      </c>
      <c r="O103" s="41" t="s">
        <v>75</v>
      </c>
      <c r="P103" s="41">
        <f>HEX2DEC(RIGHT(Table13232127[[#This Row],[h1]],8))</f>
        <v>0</v>
      </c>
      <c r="Q103" s="41" t="s">
        <v>75</v>
      </c>
      <c r="R103" s="41">
        <f>HEX2DEC(RIGHT(Table13232127[[#This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234</v>
      </c>
      <c r="G104" s="49">
        <v>5000</v>
      </c>
      <c r="I104" s="27">
        <v>1</v>
      </c>
      <c r="J104" s="27">
        <v>50000</v>
      </c>
      <c r="L104" s="27"/>
      <c r="M104" s="27">
        <v>50000</v>
      </c>
      <c r="O104" s="41" t="s">
        <v>75</v>
      </c>
      <c r="P104" s="41">
        <f>HEX2DEC(RIGHT(Table13232127[[#This Row],[h1]],8))</f>
        <v>0</v>
      </c>
      <c r="Q104" s="41" t="s">
        <v>75</v>
      </c>
      <c r="R104" s="41">
        <f>HEX2DEC(RIGHT(Table13232127[[#This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235</v>
      </c>
      <c r="G105" s="49">
        <v>5000</v>
      </c>
      <c r="I105" s="27">
        <v>2</v>
      </c>
      <c r="J105" s="27">
        <v>50000</v>
      </c>
      <c r="L105" s="27"/>
      <c r="M105" s="27">
        <v>50000</v>
      </c>
      <c r="O105" s="41" t="s">
        <v>75</v>
      </c>
      <c r="P105" s="41">
        <f>HEX2DEC(RIGHT(Table13232127[[#This Row],[h1]],8))</f>
        <v>0</v>
      </c>
      <c r="Q105" s="41" t="s">
        <v>75</v>
      </c>
      <c r="R105" s="41">
        <f>HEX2DEC(RIGHT(Table13232127[[#This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236</v>
      </c>
      <c r="G106" s="49">
        <v>5000</v>
      </c>
      <c r="I106" s="27">
        <v>1</v>
      </c>
      <c r="J106" s="27">
        <v>50000</v>
      </c>
      <c r="L106" s="27"/>
      <c r="M106" s="27">
        <v>50000</v>
      </c>
      <c r="O106" s="41" t="s">
        <v>75</v>
      </c>
      <c r="P106" s="41">
        <f>HEX2DEC(RIGHT(Table13232127[[#This Row],[h1]],8))</f>
        <v>0</v>
      </c>
      <c r="Q106" s="41" t="s">
        <v>75</v>
      </c>
      <c r="R106" s="41">
        <f>HEX2DEC(RIGHT(Table13232127[[#This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237</v>
      </c>
      <c r="G107" s="49">
        <v>5000</v>
      </c>
      <c r="I107" s="27">
        <v>4</v>
      </c>
      <c r="J107" s="27">
        <v>50000</v>
      </c>
      <c r="L107" s="27"/>
      <c r="M107" s="27">
        <v>50000</v>
      </c>
      <c r="O107" s="41" t="s">
        <v>75</v>
      </c>
      <c r="P107" s="41">
        <f>HEX2DEC(RIGHT(Table13232127[[#This Row],[h1]],8))</f>
        <v>0</v>
      </c>
      <c r="Q107" s="41" t="s">
        <v>75</v>
      </c>
      <c r="R107" s="41">
        <f>HEX2DEC(RIGHT(Table13232127[[#This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238</v>
      </c>
      <c r="F108" s="21"/>
      <c r="G108" s="49">
        <v>5000</v>
      </c>
      <c r="I108" s="27">
        <v>1</v>
      </c>
      <c r="J108" s="27">
        <v>50000</v>
      </c>
      <c r="L108" s="27"/>
      <c r="M108" s="27">
        <v>50000</v>
      </c>
      <c r="O108" s="41" t="s">
        <v>75</v>
      </c>
      <c r="P108" s="41">
        <f>HEX2DEC(RIGHT(Table13232127[[#This Row],[h1]],8))</f>
        <v>0</v>
      </c>
      <c r="Q108" s="41" t="s">
        <v>75</v>
      </c>
      <c r="R108" s="41">
        <f>HEX2DEC(RIGHT(Table13232127[[#This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239</v>
      </c>
      <c r="F109" s="21"/>
      <c r="G109" s="49">
        <v>5000</v>
      </c>
      <c r="I109" s="27">
        <v>2</v>
      </c>
      <c r="J109" s="27">
        <v>50000</v>
      </c>
      <c r="L109" s="27"/>
      <c r="M109" s="27">
        <v>50000</v>
      </c>
      <c r="O109" s="41" t="s">
        <v>75</v>
      </c>
      <c r="P109" s="41">
        <f>HEX2DEC(RIGHT(Table13232127[[#This Row],[h1]],8))</f>
        <v>0</v>
      </c>
      <c r="Q109" s="41" t="s">
        <v>75</v>
      </c>
      <c r="R109" s="41">
        <f>HEX2DEC(RIGHT(Table13232127[[#This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240</v>
      </c>
      <c r="F110" s="21"/>
      <c r="G110" s="49">
        <v>5000</v>
      </c>
      <c r="I110" s="27">
        <v>1</v>
      </c>
      <c r="J110" s="27">
        <v>50000</v>
      </c>
      <c r="L110" s="27"/>
      <c r="M110" s="27">
        <v>50000</v>
      </c>
      <c r="O110" s="41" t="s">
        <v>75</v>
      </c>
      <c r="P110" s="41">
        <f>HEX2DEC(RIGHT(Table13232127[[#This Row],[h1]],8))</f>
        <v>0</v>
      </c>
      <c r="Q110" s="41" t="s">
        <v>75</v>
      </c>
      <c r="R110" s="41">
        <f>HEX2DEC(RIGHT(Table13232127[[#This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241</v>
      </c>
      <c r="F111" s="21"/>
      <c r="G111" s="49">
        <v>5000</v>
      </c>
      <c r="I111" s="27">
        <v>3</v>
      </c>
      <c r="J111" s="27">
        <v>50000</v>
      </c>
      <c r="L111" s="27"/>
      <c r="M111" s="27">
        <v>50000</v>
      </c>
      <c r="O111" s="41" t="s">
        <v>75</v>
      </c>
      <c r="P111" s="41">
        <f>HEX2DEC(RIGHT(Table13232127[[#This Row],[h1]],8))</f>
        <v>0</v>
      </c>
      <c r="Q111" s="41" t="s">
        <v>75</v>
      </c>
      <c r="R111" s="41">
        <f>HEX2DEC(RIGHT(Table13232127[[#This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242</v>
      </c>
      <c r="F112" s="21"/>
      <c r="G112" s="49">
        <v>5000</v>
      </c>
      <c r="I112" s="27">
        <v>1</v>
      </c>
      <c r="J112" s="27">
        <v>50000</v>
      </c>
      <c r="L112" s="27"/>
      <c r="M112" s="27">
        <v>50000</v>
      </c>
      <c r="O112" s="41" t="s">
        <v>75</v>
      </c>
      <c r="P112" s="41">
        <f>HEX2DEC(RIGHT(Table13232127[[#This Row],[h1]],8))</f>
        <v>0</v>
      </c>
      <c r="Q112" s="41" t="s">
        <v>75</v>
      </c>
      <c r="R112" s="41">
        <f>HEX2DEC(RIGHT(Table13232127[[#This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9"/>
      <c r="I113" s="27">
        <v>2</v>
      </c>
      <c r="J113" s="27">
        <v>50000</v>
      </c>
      <c r="L113" s="27"/>
      <c r="M113" s="27">
        <v>50000</v>
      </c>
      <c r="O113" s="41" t="s">
        <v>75</v>
      </c>
      <c r="P113" s="41">
        <f>HEX2DEC(RIGHT(Table13232127[[#This Row],[h1]],8))</f>
        <v>0</v>
      </c>
      <c r="Q113" s="41" t="s">
        <v>75</v>
      </c>
      <c r="R113" s="41">
        <f>HEX2DEC(RIGHT(Table13232127[[#This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346</v>
      </c>
      <c r="G114" s="29" t="s">
        <v>378</v>
      </c>
      <c r="I114" s="27">
        <v>1</v>
      </c>
      <c r="J114" s="27">
        <v>50000</v>
      </c>
      <c r="L114" s="27"/>
      <c r="M114" s="27">
        <v>50000</v>
      </c>
      <c r="O114" s="41" t="s">
        <v>75</v>
      </c>
      <c r="P114" s="41">
        <f>HEX2DEC(RIGHT(Table13232127[[#This Row],[h1]],8))</f>
        <v>0</v>
      </c>
      <c r="Q114" s="41" t="s">
        <v>75</v>
      </c>
      <c r="R114" s="41">
        <f>HEX2DEC(RIGHT(Table13232127[[#This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347</v>
      </c>
      <c r="G115" s="29" t="s">
        <v>378</v>
      </c>
      <c r="I115" s="27">
        <v>3</v>
      </c>
      <c r="J115" s="27">
        <v>50000</v>
      </c>
      <c r="L115" s="27"/>
      <c r="M115" s="27">
        <v>50000</v>
      </c>
      <c r="O115" s="41" t="s">
        <v>75</v>
      </c>
      <c r="P115" s="41">
        <f>HEX2DEC(RIGHT(Table13232127[[#This Row],[h1]],8))</f>
        <v>0</v>
      </c>
      <c r="Q115" s="41" t="s">
        <v>75</v>
      </c>
      <c r="R115" s="41">
        <f>HEX2DEC(RIGHT(Table13232127[[#This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348</v>
      </c>
      <c r="G116" s="29" t="s">
        <v>380</v>
      </c>
      <c r="I116" s="27">
        <v>1</v>
      </c>
      <c r="J116" s="27">
        <v>50000</v>
      </c>
      <c r="L116" s="27"/>
      <c r="M116" s="27">
        <v>50000</v>
      </c>
      <c r="O116" s="41" t="s">
        <v>75</v>
      </c>
      <c r="P116" s="41">
        <f>HEX2DEC(RIGHT(Table13232127[[#This Row],[h1]],8))</f>
        <v>0</v>
      </c>
      <c r="Q116" s="41" t="s">
        <v>75</v>
      </c>
      <c r="R116" s="41">
        <f>HEX2DEC(RIGHT(Table13232127[[#This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349</v>
      </c>
      <c r="G117" s="29" t="s">
        <v>382</v>
      </c>
      <c r="I117" s="27">
        <v>2</v>
      </c>
      <c r="J117" s="27">
        <v>50000</v>
      </c>
      <c r="L117" s="27"/>
      <c r="M117" s="27">
        <v>50000</v>
      </c>
      <c r="O117" s="41" t="s">
        <v>75</v>
      </c>
      <c r="P117" s="41">
        <f>HEX2DEC(RIGHT(Table13232127[[#This Row],[h1]],8))</f>
        <v>0</v>
      </c>
      <c r="Q117" s="41" t="s">
        <v>75</v>
      </c>
      <c r="R117" s="41">
        <f>HEX2DEC(RIGHT(Table13232127[[#This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350</v>
      </c>
      <c r="G118" s="29" t="s">
        <v>383</v>
      </c>
      <c r="I118" s="27">
        <v>1</v>
      </c>
      <c r="J118" s="27">
        <v>50000</v>
      </c>
      <c r="L118" s="27"/>
      <c r="M118" s="27">
        <v>50000</v>
      </c>
      <c r="O118" s="41" t="s">
        <v>75</v>
      </c>
      <c r="P118" s="41">
        <f>HEX2DEC(RIGHT(Table13232127[[#This Row],[h1]],8))</f>
        <v>0</v>
      </c>
      <c r="Q118" s="41" t="s">
        <v>75</v>
      </c>
      <c r="R118" s="41">
        <f>HEX2DEC(RIGHT(Table13232127[[#This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351</v>
      </c>
      <c r="G119" s="29" t="s">
        <v>384</v>
      </c>
      <c r="I119" s="27">
        <v>4</v>
      </c>
      <c r="J119" s="27">
        <v>50000</v>
      </c>
      <c r="L119" s="27"/>
      <c r="M119" s="27">
        <v>50000</v>
      </c>
      <c r="O119" s="41" t="s">
        <v>75</v>
      </c>
      <c r="P119" s="41">
        <f>HEX2DEC(RIGHT(Table13232127[[#This Row],[h1]],8))</f>
        <v>0</v>
      </c>
      <c r="Q119" s="41" t="s">
        <v>75</v>
      </c>
      <c r="R119" s="41">
        <f>HEX2DEC(RIGHT(Table13232127[[#This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352</v>
      </c>
      <c r="G120" s="29" t="s">
        <v>385</v>
      </c>
      <c r="I120" s="27">
        <v>1</v>
      </c>
      <c r="J120" s="27">
        <v>50000</v>
      </c>
      <c r="L120" s="27"/>
      <c r="M120" s="27">
        <v>50000</v>
      </c>
      <c r="O120" s="41" t="s">
        <v>75</v>
      </c>
      <c r="P120" s="41">
        <f>HEX2DEC(RIGHT(Table13232127[[#This Row],[h1]],8))</f>
        <v>0</v>
      </c>
      <c r="Q120" s="41" t="s">
        <v>75</v>
      </c>
      <c r="R120" s="41">
        <f>HEX2DEC(RIGHT(Table13232127[[#This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353</v>
      </c>
      <c r="G121" s="29" t="s">
        <v>378</v>
      </c>
      <c r="I121" s="27">
        <v>2</v>
      </c>
      <c r="J121" s="27">
        <v>50000</v>
      </c>
      <c r="L121" s="27"/>
      <c r="M121" s="27">
        <v>50000</v>
      </c>
      <c r="O121" s="41" t="s">
        <v>75</v>
      </c>
      <c r="P121" s="41">
        <f>HEX2DEC(RIGHT(Table13232127[[#This Row],[h1]],8))</f>
        <v>0</v>
      </c>
      <c r="Q121" s="41" t="s">
        <v>75</v>
      </c>
      <c r="R121" s="41">
        <f>HEX2DEC(RIGHT(Table13232127[[#This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354</v>
      </c>
      <c r="G122" s="29" t="s">
        <v>378</v>
      </c>
      <c r="I122" s="27">
        <v>1</v>
      </c>
      <c r="J122" s="27">
        <v>50000</v>
      </c>
      <c r="L122" s="27"/>
      <c r="M122" s="27">
        <v>50000</v>
      </c>
      <c r="O122" s="41" t="s">
        <v>75</v>
      </c>
      <c r="P122" s="41">
        <f>HEX2DEC(RIGHT(Table13232127[[#This Row],[h1]],8))</f>
        <v>0</v>
      </c>
      <c r="Q122" s="41" t="s">
        <v>75</v>
      </c>
      <c r="R122" s="41">
        <f>HEX2DEC(RIGHT(Table13232127[[#This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355</v>
      </c>
      <c r="G123" s="29" t="s">
        <v>378</v>
      </c>
      <c r="I123" s="27">
        <v>3</v>
      </c>
      <c r="J123" s="27">
        <v>50000</v>
      </c>
      <c r="L123" s="27"/>
      <c r="M123" s="27">
        <v>50000</v>
      </c>
      <c r="O123" s="41" t="s">
        <v>75</v>
      </c>
      <c r="P123" s="41">
        <f>HEX2DEC(RIGHT(Table13232127[[#This Row],[h1]],8))</f>
        <v>0</v>
      </c>
      <c r="Q123" s="41" t="s">
        <v>75</v>
      </c>
      <c r="R123" s="41">
        <f>HEX2DEC(RIGHT(Table13232127[[#This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356</v>
      </c>
      <c r="G124" s="29" t="s">
        <v>378</v>
      </c>
      <c r="I124" s="27">
        <v>1</v>
      </c>
      <c r="J124" s="27">
        <v>50000</v>
      </c>
      <c r="L124" s="27"/>
      <c r="M124" s="27">
        <v>50000</v>
      </c>
      <c r="O124" s="41" t="s">
        <v>75</v>
      </c>
      <c r="P124" s="41">
        <f>HEX2DEC(RIGHT(Table13232127[[#This Row],[h1]],8))</f>
        <v>0</v>
      </c>
      <c r="Q124" s="41" t="s">
        <v>75</v>
      </c>
      <c r="R124" s="41">
        <f>HEX2DEC(RIGHT(Table13232127[[#This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357</v>
      </c>
      <c r="G125" s="29" t="s">
        <v>378</v>
      </c>
      <c r="I125" s="27">
        <v>2</v>
      </c>
      <c r="J125" s="27">
        <v>50000</v>
      </c>
      <c r="L125" s="27"/>
      <c r="M125" s="27">
        <v>50000</v>
      </c>
      <c r="O125" s="41" t="s">
        <v>75</v>
      </c>
      <c r="P125" s="41">
        <f>HEX2DEC(RIGHT(Table13232127[[#This Row],[h1]],8))</f>
        <v>0</v>
      </c>
      <c r="Q125" s="41" t="s">
        <v>75</v>
      </c>
      <c r="R125" s="41">
        <f>HEX2DEC(RIGHT(Table13232127[[#This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358</v>
      </c>
      <c r="G126" s="29" t="s">
        <v>378</v>
      </c>
      <c r="I126" s="27">
        <v>1</v>
      </c>
      <c r="J126" s="27">
        <v>50000</v>
      </c>
      <c r="L126" s="27"/>
      <c r="M126" s="27">
        <v>50000</v>
      </c>
      <c r="O126" s="41" t="s">
        <v>75</v>
      </c>
      <c r="P126" s="41">
        <f>HEX2DEC(RIGHT(Table13232127[[#This Row],[h1]],8))</f>
        <v>0</v>
      </c>
      <c r="Q126" s="41" t="s">
        <v>75</v>
      </c>
      <c r="R126" s="41">
        <f>HEX2DEC(RIGHT(Table13232127[[#This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359</v>
      </c>
      <c r="G127" s="29" t="s">
        <v>378</v>
      </c>
      <c r="I127" s="27">
        <v>3</v>
      </c>
      <c r="J127" s="27">
        <v>50000</v>
      </c>
      <c r="L127" s="27"/>
      <c r="M127" s="27">
        <v>50000</v>
      </c>
      <c r="O127" s="41" t="s">
        <v>75</v>
      </c>
      <c r="P127" s="41">
        <f>HEX2DEC(RIGHT(Table13232127[[#This Row],[h1]],8))</f>
        <v>0</v>
      </c>
      <c r="Q127" s="41" t="s">
        <v>75</v>
      </c>
      <c r="R127" s="41">
        <f>HEX2DEC(RIGHT(Table13232127[[#This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360</v>
      </c>
      <c r="G128" s="29" t="s">
        <v>378</v>
      </c>
      <c r="I128" s="27">
        <v>1</v>
      </c>
      <c r="J128" s="27">
        <v>50000</v>
      </c>
      <c r="L128" s="27"/>
      <c r="M128" s="27">
        <v>50000</v>
      </c>
      <c r="O128" s="41" t="s">
        <v>75</v>
      </c>
      <c r="P128" s="41">
        <f>HEX2DEC(RIGHT(Table13232127[[#This Row],[h1]],8))</f>
        <v>0</v>
      </c>
      <c r="Q128" s="41" t="s">
        <v>75</v>
      </c>
      <c r="R128" s="41">
        <f>HEX2DEC(RIGHT(Table13232127[[#This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361</v>
      </c>
      <c r="G129" s="29" t="s">
        <v>378</v>
      </c>
      <c r="I129" s="27">
        <v>2</v>
      </c>
      <c r="J129" s="27">
        <v>50000</v>
      </c>
      <c r="L129" s="27"/>
      <c r="M129" s="27">
        <v>50000</v>
      </c>
      <c r="O129" s="41" t="s">
        <v>75</v>
      </c>
      <c r="P129" s="41">
        <f>HEX2DEC(RIGHT(Table13232127[[#This Row],[h1]],8))</f>
        <v>0</v>
      </c>
      <c r="Q129" s="41" t="s">
        <v>75</v>
      </c>
      <c r="R129" s="41">
        <f>HEX2DEC(RIGHT(Table13232127[[#This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362</v>
      </c>
      <c r="G130" s="29" t="s">
        <v>378</v>
      </c>
      <c r="I130" s="27">
        <v>1</v>
      </c>
      <c r="J130" s="27">
        <v>50000</v>
      </c>
      <c r="L130" s="27"/>
      <c r="M130" s="27">
        <v>50000</v>
      </c>
      <c r="O130" s="41" t="s">
        <v>75</v>
      </c>
      <c r="P130" s="41">
        <f>HEX2DEC(RIGHT(Table13232127[[#This Row],[h1]],8))</f>
        <v>0</v>
      </c>
      <c r="Q130" s="41" t="s">
        <v>75</v>
      </c>
      <c r="R130" s="41">
        <f>HEX2DEC(RIGHT(Table13232127[[#This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363</v>
      </c>
      <c r="G131" s="29" t="s">
        <v>378</v>
      </c>
      <c r="I131" s="27">
        <v>4</v>
      </c>
      <c r="J131" s="27">
        <v>50000</v>
      </c>
      <c r="L131" s="27"/>
      <c r="M131" s="27">
        <v>50000</v>
      </c>
      <c r="O131" s="41" t="s">
        <v>75</v>
      </c>
      <c r="P131" s="41">
        <f>HEX2DEC(RIGHT(Table13232127[[#This Row],[h1]],8))</f>
        <v>0</v>
      </c>
      <c r="Q131" s="41" t="s">
        <v>75</v>
      </c>
      <c r="R131" s="41">
        <f>HEX2DEC(RIGHT(Table13232127[[#This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364</v>
      </c>
      <c r="G132" s="29" t="s">
        <v>378</v>
      </c>
      <c r="I132" s="27">
        <v>1</v>
      </c>
      <c r="J132" s="27">
        <v>50000</v>
      </c>
      <c r="L132" s="27"/>
      <c r="M132" s="27">
        <v>50000</v>
      </c>
      <c r="O132" s="41" t="s">
        <v>75</v>
      </c>
      <c r="P132" s="41">
        <f>HEX2DEC(RIGHT(Table13232127[[#This Row],[h1]],8))</f>
        <v>0</v>
      </c>
      <c r="Q132" s="41" t="s">
        <v>75</v>
      </c>
      <c r="R132" s="41">
        <f>HEX2DEC(RIGHT(Table13232127[[#This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365</v>
      </c>
      <c r="G133" s="29" t="s">
        <v>378</v>
      </c>
      <c r="I133" s="27">
        <v>2</v>
      </c>
      <c r="J133" s="27">
        <v>50000</v>
      </c>
      <c r="L133" s="27"/>
      <c r="M133" s="27">
        <v>50000</v>
      </c>
      <c r="O133" s="41" t="s">
        <v>75</v>
      </c>
      <c r="P133" s="41">
        <f>HEX2DEC(RIGHT(Table13232127[[#This Row],[h1]],8))</f>
        <v>0</v>
      </c>
      <c r="Q133" s="41" t="s">
        <v>75</v>
      </c>
      <c r="R133" s="41">
        <f>HEX2DEC(RIGHT(Table13232127[[#This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366</v>
      </c>
      <c r="G134" s="29" t="s">
        <v>378</v>
      </c>
      <c r="I134" s="27">
        <v>1</v>
      </c>
      <c r="J134" s="27">
        <v>50000</v>
      </c>
      <c r="L134" s="27"/>
      <c r="M134" s="27">
        <v>50000</v>
      </c>
      <c r="O134" s="41" t="s">
        <v>75</v>
      </c>
      <c r="P134" s="41">
        <f>HEX2DEC(RIGHT(Table13232127[[#This Row],[h1]],8))</f>
        <v>0</v>
      </c>
      <c r="Q134" s="41" t="s">
        <v>75</v>
      </c>
      <c r="R134" s="41">
        <f>HEX2DEC(RIGHT(Table13232127[[#This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367</v>
      </c>
      <c r="G135" s="29" t="s">
        <v>378</v>
      </c>
      <c r="I135" s="27">
        <v>3</v>
      </c>
      <c r="J135" s="27">
        <v>50000</v>
      </c>
      <c r="L135" s="27"/>
      <c r="M135" s="27">
        <v>50000</v>
      </c>
      <c r="O135" s="41" t="s">
        <v>75</v>
      </c>
      <c r="P135" s="41">
        <f>HEX2DEC(RIGHT(Table13232127[[#This Row],[h1]],8))</f>
        <v>0</v>
      </c>
      <c r="Q135" s="41" t="s">
        <v>75</v>
      </c>
      <c r="R135" s="41">
        <f>HEX2DEC(RIGHT(Table13232127[[#This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368</v>
      </c>
      <c r="G136" s="29" t="s">
        <v>378</v>
      </c>
      <c r="I136" s="27">
        <v>1</v>
      </c>
      <c r="J136" s="27">
        <v>50000</v>
      </c>
      <c r="L136" s="27"/>
      <c r="M136" s="27">
        <v>50000</v>
      </c>
      <c r="O136" s="41" t="s">
        <v>75</v>
      </c>
      <c r="P136" s="41">
        <f>HEX2DEC(RIGHT(Table13232127[[#This Row],[h1]],8))</f>
        <v>0</v>
      </c>
      <c r="Q136" s="41" t="s">
        <v>75</v>
      </c>
      <c r="R136" s="41">
        <f>HEX2DEC(RIGHT(Table13232127[[#This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369</v>
      </c>
      <c r="G137" s="29" t="s">
        <v>378</v>
      </c>
      <c r="I137" s="27">
        <v>2</v>
      </c>
      <c r="J137" s="27">
        <v>50000</v>
      </c>
      <c r="L137" s="27"/>
      <c r="M137" s="27">
        <v>50000</v>
      </c>
      <c r="O137" s="41" t="s">
        <v>75</v>
      </c>
      <c r="P137" s="41">
        <f>HEX2DEC(RIGHT(Table13232127[[#This Row],[h1]],8))</f>
        <v>0</v>
      </c>
      <c r="Q137" s="41" t="s">
        <v>75</v>
      </c>
      <c r="R137" s="41">
        <f>HEX2DEC(RIGHT(Table13232127[[#This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370</v>
      </c>
      <c r="G138" s="29" t="s">
        <v>378</v>
      </c>
      <c r="I138" s="27">
        <v>1</v>
      </c>
      <c r="J138" s="27">
        <v>50000</v>
      </c>
      <c r="L138" s="27"/>
      <c r="M138" s="27">
        <v>50000</v>
      </c>
      <c r="O138" s="41" t="s">
        <v>75</v>
      </c>
      <c r="P138" s="41">
        <f>HEX2DEC(RIGHT(Table13232127[[#This Row],[h1]],8))</f>
        <v>0</v>
      </c>
      <c r="Q138" s="41" t="s">
        <v>75</v>
      </c>
      <c r="R138" s="41">
        <f>HEX2DEC(RIGHT(Table13232127[[#This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371</v>
      </c>
      <c r="G139" s="29" t="s">
        <v>378</v>
      </c>
      <c r="I139" s="27">
        <v>3</v>
      </c>
      <c r="J139" s="27">
        <v>50000</v>
      </c>
      <c r="L139" s="27"/>
      <c r="M139" s="27">
        <v>50000</v>
      </c>
      <c r="O139" s="41" t="s">
        <v>75</v>
      </c>
      <c r="P139" s="41">
        <f>HEX2DEC(RIGHT(Table13232127[[#This Row],[h1]],8))</f>
        <v>0</v>
      </c>
      <c r="Q139" s="41" t="s">
        <v>75</v>
      </c>
      <c r="R139" s="41">
        <f>HEX2DEC(RIGHT(Table13232127[[#This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372</v>
      </c>
      <c r="G140" s="29" t="s">
        <v>378</v>
      </c>
      <c r="I140" s="27">
        <v>1</v>
      </c>
      <c r="J140" s="27">
        <v>50000</v>
      </c>
      <c r="L140" s="27"/>
      <c r="M140" s="27">
        <v>50000</v>
      </c>
      <c r="O140" s="41" t="s">
        <v>75</v>
      </c>
      <c r="P140" s="41">
        <f>HEX2DEC(RIGHT(Table13232127[[#This Row],[h1]],8))</f>
        <v>0</v>
      </c>
      <c r="Q140" s="41" t="s">
        <v>75</v>
      </c>
      <c r="R140" s="41">
        <f>HEX2DEC(RIGHT(Table13232127[[#This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373</v>
      </c>
      <c r="F141" s="21"/>
      <c r="G141" s="29" t="s">
        <v>378</v>
      </c>
      <c r="I141" s="27">
        <v>2</v>
      </c>
      <c r="J141" s="27">
        <v>50000</v>
      </c>
      <c r="L141" s="27"/>
      <c r="M141" s="27">
        <v>50000</v>
      </c>
      <c r="O141" s="41" t="s">
        <v>75</v>
      </c>
      <c r="P141" s="41">
        <f>HEX2DEC(RIGHT(Table13232127[[#This Row],[h1]],8))</f>
        <v>0</v>
      </c>
      <c r="Q141" s="41" t="s">
        <v>75</v>
      </c>
      <c r="R141" s="41">
        <f>HEX2DEC(RIGHT(Table13232127[[#This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374</v>
      </c>
      <c r="F142" s="21"/>
      <c r="G142" s="29" t="s">
        <v>378</v>
      </c>
      <c r="I142" s="27">
        <v>1</v>
      </c>
      <c r="J142" s="27">
        <v>50000</v>
      </c>
      <c r="L142" s="27"/>
      <c r="M142" s="27">
        <v>50000</v>
      </c>
      <c r="O142" s="41" t="s">
        <v>75</v>
      </c>
      <c r="P142" s="41">
        <f>HEX2DEC(RIGHT(Table13232127[[#This Row],[h1]],8))</f>
        <v>0</v>
      </c>
      <c r="Q142" s="41" t="s">
        <v>75</v>
      </c>
      <c r="R142" s="41">
        <f>HEX2DEC(RIGHT(Table13232127[[#This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375</v>
      </c>
      <c r="F143" s="21"/>
      <c r="G143" s="29" t="s">
        <v>378</v>
      </c>
      <c r="I143" s="27">
        <v>4</v>
      </c>
      <c r="J143" s="27">
        <v>50000</v>
      </c>
      <c r="L143" s="27"/>
      <c r="M143" s="27">
        <v>50000</v>
      </c>
      <c r="O143" s="41" t="s">
        <v>75</v>
      </c>
      <c r="P143" s="41">
        <f>HEX2DEC(RIGHT(Table13232127[[#This Row],[h1]],8))</f>
        <v>0</v>
      </c>
      <c r="Q143" s="41" t="s">
        <v>75</v>
      </c>
      <c r="R143" s="41">
        <f>HEX2DEC(RIGHT(Table13232127[[#This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376</v>
      </c>
      <c r="F144" s="21"/>
      <c r="G144" s="29" t="s">
        <v>378</v>
      </c>
      <c r="I144" s="27">
        <v>1</v>
      </c>
      <c r="J144" s="27">
        <v>50000</v>
      </c>
      <c r="L144" s="27"/>
      <c r="M144" s="27">
        <v>50000</v>
      </c>
      <c r="O144" s="41" t="s">
        <v>75</v>
      </c>
      <c r="P144" s="41">
        <f>HEX2DEC(RIGHT(Table13232127[[#This Row],[h1]],8))</f>
        <v>0</v>
      </c>
      <c r="Q144" s="41" t="s">
        <v>75</v>
      </c>
      <c r="R144" s="41">
        <f>HEX2DEC(RIGHT(Table13232127[[#This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377</v>
      </c>
      <c r="F145" s="21"/>
      <c r="G145" s="29" t="s">
        <v>378</v>
      </c>
      <c r="I145" s="27">
        <v>2</v>
      </c>
      <c r="J145" s="27">
        <v>50000</v>
      </c>
      <c r="L145" s="27"/>
      <c r="M145" s="27">
        <v>50000</v>
      </c>
      <c r="O145" s="41" t="s">
        <v>75</v>
      </c>
      <c r="P145" s="41">
        <f>HEX2DEC(RIGHT(Table13232127[[#This Row],[h1]],8))</f>
        <v>0</v>
      </c>
      <c r="Q145" s="41" t="s">
        <v>75</v>
      </c>
      <c r="R145" s="41">
        <f>HEX2DEC(RIGHT(Table13232127[[#This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1</v>
      </c>
      <c r="J146" s="27">
        <v>50000</v>
      </c>
      <c r="L146" s="27"/>
      <c r="M146" s="27">
        <v>50000</v>
      </c>
      <c r="O146" s="41" t="s">
        <v>75</v>
      </c>
      <c r="P146" s="41">
        <f>HEX2DEC(RIGHT(Table13232127[[#This Row],[h1]],8))</f>
        <v>0</v>
      </c>
      <c r="Q146" s="41" t="s">
        <v>75</v>
      </c>
      <c r="R146" s="41">
        <f>HEX2DEC(RIGHT(Table13232127[[#This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139</v>
      </c>
      <c r="G147" s="49">
        <v>0</v>
      </c>
      <c r="I147" s="27">
        <v>3</v>
      </c>
      <c r="J147" s="27">
        <v>50000</v>
      </c>
      <c r="L147" s="27"/>
      <c r="M147" s="27">
        <v>50000</v>
      </c>
      <c r="O147" s="41" t="s">
        <v>75</v>
      </c>
      <c r="P147" s="41">
        <f>HEX2DEC(RIGHT(Table13232127[[#This Row],[h1]],8))</f>
        <v>0</v>
      </c>
      <c r="Q147" s="41" t="s">
        <v>75</v>
      </c>
      <c r="R147" s="41">
        <f>HEX2DEC(RIGHT(Table13232127[[#This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140</v>
      </c>
      <c r="G148" s="49">
        <v>0</v>
      </c>
      <c r="I148" s="27">
        <v>1</v>
      </c>
      <c r="J148" s="27">
        <v>50000</v>
      </c>
      <c r="L148" s="27"/>
      <c r="M148" s="27">
        <v>50000</v>
      </c>
      <c r="O148" s="41" t="s">
        <v>75</v>
      </c>
      <c r="P148" s="41">
        <f>HEX2DEC(RIGHT(Table13232127[[#This Row],[h1]],8))</f>
        <v>0</v>
      </c>
      <c r="Q148" s="41" t="s">
        <v>75</v>
      </c>
      <c r="R148" s="41">
        <f>HEX2DEC(RIGHT(Table13232127[[#This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141</v>
      </c>
      <c r="G149" s="49">
        <v>0</v>
      </c>
      <c r="I149" s="27">
        <v>2</v>
      </c>
      <c r="J149" s="27">
        <v>50000</v>
      </c>
      <c r="L149" s="27"/>
      <c r="M149" s="27">
        <v>50000</v>
      </c>
      <c r="O149" s="41" t="s">
        <v>75</v>
      </c>
      <c r="P149" s="41">
        <f>HEX2DEC(RIGHT(Table13232127[[#This Row],[h1]],8))</f>
        <v>0</v>
      </c>
      <c r="Q149" s="41" t="s">
        <v>75</v>
      </c>
      <c r="R149" s="41">
        <f>HEX2DEC(RIGHT(Table13232127[[#This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142</v>
      </c>
      <c r="G150" s="49">
        <v>0</v>
      </c>
      <c r="I150" s="27">
        <v>1</v>
      </c>
      <c r="J150" s="27">
        <v>50000</v>
      </c>
      <c r="L150" s="27"/>
      <c r="M150" s="27">
        <v>50000</v>
      </c>
      <c r="O150" s="41" t="s">
        <v>75</v>
      </c>
      <c r="P150" s="41">
        <f>HEX2DEC(RIGHT(Table13232127[[#This Row],[h1]],8))</f>
        <v>0</v>
      </c>
      <c r="Q150" s="41" t="s">
        <v>75</v>
      </c>
      <c r="R150" s="41">
        <f>HEX2DEC(RIGHT(Table13232127[[#This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143</v>
      </c>
      <c r="G151" s="49">
        <v>0</v>
      </c>
      <c r="I151" s="27">
        <v>3</v>
      </c>
      <c r="J151" s="27">
        <v>50000</v>
      </c>
      <c r="L151" s="27"/>
      <c r="M151" s="27">
        <v>50000</v>
      </c>
      <c r="O151" s="41" t="s">
        <v>75</v>
      </c>
      <c r="P151" s="41">
        <f>HEX2DEC(RIGHT(Table13232127[[#This Row],[h1]],8))</f>
        <v>0</v>
      </c>
      <c r="Q151" s="41" t="s">
        <v>75</v>
      </c>
      <c r="R151" s="41">
        <f>HEX2DEC(RIGHT(Table13232127[[#This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144</v>
      </c>
      <c r="G152" s="49">
        <v>0</v>
      </c>
      <c r="I152" s="27">
        <v>1</v>
      </c>
      <c r="J152" s="27">
        <v>50000</v>
      </c>
      <c r="L152" s="27"/>
      <c r="M152" s="27">
        <v>50000</v>
      </c>
      <c r="O152" s="41" t="s">
        <v>75</v>
      </c>
      <c r="P152" s="41">
        <f>HEX2DEC(RIGHT(Table13232127[[#This Row],[h1]],8))</f>
        <v>0</v>
      </c>
      <c r="Q152" s="41" t="s">
        <v>75</v>
      </c>
      <c r="R152" s="41">
        <f>HEX2DEC(RIGHT(Table13232127[[#This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145</v>
      </c>
      <c r="G153" s="49">
        <v>0</v>
      </c>
      <c r="I153" s="27">
        <v>2</v>
      </c>
      <c r="J153" s="27">
        <v>50000</v>
      </c>
      <c r="L153" s="27"/>
      <c r="M153" s="27">
        <v>50000</v>
      </c>
      <c r="O153" s="41" t="s">
        <v>75</v>
      </c>
      <c r="P153" s="41">
        <f>HEX2DEC(RIGHT(Table13232127[[#This Row],[h1]],8))</f>
        <v>0</v>
      </c>
      <c r="Q153" s="41" t="s">
        <v>75</v>
      </c>
      <c r="R153" s="41">
        <f>HEX2DEC(RIGHT(Table13232127[[#This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146</v>
      </c>
      <c r="G154" s="49">
        <v>0</v>
      </c>
      <c r="I154" s="27">
        <v>1</v>
      </c>
      <c r="J154" s="27">
        <v>50000</v>
      </c>
      <c r="L154" s="27"/>
      <c r="M154" s="27">
        <v>50000</v>
      </c>
      <c r="O154" s="41" t="s">
        <v>75</v>
      </c>
      <c r="P154" s="41">
        <f>HEX2DEC(RIGHT(Table13232127[[#This Row],[h1]],8))</f>
        <v>0</v>
      </c>
      <c r="Q154" s="41" t="s">
        <v>75</v>
      </c>
      <c r="R154" s="41">
        <f>HEX2DEC(RIGHT(Table13232127[[#This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44"/>
      <c r="I155" s="27">
        <v>4</v>
      </c>
      <c r="J155" s="27">
        <v>50000</v>
      </c>
      <c r="L155" s="27"/>
      <c r="M155" s="27">
        <v>50000</v>
      </c>
      <c r="O155" s="41" t="s">
        <v>75</v>
      </c>
      <c r="P155" s="41">
        <f>HEX2DEC(RIGHT(Table13232127[[#This Row],[h1]],8))</f>
        <v>0</v>
      </c>
      <c r="Q155" s="41" t="s">
        <v>75</v>
      </c>
      <c r="R155" s="41">
        <f>HEX2DEC(RIGHT(Table13232127[[#This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243</v>
      </c>
      <c r="F156" s="21"/>
      <c r="G156" s="52">
        <v>1</v>
      </c>
      <c r="I156" s="27">
        <v>1</v>
      </c>
      <c r="J156" s="27">
        <v>50000</v>
      </c>
      <c r="L156" s="27"/>
      <c r="M156" s="27">
        <v>50000</v>
      </c>
      <c r="O156" s="41" t="s">
        <v>75</v>
      </c>
      <c r="P156" s="41">
        <f>HEX2DEC(RIGHT(Table13232127[[#This Row],[h1]],8))</f>
        <v>0</v>
      </c>
      <c r="Q156" s="41" t="s">
        <v>75</v>
      </c>
      <c r="R156" s="41">
        <f>HEX2DEC(RIGHT(Table13232127[[#This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243</v>
      </c>
      <c r="F157" s="21"/>
      <c r="G157" s="52">
        <v>0</v>
      </c>
      <c r="I157" s="27">
        <v>2</v>
      </c>
      <c r="J157" s="27">
        <v>50000</v>
      </c>
      <c r="L157" s="27"/>
      <c r="M157" s="27">
        <v>50000</v>
      </c>
      <c r="O157" s="41" t="s">
        <v>75</v>
      </c>
      <c r="P157" s="41">
        <f>HEX2DEC(RIGHT(Table13232127[[#This Row],[h1]],8))</f>
        <v>0</v>
      </c>
      <c r="Q157" s="41" t="s">
        <v>75</v>
      </c>
      <c r="R157" s="41">
        <f>HEX2DEC(RIGHT(Table13232127[[#This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1</v>
      </c>
      <c r="J158" s="27">
        <v>50000</v>
      </c>
      <c r="L158" s="27"/>
      <c r="M158" s="27">
        <v>50000</v>
      </c>
      <c r="O158" s="41" t="s">
        <v>75</v>
      </c>
      <c r="P158" s="41">
        <f>HEX2DEC(RIGHT(Table13232127[[#This Row],[h1]],8))</f>
        <v>0</v>
      </c>
      <c r="Q158" s="41" t="s">
        <v>75</v>
      </c>
      <c r="R158" s="41">
        <f>HEX2DEC(RIGHT(Table13232127[[#This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244</v>
      </c>
      <c r="F159" s="21"/>
      <c r="G159" s="49">
        <v>0</v>
      </c>
      <c r="I159" s="27">
        <v>3</v>
      </c>
      <c r="J159" s="27">
        <v>50000</v>
      </c>
      <c r="L159" s="27"/>
      <c r="M159" s="27">
        <v>50000</v>
      </c>
      <c r="O159" s="41" t="s">
        <v>75</v>
      </c>
      <c r="P159" s="41">
        <f>HEX2DEC(RIGHT(Table13232127[[#This Row],[h1]],8))</f>
        <v>0</v>
      </c>
      <c r="Q159" s="41" t="s">
        <v>75</v>
      </c>
      <c r="R159" s="41">
        <f>HEX2DEC(RIGHT(Table13232127[[#This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245</v>
      </c>
      <c r="F160" s="21"/>
      <c r="G160" s="49">
        <v>0</v>
      </c>
      <c r="I160" s="27">
        <v>1</v>
      </c>
      <c r="J160" s="27">
        <v>50000</v>
      </c>
      <c r="L160" s="27"/>
      <c r="M160" s="27">
        <v>50000</v>
      </c>
      <c r="O160" s="41" t="s">
        <v>75</v>
      </c>
      <c r="P160" s="41">
        <f>HEX2DEC(RIGHT(Table13232127[[#This Row],[h1]],8))</f>
        <v>0</v>
      </c>
      <c r="Q160" s="41" t="s">
        <v>75</v>
      </c>
      <c r="R160" s="41">
        <f>HEX2DEC(RIGHT(Table13232127[[#This Row],[h2]],8))</f>
        <v>0</v>
      </c>
    </row>
    <row r="161" spans="1:18">
      <c r="A161" s="15" t="str">
        <f t="shared" si="7"/>
        <v>097</v>
      </c>
      <c r="B161" s="15">
        <v>151</v>
      </c>
      <c r="C161" s="38"/>
      <c r="D161" s="15" t="s">
        <v>246</v>
      </c>
      <c r="F161" s="21"/>
      <c r="G161" s="49">
        <v>0</v>
      </c>
      <c r="I161" s="27">
        <v>2</v>
      </c>
      <c r="J161" s="27">
        <v>50000</v>
      </c>
      <c r="L161" s="27"/>
      <c r="M161" s="27">
        <v>50000</v>
      </c>
      <c r="O161" s="41" t="s">
        <v>75</v>
      </c>
      <c r="P161" s="41">
        <f>HEX2DEC(RIGHT(Table13232127[[#This Row],[h1]],8))</f>
        <v>0</v>
      </c>
      <c r="Q161" s="41" t="s">
        <v>75</v>
      </c>
      <c r="R161" s="41">
        <f>HEX2DEC(RIGHT(Table13232127[[#This Row],[h2]],8))</f>
        <v>0</v>
      </c>
    </row>
    <row r="162" spans="1:18">
      <c r="A162" s="15" t="str">
        <f t="shared" si="7"/>
        <v>098</v>
      </c>
      <c r="B162" s="15">
        <v>152</v>
      </c>
      <c r="C162" s="38"/>
      <c r="F162" s="21"/>
      <c r="G162" s="49"/>
      <c r="I162" s="27">
        <v>1</v>
      </c>
      <c r="J162" s="27">
        <v>50000</v>
      </c>
      <c r="L162" s="27"/>
      <c r="M162" s="27">
        <v>50000</v>
      </c>
      <c r="O162" s="41" t="s">
        <v>75</v>
      </c>
      <c r="P162" s="41">
        <f>HEX2DEC(RIGHT(Table13232127[[#This Row],[h1]],8))</f>
        <v>0</v>
      </c>
      <c r="Q162" s="41" t="s">
        <v>75</v>
      </c>
      <c r="R162" s="41">
        <f>HEX2DEC(RIGHT(Table13232127[[#This Row],[h2]],8))</f>
        <v>0</v>
      </c>
    </row>
    <row r="163" spans="1:18">
      <c r="A163" s="15" t="str">
        <f t="shared" si="7"/>
        <v>099</v>
      </c>
      <c r="B163" s="15">
        <v>153</v>
      </c>
      <c r="C163" s="38"/>
      <c r="D163" s="15" t="s">
        <v>247</v>
      </c>
      <c r="F163" s="21"/>
      <c r="G163" s="49">
        <v>1</v>
      </c>
      <c r="I163" s="27">
        <v>3</v>
      </c>
      <c r="J163" s="27">
        <v>50000</v>
      </c>
      <c r="L163" s="27"/>
      <c r="M163" s="27">
        <v>50000</v>
      </c>
      <c r="O163" s="41" t="s">
        <v>75</v>
      </c>
      <c r="P163" s="41">
        <f>HEX2DEC(RIGHT(Table13232127[[#This Row],[h1]],8))</f>
        <v>0</v>
      </c>
      <c r="Q163" s="41" t="s">
        <v>75</v>
      </c>
      <c r="R163" s="41">
        <f>HEX2DEC(RIGHT(Table13232127[[#This Row],[h2]],8))</f>
        <v>0</v>
      </c>
    </row>
    <row r="164" spans="1:18">
      <c r="A164" s="15" t="str">
        <f t="shared" si="7"/>
        <v>09A</v>
      </c>
      <c r="B164" s="15">
        <v>154</v>
      </c>
      <c r="C164" s="38"/>
      <c r="D164" s="15" t="s">
        <v>248</v>
      </c>
      <c r="F164" s="21"/>
      <c r="G164" s="49">
        <v>1</v>
      </c>
      <c r="I164" s="27">
        <v>1</v>
      </c>
      <c r="J164" s="27">
        <v>50000</v>
      </c>
      <c r="L164" s="27"/>
      <c r="M164" s="27">
        <v>50000</v>
      </c>
      <c r="O164" s="41" t="s">
        <v>75</v>
      </c>
      <c r="P164" s="41">
        <f>HEX2DEC(RIGHT(Table13232127[[#This Row],[h1]],8))</f>
        <v>0</v>
      </c>
      <c r="Q164" s="41" t="s">
        <v>75</v>
      </c>
      <c r="R164" s="41">
        <f>HEX2DEC(RIGHT(Table13232127[[#This Row],[h2]],8))</f>
        <v>0</v>
      </c>
    </row>
    <row r="165" spans="1:18">
      <c r="A165" s="15" t="str">
        <f t="shared" si="7"/>
        <v>09B</v>
      </c>
      <c r="B165" s="15">
        <v>155</v>
      </c>
      <c r="C165" s="38"/>
      <c r="D165" s="15" t="s">
        <v>249</v>
      </c>
      <c r="F165" s="21"/>
      <c r="G165" s="49">
        <v>1</v>
      </c>
      <c r="I165" s="27">
        <v>2</v>
      </c>
      <c r="J165" s="27">
        <v>50000</v>
      </c>
      <c r="L165" s="27"/>
      <c r="M165" s="27">
        <v>50000</v>
      </c>
      <c r="O165" s="41" t="s">
        <v>75</v>
      </c>
      <c r="P165" s="41">
        <f>HEX2DEC(RIGHT(Table13232127[[#This Row],[h1]],8))</f>
        <v>0</v>
      </c>
      <c r="Q165" s="41" t="s">
        <v>75</v>
      </c>
      <c r="R165" s="41">
        <f>HEX2DEC(RIGHT(Table13232127[[#This Row],[h2]],8))</f>
        <v>0</v>
      </c>
    </row>
    <row r="166" spans="1:18">
      <c r="A166" s="15" t="str">
        <f t="shared" si="7"/>
        <v>09C</v>
      </c>
      <c r="B166" s="15">
        <v>156</v>
      </c>
      <c r="C166" s="38"/>
      <c r="D166" s="15" t="s">
        <v>331</v>
      </c>
      <c r="F166" s="21"/>
      <c r="G166" s="49">
        <v>1</v>
      </c>
      <c r="I166" s="27">
        <v>1</v>
      </c>
      <c r="J166" s="27">
        <v>50000</v>
      </c>
      <c r="L166" s="27"/>
      <c r="M166" s="27">
        <v>50000</v>
      </c>
      <c r="O166" s="41" t="s">
        <v>75</v>
      </c>
      <c r="P166" s="41">
        <f>HEX2DEC(RIGHT(Table13232127[[#This Row],[h1]],8))</f>
        <v>0</v>
      </c>
      <c r="Q166" s="41" t="s">
        <v>75</v>
      </c>
      <c r="R166" s="41">
        <f>HEX2DEC(RIGHT(Table13232127[[#This Row],[h2]],8))</f>
        <v>0</v>
      </c>
    </row>
    <row r="167" spans="1:18">
      <c r="A167" s="15" t="str">
        <f t="shared" si="7"/>
        <v>09D</v>
      </c>
      <c r="B167" s="15">
        <v>157</v>
      </c>
      <c r="C167" s="38"/>
      <c r="G167" s="31"/>
      <c r="I167" s="27">
        <v>4</v>
      </c>
      <c r="J167" s="27">
        <v>50000</v>
      </c>
      <c r="L167" s="27"/>
      <c r="M167" s="27">
        <v>50000</v>
      </c>
      <c r="O167" s="41" t="s">
        <v>75</v>
      </c>
      <c r="P167" s="41">
        <f>HEX2DEC(RIGHT(Table13232127[[#This Row],[h1]],8))</f>
        <v>0</v>
      </c>
      <c r="Q167" s="41" t="s">
        <v>75</v>
      </c>
      <c r="R167" s="41">
        <f>HEX2DEC(RIGHT(Table13232127[[#This Row],[h2]],8))</f>
        <v>0</v>
      </c>
    </row>
    <row r="168" spans="1:18">
      <c r="A168" s="15" t="str">
        <f t="shared" si="7"/>
        <v>09E</v>
      </c>
      <c r="B168" s="15">
        <v>158</v>
      </c>
      <c r="C168" s="38"/>
      <c r="D168" s="15" t="s">
        <v>409</v>
      </c>
      <c r="F168" s="29" t="s">
        <v>403</v>
      </c>
      <c r="G168" s="18">
        <f>HEX2DEC(RIGHT(Table131925[[#This Row],[dec val]],8))</f>
        <v>65536</v>
      </c>
      <c r="I168" s="27">
        <v>1</v>
      </c>
      <c r="J168" s="27">
        <v>50000</v>
      </c>
      <c r="L168" s="27"/>
      <c r="M168" s="27">
        <v>50000</v>
      </c>
      <c r="O168" s="41" t="s">
        <v>75</v>
      </c>
      <c r="P168" s="41">
        <f>HEX2DEC(RIGHT(Table13232127[[#This Row],[h1]],8))</f>
        <v>0</v>
      </c>
      <c r="Q168" s="41" t="s">
        <v>75</v>
      </c>
      <c r="R168" s="41">
        <f>HEX2DEC(RIGHT(Table13232127[[#This Row],[h2]],8))</f>
        <v>0</v>
      </c>
    </row>
    <row r="169" spans="1:18">
      <c r="A169" s="15" t="str">
        <f t="shared" si="7"/>
        <v>09F</v>
      </c>
      <c r="B169" s="15">
        <v>159</v>
      </c>
      <c r="C169" s="38"/>
      <c r="D169" s="15" t="s">
        <v>410</v>
      </c>
      <c r="F169" s="29" t="s">
        <v>404</v>
      </c>
      <c r="G169" s="18">
        <f>HEX2DEC(RIGHT(Table131925[[#This Row],[dec val]],8))</f>
        <v>196608</v>
      </c>
      <c r="I169" s="27">
        <v>2</v>
      </c>
      <c r="J169" s="27">
        <v>50000</v>
      </c>
      <c r="L169" s="27"/>
      <c r="M169" s="27">
        <v>50000</v>
      </c>
      <c r="O169" s="41" t="s">
        <v>75</v>
      </c>
      <c r="P169" s="41">
        <f>HEX2DEC(RIGHT(Table13232127[[#This Row],[h1]],8))</f>
        <v>0</v>
      </c>
      <c r="Q169" s="41" t="s">
        <v>75</v>
      </c>
      <c r="R169" s="41">
        <f>HEX2DEC(RIGHT(Table13232127[[#This Row],[h2]],8))</f>
        <v>0</v>
      </c>
    </row>
    <row r="170" spans="1:18">
      <c r="A170" s="15" t="str">
        <f t="shared" si="7"/>
        <v>0A0</v>
      </c>
      <c r="B170" s="15">
        <v>160</v>
      </c>
      <c r="C170" s="38"/>
      <c r="D170" s="15" t="s">
        <v>411</v>
      </c>
      <c r="F170" s="29" t="s">
        <v>405</v>
      </c>
      <c r="G170" s="18">
        <f>HEX2DEC(RIGHT(Table131925[[#This Row],[dec val]],8))</f>
        <v>458752</v>
      </c>
      <c r="I170" s="27">
        <v>1</v>
      </c>
      <c r="J170" s="27">
        <v>50000</v>
      </c>
      <c r="L170" s="27"/>
      <c r="M170" s="27">
        <v>50000</v>
      </c>
      <c r="O170" s="41" t="s">
        <v>75</v>
      </c>
      <c r="P170" s="41">
        <f>HEX2DEC(RIGHT(Table13232127[[#This Row],[h1]],8))</f>
        <v>0</v>
      </c>
      <c r="Q170" s="41" t="s">
        <v>75</v>
      </c>
      <c r="R170" s="41">
        <f>HEX2DEC(RIGHT(Table13232127[[#This Row],[h2]],8))</f>
        <v>0</v>
      </c>
    </row>
    <row r="171" spans="1:18">
      <c r="A171" s="15" t="str">
        <f t="shared" si="7"/>
        <v>0A1</v>
      </c>
      <c r="B171" s="15">
        <v>161</v>
      </c>
      <c r="C171" s="38"/>
      <c r="D171" s="15" t="s">
        <v>412</v>
      </c>
      <c r="F171" s="29" t="s">
        <v>406</v>
      </c>
      <c r="G171" s="18">
        <f>HEX2DEC(RIGHT(Table131925[[#This Row],[dec val]],8))</f>
        <v>983040</v>
      </c>
      <c r="I171" s="27">
        <v>3</v>
      </c>
      <c r="J171" s="27">
        <v>50000</v>
      </c>
      <c r="L171" s="27"/>
      <c r="M171" s="27">
        <v>50000</v>
      </c>
      <c r="O171" s="41" t="s">
        <v>75</v>
      </c>
      <c r="P171" s="41">
        <f>HEX2DEC(RIGHT(Table13232127[[#This Row],[h1]],8))</f>
        <v>0</v>
      </c>
      <c r="Q171" s="41" t="s">
        <v>75</v>
      </c>
      <c r="R171" s="41">
        <f>HEX2DEC(RIGHT(Table13232127[[#This Row],[h2]],8))</f>
        <v>0</v>
      </c>
    </row>
    <row r="172" spans="1:18">
      <c r="A172" s="15" t="str">
        <f t="shared" si="7"/>
        <v>0A2</v>
      </c>
      <c r="B172" s="15">
        <v>162</v>
      </c>
      <c r="C172" s="38"/>
      <c r="D172" s="15" t="s">
        <v>413</v>
      </c>
      <c r="F172" s="29" t="s">
        <v>407</v>
      </c>
      <c r="G172" s="18">
        <f>HEX2DEC(RIGHT(Table131925[[#This Row],[dec val]],8))</f>
        <v>2031616</v>
      </c>
      <c r="I172" s="27">
        <v>1</v>
      </c>
      <c r="J172" s="27">
        <v>50000</v>
      </c>
      <c r="L172" s="27"/>
      <c r="M172" s="27">
        <v>50000</v>
      </c>
      <c r="O172" s="41" t="s">
        <v>75</v>
      </c>
      <c r="P172" s="41">
        <f>HEX2DEC(RIGHT(Table13232127[[#This Row],[h1]],8))</f>
        <v>0</v>
      </c>
      <c r="Q172" s="41" t="s">
        <v>75</v>
      </c>
      <c r="R172" s="41">
        <f>HEX2DEC(RIGHT(Table13232127[[#This Row],[h2]],8))</f>
        <v>0</v>
      </c>
    </row>
    <row r="173" spans="1:18">
      <c r="A173" s="15" t="str">
        <f t="shared" si="7"/>
        <v>0A3</v>
      </c>
      <c r="B173" s="15">
        <v>163</v>
      </c>
      <c r="C173" s="38"/>
      <c r="D173" s="15" t="s">
        <v>414</v>
      </c>
      <c r="F173" s="29" t="s">
        <v>425</v>
      </c>
      <c r="G173" s="18">
        <f>HEX2DEC(RIGHT(Table131925[[#This Row],[dec val]],8))</f>
        <v>0</v>
      </c>
      <c r="I173" s="27">
        <v>2</v>
      </c>
      <c r="J173" s="27">
        <v>50000</v>
      </c>
      <c r="L173" s="27"/>
      <c r="M173" s="27">
        <v>50000</v>
      </c>
      <c r="O173" s="41" t="s">
        <v>75</v>
      </c>
      <c r="P173" s="41">
        <f>HEX2DEC(RIGHT(Table13232127[[#This Row],[h1]],8))</f>
        <v>0</v>
      </c>
      <c r="Q173" s="41" t="s">
        <v>75</v>
      </c>
      <c r="R173" s="41">
        <f>HEX2DEC(RIGHT(Table13232127[[#This Row],[h2]],8))</f>
        <v>0</v>
      </c>
    </row>
    <row r="174" spans="1:18">
      <c r="A174" s="15" t="str">
        <f t="shared" si="7"/>
        <v>0A4</v>
      </c>
      <c r="B174" s="15">
        <v>164</v>
      </c>
      <c r="C174" s="38"/>
      <c r="D174" s="15" t="s">
        <v>415</v>
      </c>
      <c r="F174" s="29" t="s">
        <v>425</v>
      </c>
      <c r="G174" s="18">
        <f>HEX2DEC(RIGHT(Table131925[[#This Row],[dec val]],8))</f>
        <v>0</v>
      </c>
      <c r="I174" s="27">
        <v>1</v>
      </c>
      <c r="J174" s="27">
        <v>50000</v>
      </c>
      <c r="L174" s="27"/>
      <c r="M174" s="27">
        <v>50000</v>
      </c>
      <c r="O174" s="41" t="s">
        <v>75</v>
      </c>
      <c r="P174" s="41">
        <f>HEX2DEC(RIGHT(Table13232127[[#This Row],[h1]],8))</f>
        <v>0</v>
      </c>
      <c r="Q174" s="41" t="s">
        <v>75</v>
      </c>
      <c r="R174" s="41">
        <f>HEX2DEC(RIGHT(Table13232127[[#This Row],[h2]],8))</f>
        <v>0</v>
      </c>
    </row>
    <row r="175" spans="1:18">
      <c r="A175" s="15" t="str">
        <f t="shared" si="7"/>
        <v>0A5</v>
      </c>
      <c r="B175" s="15">
        <v>165</v>
      </c>
      <c r="C175" s="38"/>
      <c r="D175" s="15" t="s">
        <v>416</v>
      </c>
      <c r="F175" s="29" t="s">
        <v>425</v>
      </c>
      <c r="G175" s="18">
        <f>HEX2DEC(RIGHT(Table131925[[#This Row],[dec val]],8))</f>
        <v>0</v>
      </c>
      <c r="I175" s="27">
        <v>3</v>
      </c>
      <c r="J175" s="27">
        <v>50000</v>
      </c>
      <c r="L175" s="27"/>
      <c r="M175" s="27">
        <v>50000</v>
      </c>
      <c r="O175" s="41" t="s">
        <v>75</v>
      </c>
      <c r="P175" s="41">
        <f>HEX2DEC(RIGHT(Table13232127[[#This Row],[h1]],8))</f>
        <v>0</v>
      </c>
      <c r="Q175" s="41" t="s">
        <v>75</v>
      </c>
      <c r="R175" s="41">
        <f>HEX2DEC(RIGHT(Table13232127[[#This Row],[h2]],8))</f>
        <v>0</v>
      </c>
    </row>
    <row r="176" spans="1:18">
      <c r="A176" s="15" t="str">
        <f t="shared" si="7"/>
        <v>0A6</v>
      </c>
      <c r="B176" s="15">
        <v>166</v>
      </c>
      <c r="C176" s="38"/>
      <c r="D176" s="15" t="s">
        <v>417</v>
      </c>
      <c r="F176" s="29" t="s">
        <v>425</v>
      </c>
      <c r="G176" s="18">
        <f>HEX2DEC(RIGHT(Table131925[[#This Row],[dec val]],8))</f>
        <v>0</v>
      </c>
      <c r="I176" s="27">
        <v>1</v>
      </c>
      <c r="J176" s="27">
        <v>50000</v>
      </c>
      <c r="L176" s="27"/>
      <c r="M176" s="27">
        <v>50000</v>
      </c>
      <c r="O176" s="41" t="s">
        <v>75</v>
      </c>
      <c r="P176" s="41">
        <f>HEX2DEC(RIGHT(Table13232127[[#This Row],[h1]],8))</f>
        <v>0</v>
      </c>
      <c r="Q176" s="41" t="s">
        <v>75</v>
      </c>
      <c r="R176" s="41">
        <f>HEX2DEC(RIGHT(Table13232127[[#This Row],[h2]],8))</f>
        <v>0</v>
      </c>
    </row>
    <row r="177" spans="1:18">
      <c r="A177" s="15" t="str">
        <f t="shared" si="7"/>
        <v>0A7</v>
      </c>
      <c r="B177" s="15">
        <v>167</v>
      </c>
      <c r="C177" s="38"/>
      <c r="D177" s="15" t="s">
        <v>418</v>
      </c>
      <c r="F177" s="29" t="s">
        <v>425</v>
      </c>
      <c r="G177" s="18">
        <f>HEX2DEC(RIGHT(Table131925[[#This Row],[dec val]],8))</f>
        <v>0</v>
      </c>
      <c r="I177" s="27">
        <v>2</v>
      </c>
      <c r="J177" s="27">
        <v>50000</v>
      </c>
      <c r="L177" s="27"/>
      <c r="M177" s="27">
        <v>50000</v>
      </c>
      <c r="O177" s="41" t="s">
        <v>75</v>
      </c>
      <c r="P177" s="41">
        <f>HEX2DEC(RIGHT(Table13232127[[#This Row],[h1]],8))</f>
        <v>0</v>
      </c>
      <c r="Q177" s="41" t="s">
        <v>75</v>
      </c>
      <c r="R177" s="41">
        <f>HEX2DEC(RIGHT(Table13232127[[#This Row],[h2]],8))</f>
        <v>0</v>
      </c>
    </row>
    <row r="178" spans="1:18">
      <c r="A178" s="15" t="str">
        <f t="shared" si="7"/>
        <v>0A8</v>
      </c>
      <c r="B178" s="15">
        <v>168</v>
      </c>
      <c r="C178" s="38"/>
      <c r="D178" s="15" t="s">
        <v>419</v>
      </c>
      <c r="F178" s="29" t="s">
        <v>425</v>
      </c>
      <c r="G178" s="18">
        <f>HEX2DEC(RIGHT(Table131925[[#This Row],[dec val]],8))</f>
        <v>0</v>
      </c>
      <c r="I178" s="27">
        <v>1</v>
      </c>
      <c r="J178" s="27">
        <v>50000</v>
      </c>
      <c r="L178" s="27"/>
      <c r="M178" s="27">
        <v>50000</v>
      </c>
      <c r="O178" s="41" t="s">
        <v>75</v>
      </c>
      <c r="P178" s="41">
        <f>HEX2DEC(RIGHT(Table13232127[[#This Row],[h1]],8))</f>
        <v>0</v>
      </c>
      <c r="Q178" s="41" t="s">
        <v>75</v>
      </c>
      <c r="R178" s="41">
        <f>HEX2DEC(RIGHT(Table13232127[[#This Row],[h2]],8))</f>
        <v>0</v>
      </c>
    </row>
    <row r="179" spans="1:18">
      <c r="A179" s="15" t="str">
        <f t="shared" si="7"/>
        <v>0A9</v>
      </c>
      <c r="B179" s="15">
        <v>169</v>
      </c>
      <c r="C179" s="38"/>
      <c r="D179" s="15" t="s">
        <v>420</v>
      </c>
      <c r="F179" s="29" t="s">
        <v>425</v>
      </c>
      <c r="G179" s="18">
        <f>HEX2DEC(RIGHT(Table131925[[#This Row],[dec val]],8))</f>
        <v>0</v>
      </c>
      <c r="I179" s="27">
        <v>4</v>
      </c>
      <c r="J179" s="27">
        <v>50000</v>
      </c>
      <c r="L179" s="27"/>
      <c r="M179" s="27">
        <v>50000</v>
      </c>
      <c r="O179" s="41" t="s">
        <v>75</v>
      </c>
      <c r="P179" s="41">
        <f>HEX2DEC(RIGHT(Table13232127[[#This Row],[h1]],8))</f>
        <v>0</v>
      </c>
      <c r="Q179" s="41" t="s">
        <v>75</v>
      </c>
      <c r="R179" s="41">
        <f>HEX2DEC(RIGHT(Table13232127[[#This Row],[h2]],8))</f>
        <v>0</v>
      </c>
    </row>
    <row r="180" spans="1:18">
      <c r="A180" s="15" t="str">
        <f t="shared" si="7"/>
        <v>0AA</v>
      </c>
      <c r="B180" s="15">
        <v>170</v>
      </c>
      <c r="C180" s="38"/>
      <c r="D180" s="15" t="s">
        <v>421</v>
      </c>
      <c r="F180" s="29" t="s">
        <v>425</v>
      </c>
      <c r="G180" s="18">
        <f>HEX2DEC(RIGHT(Table131925[[#This Row],[dec val]],8))</f>
        <v>0</v>
      </c>
      <c r="I180" s="27">
        <v>1</v>
      </c>
      <c r="J180" s="27">
        <v>50000</v>
      </c>
      <c r="L180" s="27"/>
      <c r="M180" s="27">
        <v>50000</v>
      </c>
      <c r="O180" s="41" t="s">
        <v>75</v>
      </c>
      <c r="P180" s="41">
        <f>HEX2DEC(RIGHT(Table13232127[[#This Row],[h1]],8))</f>
        <v>0</v>
      </c>
      <c r="Q180" s="41" t="s">
        <v>75</v>
      </c>
      <c r="R180" s="41">
        <f>HEX2DEC(RIGHT(Table13232127[[#This Row],[h2]],8))</f>
        <v>0</v>
      </c>
    </row>
    <row r="181" spans="1:18">
      <c r="A181" s="15" t="str">
        <f t="shared" si="7"/>
        <v>0AB</v>
      </c>
      <c r="B181" s="15">
        <v>171</v>
      </c>
      <c r="C181" s="38"/>
      <c r="D181" s="15" t="s">
        <v>422</v>
      </c>
      <c r="F181" s="29" t="s">
        <v>425</v>
      </c>
      <c r="G181" s="18">
        <f>HEX2DEC(RIGHT(Table131925[[#This Row],[dec val]],8))</f>
        <v>0</v>
      </c>
      <c r="I181" s="27">
        <v>2</v>
      </c>
      <c r="J181" s="27">
        <v>50000</v>
      </c>
      <c r="L181" s="27"/>
      <c r="M181" s="27">
        <v>50000</v>
      </c>
      <c r="O181" s="41" t="s">
        <v>75</v>
      </c>
      <c r="P181" s="41">
        <f>HEX2DEC(RIGHT(Table13232127[[#This Row],[h1]],8))</f>
        <v>0</v>
      </c>
      <c r="Q181" s="41" t="s">
        <v>75</v>
      </c>
      <c r="R181" s="41">
        <f>HEX2DEC(RIGHT(Table13232127[[#This Row],[h2]],8))</f>
        <v>0</v>
      </c>
    </row>
    <row r="182" spans="1:18">
      <c r="A182" s="15" t="str">
        <f t="shared" si="7"/>
        <v>0AC</v>
      </c>
      <c r="B182" s="15">
        <v>172</v>
      </c>
      <c r="C182" s="38"/>
      <c r="D182" s="15" t="s">
        <v>423</v>
      </c>
      <c r="F182" s="29" t="s">
        <v>425</v>
      </c>
      <c r="G182" s="18">
        <f>HEX2DEC(RIGHT(Table131925[[#This Row],[dec val]],8))</f>
        <v>0</v>
      </c>
      <c r="I182" s="27">
        <v>1</v>
      </c>
      <c r="J182" s="27">
        <v>50000</v>
      </c>
      <c r="L182" s="27"/>
      <c r="M182" s="27">
        <v>50000</v>
      </c>
      <c r="O182" s="41" t="s">
        <v>75</v>
      </c>
      <c r="P182" s="41">
        <f>HEX2DEC(RIGHT(Table13232127[[#This Row],[h1]],8))</f>
        <v>0</v>
      </c>
      <c r="Q182" s="41" t="s">
        <v>75</v>
      </c>
      <c r="R182" s="41">
        <f>HEX2DEC(RIGHT(Table13232127[[#This Row],[h2]],8))</f>
        <v>0</v>
      </c>
    </row>
    <row r="183" spans="1:18">
      <c r="A183" s="15" t="str">
        <f t="shared" si="7"/>
        <v>0AD</v>
      </c>
      <c r="B183" s="15">
        <v>173</v>
      </c>
      <c r="C183" s="38"/>
      <c r="D183" s="15" t="s">
        <v>424</v>
      </c>
      <c r="F183" s="29" t="s">
        <v>425</v>
      </c>
      <c r="G183" s="18">
        <f>HEX2DEC(RIGHT(Table131925[[#This Row],[dec val]],8))</f>
        <v>0</v>
      </c>
      <c r="I183" s="27">
        <v>3</v>
      </c>
      <c r="J183" s="27">
        <v>50000</v>
      </c>
      <c r="L183" s="27"/>
      <c r="M183" s="27">
        <v>50000</v>
      </c>
      <c r="O183" s="41" t="s">
        <v>75</v>
      </c>
      <c r="P183" s="41">
        <f>HEX2DEC(RIGHT(Table13232127[[#This Row],[h1]],8))</f>
        <v>0</v>
      </c>
      <c r="Q183" s="41" t="s">
        <v>75</v>
      </c>
      <c r="R183" s="41">
        <f>HEX2DEC(RIGHT(Table13232127[[#This Row],[h2]],8))</f>
        <v>0</v>
      </c>
    </row>
    <row r="184" spans="1:18">
      <c r="A184" s="15" t="str">
        <f t="shared" si="7"/>
        <v>0AE</v>
      </c>
      <c r="B184" s="15">
        <v>174</v>
      </c>
      <c r="C184" s="38"/>
      <c r="G184" s="41"/>
      <c r="I184" s="27">
        <v>1</v>
      </c>
      <c r="J184" s="27">
        <v>50000</v>
      </c>
      <c r="L184" s="27"/>
      <c r="M184" s="27">
        <v>50000</v>
      </c>
      <c r="O184" s="41" t="s">
        <v>75</v>
      </c>
      <c r="P184" s="41">
        <f>HEX2DEC(RIGHT(Table13232127[[#This Row],[h1]],8))</f>
        <v>0</v>
      </c>
      <c r="Q184" s="41" t="s">
        <v>75</v>
      </c>
      <c r="R184" s="41">
        <f>HEX2DEC(RIGHT(Table13232127[[#This Row],[h2]],8))</f>
        <v>0</v>
      </c>
    </row>
    <row r="185" spans="1:18">
      <c r="A185" s="15" t="str">
        <f t="shared" si="7"/>
        <v>0AF</v>
      </c>
      <c r="B185" s="15">
        <v>175</v>
      </c>
      <c r="C185" s="38"/>
      <c r="I185" s="27">
        <v>2</v>
      </c>
      <c r="J185" s="27">
        <v>50000</v>
      </c>
      <c r="L185" s="27"/>
      <c r="M185" s="27">
        <v>50000</v>
      </c>
      <c r="O185" s="41" t="s">
        <v>75</v>
      </c>
      <c r="P185" s="41">
        <f>HEX2DEC(RIGHT(Table13232127[[#This Row],[h1]],8))</f>
        <v>0</v>
      </c>
      <c r="Q185" s="41" t="s">
        <v>75</v>
      </c>
      <c r="R185" s="41">
        <f>HEX2DEC(RIGHT(Table13232127[[#This Row],[h2]],8))</f>
        <v>0</v>
      </c>
    </row>
    <row r="186" spans="1:18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1" t="s">
        <v>75</v>
      </c>
      <c r="P186" s="41">
        <f>HEX2DEC(RIGHT(Table13232127[[#This Row],[h1]],8))</f>
        <v>0</v>
      </c>
      <c r="Q186" s="41" t="s">
        <v>75</v>
      </c>
      <c r="R186" s="41">
        <f>HEX2DEC(RIGHT(Table13232127[[#This Row],[h2]],8))</f>
        <v>0</v>
      </c>
    </row>
    <row r="187" spans="1:18">
      <c r="A187" s="15" t="str">
        <f t="shared" si="7"/>
        <v>0B1</v>
      </c>
      <c r="B187" s="15">
        <v>177</v>
      </c>
      <c r="C187" s="38"/>
      <c r="I187" s="27">
        <v>3</v>
      </c>
      <c r="J187" s="27">
        <v>50000</v>
      </c>
      <c r="L187" s="27"/>
      <c r="M187" s="27">
        <v>50000</v>
      </c>
      <c r="O187" s="41" t="s">
        <v>75</v>
      </c>
      <c r="P187" s="41">
        <f>HEX2DEC(RIGHT(Table13232127[[#This Row],[h1]],8))</f>
        <v>0</v>
      </c>
      <c r="Q187" s="41" t="s">
        <v>75</v>
      </c>
      <c r="R187" s="41">
        <f>HEX2DEC(RIGHT(Table13232127[[#This Row],[h2]],8))</f>
        <v>0</v>
      </c>
    </row>
    <row r="188" spans="1:18">
      <c r="A188" s="15" t="str">
        <f t="shared" si="7"/>
        <v>0B2</v>
      </c>
      <c r="B188" s="15">
        <v>178</v>
      </c>
      <c r="C188" s="38"/>
      <c r="I188" s="27">
        <v>1</v>
      </c>
      <c r="J188" s="27">
        <v>50000</v>
      </c>
      <c r="L188" s="27"/>
      <c r="M188" s="27">
        <v>50000</v>
      </c>
      <c r="O188" s="41" t="s">
        <v>75</v>
      </c>
      <c r="P188" s="41">
        <f>HEX2DEC(RIGHT(Table13232127[[#This Row],[h1]],8))</f>
        <v>0</v>
      </c>
      <c r="Q188" s="41" t="s">
        <v>75</v>
      </c>
      <c r="R188" s="41">
        <f>HEX2DEC(RIGHT(Table13232127[[#This Row],[h2]],8))</f>
        <v>0</v>
      </c>
    </row>
    <row r="189" spans="1:18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1" t="s">
        <v>75</v>
      </c>
      <c r="P189" s="41">
        <f>HEX2DEC(RIGHT(Table13232127[[#This Row],[h1]],8))</f>
        <v>0</v>
      </c>
      <c r="Q189" s="41" t="s">
        <v>75</v>
      </c>
      <c r="R189" s="41">
        <f>HEX2DEC(RIGHT(Table13232127[[#This Row],[h2]],8))</f>
        <v>0</v>
      </c>
    </row>
    <row r="190" spans="1:18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1" t="s">
        <v>75</v>
      </c>
      <c r="P190" s="41">
        <f>HEX2DEC(RIGHT(Table13232127[[#This Row],[h1]],8))</f>
        <v>0</v>
      </c>
      <c r="Q190" s="41" t="s">
        <v>75</v>
      </c>
      <c r="R190" s="41">
        <f>HEX2DEC(RIGHT(Table13232127[[#This Row],[h2]],8))</f>
        <v>0</v>
      </c>
    </row>
    <row r="191" spans="1:18">
      <c r="A191" s="15" t="str">
        <f t="shared" si="7"/>
        <v>0B5</v>
      </c>
      <c r="B191" s="15">
        <v>181</v>
      </c>
      <c r="C191" s="38"/>
      <c r="D191" s="15" t="s">
        <v>254</v>
      </c>
      <c r="E191" s="51"/>
      <c r="F191" s="51">
        <v>15</v>
      </c>
      <c r="G191" s="50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15</v>
      </c>
      <c r="I191" s="27">
        <v>4</v>
      </c>
      <c r="J191" s="27">
        <v>50000</v>
      </c>
      <c r="L191" s="27"/>
      <c r="M191" s="27">
        <v>50000</v>
      </c>
      <c r="O191" s="41" t="s">
        <v>75</v>
      </c>
      <c r="P191" s="41">
        <f>HEX2DEC(RIGHT(Table13232127[[#This Row],[h1]],8))</f>
        <v>0</v>
      </c>
      <c r="Q191" s="41" t="s">
        <v>75</v>
      </c>
      <c r="R191" s="41">
        <f>HEX2DEC(RIGHT(Table13232127[[#This Row],[h2]],8))</f>
        <v>0</v>
      </c>
    </row>
    <row r="192" spans="1:18">
      <c r="A192" s="15" t="str">
        <f t="shared" si="7"/>
        <v>0B6</v>
      </c>
      <c r="B192" s="15">
        <v>182</v>
      </c>
      <c r="C192" s="38"/>
      <c r="D192" s="15" t="s">
        <v>255</v>
      </c>
      <c r="E192" s="51"/>
      <c r="F192" s="51">
        <v>555</v>
      </c>
      <c r="G192" s="50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555</v>
      </c>
      <c r="I192" s="27">
        <v>1</v>
      </c>
      <c r="J192" s="27">
        <v>50000</v>
      </c>
      <c r="L192" s="27"/>
      <c r="M192" s="27">
        <v>50000</v>
      </c>
      <c r="O192" s="41" t="s">
        <v>75</v>
      </c>
      <c r="P192" s="41">
        <f>HEX2DEC(RIGHT(Table13232127[[#This Row],[h1]],8))</f>
        <v>0</v>
      </c>
      <c r="Q192" s="41" t="s">
        <v>75</v>
      </c>
      <c r="R192" s="41">
        <f>HEX2DEC(RIGHT(Table13232127[[#This Row],[h2]],8))</f>
        <v>0</v>
      </c>
    </row>
    <row r="193" spans="1:18">
      <c r="A193" s="15" t="str">
        <f t="shared" si="7"/>
        <v>0B7</v>
      </c>
      <c r="B193" s="15">
        <v>183</v>
      </c>
      <c r="C193" s="38"/>
      <c r="D193" s="15" t="s">
        <v>256</v>
      </c>
      <c r="E193" s="51"/>
      <c r="F193" s="51">
        <v>10545</v>
      </c>
      <c r="G193" s="50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10545</v>
      </c>
      <c r="I193" s="27">
        <v>2</v>
      </c>
      <c r="J193" s="27">
        <v>50000</v>
      </c>
      <c r="L193" s="27"/>
      <c r="M193" s="27">
        <v>50000</v>
      </c>
      <c r="O193" s="41" t="s">
        <v>75</v>
      </c>
      <c r="P193" s="41">
        <f>HEX2DEC(RIGHT(Table13232127[[#This Row],[h1]],8))</f>
        <v>0</v>
      </c>
      <c r="Q193" s="41" t="s">
        <v>75</v>
      </c>
      <c r="R193" s="41">
        <f>HEX2DEC(RIGHT(Table13232127[[#This Row],[h2]],8))</f>
        <v>0</v>
      </c>
    </row>
    <row r="194" spans="1:18">
      <c r="A194" s="15" t="str">
        <f t="shared" si="7"/>
        <v>0B8</v>
      </c>
      <c r="B194" s="15">
        <v>184</v>
      </c>
      <c r="C194" s="38"/>
      <c r="D194" s="15" t="s">
        <v>257</v>
      </c>
      <c r="E194" s="51"/>
      <c r="F194" s="51">
        <v>9</v>
      </c>
      <c r="G194" s="50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9</v>
      </c>
      <c r="I194" s="27">
        <v>1</v>
      </c>
      <c r="J194" s="27">
        <v>50000</v>
      </c>
      <c r="L194" s="27"/>
      <c r="M194" s="27">
        <v>50000</v>
      </c>
      <c r="O194" s="41" t="s">
        <v>75</v>
      </c>
      <c r="P194" s="41">
        <f>HEX2DEC(RIGHT(Table13232127[[#This Row],[h1]],8))</f>
        <v>0</v>
      </c>
      <c r="Q194" s="41" t="s">
        <v>75</v>
      </c>
      <c r="R194" s="41">
        <f>HEX2DEC(RIGHT(Table13232127[[#This Row],[h2]],8))</f>
        <v>0</v>
      </c>
    </row>
    <row r="195" spans="1:18">
      <c r="A195" s="15" t="str">
        <f t="shared" si="7"/>
        <v>0B9</v>
      </c>
      <c r="B195" s="15">
        <v>185</v>
      </c>
      <c r="C195" s="38"/>
      <c r="D195" s="15" t="s">
        <v>258</v>
      </c>
      <c r="E195" s="51"/>
      <c r="F195" s="51">
        <v>37</v>
      </c>
      <c r="G195" s="50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37</v>
      </c>
      <c r="I195" s="27">
        <v>3</v>
      </c>
      <c r="J195" s="27">
        <v>50000</v>
      </c>
      <c r="L195" s="27"/>
      <c r="M195" s="27">
        <v>50000</v>
      </c>
      <c r="O195" s="41" t="s">
        <v>75</v>
      </c>
      <c r="P195" s="41">
        <f>HEX2DEC(RIGHT(Table13232127[[#This Row],[h1]],8))</f>
        <v>0</v>
      </c>
      <c r="Q195" s="41" t="s">
        <v>75</v>
      </c>
      <c r="R195" s="41">
        <f>HEX2DEC(RIGHT(Table13232127[[#This Row],[h2]],8))</f>
        <v>0</v>
      </c>
    </row>
    <row r="196" spans="1:18">
      <c r="A196" s="15" t="str">
        <f t="shared" si="7"/>
        <v>0BA</v>
      </c>
      <c r="B196" s="15">
        <v>186</v>
      </c>
      <c r="C196" s="38"/>
      <c r="D196" s="15" t="s">
        <v>259</v>
      </c>
      <c r="E196" s="51">
        <v>1</v>
      </c>
      <c r="F196" s="51">
        <v>5</v>
      </c>
      <c r="G196" s="50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1" t="s">
        <v>75</v>
      </c>
      <c r="P196" s="41">
        <f>HEX2DEC(RIGHT(Table13232127[[#This Row],[h1]],8))</f>
        <v>0</v>
      </c>
      <c r="Q196" s="41" t="s">
        <v>75</v>
      </c>
      <c r="R196" s="41">
        <f>HEX2DEC(RIGHT(Table13232127[[#This Row],[h2]],8))</f>
        <v>0</v>
      </c>
    </row>
    <row r="197" spans="1:18">
      <c r="A197" s="15" t="str">
        <f t="shared" si="7"/>
        <v>0BB</v>
      </c>
      <c r="B197" s="15">
        <v>187</v>
      </c>
      <c r="C197" s="38"/>
      <c r="D197" s="15" t="s">
        <v>260</v>
      </c>
      <c r="E197" s="51">
        <v>1</v>
      </c>
      <c r="F197" s="51">
        <v>6</v>
      </c>
      <c r="G197" s="50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62499999</v>
      </c>
      <c r="I197" s="27">
        <v>2</v>
      </c>
      <c r="J197" s="27">
        <v>50000</v>
      </c>
      <c r="L197" s="27"/>
      <c r="M197" s="27">
        <v>50000</v>
      </c>
      <c r="O197" s="41" t="s">
        <v>75</v>
      </c>
      <c r="P197" s="41">
        <f>HEX2DEC(RIGHT(Table13232127[[#This Row],[h1]],8))</f>
        <v>0</v>
      </c>
      <c r="Q197" s="41" t="s">
        <v>75</v>
      </c>
      <c r="R197" s="41">
        <f>HEX2DEC(RIGHT(Table13232127[[#This Row],[h2]],8))</f>
        <v>0</v>
      </c>
    </row>
    <row r="198" spans="1:18">
      <c r="A198" s="15" t="str">
        <f t="shared" si="7"/>
        <v>0BC</v>
      </c>
      <c r="B198" s="15">
        <v>188</v>
      </c>
      <c r="C198" s="38"/>
      <c r="D198" s="15" t="s">
        <v>261</v>
      </c>
      <c r="E198" s="51">
        <v>1</v>
      </c>
      <c r="F198" s="51">
        <v>7</v>
      </c>
      <c r="G198" s="50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1" t="s">
        <v>75</v>
      </c>
      <c r="P198" s="41">
        <f>HEX2DEC(RIGHT(Table13232127[[#This Row],[h1]],8))</f>
        <v>0</v>
      </c>
      <c r="Q198" s="41" t="s">
        <v>75</v>
      </c>
      <c r="R198" s="41">
        <f>HEX2DEC(RIGHT(Table13232127[[#This Row],[h2]],8))</f>
        <v>0</v>
      </c>
    </row>
    <row r="199" spans="1:18">
      <c r="A199" s="15" t="str">
        <f t="shared" si="7"/>
        <v>0BD</v>
      </c>
      <c r="B199" s="15">
        <v>189</v>
      </c>
      <c r="C199" s="38"/>
      <c r="D199" s="15" t="s">
        <v>262</v>
      </c>
      <c r="E199" s="51">
        <v>1</v>
      </c>
      <c r="F199" s="51">
        <v>8</v>
      </c>
      <c r="G199" s="50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62499999</v>
      </c>
      <c r="I199" s="27">
        <v>3</v>
      </c>
      <c r="J199" s="27">
        <v>50000</v>
      </c>
      <c r="L199" s="27"/>
      <c r="M199" s="27">
        <v>50000</v>
      </c>
      <c r="O199" s="41" t="s">
        <v>75</v>
      </c>
      <c r="P199" s="41">
        <f>HEX2DEC(RIGHT(Table13232127[[#This Row],[h1]],8))</f>
        <v>0</v>
      </c>
      <c r="Q199" s="41" t="s">
        <v>75</v>
      </c>
      <c r="R199" s="41">
        <f>HEX2DEC(RIGHT(Table13232127[[#This Row],[h2]],8))</f>
        <v>0</v>
      </c>
    </row>
    <row r="200" spans="1:18">
      <c r="A200" s="15" t="str">
        <f t="shared" si="7"/>
        <v>0BE</v>
      </c>
      <c r="B200" s="15">
        <v>190</v>
      </c>
      <c r="C200" s="38"/>
      <c r="D200" s="15" t="s">
        <v>263</v>
      </c>
      <c r="E200" s="51">
        <v>1</v>
      </c>
      <c r="F200" s="51">
        <v>9</v>
      </c>
      <c r="G200" s="50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62499999</v>
      </c>
      <c r="I200" s="27">
        <v>1</v>
      </c>
      <c r="J200" s="27">
        <v>50000</v>
      </c>
      <c r="L200" s="27"/>
      <c r="M200" s="27">
        <v>50000</v>
      </c>
      <c r="O200" s="41" t="s">
        <v>75</v>
      </c>
      <c r="P200" s="41">
        <f>HEX2DEC(RIGHT(Table13232127[[#This Row],[h1]],8))</f>
        <v>0</v>
      </c>
      <c r="Q200" s="41" t="s">
        <v>75</v>
      </c>
      <c r="R200" s="41">
        <f>HEX2DEC(RIGHT(Table13232127[[#This Row],[h2]],8))</f>
        <v>0</v>
      </c>
    </row>
    <row r="201" spans="1:18">
      <c r="A201" s="15" t="str">
        <f t="shared" si="7"/>
        <v>0BF</v>
      </c>
      <c r="B201" s="15">
        <v>191</v>
      </c>
      <c r="C201" s="38"/>
      <c r="D201" s="15" t="s">
        <v>264</v>
      </c>
      <c r="E201" s="51">
        <v>1</v>
      </c>
      <c r="F201" s="51">
        <v>10</v>
      </c>
      <c r="G201" s="50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62499999</v>
      </c>
      <c r="I201" s="27">
        <v>2</v>
      </c>
      <c r="J201" s="27">
        <v>50000</v>
      </c>
      <c r="L201" s="27"/>
      <c r="M201" s="27">
        <v>50000</v>
      </c>
      <c r="O201" s="41" t="s">
        <v>75</v>
      </c>
      <c r="P201" s="41">
        <f>HEX2DEC(RIGHT(Table13232127[[#This Row],[h1]],8))</f>
        <v>0</v>
      </c>
      <c r="Q201" s="41" t="s">
        <v>75</v>
      </c>
      <c r="R201" s="41">
        <f>HEX2DEC(RIGHT(Table13232127[[#This Row],[h2]],8))</f>
        <v>0</v>
      </c>
    </row>
    <row r="202" spans="1:18">
      <c r="A202" s="15" t="str">
        <f t="shared" si="7"/>
        <v>0C0</v>
      </c>
      <c r="B202" s="15">
        <v>192</v>
      </c>
      <c r="C202" s="38"/>
      <c r="D202" s="15" t="s">
        <v>265</v>
      </c>
      <c r="E202" s="51">
        <v>1</v>
      </c>
      <c r="F202" s="51">
        <v>11</v>
      </c>
      <c r="G202" s="50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1" t="s">
        <v>75</v>
      </c>
      <c r="P202" s="41">
        <f>HEX2DEC(RIGHT(Table13232127[[#This Row],[h1]],8))</f>
        <v>0</v>
      </c>
      <c r="Q202" s="41" t="s">
        <v>75</v>
      </c>
      <c r="R202" s="41">
        <f>HEX2DEC(RIGHT(Table13232127[[#This Row],[h2]],8))</f>
        <v>0</v>
      </c>
    </row>
    <row r="203" spans="1:18">
      <c r="A203" s="15" t="str">
        <f t="shared" ref="A203:A266" si="8">DEC2HEX(B203,3)</f>
        <v>0C1</v>
      </c>
      <c r="B203" s="15">
        <v>193</v>
      </c>
      <c r="C203" s="38"/>
      <c r="D203" s="15" t="s">
        <v>266</v>
      </c>
      <c r="E203" s="51">
        <v>1</v>
      </c>
      <c r="F203" s="51">
        <v>12</v>
      </c>
      <c r="G203" s="50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62499999</v>
      </c>
      <c r="I203" s="27">
        <v>4</v>
      </c>
      <c r="J203" s="27">
        <v>50000</v>
      </c>
      <c r="L203" s="27"/>
      <c r="M203" s="27">
        <v>50000</v>
      </c>
      <c r="O203" s="41" t="s">
        <v>75</v>
      </c>
      <c r="P203" s="41">
        <f>HEX2DEC(RIGHT(Table13232127[[#This Row],[h1]],8))</f>
        <v>0</v>
      </c>
      <c r="Q203" s="41" t="s">
        <v>75</v>
      </c>
      <c r="R203" s="41">
        <f>HEX2DEC(RIGHT(Table13232127[[#This Row],[h2]],8))</f>
        <v>0</v>
      </c>
    </row>
    <row r="204" spans="1:18">
      <c r="A204" s="15" t="str">
        <f t="shared" si="8"/>
        <v>0C2</v>
      </c>
      <c r="B204" s="15">
        <v>194</v>
      </c>
      <c r="C204" s="38"/>
      <c r="D204" s="15" t="s">
        <v>267</v>
      </c>
      <c r="E204" s="51">
        <v>1</v>
      </c>
      <c r="F204" s="51">
        <v>13</v>
      </c>
      <c r="G204" s="50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1" t="s">
        <v>75</v>
      </c>
      <c r="P204" s="41">
        <f>HEX2DEC(RIGHT(Table13232127[[#This Row],[h1]],8))</f>
        <v>0</v>
      </c>
      <c r="Q204" s="41" t="s">
        <v>75</v>
      </c>
      <c r="R204" s="41">
        <f>HEX2DEC(RIGHT(Table13232127[[#This Row],[h2]],8))</f>
        <v>0</v>
      </c>
    </row>
    <row r="205" spans="1:18">
      <c r="A205" s="15" t="str">
        <f t="shared" si="8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1" t="s">
        <v>75</v>
      </c>
      <c r="P205" s="41">
        <f>HEX2DEC(RIGHT(Table13232127[[#This Row],[h1]],8))</f>
        <v>0</v>
      </c>
      <c r="Q205" s="41" t="s">
        <v>75</v>
      </c>
      <c r="R205" s="41">
        <f>HEX2DEC(RIGHT(Table13232127[[#This Row],[h2]],8))</f>
        <v>0</v>
      </c>
    </row>
    <row r="206" spans="1:18">
      <c r="A206" s="15" t="str">
        <f t="shared" si="8"/>
        <v>0C4</v>
      </c>
      <c r="B206" s="15">
        <v>196</v>
      </c>
      <c r="C206" s="38"/>
      <c r="D206" s="15" t="s">
        <v>268</v>
      </c>
      <c r="G206" s="29" t="s">
        <v>12</v>
      </c>
      <c r="I206" s="27">
        <v>1</v>
      </c>
      <c r="J206" s="27">
        <v>50000</v>
      </c>
      <c r="L206" s="27"/>
      <c r="M206" s="27">
        <v>50000</v>
      </c>
      <c r="O206" s="41" t="s">
        <v>75</v>
      </c>
      <c r="P206" s="41">
        <f>HEX2DEC(RIGHT(Table13232127[[#This Row],[h1]],8))</f>
        <v>0</v>
      </c>
      <c r="Q206" s="41" t="s">
        <v>75</v>
      </c>
      <c r="R206" s="41">
        <f>HEX2DEC(RIGHT(Table13232127[[#This Row],[h2]],8))</f>
        <v>0</v>
      </c>
    </row>
    <row r="207" spans="1:18">
      <c r="A207" s="15" t="str">
        <f t="shared" si="8"/>
        <v>0C5</v>
      </c>
      <c r="B207" s="15">
        <v>197</v>
      </c>
      <c r="C207" s="38"/>
      <c r="D207" s="15" t="s">
        <v>269</v>
      </c>
      <c r="G207" s="29" t="s">
        <v>13</v>
      </c>
      <c r="I207" s="27">
        <v>3</v>
      </c>
      <c r="J207" s="27">
        <v>50000</v>
      </c>
      <c r="L207" s="27"/>
      <c r="M207" s="27">
        <v>50000</v>
      </c>
      <c r="O207" s="41" t="s">
        <v>75</v>
      </c>
      <c r="P207" s="41">
        <f>HEX2DEC(RIGHT(Table13232127[[#This Row],[h1]],8))</f>
        <v>0</v>
      </c>
      <c r="Q207" s="41" t="s">
        <v>75</v>
      </c>
      <c r="R207" s="41">
        <f>HEX2DEC(RIGHT(Table13232127[[#This Row],[h2]],8))</f>
        <v>0</v>
      </c>
    </row>
    <row r="208" spans="1:18">
      <c r="A208" s="15" t="str">
        <f t="shared" si="8"/>
        <v>0C6</v>
      </c>
      <c r="B208" s="15">
        <v>198</v>
      </c>
      <c r="C208" s="38"/>
      <c r="D208" s="15" t="s">
        <v>270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41" t="s">
        <v>75</v>
      </c>
      <c r="P208" s="41">
        <f>HEX2DEC(RIGHT(Table13232127[[#This Row],[h1]],8))</f>
        <v>0</v>
      </c>
      <c r="Q208" s="41" t="s">
        <v>75</v>
      </c>
      <c r="R208" s="41">
        <f>HEX2DEC(RIGHT(Table13232127[[#This Row],[h2]],8))</f>
        <v>0</v>
      </c>
    </row>
    <row r="209" spans="1:18">
      <c r="A209" s="15" t="str">
        <f t="shared" si="8"/>
        <v>0C7</v>
      </c>
      <c r="B209" s="15">
        <v>199</v>
      </c>
      <c r="C209" s="38"/>
      <c r="D209" s="15" t="s">
        <v>271</v>
      </c>
      <c r="G209" s="29" t="s">
        <v>15</v>
      </c>
      <c r="I209" s="27">
        <v>2</v>
      </c>
      <c r="J209" s="27">
        <v>50000</v>
      </c>
      <c r="L209" s="27"/>
      <c r="M209" s="27">
        <v>50000</v>
      </c>
      <c r="O209" s="41" t="s">
        <v>75</v>
      </c>
      <c r="P209" s="41">
        <f>HEX2DEC(RIGHT(Table13232127[[#This Row],[h1]],8))</f>
        <v>0</v>
      </c>
      <c r="Q209" s="41" t="s">
        <v>75</v>
      </c>
      <c r="R209" s="41">
        <f>HEX2DEC(RIGHT(Table13232127[[#This Row],[h2]],8))</f>
        <v>0</v>
      </c>
    </row>
    <row r="210" spans="1:18">
      <c r="A210" s="15" t="str">
        <f t="shared" si="8"/>
        <v>0C8</v>
      </c>
      <c r="B210" s="15">
        <v>200</v>
      </c>
      <c r="C210" s="38"/>
      <c r="D210" s="15" t="s">
        <v>272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1" t="s">
        <v>75</v>
      </c>
      <c r="P210" s="41">
        <f>HEX2DEC(RIGHT(Table13232127[[#This Row],[h1]],8))</f>
        <v>0</v>
      </c>
      <c r="Q210" s="41" t="s">
        <v>75</v>
      </c>
      <c r="R210" s="41">
        <f>HEX2DEC(RIGHT(Table13232127[[#This Row],[h2]],8))</f>
        <v>0</v>
      </c>
    </row>
    <row r="211" spans="1:18">
      <c r="A211" s="15" t="str">
        <f t="shared" si="8"/>
        <v>0C9</v>
      </c>
      <c r="B211" s="15">
        <v>201</v>
      </c>
      <c r="C211" s="38"/>
      <c r="D211" s="15" t="s">
        <v>273</v>
      </c>
      <c r="G211" s="29" t="s">
        <v>41</v>
      </c>
      <c r="I211" s="27">
        <v>3</v>
      </c>
      <c r="J211" s="27">
        <v>50000</v>
      </c>
      <c r="L211" s="27"/>
      <c r="M211" s="27">
        <v>50000</v>
      </c>
      <c r="O211" s="41" t="s">
        <v>75</v>
      </c>
      <c r="P211" s="41">
        <f>HEX2DEC(RIGHT(Table13232127[[#This Row],[h1]],8))</f>
        <v>0</v>
      </c>
      <c r="Q211" s="41" t="s">
        <v>75</v>
      </c>
      <c r="R211" s="41">
        <f>HEX2DEC(RIGHT(Table13232127[[#This Row],[h2]],8))</f>
        <v>0</v>
      </c>
    </row>
    <row r="212" spans="1:18">
      <c r="A212" s="15" t="str">
        <f t="shared" si="8"/>
        <v>0CA</v>
      </c>
      <c r="B212" s="15">
        <v>202</v>
      </c>
      <c r="C212" s="38"/>
      <c r="D212" s="15" t="s">
        <v>274</v>
      </c>
      <c r="G212" s="29" t="s">
        <v>41</v>
      </c>
      <c r="I212" s="27">
        <v>1</v>
      </c>
      <c r="J212" s="27">
        <v>50000</v>
      </c>
      <c r="L212" s="27"/>
      <c r="M212" s="27">
        <v>50000</v>
      </c>
      <c r="O212" s="41" t="s">
        <v>75</v>
      </c>
      <c r="P212" s="41">
        <f>HEX2DEC(RIGHT(Table13232127[[#This Row],[h1]],8))</f>
        <v>0</v>
      </c>
      <c r="Q212" s="41" t="s">
        <v>75</v>
      </c>
      <c r="R212" s="41">
        <f>HEX2DEC(RIGHT(Table13232127[[#This Row],[h2]],8))</f>
        <v>0</v>
      </c>
    </row>
    <row r="213" spans="1:18">
      <c r="A213" s="15" t="str">
        <f t="shared" si="8"/>
        <v>0CB</v>
      </c>
      <c r="B213" s="15">
        <v>203</v>
      </c>
      <c r="C213" s="38"/>
      <c r="D213" s="15" t="s">
        <v>275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1" t="s">
        <v>75</v>
      </c>
      <c r="P213" s="41">
        <f>HEX2DEC(RIGHT(Table13232127[[#This Row],[h1]],8))</f>
        <v>0</v>
      </c>
      <c r="Q213" s="41" t="s">
        <v>75</v>
      </c>
      <c r="R213" s="41">
        <f>HEX2DEC(RIGHT(Table13232127[[#This Row],[h2]],8))</f>
        <v>0</v>
      </c>
    </row>
    <row r="214" spans="1:18">
      <c r="A214" s="15" t="str">
        <f t="shared" si="8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1" t="s">
        <v>75</v>
      </c>
      <c r="P214" s="41">
        <f>HEX2DEC(RIGHT(Table13232127[[#This Row],[h1]],8))</f>
        <v>0</v>
      </c>
      <c r="Q214" s="41" t="s">
        <v>75</v>
      </c>
      <c r="R214" s="41">
        <f>HEX2DEC(RIGHT(Table13232127[[#This Row],[h2]],8))</f>
        <v>0</v>
      </c>
    </row>
    <row r="215" spans="1:18">
      <c r="A215" s="15" t="str">
        <f t="shared" si="8"/>
        <v>0CD</v>
      </c>
      <c r="B215" s="15">
        <v>205</v>
      </c>
      <c r="C215" s="38"/>
      <c r="I215" s="27">
        <v>4</v>
      </c>
      <c r="J215" s="27">
        <v>50000</v>
      </c>
      <c r="L215" s="27"/>
      <c r="M215" s="27">
        <v>50000</v>
      </c>
      <c r="O215" s="41" t="s">
        <v>75</v>
      </c>
      <c r="P215" s="41">
        <f>HEX2DEC(RIGHT(Table13232127[[#This Row],[h1]],8))</f>
        <v>0</v>
      </c>
      <c r="Q215" s="41" t="s">
        <v>75</v>
      </c>
      <c r="R215" s="41">
        <f>HEX2DEC(RIGHT(Table13232127[[#This Row],[h2]],8))</f>
        <v>0</v>
      </c>
    </row>
    <row r="216" spans="1:18">
      <c r="A216" s="15" t="str">
        <f t="shared" si="8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1" t="s">
        <v>75</v>
      </c>
      <c r="P216" s="41">
        <f>HEX2DEC(RIGHT(Table13232127[[#This Row],[h1]],8))</f>
        <v>0</v>
      </c>
      <c r="Q216" s="41" t="s">
        <v>75</v>
      </c>
      <c r="R216" s="41">
        <f>HEX2DEC(RIGHT(Table13232127[[#This Row],[h2]],8))</f>
        <v>0</v>
      </c>
    </row>
    <row r="217" spans="1:18">
      <c r="A217" s="15" t="str">
        <f t="shared" si="8"/>
        <v>0CF</v>
      </c>
      <c r="B217" s="15">
        <v>207</v>
      </c>
      <c r="C217" s="38"/>
      <c r="F217" s="25"/>
      <c r="G217" s="56" t="s">
        <v>48</v>
      </c>
      <c r="I217" s="27">
        <v>2</v>
      </c>
      <c r="J217" s="27">
        <v>50000</v>
      </c>
      <c r="L217" s="27"/>
      <c r="M217" s="27">
        <v>50000</v>
      </c>
      <c r="O217" s="41" t="s">
        <v>75</v>
      </c>
      <c r="P217" s="41">
        <f>HEX2DEC(RIGHT(Table13232127[[#This Row],[h1]],8))</f>
        <v>0</v>
      </c>
      <c r="Q217" s="41" t="s">
        <v>75</v>
      </c>
      <c r="R217" s="41">
        <f>HEX2DEC(RIGHT(Table13232127[[#This Row],[h2]],8))</f>
        <v>0</v>
      </c>
    </row>
    <row r="218" spans="1:18">
      <c r="A218" s="15" t="str">
        <f t="shared" si="8"/>
        <v>0D0</v>
      </c>
      <c r="B218" s="15">
        <v>208</v>
      </c>
      <c r="C218" s="38"/>
      <c r="D218" s="15" t="s">
        <v>276</v>
      </c>
      <c r="F218" s="25"/>
      <c r="G218" s="29">
        <v>-1</v>
      </c>
      <c r="I218" s="27">
        <v>1</v>
      </c>
      <c r="J218" s="27">
        <v>50000</v>
      </c>
      <c r="L218" s="27"/>
      <c r="M218" s="27">
        <v>50000</v>
      </c>
      <c r="O218" s="41" t="s">
        <v>75</v>
      </c>
      <c r="P218" s="41">
        <f>HEX2DEC(RIGHT(Table13232127[[#This Row],[h1]],8))</f>
        <v>0</v>
      </c>
      <c r="Q218" s="41" t="s">
        <v>75</v>
      </c>
      <c r="R218" s="41">
        <f>HEX2DEC(RIGHT(Table13232127[[#This Row],[h2]],8))</f>
        <v>0</v>
      </c>
    </row>
    <row r="219" spans="1:18">
      <c r="A219" s="15" t="str">
        <f t="shared" si="8"/>
        <v>0D1</v>
      </c>
      <c r="B219" s="15">
        <v>209</v>
      </c>
      <c r="C219" s="38"/>
      <c r="D219" s="15" t="s">
        <v>277</v>
      </c>
      <c r="G219" s="29">
        <v>0</v>
      </c>
      <c r="I219" s="27">
        <v>3</v>
      </c>
      <c r="J219" s="27">
        <v>50000</v>
      </c>
      <c r="L219" s="27"/>
      <c r="M219" s="27">
        <v>50000</v>
      </c>
      <c r="O219" s="41" t="s">
        <v>75</v>
      </c>
      <c r="P219" s="41">
        <f>HEX2DEC(RIGHT(Table13232127[[#This Row],[h1]],8))</f>
        <v>0</v>
      </c>
      <c r="Q219" s="41" t="s">
        <v>75</v>
      </c>
      <c r="R219" s="41">
        <f>HEX2DEC(RIGHT(Table13232127[[#This Row],[h2]],8))</f>
        <v>0</v>
      </c>
    </row>
    <row r="220" spans="1:18">
      <c r="A220" s="15" t="str">
        <f t="shared" si="8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1" t="s">
        <v>75</v>
      </c>
      <c r="P220" s="41">
        <f>HEX2DEC(RIGHT(Table13232127[[#This Row],[h1]],8))</f>
        <v>0</v>
      </c>
      <c r="Q220" s="41" t="s">
        <v>75</v>
      </c>
      <c r="R220" s="41">
        <f>HEX2DEC(RIGHT(Table13232127[[#This Row],[h2]],8))</f>
        <v>0</v>
      </c>
    </row>
    <row r="221" spans="1:18">
      <c r="A221" s="15" t="str">
        <f t="shared" si="8"/>
        <v>0D3</v>
      </c>
      <c r="B221" s="15">
        <v>211</v>
      </c>
      <c r="C221" s="38"/>
      <c r="D221" s="15" t="s">
        <v>278</v>
      </c>
      <c r="G221" s="29" t="s">
        <v>80</v>
      </c>
      <c r="I221" s="27">
        <v>2</v>
      </c>
      <c r="J221" s="27">
        <v>50000</v>
      </c>
      <c r="L221" s="27"/>
      <c r="M221" s="27">
        <v>50000</v>
      </c>
      <c r="O221" s="41" t="s">
        <v>75</v>
      </c>
      <c r="P221" s="41">
        <f>HEX2DEC(RIGHT(Table13232127[[#This Row],[h1]],8))</f>
        <v>0</v>
      </c>
      <c r="Q221" s="41" t="s">
        <v>75</v>
      </c>
      <c r="R221" s="41">
        <f>HEX2DEC(RIGHT(Table13232127[[#This Row],[h2]],8))</f>
        <v>0</v>
      </c>
    </row>
    <row r="222" spans="1:18">
      <c r="A222" s="15" t="str">
        <f t="shared" si="8"/>
        <v>0D4</v>
      </c>
      <c r="B222" s="15">
        <v>212</v>
      </c>
      <c r="C222" s="38"/>
      <c r="D222" s="15" t="s">
        <v>279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1" t="s">
        <v>75</v>
      </c>
      <c r="P222" s="41">
        <f>HEX2DEC(RIGHT(Table13232127[[#This Row],[h1]],8))</f>
        <v>0</v>
      </c>
      <c r="Q222" s="41" t="s">
        <v>75</v>
      </c>
      <c r="R222" s="41">
        <f>HEX2DEC(RIGHT(Table13232127[[#This Row],[h2]],8))</f>
        <v>0</v>
      </c>
    </row>
    <row r="223" spans="1:18">
      <c r="A223" s="15" t="str">
        <f t="shared" si="8"/>
        <v>0D5</v>
      </c>
      <c r="B223" s="15">
        <v>213</v>
      </c>
      <c r="C223" s="38"/>
      <c r="G223" s="48"/>
      <c r="I223" s="27">
        <v>3</v>
      </c>
      <c r="J223" s="27">
        <v>50000</v>
      </c>
      <c r="L223" s="27"/>
      <c r="M223" s="27">
        <v>50000</v>
      </c>
      <c r="O223" s="41" t="s">
        <v>75</v>
      </c>
      <c r="P223" s="41">
        <f>HEX2DEC(RIGHT(Table13232127[[#This Row],[h1]],8))</f>
        <v>0</v>
      </c>
      <c r="Q223" s="41" t="s">
        <v>75</v>
      </c>
      <c r="R223" s="41">
        <f>HEX2DEC(RIGHT(Table13232127[[#This Row],[h2]],8))</f>
        <v>0</v>
      </c>
    </row>
    <row r="224" spans="1:18">
      <c r="A224" s="15" t="str">
        <f t="shared" si="8"/>
        <v>0D6</v>
      </c>
      <c r="B224" s="15">
        <v>214</v>
      </c>
      <c r="C224" s="38"/>
      <c r="E224" s="48"/>
      <c r="F224" s="29" t="s">
        <v>23</v>
      </c>
      <c r="G224" s="18"/>
      <c r="I224" s="27">
        <v>1</v>
      </c>
      <c r="J224" s="27">
        <v>50000</v>
      </c>
      <c r="L224" s="27"/>
      <c r="M224" s="27">
        <v>50000</v>
      </c>
      <c r="O224" s="41" t="s">
        <v>75</v>
      </c>
      <c r="P224" s="41">
        <f>HEX2DEC(RIGHT(Table13232127[[#This Row],[h1]],8))</f>
        <v>0</v>
      </c>
      <c r="Q224" s="41" t="s">
        <v>75</v>
      </c>
      <c r="R224" s="41">
        <f>HEX2DEC(RIGHT(Table13232127[[#This Row],[h2]],8))</f>
        <v>0</v>
      </c>
    </row>
    <row r="225" spans="1:18">
      <c r="A225" s="15" t="str">
        <f t="shared" si="8"/>
        <v>0D7</v>
      </c>
      <c r="B225" s="15">
        <v>215</v>
      </c>
      <c r="C225" s="38"/>
      <c r="D225" s="15" t="s">
        <v>280</v>
      </c>
      <c r="E225" s="18" t="s">
        <v>53</v>
      </c>
      <c r="F225" s="29"/>
      <c r="G225" s="18">
        <f>IF(Table131925[[#This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1" t="s">
        <v>75</v>
      </c>
      <c r="P225" s="41">
        <f>HEX2DEC(RIGHT(Table13232127[[#This Row],[h1]],8))</f>
        <v>0</v>
      </c>
      <c r="Q225" s="41" t="s">
        <v>75</v>
      </c>
      <c r="R225" s="41">
        <f>HEX2DEC(RIGHT(Table13232127[[#This Row],[h2]],8))</f>
        <v>0</v>
      </c>
    </row>
    <row r="226" spans="1:18">
      <c r="A226" s="15" t="str">
        <f t="shared" si="8"/>
        <v>0D8</v>
      </c>
      <c r="B226" s="15">
        <v>216</v>
      </c>
      <c r="C226" s="38"/>
      <c r="D226" s="15" t="s">
        <v>281</v>
      </c>
      <c r="E226" s="18" t="s">
        <v>54</v>
      </c>
      <c r="F226" s="29"/>
      <c r="G226" s="18">
        <f>IF(Table131925[[#This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1" t="s">
        <v>75</v>
      </c>
      <c r="P226" s="41">
        <f>HEX2DEC(RIGHT(Table13232127[[#This Row],[h1]],8))</f>
        <v>0</v>
      </c>
      <c r="Q226" s="41" t="s">
        <v>75</v>
      </c>
      <c r="R226" s="41">
        <f>HEX2DEC(RIGHT(Table13232127[[#This Row],[h2]],8))</f>
        <v>0</v>
      </c>
    </row>
    <row r="227" spans="1:18">
      <c r="A227" s="15" t="str">
        <f t="shared" si="8"/>
        <v>0D9</v>
      </c>
      <c r="B227" s="15">
        <v>217</v>
      </c>
      <c r="C227" s="38"/>
      <c r="D227" s="15" t="s">
        <v>282</v>
      </c>
      <c r="E227" s="18" t="s">
        <v>55</v>
      </c>
      <c r="F227" s="29"/>
      <c r="G227" s="18">
        <f>IF(Table131925[[#This Row],[dec val]]="",0,1)</f>
        <v>0</v>
      </c>
      <c r="I227" s="27">
        <v>4</v>
      </c>
      <c r="J227" s="27">
        <v>50000</v>
      </c>
      <c r="L227" s="27"/>
      <c r="M227" s="27">
        <v>50000</v>
      </c>
      <c r="O227" s="41" t="s">
        <v>75</v>
      </c>
      <c r="P227" s="41">
        <f>HEX2DEC(RIGHT(Table13232127[[#This Row],[h1]],8))</f>
        <v>0</v>
      </c>
      <c r="Q227" s="41" t="s">
        <v>75</v>
      </c>
      <c r="R227" s="41">
        <f>HEX2DEC(RIGHT(Table13232127[[#This Row],[h2]],8))</f>
        <v>0</v>
      </c>
    </row>
    <row r="228" spans="1:18">
      <c r="A228" s="15" t="str">
        <f t="shared" si="8"/>
        <v>0DA</v>
      </c>
      <c r="B228" s="15">
        <v>218</v>
      </c>
      <c r="C228" s="38"/>
      <c r="D228" s="15" t="s">
        <v>283</v>
      </c>
      <c r="E228" s="18" t="s">
        <v>56</v>
      </c>
      <c r="F228" s="29"/>
      <c r="G228" s="18">
        <f>IF(Table131925[[#This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1" t="s">
        <v>75</v>
      </c>
      <c r="P228" s="41">
        <f>HEX2DEC(RIGHT(Table13232127[[#This Row],[h1]],8))</f>
        <v>0</v>
      </c>
      <c r="Q228" s="41" t="s">
        <v>75</v>
      </c>
      <c r="R228" s="41">
        <f>HEX2DEC(RIGHT(Table13232127[[#This Row],[h2]],8))</f>
        <v>0</v>
      </c>
    </row>
    <row r="229" spans="1:18">
      <c r="A229" s="15" t="str">
        <f t="shared" si="8"/>
        <v>0DB</v>
      </c>
      <c r="B229" s="15">
        <v>219</v>
      </c>
      <c r="C229" s="38"/>
      <c r="D229" s="15" t="s">
        <v>284</v>
      </c>
      <c r="E229" s="18" t="s">
        <v>57</v>
      </c>
      <c r="F229" s="29"/>
      <c r="G229" s="18">
        <f>IF(Table131925[[#This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1" t="s">
        <v>75</v>
      </c>
      <c r="P229" s="41">
        <f>HEX2DEC(RIGHT(Table13232127[[#This Row],[h1]],8))</f>
        <v>0</v>
      </c>
      <c r="Q229" s="41" t="s">
        <v>75</v>
      </c>
      <c r="R229" s="41">
        <f>HEX2DEC(RIGHT(Table13232127[[#This Row],[h2]],8))</f>
        <v>0</v>
      </c>
    </row>
    <row r="230" spans="1:18">
      <c r="A230" s="15" t="str">
        <f t="shared" si="8"/>
        <v>0DC</v>
      </c>
      <c r="B230" s="15">
        <v>220</v>
      </c>
      <c r="C230" s="38"/>
      <c r="D230" s="15" t="s">
        <v>285</v>
      </c>
      <c r="E230" s="18" t="s">
        <v>58</v>
      </c>
      <c r="F230" s="29"/>
      <c r="G230" s="18">
        <f>IF(Table131925[[#This Row],[dec val]]="",0,1)</f>
        <v>0</v>
      </c>
      <c r="I230" s="27">
        <v>1</v>
      </c>
      <c r="J230" s="27">
        <v>50000</v>
      </c>
      <c r="L230" s="27"/>
      <c r="M230" s="27">
        <v>50000</v>
      </c>
      <c r="O230" s="41" t="s">
        <v>75</v>
      </c>
      <c r="P230" s="41">
        <f>HEX2DEC(RIGHT(Table13232127[[#This Row],[h1]],8))</f>
        <v>0</v>
      </c>
      <c r="Q230" s="41" t="s">
        <v>75</v>
      </c>
      <c r="R230" s="41">
        <f>HEX2DEC(RIGHT(Table13232127[[#This Row],[h2]],8))</f>
        <v>0</v>
      </c>
    </row>
    <row r="231" spans="1:18">
      <c r="A231" s="15" t="str">
        <f t="shared" si="8"/>
        <v>0DD</v>
      </c>
      <c r="B231" s="15">
        <v>221</v>
      </c>
      <c r="C231" s="38"/>
      <c r="D231" s="15" t="s">
        <v>286</v>
      </c>
      <c r="E231" s="18" t="s">
        <v>59</v>
      </c>
      <c r="F231" s="29"/>
      <c r="G231" s="18">
        <f>IF(Table131925[[#This Row],[dec val]]="",0,1)</f>
        <v>0</v>
      </c>
      <c r="I231" s="27">
        <v>3</v>
      </c>
      <c r="J231" s="27">
        <v>50000</v>
      </c>
      <c r="L231" s="27"/>
      <c r="M231" s="27">
        <v>50000</v>
      </c>
      <c r="O231" s="41" t="s">
        <v>75</v>
      </c>
      <c r="P231" s="41">
        <f>HEX2DEC(RIGHT(Table13232127[[#This Row],[h1]],8))</f>
        <v>0</v>
      </c>
      <c r="Q231" s="41" t="s">
        <v>75</v>
      </c>
      <c r="R231" s="41">
        <f>HEX2DEC(RIGHT(Table13232127[[#This Row],[h2]],8))</f>
        <v>0</v>
      </c>
    </row>
    <row r="232" spans="1:18">
      <c r="A232" s="15" t="str">
        <f t="shared" si="8"/>
        <v>0DE</v>
      </c>
      <c r="B232" s="15">
        <v>222</v>
      </c>
      <c r="C232" s="38"/>
      <c r="D232" s="15" t="s">
        <v>287</v>
      </c>
      <c r="E232" s="18" t="s">
        <v>60</v>
      </c>
      <c r="F232" s="29"/>
      <c r="G232" s="18">
        <f>IF(Table131925[[#This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1" t="s">
        <v>75</v>
      </c>
      <c r="P232" s="41">
        <f>HEX2DEC(RIGHT(Table13232127[[#This Row],[h1]],8))</f>
        <v>0</v>
      </c>
      <c r="Q232" s="41" t="s">
        <v>75</v>
      </c>
      <c r="R232" s="41">
        <f>HEX2DEC(RIGHT(Table13232127[[#This Row],[h2]],8))</f>
        <v>0</v>
      </c>
    </row>
    <row r="233" spans="1:18">
      <c r="A233" s="15" t="str">
        <f t="shared" si="8"/>
        <v>0DF</v>
      </c>
      <c r="B233" s="15">
        <v>223</v>
      </c>
      <c r="C233" s="38"/>
      <c r="D233" s="15" t="s">
        <v>288</v>
      </c>
      <c r="E233" s="18" t="s">
        <v>61</v>
      </c>
      <c r="F233" s="29"/>
      <c r="G233" s="18">
        <f>IF(Table131925[[#This Row],[dec val]]="",0,1)</f>
        <v>0</v>
      </c>
      <c r="I233" s="27">
        <v>2</v>
      </c>
      <c r="J233" s="27">
        <v>50000</v>
      </c>
      <c r="L233" s="27"/>
      <c r="M233" s="27">
        <v>50000</v>
      </c>
      <c r="O233" s="41" t="s">
        <v>75</v>
      </c>
      <c r="P233" s="41">
        <f>HEX2DEC(RIGHT(Table13232127[[#This Row],[h1]],8))</f>
        <v>0</v>
      </c>
      <c r="Q233" s="41" t="s">
        <v>75</v>
      </c>
      <c r="R233" s="41">
        <f>HEX2DEC(RIGHT(Table13232127[[#This Row],[h2]],8))</f>
        <v>0</v>
      </c>
    </row>
    <row r="234" spans="1:18">
      <c r="A234" s="15" t="str">
        <f t="shared" si="8"/>
        <v>0E0</v>
      </c>
      <c r="B234" s="15">
        <v>224</v>
      </c>
      <c r="C234" s="38"/>
      <c r="D234" s="15" t="s">
        <v>289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1" t="s">
        <v>75</v>
      </c>
      <c r="P234" s="41">
        <f>HEX2DEC(RIGHT(Table13232127[[#This Row],[h1]],8))</f>
        <v>0</v>
      </c>
      <c r="Q234" s="41" t="s">
        <v>75</v>
      </c>
      <c r="R234" s="41">
        <f>HEX2DEC(RIGHT(Table13232127[[#This Row],[h2]],8))</f>
        <v>0</v>
      </c>
    </row>
    <row r="235" spans="1:18">
      <c r="A235" s="15" t="str">
        <f t="shared" si="8"/>
        <v>0E1</v>
      </c>
      <c r="B235" s="15">
        <v>225</v>
      </c>
      <c r="C235" s="38"/>
      <c r="D235" s="15" t="s">
        <v>290</v>
      </c>
      <c r="E235" s="18" t="s">
        <v>63</v>
      </c>
      <c r="F235" s="29"/>
      <c r="G235" s="18">
        <f>IF(Table131925[[#This Row],[dec val]]="",0,1)</f>
        <v>0</v>
      </c>
      <c r="I235" s="27">
        <v>3</v>
      </c>
      <c r="J235" s="27">
        <v>50000</v>
      </c>
      <c r="L235" s="27"/>
      <c r="M235" s="27">
        <v>50000</v>
      </c>
      <c r="O235" s="41" t="s">
        <v>75</v>
      </c>
      <c r="P235" s="41">
        <f>HEX2DEC(RIGHT(Table13232127[[#This Row],[h1]],8))</f>
        <v>0</v>
      </c>
      <c r="Q235" s="41" t="s">
        <v>75</v>
      </c>
      <c r="R235" s="41">
        <f>HEX2DEC(RIGHT(Table13232127[[#This Row],[h2]],8))</f>
        <v>0</v>
      </c>
    </row>
    <row r="236" spans="1:18">
      <c r="A236" s="15" t="str">
        <f t="shared" si="8"/>
        <v>0E2</v>
      </c>
      <c r="B236" s="15">
        <v>226</v>
      </c>
      <c r="C236" s="38"/>
      <c r="D236" s="15" t="s">
        <v>338</v>
      </c>
      <c r="E236" s="18" t="s">
        <v>339</v>
      </c>
      <c r="F236" s="29">
        <v>1</v>
      </c>
      <c r="G236" s="18">
        <f>IF(Table131925[[#This Row],[dec val]]="",0,1)</f>
        <v>1</v>
      </c>
      <c r="I236" s="27">
        <v>1</v>
      </c>
      <c r="J236" s="27">
        <v>50000</v>
      </c>
      <c r="L236" s="27"/>
      <c r="M236" s="27">
        <v>50000</v>
      </c>
      <c r="O236" s="41" t="s">
        <v>75</v>
      </c>
      <c r="P236" s="41">
        <f>HEX2DEC(RIGHT(Table13232127[[#This Row],[h1]],8))</f>
        <v>0</v>
      </c>
      <c r="Q236" s="41" t="s">
        <v>75</v>
      </c>
      <c r="R236" s="41">
        <f>HEX2DEC(RIGHT(Table13232127[[#This Row],[h2]],8))</f>
        <v>0</v>
      </c>
    </row>
    <row r="237" spans="1:18">
      <c r="A237" s="15" t="str">
        <f t="shared" si="8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1" t="s">
        <v>75</v>
      </c>
      <c r="P237" s="41">
        <f>HEX2DEC(RIGHT(Table13232127[[#This Row],[h1]],8))</f>
        <v>0</v>
      </c>
      <c r="Q237" s="41" t="s">
        <v>75</v>
      </c>
      <c r="R237" s="41">
        <f>HEX2DEC(RIGHT(Table13232127[[#This Row],[h2]],8))</f>
        <v>0</v>
      </c>
    </row>
    <row r="238" spans="1:18">
      <c r="A238" s="15" t="str">
        <f t="shared" si="8"/>
        <v>0E4</v>
      </c>
      <c r="B238" s="15">
        <v>228</v>
      </c>
      <c r="C238" s="38"/>
      <c r="D238" s="15" t="s">
        <v>291</v>
      </c>
      <c r="E238" s="18" t="s">
        <v>53</v>
      </c>
      <c r="F238" s="29"/>
      <c r="G238" s="18">
        <f>IF(Table131925[[#This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1" t="s">
        <v>75</v>
      </c>
      <c r="P238" s="41">
        <f>HEX2DEC(RIGHT(Table13232127[[#This Row],[h1]],8))</f>
        <v>0</v>
      </c>
      <c r="Q238" s="41" t="s">
        <v>75</v>
      </c>
      <c r="R238" s="41">
        <f>HEX2DEC(RIGHT(Table13232127[[#This Row],[h2]],8))</f>
        <v>0</v>
      </c>
    </row>
    <row r="239" spans="1:18">
      <c r="A239" s="15" t="str">
        <f t="shared" si="8"/>
        <v>0E5</v>
      </c>
      <c r="B239" s="15">
        <v>229</v>
      </c>
      <c r="C239" s="38"/>
      <c r="D239" s="15" t="s">
        <v>292</v>
      </c>
      <c r="E239" s="18" t="s">
        <v>54</v>
      </c>
      <c r="F239" s="29"/>
      <c r="G239" s="18">
        <f>IF(Table131925[[#This Row],[dec val]]="",0,1)</f>
        <v>0</v>
      </c>
      <c r="I239" s="27">
        <v>4</v>
      </c>
      <c r="J239" s="27">
        <v>50000</v>
      </c>
      <c r="L239" s="27"/>
      <c r="M239" s="27">
        <v>50000</v>
      </c>
      <c r="O239" s="41" t="s">
        <v>75</v>
      </c>
      <c r="P239" s="41">
        <f>HEX2DEC(RIGHT(Table13232127[[#This Row],[h1]],8))</f>
        <v>0</v>
      </c>
      <c r="Q239" s="41" t="s">
        <v>75</v>
      </c>
      <c r="R239" s="41">
        <f>HEX2DEC(RIGHT(Table13232127[[#This Row],[h2]],8))</f>
        <v>0</v>
      </c>
    </row>
    <row r="240" spans="1:18">
      <c r="A240" s="15" t="str">
        <f t="shared" si="8"/>
        <v>0E6</v>
      </c>
      <c r="B240" s="15">
        <v>230</v>
      </c>
      <c r="C240" s="38"/>
      <c r="D240" s="15" t="s">
        <v>293</v>
      </c>
      <c r="E240" s="18" t="s">
        <v>55</v>
      </c>
      <c r="F240" s="29"/>
      <c r="G240" s="18">
        <f>IF(Table131925[[#This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1" t="s">
        <v>75</v>
      </c>
      <c r="P240" s="41">
        <f>HEX2DEC(RIGHT(Table13232127[[#This Row],[h1]],8))</f>
        <v>0</v>
      </c>
      <c r="Q240" s="41" t="s">
        <v>75</v>
      </c>
      <c r="R240" s="41">
        <f>HEX2DEC(RIGHT(Table13232127[[#This Row],[h2]],8))</f>
        <v>0</v>
      </c>
    </row>
    <row r="241" spans="1:18">
      <c r="A241" s="15" t="str">
        <f t="shared" si="8"/>
        <v>0E7</v>
      </c>
      <c r="B241" s="15">
        <v>231</v>
      </c>
      <c r="C241" s="38"/>
      <c r="D241" s="15" t="s">
        <v>294</v>
      </c>
      <c r="E241" s="18" t="s">
        <v>56</v>
      </c>
      <c r="F241" s="29"/>
      <c r="G241" s="18">
        <f>IF(Table131925[[#This Row],[dec val]]="",0,1)</f>
        <v>0</v>
      </c>
      <c r="I241" s="27">
        <v>2</v>
      </c>
      <c r="J241" s="27">
        <v>50000</v>
      </c>
      <c r="L241" s="27"/>
      <c r="M241" s="27">
        <v>50000</v>
      </c>
      <c r="O241" s="41" t="s">
        <v>75</v>
      </c>
      <c r="P241" s="41">
        <f>HEX2DEC(RIGHT(Table13232127[[#This Row],[h1]],8))</f>
        <v>0</v>
      </c>
      <c r="Q241" s="41" t="s">
        <v>75</v>
      </c>
      <c r="R241" s="41">
        <f>HEX2DEC(RIGHT(Table13232127[[#This Row],[h2]],8))</f>
        <v>0</v>
      </c>
    </row>
    <row r="242" spans="1:18">
      <c r="A242" s="15" t="str">
        <f t="shared" si="8"/>
        <v>0E8</v>
      </c>
      <c r="B242" s="15">
        <v>232</v>
      </c>
      <c r="C242" s="38"/>
      <c r="D242" s="15" t="s">
        <v>295</v>
      </c>
      <c r="E242" s="18" t="s">
        <v>57</v>
      </c>
      <c r="F242" s="29"/>
      <c r="G242" s="18">
        <f>IF(Table131925[[#This Row],[dec val]]="",0,1)</f>
        <v>0</v>
      </c>
      <c r="I242" s="27">
        <v>1</v>
      </c>
      <c r="J242" s="27">
        <v>50000</v>
      </c>
      <c r="L242" s="27"/>
      <c r="M242" s="27">
        <v>50000</v>
      </c>
      <c r="O242" s="41" t="s">
        <v>75</v>
      </c>
      <c r="P242" s="41">
        <f>HEX2DEC(RIGHT(Table13232127[[#This Row],[h1]],8))</f>
        <v>0</v>
      </c>
      <c r="Q242" s="41" t="s">
        <v>75</v>
      </c>
      <c r="R242" s="41">
        <f>HEX2DEC(RIGHT(Table13232127[[#This Row],[h2]],8))</f>
        <v>0</v>
      </c>
    </row>
    <row r="243" spans="1:18">
      <c r="A243" s="15" t="str">
        <f t="shared" si="8"/>
        <v>0E9</v>
      </c>
      <c r="B243" s="15">
        <v>233</v>
      </c>
      <c r="C243" s="38"/>
      <c r="D243" s="15" t="s">
        <v>296</v>
      </c>
      <c r="E243" s="18" t="s">
        <v>58</v>
      </c>
      <c r="F243" s="29"/>
      <c r="G243" s="18">
        <f>IF(Table131925[[#This Row],[dec val]]="",0,1)</f>
        <v>0</v>
      </c>
      <c r="I243" s="27">
        <v>3</v>
      </c>
      <c r="J243" s="27">
        <v>50000</v>
      </c>
      <c r="L243" s="27"/>
      <c r="M243" s="27">
        <v>50000</v>
      </c>
      <c r="O243" s="41" t="s">
        <v>75</v>
      </c>
      <c r="P243" s="41">
        <f>HEX2DEC(RIGHT(Table13232127[[#This Row],[h1]],8))</f>
        <v>0</v>
      </c>
      <c r="Q243" s="41" t="s">
        <v>75</v>
      </c>
      <c r="R243" s="41">
        <f>HEX2DEC(RIGHT(Table13232127[[#This Row],[h2]],8))</f>
        <v>0</v>
      </c>
    </row>
    <row r="244" spans="1:18">
      <c r="A244" s="15" t="str">
        <f t="shared" si="8"/>
        <v>0EA</v>
      </c>
      <c r="B244" s="15">
        <v>234</v>
      </c>
      <c r="C244" s="38"/>
      <c r="D244" s="15" t="s">
        <v>297</v>
      </c>
      <c r="E244" s="18" t="s">
        <v>59</v>
      </c>
      <c r="F244" s="29"/>
      <c r="G244" s="18">
        <f>IF(Table131925[[#This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1" t="s">
        <v>75</v>
      </c>
      <c r="P244" s="41">
        <f>HEX2DEC(RIGHT(Table13232127[[#This Row],[h1]],8))</f>
        <v>0</v>
      </c>
      <c r="Q244" s="41" t="s">
        <v>75</v>
      </c>
      <c r="R244" s="41">
        <f>HEX2DEC(RIGHT(Table13232127[[#This Row],[h2]],8))</f>
        <v>0</v>
      </c>
    </row>
    <row r="245" spans="1:18">
      <c r="A245" s="15" t="str">
        <f t="shared" si="8"/>
        <v>0EB</v>
      </c>
      <c r="B245" s="15">
        <v>235</v>
      </c>
      <c r="C245" s="38"/>
      <c r="D245" s="15" t="s">
        <v>298</v>
      </c>
      <c r="E245" s="18" t="s">
        <v>60</v>
      </c>
      <c r="F245" s="29"/>
      <c r="G245" s="18">
        <f>IF(Table131925[[#This Row],[dec val]]="",0,1)</f>
        <v>0</v>
      </c>
      <c r="I245" s="27">
        <v>2</v>
      </c>
      <c r="J245" s="27">
        <v>50000</v>
      </c>
      <c r="L245" s="27"/>
      <c r="M245" s="27">
        <v>50000</v>
      </c>
      <c r="O245" s="41" t="s">
        <v>75</v>
      </c>
      <c r="P245" s="41">
        <f>HEX2DEC(RIGHT(Table13232127[[#This Row],[h1]],8))</f>
        <v>0</v>
      </c>
      <c r="Q245" s="41" t="s">
        <v>75</v>
      </c>
      <c r="R245" s="41">
        <f>HEX2DEC(RIGHT(Table13232127[[#This Row],[h2]],8))</f>
        <v>0</v>
      </c>
    </row>
    <row r="246" spans="1:18">
      <c r="A246" s="15" t="str">
        <f t="shared" si="8"/>
        <v>0EC</v>
      </c>
      <c r="B246" s="15">
        <v>236</v>
      </c>
      <c r="C246" s="38"/>
      <c r="D246" s="15" t="s">
        <v>299</v>
      </c>
      <c r="E246" s="18" t="s">
        <v>61</v>
      </c>
      <c r="F246" s="29"/>
      <c r="G246" s="18">
        <f>IF(Table131925[[#This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1" t="s">
        <v>75</v>
      </c>
      <c r="P246" s="41">
        <f>HEX2DEC(RIGHT(Table13232127[[#This Row],[h1]],8))</f>
        <v>0</v>
      </c>
      <c r="Q246" s="41" t="s">
        <v>75</v>
      </c>
      <c r="R246" s="41">
        <f>HEX2DEC(RIGHT(Table13232127[[#This Row],[h2]],8))</f>
        <v>0</v>
      </c>
    </row>
    <row r="247" spans="1:18">
      <c r="A247" s="15" t="str">
        <f t="shared" si="8"/>
        <v>0ED</v>
      </c>
      <c r="B247" s="15">
        <v>237</v>
      </c>
      <c r="C247" s="38"/>
      <c r="D247" s="15" t="s">
        <v>300</v>
      </c>
      <c r="E247" s="18" t="s">
        <v>62</v>
      </c>
      <c r="F247" s="29"/>
      <c r="G247" s="18">
        <f>IF(Table131925[[#This Row],[dec val]]="",0,1)</f>
        <v>0</v>
      </c>
      <c r="I247" s="27">
        <v>3</v>
      </c>
      <c r="J247" s="27">
        <v>50000</v>
      </c>
      <c r="L247" s="27"/>
      <c r="M247" s="27">
        <v>50000</v>
      </c>
      <c r="O247" s="41" t="s">
        <v>75</v>
      </c>
      <c r="P247" s="41">
        <f>HEX2DEC(RIGHT(Table13232127[[#This Row],[h1]],8))</f>
        <v>0</v>
      </c>
      <c r="Q247" s="41" t="s">
        <v>75</v>
      </c>
      <c r="R247" s="41">
        <f>HEX2DEC(RIGHT(Table13232127[[#This Row],[h2]],8))</f>
        <v>0</v>
      </c>
    </row>
    <row r="248" spans="1:18">
      <c r="A248" s="15" t="str">
        <f t="shared" si="8"/>
        <v>0EE</v>
      </c>
      <c r="B248" s="15">
        <v>238</v>
      </c>
      <c r="C248" s="38"/>
      <c r="D248" s="15" t="s">
        <v>301</v>
      </c>
      <c r="E248" s="18" t="s">
        <v>63</v>
      </c>
      <c r="F248" s="29"/>
      <c r="G248" s="18">
        <f>IF(Table131925[[#This Row],[dec val]]="",0,1)</f>
        <v>0</v>
      </c>
      <c r="I248" s="27">
        <v>1</v>
      </c>
      <c r="J248" s="27">
        <v>50000</v>
      </c>
      <c r="L248" s="27"/>
      <c r="M248" s="27">
        <v>50000</v>
      </c>
      <c r="O248" s="41" t="s">
        <v>75</v>
      </c>
      <c r="P248" s="41">
        <f>HEX2DEC(RIGHT(Table13232127[[#This Row],[h1]],8))</f>
        <v>0</v>
      </c>
      <c r="Q248" s="41" t="s">
        <v>75</v>
      </c>
      <c r="R248" s="41">
        <f>HEX2DEC(RIGHT(Table13232127[[#This Row],[h2]],8))</f>
        <v>0</v>
      </c>
    </row>
    <row r="249" spans="1:18">
      <c r="A249" s="15" t="str">
        <f t="shared" si="8"/>
        <v>0EF</v>
      </c>
      <c r="B249" s="15">
        <v>239</v>
      </c>
      <c r="C249" s="38"/>
      <c r="D249" s="15" t="s">
        <v>340</v>
      </c>
      <c r="E249" s="18" t="s">
        <v>341</v>
      </c>
      <c r="F249" s="29"/>
      <c r="G249" s="18">
        <f>IF(Table131925[[#This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1" t="s">
        <v>75</v>
      </c>
      <c r="P249" s="41">
        <f>HEX2DEC(RIGHT(Table13232127[[#This Row],[h1]],8))</f>
        <v>0</v>
      </c>
      <c r="Q249" s="41" t="s">
        <v>75</v>
      </c>
      <c r="R249" s="41">
        <f>HEX2DEC(RIGHT(Table13232127[[#This Row],[h2]],8))</f>
        <v>0</v>
      </c>
    </row>
    <row r="250" spans="1:18">
      <c r="A250" s="15" t="str">
        <f t="shared" si="8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1" t="s">
        <v>75</v>
      </c>
      <c r="P250" s="41">
        <f>HEX2DEC(RIGHT(Table13232127[[#This Row],[h1]],8))</f>
        <v>0</v>
      </c>
      <c r="Q250" s="41" t="s">
        <v>75</v>
      </c>
      <c r="R250" s="41">
        <f>HEX2DEC(RIGHT(Table13232127[[#This Row],[h2]],8))</f>
        <v>0</v>
      </c>
    </row>
    <row r="251" spans="1:18">
      <c r="A251" s="15" t="str">
        <f t="shared" si="8"/>
        <v>0F1</v>
      </c>
      <c r="B251" s="15">
        <v>241</v>
      </c>
      <c r="C251" s="38"/>
      <c r="D251" s="15" t="s">
        <v>302</v>
      </c>
      <c r="E251" s="18" t="s">
        <v>53</v>
      </c>
      <c r="F251" s="29"/>
      <c r="G251" s="18">
        <f>IF(Table131925[[#This Row],[dec val]]="",0,1)</f>
        <v>0</v>
      </c>
      <c r="I251" s="57" t="s">
        <v>408</v>
      </c>
      <c r="J251" s="57">
        <v>50000</v>
      </c>
      <c r="L251" s="27"/>
      <c r="M251" s="27">
        <v>50000</v>
      </c>
      <c r="O251" s="41" t="s">
        <v>75</v>
      </c>
      <c r="P251" s="41">
        <f>HEX2DEC(RIGHT(Table13232127[[#This Row],[h1]],8))</f>
        <v>0</v>
      </c>
      <c r="Q251" s="41" t="s">
        <v>75</v>
      </c>
      <c r="R251" s="41">
        <f>HEX2DEC(RIGHT(Table13232127[[#This Row],[h2]],8))</f>
        <v>0</v>
      </c>
    </row>
    <row r="252" spans="1:18">
      <c r="A252" s="15" t="str">
        <f t="shared" si="8"/>
        <v>0F2</v>
      </c>
      <c r="B252" s="15">
        <v>242</v>
      </c>
      <c r="C252" s="38"/>
      <c r="D252" s="15" t="s">
        <v>303</v>
      </c>
      <c r="E252" s="18" t="s">
        <v>54</v>
      </c>
      <c r="F252" s="29"/>
      <c r="G252" s="18">
        <f>IF(Table131925[[#This Row],[dec val]]="",0,1)</f>
        <v>0</v>
      </c>
      <c r="I252" s="27"/>
      <c r="J252" s="27">
        <v>50000</v>
      </c>
      <c r="L252" s="27"/>
      <c r="M252" s="27">
        <v>50000</v>
      </c>
      <c r="O252" s="41" t="s">
        <v>75</v>
      </c>
      <c r="P252" s="41">
        <f>HEX2DEC(RIGHT(Table13232127[[#This Row],[h1]],8))</f>
        <v>0</v>
      </c>
      <c r="Q252" s="41" t="s">
        <v>75</v>
      </c>
      <c r="R252" s="41">
        <f>HEX2DEC(RIGHT(Table13232127[[#This Row],[h2]],8))</f>
        <v>0</v>
      </c>
    </row>
    <row r="253" spans="1:18">
      <c r="A253" s="15" t="str">
        <f t="shared" si="8"/>
        <v>0F3</v>
      </c>
      <c r="B253" s="15">
        <v>243</v>
      </c>
      <c r="C253" s="38"/>
      <c r="D253" s="15" t="s">
        <v>304</v>
      </c>
      <c r="E253" s="18" t="s">
        <v>55</v>
      </c>
      <c r="F253" s="29"/>
      <c r="G253" s="18">
        <f>IF(Table131925[[#This Row],[dec val]]="",0,1)</f>
        <v>0</v>
      </c>
      <c r="I253" s="27"/>
      <c r="J253" s="27">
        <v>50000</v>
      </c>
      <c r="L253" s="27"/>
      <c r="M253" s="27">
        <v>50000</v>
      </c>
      <c r="O253" s="41" t="s">
        <v>75</v>
      </c>
      <c r="P253" s="41">
        <f>HEX2DEC(RIGHT(Table13232127[[#This Row],[h1]],8))</f>
        <v>0</v>
      </c>
      <c r="Q253" s="41" t="s">
        <v>75</v>
      </c>
      <c r="R253" s="41">
        <f>HEX2DEC(RIGHT(Table13232127[[#This Row],[h2]],8))</f>
        <v>0</v>
      </c>
    </row>
    <row r="254" spans="1:18">
      <c r="A254" s="15" t="str">
        <f t="shared" si="8"/>
        <v>0F4</v>
      </c>
      <c r="B254" s="15">
        <v>244</v>
      </c>
      <c r="C254" s="38"/>
      <c r="D254" s="15" t="s">
        <v>305</v>
      </c>
      <c r="E254" s="18" t="s">
        <v>56</v>
      </c>
      <c r="F254" s="29"/>
      <c r="G254" s="18">
        <f>IF(Table131925[[#This Row],[dec val]]="",0,1)</f>
        <v>0</v>
      </c>
      <c r="I254" s="27"/>
      <c r="J254" s="27">
        <v>50000</v>
      </c>
      <c r="L254" s="27"/>
      <c r="M254" s="27">
        <v>50000</v>
      </c>
      <c r="O254" s="41" t="s">
        <v>75</v>
      </c>
      <c r="P254" s="41">
        <f>HEX2DEC(RIGHT(Table13232127[[#This Row],[h1]],8))</f>
        <v>0</v>
      </c>
      <c r="Q254" s="41" t="s">
        <v>75</v>
      </c>
      <c r="R254" s="41">
        <f>HEX2DEC(RIGHT(Table13232127[[#This Row],[h2]],8))</f>
        <v>0</v>
      </c>
    </row>
    <row r="255" spans="1:18">
      <c r="A255" s="15" t="str">
        <f t="shared" si="8"/>
        <v>0F5</v>
      </c>
      <c r="B255" s="15">
        <v>245</v>
      </c>
      <c r="C255" s="38"/>
      <c r="D255" s="15" t="s">
        <v>306</v>
      </c>
      <c r="E255" s="18" t="s">
        <v>57</v>
      </c>
      <c r="F255" s="29"/>
      <c r="G255" s="18">
        <f>IF(Table131925[[#This Row],[dec val]]="",0,1)</f>
        <v>0</v>
      </c>
      <c r="I255" s="27"/>
      <c r="J255" s="27">
        <v>50000</v>
      </c>
      <c r="L255" s="27"/>
      <c r="M255" s="27">
        <v>50000</v>
      </c>
      <c r="O255" s="41" t="s">
        <v>75</v>
      </c>
      <c r="P255" s="41">
        <f>HEX2DEC(RIGHT(Table13232127[[#This Row],[h1]],8))</f>
        <v>0</v>
      </c>
      <c r="Q255" s="41" t="s">
        <v>75</v>
      </c>
      <c r="R255" s="41">
        <f>HEX2DEC(RIGHT(Table13232127[[#This Row],[h2]],8))</f>
        <v>0</v>
      </c>
    </row>
    <row r="256" spans="1:18">
      <c r="A256" s="15" t="str">
        <f t="shared" si="8"/>
        <v>0F6</v>
      </c>
      <c r="B256" s="15">
        <v>246</v>
      </c>
      <c r="C256" s="38"/>
      <c r="D256" s="15" t="s">
        <v>307</v>
      </c>
      <c r="E256" s="18" t="s">
        <v>58</v>
      </c>
      <c r="F256" s="29"/>
      <c r="G256" s="18">
        <f>IF(Table131925[[#This Row],[dec val]]="",0,1)</f>
        <v>0</v>
      </c>
      <c r="I256" s="27"/>
      <c r="J256" s="27">
        <v>50000</v>
      </c>
      <c r="L256" s="27"/>
      <c r="M256" s="27">
        <v>50000</v>
      </c>
      <c r="O256" s="41" t="s">
        <v>75</v>
      </c>
      <c r="P256" s="41">
        <f>HEX2DEC(RIGHT(Table13232127[[#This Row],[h1]],8))</f>
        <v>0</v>
      </c>
      <c r="Q256" s="41" t="s">
        <v>75</v>
      </c>
      <c r="R256" s="41">
        <f>HEX2DEC(RIGHT(Table13232127[[#This Row],[h2]],8))</f>
        <v>0</v>
      </c>
    </row>
    <row r="257" spans="1:18">
      <c r="A257" s="15" t="str">
        <f t="shared" si="8"/>
        <v>0F7</v>
      </c>
      <c r="B257" s="15">
        <v>247</v>
      </c>
      <c r="C257" s="38"/>
      <c r="D257" s="15" t="s">
        <v>308</v>
      </c>
      <c r="E257" s="18" t="s">
        <v>59</v>
      </c>
      <c r="F257" s="29"/>
      <c r="G257" s="18">
        <f>IF(Table131925[[#This Row],[dec val]]="",0,1)</f>
        <v>0</v>
      </c>
      <c r="I257" s="27"/>
      <c r="J257" s="27">
        <v>50000</v>
      </c>
      <c r="L257" s="27"/>
      <c r="M257" s="27">
        <v>50000</v>
      </c>
      <c r="O257" s="41" t="s">
        <v>75</v>
      </c>
      <c r="P257" s="41">
        <f>HEX2DEC(RIGHT(Table13232127[[#This Row],[h1]],8))</f>
        <v>0</v>
      </c>
      <c r="Q257" s="41" t="s">
        <v>75</v>
      </c>
      <c r="R257" s="41">
        <f>HEX2DEC(RIGHT(Table13232127[[#This Row],[h2]],8))</f>
        <v>0</v>
      </c>
    </row>
    <row r="258" spans="1:18">
      <c r="A258" s="15" t="str">
        <f t="shared" si="8"/>
        <v>0F8</v>
      </c>
      <c r="B258" s="15">
        <v>248</v>
      </c>
      <c r="C258" s="38"/>
      <c r="D258" s="15" t="s">
        <v>309</v>
      </c>
      <c r="E258" s="18" t="s">
        <v>60</v>
      </c>
      <c r="F258" s="29"/>
      <c r="G258" s="18">
        <f>IF(Table131925[[#This Row],[dec val]]="",0,1)</f>
        <v>0</v>
      </c>
      <c r="I258" s="27"/>
      <c r="J258" s="27">
        <v>50000</v>
      </c>
      <c r="L258" s="27"/>
      <c r="M258" s="27">
        <v>50000</v>
      </c>
      <c r="O258" s="41" t="s">
        <v>75</v>
      </c>
      <c r="P258" s="41">
        <f>HEX2DEC(RIGHT(Table13232127[[#This Row],[h1]],8))</f>
        <v>0</v>
      </c>
      <c r="Q258" s="41" t="s">
        <v>75</v>
      </c>
      <c r="R258" s="41">
        <f>HEX2DEC(RIGHT(Table13232127[[#This Row],[h2]],8))</f>
        <v>0</v>
      </c>
    </row>
    <row r="259" spans="1:18">
      <c r="A259" s="15" t="str">
        <f t="shared" si="8"/>
        <v>0F9</v>
      </c>
      <c r="B259" s="15">
        <v>249</v>
      </c>
      <c r="C259" s="38"/>
      <c r="D259" s="15" t="s">
        <v>310</v>
      </c>
      <c r="E259" s="18" t="s">
        <v>61</v>
      </c>
      <c r="F259" s="29"/>
      <c r="G259" s="18">
        <f>IF(Table131925[[#This Row],[dec val]]="",0,1)</f>
        <v>0</v>
      </c>
      <c r="I259" s="27"/>
      <c r="J259" s="27">
        <v>50000</v>
      </c>
      <c r="L259" s="27"/>
      <c r="M259" s="27">
        <v>50000</v>
      </c>
      <c r="O259" s="41" t="s">
        <v>75</v>
      </c>
      <c r="P259" s="41">
        <f>HEX2DEC(RIGHT(Table13232127[[#This Row],[h1]],8))</f>
        <v>0</v>
      </c>
      <c r="Q259" s="41" t="s">
        <v>75</v>
      </c>
      <c r="R259" s="41">
        <f>HEX2DEC(RIGHT(Table13232127[[#This Row],[h2]],8))</f>
        <v>0</v>
      </c>
    </row>
    <row r="260" spans="1:18">
      <c r="A260" s="15" t="str">
        <f t="shared" si="8"/>
        <v>0FA</v>
      </c>
      <c r="B260" s="15">
        <v>250</v>
      </c>
      <c r="C260" s="38"/>
      <c r="D260" s="15" t="s">
        <v>311</v>
      </c>
      <c r="E260" s="18" t="s">
        <v>62</v>
      </c>
      <c r="F260" s="29"/>
      <c r="G260" s="18">
        <f>IF(Table131925[[#This Row],[dec val]]="",0,1)</f>
        <v>0</v>
      </c>
      <c r="I260" s="27"/>
      <c r="J260" s="27">
        <v>50000</v>
      </c>
      <c r="L260" s="27"/>
      <c r="M260" s="27">
        <v>50000</v>
      </c>
      <c r="O260" s="41" t="s">
        <v>75</v>
      </c>
      <c r="P260" s="41">
        <f>HEX2DEC(RIGHT(Table13232127[[#This Row],[h1]],8))</f>
        <v>0</v>
      </c>
      <c r="Q260" s="41" t="s">
        <v>75</v>
      </c>
      <c r="R260" s="41">
        <f>HEX2DEC(RIGHT(Table13232127[[#This Row],[h2]],8))</f>
        <v>0</v>
      </c>
    </row>
    <row r="261" spans="1:18">
      <c r="A261" s="15" t="str">
        <f t="shared" si="8"/>
        <v>0FB</v>
      </c>
      <c r="B261" s="15">
        <v>251</v>
      </c>
      <c r="C261" s="38"/>
      <c r="D261" s="15" t="s">
        <v>312</v>
      </c>
      <c r="E261" s="18" t="s">
        <v>63</v>
      </c>
      <c r="F261" s="29"/>
      <c r="G261" s="18">
        <f>IF(Table131925[[#This Row],[dec val]]="",0,1)</f>
        <v>0</v>
      </c>
      <c r="I261" s="27"/>
      <c r="J261" s="27">
        <v>50000</v>
      </c>
      <c r="L261" s="27"/>
      <c r="M261" s="27">
        <v>50000</v>
      </c>
      <c r="O261" s="41" t="s">
        <v>75</v>
      </c>
      <c r="P261" s="41">
        <f>HEX2DEC(RIGHT(Table13232127[[#This Row],[h1]],8))</f>
        <v>0</v>
      </c>
      <c r="Q261" s="41" t="s">
        <v>75</v>
      </c>
      <c r="R261" s="41">
        <f>HEX2DEC(RIGHT(Table13232127[[#This Row],[h2]],8))</f>
        <v>0</v>
      </c>
    </row>
    <row r="262" spans="1:18">
      <c r="A262" s="15" t="str">
        <f t="shared" si="8"/>
        <v>0FC</v>
      </c>
      <c r="B262" s="15">
        <v>252</v>
      </c>
      <c r="C262" s="38"/>
      <c r="D262" s="15" t="s">
        <v>342</v>
      </c>
      <c r="E262" s="18" t="s">
        <v>341</v>
      </c>
      <c r="F262" s="29"/>
      <c r="G262" s="18">
        <f>IF(Table131925[[#This Row],[dec val]]="",0,1)</f>
        <v>0</v>
      </c>
      <c r="I262" s="27"/>
      <c r="J262" s="27">
        <v>50000</v>
      </c>
      <c r="L262" s="27"/>
      <c r="M262" s="27">
        <v>50000</v>
      </c>
      <c r="O262" s="41" t="s">
        <v>75</v>
      </c>
      <c r="P262" s="41">
        <f>HEX2DEC(RIGHT(Table13232127[[#This Row],[h1]],8))</f>
        <v>0</v>
      </c>
      <c r="Q262" s="41" t="s">
        <v>75</v>
      </c>
      <c r="R262" s="41">
        <f>HEX2DEC(RIGHT(Table13232127[[#This Row],[h2]],8))</f>
        <v>0</v>
      </c>
    </row>
    <row r="263" spans="1:18">
      <c r="A263" s="15" t="str">
        <f t="shared" si="8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1" t="s">
        <v>75</v>
      </c>
      <c r="P263" s="41">
        <f>HEX2DEC(RIGHT(Table13232127[[#This Row],[h1]],8))</f>
        <v>0</v>
      </c>
      <c r="Q263" s="41" t="s">
        <v>75</v>
      </c>
      <c r="R263" s="41">
        <f>HEX2DEC(RIGHT(Table13232127[[#This Row],[h2]],8))</f>
        <v>0</v>
      </c>
    </row>
    <row r="264" spans="1:18">
      <c r="A264" s="15" t="str">
        <f t="shared" si="8"/>
        <v>0FE</v>
      </c>
      <c r="B264" s="15">
        <v>254</v>
      </c>
      <c r="C264" s="38"/>
      <c r="D264" s="15" t="s">
        <v>313</v>
      </c>
      <c r="E264" s="18" t="s">
        <v>53</v>
      </c>
      <c r="F264" s="29"/>
      <c r="G264" s="18">
        <f>IF(Table131925[[#This Row],[dec val]]="",0,1)</f>
        <v>0</v>
      </c>
      <c r="I264" s="27"/>
      <c r="J264" s="27">
        <v>50000</v>
      </c>
      <c r="L264" s="27"/>
      <c r="M264" s="27">
        <v>50000</v>
      </c>
      <c r="O264" s="41" t="s">
        <v>75</v>
      </c>
      <c r="P264" s="41">
        <f>HEX2DEC(RIGHT(Table13232127[[#This Row],[h1]],8))</f>
        <v>0</v>
      </c>
      <c r="Q264" s="41" t="s">
        <v>75</v>
      </c>
      <c r="R264" s="41">
        <f>HEX2DEC(RIGHT(Table13232127[[#This Row],[h2]],8))</f>
        <v>0</v>
      </c>
    </row>
    <row r="265" spans="1:18">
      <c r="A265" s="15" t="str">
        <f t="shared" si="8"/>
        <v>0FF</v>
      </c>
      <c r="B265" s="15">
        <v>255</v>
      </c>
      <c r="C265" s="38"/>
      <c r="D265" s="15" t="s">
        <v>314</v>
      </c>
      <c r="E265" s="18" t="s">
        <v>54</v>
      </c>
      <c r="F265" s="29"/>
      <c r="G265" s="18">
        <f>IF(Table131925[[#This Row],[dec val]]="",0,1)</f>
        <v>0</v>
      </c>
      <c r="I265" s="27"/>
      <c r="J265" s="27">
        <v>50000</v>
      </c>
      <c r="L265" s="27"/>
      <c r="M265" s="27">
        <v>50000</v>
      </c>
      <c r="O265" s="41" t="s">
        <v>75</v>
      </c>
      <c r="P265" s="41">
        <f>HEX2DEC(RIGHT(Table13232127[[#This Row],[h1]],8))</f>
        <v>0</v>
      </c>
      <c r="Q265" s="41" t="s">
        <v>75</v>
      </c>
      <c r="R265" s="41">
        <f>HEX2DEC(RIGHT(Table13232127[[#This Row],[h2]],8))</f>
        <v>0</v>
      </c>
    </row>
    <row r="266" spans="1:18">
      <c r="A266" s="15" t="str">
        <f t="shared" si="8"/>
        <v>100</v>
      </c>
      <c r="B266" s="15">
        <v>256</v>
      </c>
      <c r="C266" s="38"/>
      <c r="D266" s="15" t="s">
        <v>315</v>
      </c>
      <c r="E266" s="18" t="s">
        <v>55</v>
      </c>
      <c r="F266" s="29"/>
      <c r="G266" s="18">
        <f>IF(Table131925[[#This Row],[dec val]]="",0,1)</f>
        <v>0</v>
      </c>
      <c r="I266" s="27"/>
      <c r="J266" s="27">
        <v>50000</v>
      </c>
      <c r="L266" s="27"/>
      <c r="M266" s="27">
        <v>50000</v>
      </c>
      <c r="O266" s="41" t="s">
        <v>75</v>
      </c>
      <c r="P266" s="41">
        <f>HEX2DEC(RIGHT(Table13232127[[#This Row],[h1]],8))</f>
        <v>0</v>
      </c>
      <c r="Q266" s="41" t="s">
        <v>75</v>
      </c>
      <c r="R266" s="41">
        <f>HEX2DEC(RIGHT(Table13232127[[#This Row],[h2]],8))</f>
        <v>0</v>
      </c>
    </row>
    <row r="267" spans="1:18">
      <c r="A267" s="15" t="str">
        <f t="shared" ref="A267:A330" si="9">DEC2HEX(B267,3)</f>
        <v>101</v>
      </c>
      <c r="B267" s="15">
        <v>257</v>
      </c>
      <c r="C267" s="38"/>
      <c r="D267" s="15" t="s">
        <v>316</v>
      </c>
      <c r="E267" s="18" t="s">
        <v>56</v>
      </c>
      <c r="F267" s="29"/>
      <c r="G267" s="18">
        <f>IF(Table131925[[#This Row],[dec val]]="",0,1)</f>
        <v>0</v>
      </c>
      <c r="I267" s="27"/>
      <c r="J267" s="27">
        <v>50000</v>
      </c>
      <c r="L267" s="27"/>
      <c r="M267" s="27">
        <v>50000</v>
      </c>
      <c r="O267" s="41" t="s">
        <v>75</v>
      </c>
      <c r="P267" s="41">
        <f>HEX2DEC(RIGHT(Table13232127[[#This Row],[h1]],8))</f>
        <v>0</v>
      </c>
      <c r="Q267" s="41" t="s">
        <v>75</v>
      </c>
      <c r="R267" s="41">
        <f>HEX2DEC(RIGHT(Table13232127[[#This Row],[h2]],8))</f>
        <v>0</v>
      </c>
    </row>
    <row r="268" spans="1:18">
      <c r="A268" s="15" t="str">
        <f t="shared" si="9"/>
        <v>102</v>
      </c>
      <c r="B268" s="15">
        <v>258</v>
      </c>
      <c r="C268" s="38"/>
      <c r="D268" s="15" t="s">
        <v>317</v>
      </c>
      <c r="E268" s="18" t="s">
        <v>57</v>
      </c>
      <c r="F268" s="29"/>
      <c r="G268" s="18">
        <f>IF(Table131925[[#This Row],[dec val]]="",0,1)</f>
        <v>0</v>
      </c>
      <c r="I268" s="27"/>
      <c r="J268" s="27">
        <v>50000</v>
      </c>
      <c r="L268" s="27"/>
      <c r="M268" s="27">
        <v>50000</v>
      </c>
      <c r="O268" s="41" t="s">
        <v>75</v>
      </c>
      <c r="P268" s="41">
        <f>HEX2DEC(RIGHT(Table13232127[[#This Row],[h1]],8))</f>
        <v>0</v>
      </c>
      <c r="Q268" s="41" t="s">
        <v>75</v>
      </c>
      <c r="R268" s="41">
        <f>HEX2DEC(RIGHT(Table13232127[[#This Row],[h2]],8))</f>
        <v>0</v>
      </c>
    </row>
    <row r="269" spans="1:18">
      <c r="A269" s="15" t="str">
        <f t="shared" si="9"/>
        <v>103</v>
      </c>
      <c r="B269" s="15">
        <v>259</v>
      </c>
      <c r="C269" s="38"/>
      <c r="D269" s="15" t="s">
        <v>318</v>
      </c>
      <c r="E269" s="18" t="s">
        <v>58</v>
      </c>
      <c r="F269" s="29"/>
      <c r="G269" s="18">
        <f>IF(Table131925[[#This Row],[dec val]]="",0,1)</f>
        <v>0</v>
      </c>
      <c r="I269" s="27"/>
      <c r="J269" s="27">
        <v>50000</v>
      </c>
      <c r="L269" s="27"/>
      <c r="M269" s="27">
        <v>50000</v>
      </c>
      <c r="O269" s="41" t="s">
        <v>75</v>
      </c>
      <c r="P269" s="41">
        <f>HEX2DEC(RIGHT(Table13232127[[#This Row],[h1]],8))</f>
        <v>0</v>
      </c>
      <c r="Q269" s="41" t="s">
        <v>75</v>
      </c>
      <c r="R269" s="41">
        <f>HEX2DEC(RIGHT(Table13232127[[#This Row],[h2]],8))</f>
        <v>0</v>
      </c>
    </row>
    <row r="270" spans="1:18">
      <c r="A270" s="15" t="str">
        <f t="shared" si="9"/>
        <v>104</v>
      </c>
      <c r="B270" s="15">
        <v>260</v>
      </c>
      <c r="C270" s="38"/>
      <c r="D270" s="15" t="s">
        <v>319</v>
      </c>
      <c r="E270" s="18" t="s">
        <v>59</v>
      </c>
      <c r="F270" s="29"/>
      <c r="G270" s="18">
        <f>IF(Table131925[[#This Row],[dec val]]="",0,1)</f>
        <v>0</v>
      </c>
      <c r="I270" s="27"/>
      <c r="J270" s="27">
        <v>50000</v>
      </c>
      <c r="L270" s="27"/>
      <c r="M270" s="27">
        <v>50000</v>
      </c>
      <c r="O270" s="41" t="s">
        <v>75</v>
      </c>
      <c r="P270" s="41">
        <f>HEX2DEC(RIGHT(Table13232127[[#This Row],[h1]],8))</f>
        <v>0</v>
      </c>
      <c r="Q270" s="41" t="s">
        <v>75</v>
      </c>
      <c r="R270" s="41">
        <f>HEX2DEC(RIGHT(Table13232127[[#This Row],[h2]],8))</f>
        <v>0</v>
      </c>
    </row>
    <row r="271" spans="1:18">
      <c r="A271" s="15" t="str">
        <f t="shared" si="9"/>
        <v>105</v>
      </c>
      <c r="B271" s="15">
        <v>261</v>
      </c>
      <c r="C271" s="38"/>
      <c r="D271" s="15" t="s">
        <v>320</v>
      </c>
      <c r="E271" s="18" t="s">
        <v>60</v>
      </c>
      <c r="F271" s="29"/>
      <c r="G271" s="18">
        <f>IF(Table131925[[#This Row],[dec val]]="",0,1)</f>
        <v>0</v>
      </c>
      <c r="I271" s="27"/>
      <c r="J271" s="27">
        <v>50000</v>
      </c>
      <c r="L271" s="27"/>
      <c r="M271" s="27">
        <v>50000</v>
      </c>
      <c r="O271" s="41" t="s">
        <v>75</v>
      </c>
      <c r="P271" s="41">
        <f>HEX2DEC(RIGHT(Table13232127[[#This Row],[h1]],8))</f>
        <v>0</v>
      </c>
      <c r="Q271" s="41" t="s">
        <v>75</v>
      </c>
      <c r="R271" s="41">
        <f>HEX2DEC(RIGHT(Table13232127[[#This Row],[h2]],8))</f>
        <v>0</v>
      </c>
    </row>
    <row r="272" spans="1:18">
      <c r="A272" s="15" t="str">
        <f t="shared" si="9"/>
        <v>106</v>
      </c>
      <c r="B272" s="15">
        <v>262</v>
      </c>
      <c r="C272" s="38"/>
      <c r="D272" s="15" t="s">
        <v>321</v>
      </c>
      <c r="E272" s="18" t="s">
        <v>62</v>
      </c>
      <c r="F272" s="29"/>
      <c r="G272" s="18">
        <f>IF(Table131925[[#This Row],[dec val]]="",0,1)</f>
        <v>0</v>
      </c>
      <c r="I272" s="27"/>
      <c r="J272" s="27">
        <v>50000</v>
      </c>
      <c r="L272" s="27"/>
      <c r="M272" s="27">
        <v>50000</v>
      </c>
      <c r="O272" s="41" t="s">
        <v>75</v>
      </c>
      <c r="P272" s="41">
        <f>HEX2DEC(RIGHT(Table13232127[[#This Row],[h1]],8))</f>
        <v>0</v>
      </c>
      <c r="Q272" s="41" t="s">
        <v>75</v>
      </c>
      <c r="R272" s="41">
        <f>HEX2DEC(RIGHT(Table13232127[[#This Row],[h2]],8))</f>
        <v>0</v>
      </c>
    </row>
    <row r="273" spans="1:18">
      <c r="A273" s="15" t="str">
        <f t="shared" si="9"/>
        <v>107</v>
      </c>
      <c r="B273" s="15">
        <v>263</v>
      </c>
      <c r="C273" s="38"/>
      <c r="D273" s="15" t="s">
        <v>322</v>
      </c>
      <c r="E273" s="18" t="s">
        <v>63</v>
      </c>
      <c r="F273" s="29"/>
      <c r="G273" s="18">
        <f>IF(Table131925[[#This Row],[dec val]]="",0,1)</f>
        <v>0</v>
      </c>
      <c r="I273" s="27"/>
      <c r="J273" s="27">
        <v>50000</v>
      </c>
      <c r="L273" s="27"/>
      <c r="M273" s="27">
        <v>50000</v>
      </c>
      <c r="O273" s="41" t="s">
        <v>75</v>
      </c>
      <c r="P273" s="41">
        <f>HEX2DEC(RIGHT(Table13232127[[#This Row],[h1]],8))</f>
        <v>0</v>
      </c>
      <c r="Q273" s="41" t="s">
        <v>75</v>
      </c>
      <c r="R273" s="41">
        <f>HEX2DEC(RIGHT(Table13232127[[#This Row],[h2]],8))</f>
        <v>0</v>
      </c>
    </row>
    <row r="274" spans="1:18">
      <c r="A274" s="15" t="str">
        <f t="shared" si="9"/>
        <v>108</v>
      </c>
      <c r="B274" s="15">
        <v>264</v>
      </c>
      <c r="C274" s="38"/>
      <c r="D274" s="15" t="s">
        <v>343</v>
      </c>
      <c r="E274" s="18" t="s">
        <v>341</v>
      </c>
      <c r="F274" s="29"/>
      <c r="G274" s="18">
        <f>IF(Table131925[[#This Row],[dec val]]="",0,1)</f>
        <v>0</v>
      </c>
      <c r="I274" s="27"/>
      <c r="J274" s="27">
        <v>50000</v>
      </c>
      <c r="L274" s="27"/>
      <c r="M274" s="27">
        <v>50000</v>
      </c>
      <c r="O274" s="41" t="s">
        <v>75</v>
      </c>
      <c r="P274" s="41">
        <f>HEX2DEC(RIGHT(Table13232127[[#This Row],[h1]],8))</f>
        <v>0</v>
      </c>
      <c r="Q274" s="41" t="s">
        <v>75</v>
      </c>
      <c r="R274" s="41">
        <f>HEX2DEC(RIGHT(Table13232127[[#This Row],[h2]],8))</f>
        <v>0</v>
      </c>
    </row>
    <row r="275" spans="1:18">
      <c r="A275" s="15" t="str">
        <f t="shared" si="9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1" t="s">
        <v>75</v>
      </c>
      <c r="P275" s="41">
        <f>HEX2DEC(RIGHT(Table13232127[[#This Row],[h1]],8))</f>
        <v>0</v>
      </c>
      <c r="Q275" s="41" t="s">
        <v>75</v>
      </c>
      <c r="R275" s="41">
        <f>HEX2DEC(RIGHT(Table13232127[[#This Row],[h2]],8))</f>
        <v>0</v>
      </c>
    </row>
    <row r="276" spans="1:18">
      <c r="A276" s="15" t="str">
        <f t="shared" si="9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1" t="s">
        <v>75</v>
      </c>
      <c r="P276" s="41">
        <f>HEX2DEC(RIGHT(Table13232127[[#This Row],[h1]],8))</f>
        <v>0</v>
      </c>
      <c r="Q276" s="41" t="s">
        <v>75</v>
      </c>
      <c r="R276" s="41">
        <f>HEX2DEC(RIGHT(Table13232127[[#This Row],[h2]],8))</f>
        <v>0</v>
      </c>
    </row>
    <row r="277" spans="1:18">
      <c r="A277" s="15" t="str">
        <f t="shared" si="9"/>
        <v>10B</v>
      </c>
      <c r="B277" s="15">
        <v>267</v>
      </c>
      <c r="C277" s="38"/>
      <c r="D277" s="15" t="s">
        <v>91</v>
      </c>
      <c r="G277" s="49" t="s">
        <v>132</v>
      </c>
      <c r="I277" s="27"/>
      <c r="J277" s="27">
        <v>50000</v>
      </c>
      <c r="L277" s="27"/>
      <c r="M277" s="27">
        <v>50000</v>
      </c>
      <c r="O277" s="41" t="s">
        <v>75</v>
      </c>
      <c r="P277" s="41">
        <f>HEX2DEC(RIGHT(Table13232127[[#This Row],[h1]],8))</f>
        <v>0</v>
      </c>
      <c r="Q277" s="41" t="s">
        <v>75</v>
      </c>
      <c r="R277" s="41">
        <f>HEX2DEC(RIGHT(Table13232127[[#This Row],[h2]],8))</f>
        <v>0</v>
      </c>
    </row>
    <row r="278" spans="1:18">
      <c r="A278" s="15" t="str">
        <f t="shared" si="9"/>
        <v>10C</v>
      </c>
      <c r="B278" s="15">
        <v>268</v>
      </c>
      <c r="C278" s="38"/>
      <c r="D278" s="15" t="s">
        <v>92</v>
      </c>
      <c r="G278" s="49" t="s">
        <v>133</v>
      </c>
      <c r="I278" s="27"/>
      <c r="J278" s="27">
        <v>50000</v>
      </c>
      <c r="L278" s="27"/>
      <c r="M278" s="27">
        <v>50000</v>
      </c>
      <c r="O278" s="41" t="s">
        <v>75</v>
      </c>
      <c r="P278" s="41">
        <f>HEX2DEC(RIGHT(Table13232127[[#This Row],[h1]],8))</f>
        <v>0</v>
      </c>
      <c r="Q278" s="41" t="s">
        <v>75</v>
      </c>
      <c r="R278" s="41">
        <f>HEX2DEC(RIGHT(Table13232127[[#This Row],[h2]],8))</f>
        <v>0</v>
      </c>
    </row>
    <row r="279" spans="1:18">
      <c r="A279" s="15" t="str">
        <f t="shared" si="9"/>
        <v>10D</v>
      </c>
      <c r="B279" s="15">
        <v>269</v>
      </c>
      <c r="C279" s="38"/>
      <c r="D279" s="15" t="s">
        <v>93</v>
      </c>
      <c r="G279" s="49" t="s">
        <v>133</v>
      </c>
      <c r="I279" s="27"/>
      <c r="J279" s="27">
        <v>50000</v>
      </c>
      <c r="L279" s="27"/>
      <c r="M279" s="27">
        <v>50000</v>
      </c>
      <c r="O279" s="41" t="s">
        <v>75</v>
      </c>
      <c r="P279" s="41">
        <f>HEX2DEC(RIGHT(Table13232127[[#This Row],[h1]],8))</f>
        <v>0</v>
      </c>
      <c r="Q279" s="41" t="s">
        <v>75</v>
      </c>
      <c r="R279" s="41">
        <f>HEX2DEC(RIGHT(Table13232127[[#This Row],[h2]],8))</f>
        <v>0</v>
      </c>
    </row>
    <row r="280" spans="1:18">
      <c r="A280" s="15" t="str">
        <f t="shared" si="9"/>
        <v>10E</v>
      </c>
      <c r="B280" s="15">
        <v>270</v>
      </c>
      <c r="C280" s="38"/>
      <c r="D280" s="15" t="s">
        <v>94</v>
      </c>
      <c r="G280" s="49" t="s">
        <v>133</v>
      </c>
      <c r="I280" s="27"/>
      <c r="J280" s="27">
        <v>50000</v>
      </c>
      <c r="L280" s="27"/>
      <c r="M280" s="27">
        <v>50000</v>
      </c>
      <c r="O280" s="41" t="s">
        <v>75</v>
      </c>
      <c r="P280" s="41">
        <f>HEX2DEC(RIGHT(Table13232127[[#This Row],[h1]],8))</f>
        <v>0</v>
      </c>
      <c r="Q280" s="41" t="s">
        <v>75</v>
      </c>
      <c r="R280" s="41">
        <f>HEX2DEC(RIGHT(Table13232127[[#This Row],[h2]],8))</f>
        <v>0</v>
      </c>
    </row>
    <row r="281" spans="1:18">
      <c r="A281" s="15" t="str">
        <f t="shared" si="9"/>
        <v>10F</v>
      </c>
      <c r="B281" s="15">
        <v>271</v>
      </c>
      <c r="C281" s="38"/>
      <c r="D281" s="15" t="s">
        <v>95</v>
      </c>
      <c r="G281" s="49" t="s">
        <v>133</v>
      </c>
      <c r="I281" s="27"/>
      <c r="J281" s="27">
        <v>50000</v>
      </c>
      <c r="L281" s="27"/>
      <c r="M281" s="27">
        <v>50000</v>
      </c>
      <c r="O281" s="41" t="s">
        <v>75</v>
      </c>
      <c r="P281" s="41">
        <f>HEX2DEC(RIGHT(Table13232127[[#This Row],[h1]],8))</f>
        <v>0</v>
      </c>
      <c r="Q281" s="41" t="s">
        <v>75</v>
      </c>
      <c r="R281" s="41">
        <f>HEX2DEC(RIGHT(Table13232127[[#This Row],[h2]],8))</f>
        <v>0</v>
      </c>
    </row>
    <row r="282" spans="1:18">
      <c r="A282" s="15" t="str">
        <f t="shared" si="9"/>
        <v>110</v>
      </c>
      <c r="B282" s="15">
        <v>272</v>
      </c>
      <c r="C282" s="38"/>
      <c r="D282" s="15" t="s">
        <v>96</v>
      </c>
      <c r="G282" s="49" t="s">
        <v>133</v>
      </c>
      <c r="I282" s="27"/>
      <c r="J282" s="27">
        <v>50000</v>
      </c>
      <c r="L282" s="27"/>
      <c r="M282" s="27">
        <v>50000</v>
      </c>
      <c r="O282" s="41" t="s">
        <v>75</v>
      </c>
      <c r="P282" s="41">
        <f>HEX2DEC(RIGHT(Table13232127[[#This Row],[h1]],8))</f>
        <v>0</v>
      </c>
      <c r="Q282" s="41" t="s">
        <v>75</v>
      </c>
      <c r="R282" s="41">
        <f>HEX2DEC(RIGHT(Table13232127[[#This Row],[h2]],8))</f>
        <v>0</v>
      </c>
    </row>
    <row r="283" spans="1:18">
      <c r="A283" s="15" t="str">
        <f t="shared" si="9"/>
        <v>111</v>
      </c>
      <c r="B283" s="15">
        <v>273</v>
      </c>
      <c r="C283" s="38"/>
      <c r="D283" s="15" t="s">
        <v>97</v>
      </c>
      <c r="G283" s="49" t="s">
        <v>133</v>
      </c>
      <c r="I283" s="27"/>
      <c r="J283" s="27">
        <v>50000</v>
      </c>
      <c r="L283" s="27"/>
      <c r="M283" s="27">
        <v>50000</v>
      </c>
      <c r="O283" s="41" t="s">
        <v>75</v>
      </c>
      <c r="P283" s="41">
        <f>HEX2DEC(RIGHT(Table13232127[[#This Row],[h1]],8))</f>
        <v>0</v>
      </c>
      <c r="Q283" s="41" t="s">
        <v>75</v>
      </c>
      <c r="R283" s="41">
        <f>HEX2DEC(RIGHT(Table13232127[[#This Row],[h2]],8))</f>
        <v>0</v>
      </c>
    </row>
    <row r="284" spans="1:18">
      <c r="A284" s="15" t="str">
        <f t="shared" si="9"/>
        <v>112</v>
      </c>
      <c r="B284" s="15">
        <v>274</v>
      </c>
      <c r="C284" s="38"/>
      <c r="D284" s="15" t="s">
        <v>98</v>
      </c>
      <c r="G284" s="49" t="s">
        <v>130</v>
      </c>
      <c r="I284" s="27"/>
      <c r="J284" s="27">
        <v>50000</v>
      </c>
      <c r="L284" s="27"/>
      <c r="M284" s="27">
        <v>50000</v>
      </c>
      <c r="O284" s="41" t="s">
        <v>75</v>
      </c>
      <c r="P284" s="41">
        <f>HEX2DEC(RIGHT(Table13232127[[#This Row],[h1]],8))</f>
        <v>0</v>
      </c>
      <c r="Q284" s="41" t="s">
        <v>75</v>
      </c>
      <c r="R284" s="41">
        <f>HEX2DEC(RIGHT(Table13232127[[#This Row],[h2]],8))</f>
        <v>0</v>
      </c>
    </row>
    <row r="285" spans="1:18">
      <c r="A285" s="15" t="str">
        <f t="shared" si="9"/>
        <v>113</v>
      </c>
      <c r="B285" s="15">
        <v>275</v>
      </c>
      <c r="C285" s="38"/>
      <c r="D285" s="15" t="s">
        <v>99</v>
      </c>
      <c r="G285" s="49" t="s">
        <v>130</v>
      </c>
      <c r="I285" s="27"/>
      <c r="J285" s="27">
        <v>50000</v>
      </c>
      <c r="L285" s="27"/>
      <c r="M285" s="27">
        <v>50000</v>
      </c>
      <c r="O285" s="41" t="s">
        <v>75</v>
      </c>
      <c r="P285" s="41">
        <f>HEX2DEC(RIGHT(Table13232127[[#This Row],[h1]],8))</f>
        <v>0</v>
      </c>
      <c r="Q285" s="41" t="s">
        <v>75</v>
      </c>
      <c r="R285" s="41">
        <f>HEX2DEC(RIGHT(Table13232127[[#This Row],[h2]],8))</f>
        <v>0</v>
      </c>
    </row>
    <row r="286" spans="1:18">
      <c r="A286" s="15" t="str">
        <f t="shared" si="9"/>
        <v>114</v>
      </c>
      <c r="B286" s="15">
        <v>276</v>
      </c>
      <c r="C286" s="38"/>
      <c r="D286" s="15" t="s">
        <v>100</v>
      </c>
      <c r="G286" s="49" t="s">
        <v>130</v>
      </c>
      <c r="I286" s="27"/>
      <c r="J286" s="27">
        <v>50000</v>
      </c>
      <c r="L286" s="27"/>
      <c r="M286" s="27">
        <v>50000</v>
      </c>
      <c r="O286" s="41" t="s">
        <v>75</v>
      </c>
      <c r="P286" s="41">
        <f>HEX2DEC(RIGHT(Table13232127[[#This Row],[h1]],8))</f>
        <v>0</v>
      </c>
      <c r="Q286" s="41" t="s">
        <v>75</v>
      </c>
      <c r="R286" s="41">
        <f>HEX2DEC(RIGHT(Table13232127[[#This Row],[h2]],8))</f>
        <v>0</v>
      </c>
    </row>
    <row r="287" spans="1:18">
      <c r="A287" s="15" t="str">
        <f t="shared" si="9"/>
        <v>115</v>
      </c>
      <c r="B287" s="15">
        <v>277</v>
      </c>
      <c r="C287" s="38"/>
      <c r="D287" s="15" t="s">
        <v>101</v>
      </c>
      <c r="G287" s="49" t="s">
        <v>130</v>
      </c>
      <c r="I287" s="27"/>
      <c r="J287" s="27">
        <v>50000</v>
      </c>
      <c r="L287" s="27"/>
      <c r="M287" s="27">
        <v>50000</v>
      </c>
      <c r="O287" s="41" t="s">
        <v>75</v>
      </c>
      <c r="P287" s="41">
        <f>HEX2DEC(RIGHT(Table13232127[[#This Row],[h1]],8))</f>
        <v>0</v>
      </c>
      <c r="Q287" s="41" t="s">
        <v>75</v>
      </c>
      <c r="R287" s="41">
        <f>HEX2DEC(RIGHT(Table13232127[[#This Row],[h2]],8))</f>
        <v>0</v>
      </c>
    </row>
    <row r="288" spans="1:18">
      <c r="A288" s="15" t="str">
        <f t="shared" si="9"/>
        <v>116</v>
      </c>
      <c r="B288" s="15">
        <v>278</v>
      </c>
      <c r="C288" s="38"/>
      <c r="D288" s="15" t="s">
        <v>102</v>
      </c>
      <c r="G288" s="49" t="s">
        <v>130</v>
      </c>
      <c r="I288" s="27"/>
      <c r="J288" s="27">
        <v>50000</v>
      </c>
      <c r="L288" s="27"/>
      <c r="M288" s="27">
        <v>50000</v>
      </c>
      <c r="O288" s="41" t="s">
        <v>75</v>
      </c>
      <c r="P288" s="41">
        <f>HEX2DEC(RIGHT(Table13232127[[#This Row],[h1]],8))</f>
        <v>0</v>
      </c>
      <c r="Q288" s="41" t="s">
        <v>75</v>
      </c>
      <c r="R288" s="41">
        <f>HEX2DEC(RIGHT(Table13232127[[#This Row],[h2]],8))</f>
        <v>0</v>
      </c>
    </row>
    <row r="289" spans="1:18">
      <c r="A289" s="15" t="str">
        <f t="shared" si="9"/>
        <v>117</v>
      </c>
      <c r="B289" s="15">
        <v>279</v>
      </c>
      <c r="C289" s="38"/>
      <c r="D289" s="15" t="s">
        <v>103</v>
      </c>
      <c r="G289" s="49" t="s">
        <v>130</v>
      </c>
      <c r="I289" s="27"/>
      <c r="J289" s="27">
        <v>50000</v>
      </c>
      <c r="L289" s="27"/>
      <c r="M289" s="27">
        <v>50000</v>
      </c>
      <c r="O289" s="41" t="s">
        <v>75</v>
      </c>
      <c r="P289" s="41">
        <f>HEX2DEC(RIGHT(Table13232127[[#This Row],[h1]],8))</f>
        <v>0</v>
      </c>
      <c r="Q289" s="41" t="s">
        <v>75</v>
      </c>
      <c r="R289" s="41">
        <f>HEX2DEC(RIGHT(Table13232127[[#This Row],[h2]],8))</f>
        <v>0</v>
      </c>
    </row>
    <row r="290" spans="1:18">
      <c r="A290" s="15" t="str">
        <f t="shared" si="9"/>
        <v>118</v>
      </c>
      <c r="B290" s="15">
        <v>280</v>
      </c>
      <c r="C290" s="38"/>
      <c r="D290" s="15" t="s">
        <v>104</v>
      </c>
      <c r="G290" s="49" t="s">
        <v>130</v>
      </c>
      <c r="I290" s="27"/>
      <c r="J290" s="27">
        <v>50000</v>
      </c>
      <c r="L290" s="27"/>
      <c r="M290" s="27">
        <v>50000</v>
      </c>
      <c r="O290" s="41" t="s">
        <v>75</v>
      </c>
      <c r="P290" s="41">
        <f>HEX2DEC(RIGHT(Table13232127[[#This Row],[h1]],8))</f>
        <v>0</v>
      </c>
      <c r="Q290" s="41" t="s">
        <v>75</v>
      </c>
      <c r="R290" s="41">
        <f>HEX2DEC(RIGHT(Table13232127[[#This Row],[h2]],8))</f>
        <v>0</v>
      </c>
    </row>
    <row r="291" spans="1:18">
      <c r="A291" s="15" t="str">
        <f t="shared" si="9"/>
        <v>119</v>
      </c>
      <c r="B291" s="15">
        <v>281</v>
      </c>
      <c r="C291" s="38"/>
      <c r="D291" s="15" t="s">
        <v>105</v>
      </c>
      <c r="G291" s="49" t="s">
        <v>130</v>
      </c>
      <c r="I291" s="27"/>
      <c r="J291" s="27">
        <v>50000</v>
      </c>
      <c r="L291" s="27"/>
      <c r="M291" s="27">
        <v>50000</v>
      </c>
      <c r="O291" s="41" t="s">
        <v>75</v>
      </c>
      <c r="P291" s="41">
        <f>HEX2DEC(RIGHT(Table13232127[[#This Row],[h1]],8))</f>
        <v>0</v>
      </c>
      <c r="Q291" s="41" t="s">
        <v>75</v>
      </c>
      <c r="R291" s="41">
        <f>HEX2DEC(RIGHT(Table13232127[[#This Row],[h2]],8))</f>
        <v>0</v>
      </c>
    </row>
    <row r="292" spans="1:18">
      <c r="A292" s="15" t="str">
        <f t="shared" si="9"/>
        <v>11A</v>
      </c>
      <c r="B292" s="15">
        <v>282</v>
      </c>
      <c r="C292" s="38"/>
      <c r="D292" s="15" t="s">
        <v>106</v>
      </c>
      <c r="G292" s="49" t="s">
        <v>130</v>
      </c>
      <c r="I292" s="27"/>
      <c r="J292" s="27">
        <v>50000</v>
      </c>
      <c r="L292" s="27"/>
      <c r="M292" s="27">
        <v>50000</v>
      </c>
      <c r="O292" s="41" t="s">
        <v>75</v>
      </c>
      <c r="P292" s="41">
        <f>HEX2DEC(RIGHT(Table13232127[[#This Row],[h1]],8))</f>
        <v>0</v>
      </c>
      <c r="Q292" s="41" t="s">
        <v>75</v>
      </c>
      <c r="R292" s="41">
        <f>HEX2DEC(RIGHT(Table13232127[[#This Row],[h2]],8))</f>
        <v>0</v>
      </c>
    </row>
    <row r="293" spans="1:18">
      <c r="A293" s="15" t="str">
        <f t="shared" si="9"/>
        <v>11B</v>
      </c>
      <c r="B293" s="15">
        <v>283</v>
      </c>
      <c r="C293" s="38"/>
      <c r="D293" s="15" t="s">
        <v>107</v>
      </c>
      <c r="G293" s="49" t="s">
        <v>130</v>
      </c>
      <c r="I293" s="27"/>
      <c r="J293" s="27">
        <v>50000</v>
      </c>
      <c r="L293" s="27"/>
      <c r="M293" s="27">
        <v>50000</v>
      </c>
      <c r="O293" s="41" t="s">
        <v>75</v>
      </c>
      <c r="P293" s="41">
        <f>HEX2DEC(RIGHT(Table13232127[[#This Row],[h1]],8))</f>
        <v>0</v>
      </c>
      <c r="Q293" s="41" t="s">
        <v>75</v>
      </c>
      <c r="R293" s="41">
        <f>HEX2DEC(RIGHT(Table13232127[[#This Row],[h2]],8))</f>
        <v>0</v>
      </c>
    </row>
    <row r="294" spans="1:18">
      <c r="A294" s="15" t="str">
        <f t="shared" si="9"/>
        <v>11C</v>
      </c>
      <c r="B294" s="15">
        <v>284</v>
      </c>
      <c r="C294" s="38"/>
      <c r="D294" s="15" t="s">
        <v>108</v>
      </c>
      <c r="G294" s="49" t="s">
        <v>130</v>
      </c>
      <c r="I294" s="27"/>
      <c r="J294" s="27">
        <v>50000</v>
      </c>
      <c r="L294" s="27"/>
      <c r="M294" s="27">
        <v>50000</v>
      </c>
      <c r="O294" s="41" t="s">
        <v>75</v>
      </c>
      <c r="P294" s="41">
        <f>HEX2DEC(RIGHT(Table13232127[[#This Row],[h1]],8))</f>
        <v>0</v>
      </c>
      <c r="Q294" s="41" t="s">
        <v>75</v>
      </c>
      <c r="R294" s="41">
        <f>HEX2DEC(RIGHT(Table13232127[[#This Row],[h2]],8))</f>
        <v>0</v>
      </c>
    </row>
    <row r="295" spans="1:18">
      <c r="A295" s="15" t="str">
        <f t="shared" si="9"/>
        <v>11D</v>
      </c>
      <c r="B295" s="15">
        <v>285</v>
      </c>
      <c r="C295" s="38"/>
      <c r="D295" s="15" t="s">
        <v>109</v>
      </c>
      <c r="G295" s="49" t="s">
        <v>130</v>
      </c>
      <c r="I295" s="27"/>
      <c r="J295" s="27">
        <v>50000</v>
      </c>
      <c r="L295" s="27"/>
      <c r="M295" s="27">
        <v>50000</v>
      </c>
      <c r="O295" s="41" t="s">
        <v>75</v>
      </c>
      <c r="P295" s="41">
        <f>HEX2DEC(RIGHT(Table13232127[[#This Row],[h1]],8))</f>
        <v>0</v>
      </c>
      <c r="Q295" s="41" t="s">
        <v>75</v>
      </c>
      <c r="R295" s="41">
        <f>HEX2DEC(RIGHT(Table13232127[[#This Row],[h2]],8))</f>
        <v>0</v>
      </c>
    </row>
    <row r="296" spans="1:18">
      <c r="A296" s="15" t="str">
        <f t="shared" si="9"/>
        <v>11E</v>
      </c>
      <c r="B296" s="15">
        <v>286</v>
      </c>
      <c r="C296" s="38"/>
      <c r="D296" s="15" t="s">
        <v>110</v>
      </c>
      <c r="G296" s="49" t="s">
        <v>130</v>
      </c>
      <c r="I296" s="27"/>
      <c r="J296" s="27">
        <v>50000</v>
      </c>
      <c r="L296" s="27"/>
      <c r="M296" s="27">
        <v>50000</v>
      </c>
      <c r="O296" s="41" t="s">
        <v>75</v>
      </c>
      <c r="P296" s="41">
        <f>HEX2DEC(RIGHT(Table13232127[[#This Row],[h1]],8))</f>
        <v>0</v>
      </c>
      <c r="Q296" s="41" t="s">
        <v>75</v>
      </c>
      <c r="R296" s="41">
        <f>HEX2DEC(RIGHT(Table13232127[[#This Row],[h2]],8))</f>
        <v>0</v>
      </c>
    </row>
    <row r="297" spans="1:18">
      <c r="A297" s="15" t="str">
        <f t="shared" si="9"/>
        <v>11F</v>
      </c>
      <c r="B297" s="15">
        <v>287</v>
      </c>
      <c r="C297" s="38"/>
      <c r="D297" s="15" t="s">
        <v>111</v>
      </c>
      <c r="G297" s="49" t="s">
        <v>130</v>
      </c>
      <c r="I297" s="27"/>
      <c r="J297" s="27">
        <v>50000</v>
      </c>
      <c r="L297" s="27"/>
      <c r="M297" s="27">
        <v>50000</v>
      </c>
      <c r="O297" s="41" t="s">
        <v>75</v>
      </c>
      <c r="P297" s="41">
        <f>HEX2DEC(RIGHT(Table13232127[[#This Row],[h1]],8))</f>
        <v>0</v>
      </c>
      <c r="Q297" s="41" t="s">
        <v>75</v>
      </c>
      <c r="R297" s="41">
        <f>HEX2DEC(RIGHT(Table13232127[[#This Row],[h2]],8))</f>
        <v>0</v>
      </c>
    </row>
    <row r="298" spans="1:18">
      <c r="A298" s="15" t="str">
        <f t="shared" si="9"/>
        <v>120</v>
      </c>
      <c r="B298" s="15">
        <v>288</v>
      </c>
      <c r="C298" s="38"/>
      <c r="D298" s="15" t="s">
        <v>112</v>
      </c>
      <c r="G298" s="49" t="s">
        <v>130</v>
      </c>
      <c r="I298" s="27"/>
      <c r="J298" s="27">
        <v>50000</v>
      </c>
      <c r="L298" s="27"/>
      <c r="M298" s="27">
        <v>50000</v>
      </c>
      <c r="O298" s="41" t="s">
        <v>75</v>
      </c>
      <c r="P298" s="41">
        <f>HEX2DEC(RIGHT(Table13232127[[#This Row],[h1]],8))</f>
        <v>0</v>
      </c>
      <c r="Q298" s="41" t="s">
        <v>75</v>
      </c>
      <c r="R298" s="41">
        <f>HEX2DEC(RIGHT(Table13232127[[#This Row],[h2]],8))</f>
        <v>0</v>
      </c>
    </row>
    <row r="299" spans="1:18">
      <c r="A299" s="15" t="str">
        <f t="shared" si="9"/>
        <v>121</v>
      </c>
      <c r="B299" s="15">
        <v>289</v>
      </c>
      <c r="C299" s="38"/>
      <c r="D299" s="15" t="s">
        <v>113</v>
      </c>
      <c r="G299" s="49" t="s">
        <v>130</v>
      </c>
      <c r="I299" s="27"/>
      <c r="J299" s="27">
        <v>50000</v>
      </c>
      <c r="L299" s="27"/>
      <c r="M299" s="27">
        <v>50000</v>
      </c>
      <c r="O299" s="41" t="s">
        <v>75</v>
      </c>
      <c r="P299" s="41">
        <f>HEX2DEC(RIGHT(Table13232127[[#This Row],[h1]],8))</f>
        <v>0</v>
      </c>
      <c r="Q299" s="41" t="s">
        <v>75</v>
      </c>
      <c r="R299" s="41">
        <f>HEX2DEC(RIGHT(Table13232127[[#This Row],[h2]],8))</f>
        <v>0</v>
      </c>
    </row>
    <row r="300" spans="1:18">
      <c r="A300" s="15" t="str">
        <f t="shared" si="9"/>
        <v>122</v>
      </c>
      <c r="B300" s="15">
        <v>290</v>
      </c>
      <c r="C300" s="38"/>
      <c r="D300" s="15" t="s">
        <v>114</v>
      </c>
      <c r="G300" s="49" t="s">
        <v>130</v>
      </c>
      <c r="I300" s="27"/>
      <c r="J300" s="27">
        <v>50000</v>
      </c>
      <c r="L300" s="27"/>
      <c r="M300" s="27">
        <v>50000</v>
      </c>
      <c r="O300" s="41" t="s">
        <v>75</v>
      </c>
      <c r="P300" s="41">
        <f>HEX2DEC(RIGHT(Table13232127[[#This Row],[h1]],8))</f>
        <v>0</v>
      </c>
      <c r="Q300" s="41" t="s">
        <v>75</v>
      </c>
      <c r="R300" s="41">
        <f>HEX2DEC(RIGHT(Table13232127[[#This Row],[h2]],8))</f>
        <v>0</v>
      </c>
    </row>
    <row r="301" spans="1:18">
      <c r="A301" s="15" t="str">
        <f t="shared" si="9"/>
        <v>123</v>
      </c>
      <c r="B301" s="15">
        <v>291</v>
      </c>
      <c r="C301" s="38"/>
      <c r="D301" s="15" t="s">
        <v>115</v>
      </c>
      <c r="G301" s="49" t="s">
        <v>130</v>
      </c>
      <c r="I301" s="27"/>
      <c r="J301" s="27">
        <v>50000</v>
      </c>
      <c r="L301" s="27"/>
      <c r="M301" s="27">
        <v>50000</v>
      </c>
      <c r="O301" s="41" t="s">
        <v>75</v>
      </c>
      <c r="P301" s="41">
        <f>HEX2DEC(RIGHT(Table13232127[[#This Row],[h1]],8))</f>
        <v>0</v>
      </c>
      <c r="Q301" s="41" t="s">
        <v>75</v>
      </c>
      <c r="R301" s="41">
        <f>HEX2DEC(RIGHT(Table13232127[[#This Row],[h2]],8))</f>
        <v>0</v>
      </c>
    </row>
    <row r="302" spans="1:18">
      <c r="A302" s="15" t="str">
        <f t="shared" si="9"/>
        <v>124</v>
      </c>
      <c r="B302" s="15">
        <v>292</v>
      </c>
      <c r="C302" s="38"/>
      <c r="D302" s="15" t="s">
        <v>116</v>
      </c>
      <c r="G302" s="49" t="s">
        <v>130</v>
      </c>
      <c r="I302" s="27"/>
      <c r="J302" s="27">
        <v>50000</v>
      </c>
      <c r="L302" s="27"/>
      <c r="M302" s="27">
        <v>50000</v>
      </c>
      <c r="O302" s="41" t="s">
        <v>75</v>
      </c>
      <c r="P302" s="41">
        <f>HEX2DEC(RIGHT(Table13232127[[#This Row],[h1]],8))</f>
        <v>0</v>
      </c>
      <c r="Q302" s="41" t="s">
        <v>75</v>
      </c>
      <c r="R302" s="41">
        <f>HEX2DEC(RIGHT(Table13232127[[#This Row],[h2]],8))</f>
        <v>0</v>
      </c>
    </row>
    <row r="303" spans="1:18">
      <c r="A303" s="15" t="str">
        <f t="shared" si="9"/>
        <v>125</v>
      </c>
      <c r="B303" s="15">
        <v>293</v>
      </c>
      <c r="C303" s="38"/>
      <c r="D303" s="15" t="s">
        <v>117</v>
      </c>
      <c r="G303" s="49" t="s">
        <v>130</v>
      </c>
      <c r="I303" s="27"/>
      <c r="J303" s="27">
        <v>50000</v>
      </c>
      <c r="L303" s="27"/>
      <c r="M303" s="27">
        <v>50000</v>
      </c>
      <c r="O303" s="41" t="s">
        <v>75</v>
      </c>
      <c r="P303" s="41">
        <f>HEX2DEC(RIGHT(Table13232127[[#This Row],[h1]],8))</f>
        <v>0</v>
      </c>
      <c r="Q303" s="41" t="s">
        <v>75</v>
      </c>
      <c r="R303" s="41">
        <f>HEX2DEC(RIGHT(Table13232127[[#This Row],[h2]],8))</f>
        <v>0</v>
      </c>
    </row>
    <row r="304" spans="1:18">
      <c r="A304" s="15" t="str">
        <f t="shared" si="9"/>
        <v>126</v>
      </c>
      <c r="B304" s="15">
        <v>294</v>
      </c>
      <c r="C304" s="38"/>
      <c r="D304" s="15" t="s">
        <v>118</v>
      </c>
      <c r="G304" s="49" t="s">
        <v>130</v>
      </c>
      <c r="I304" s="27"/>
      <c r="J304" s="27">
        <v>50000</v>
      </c>
      <c r="L304" s="27"/>
      <c r="M304" s="27">
        <v>50000</v>
      </c>
      <c r="O304" s="41" t="s">
        <v>75</v>
      </c>
      <c r="P304" s="41">
        <f>HEX2DEC(RIGHT(Table13232127[[#This Row],[h1]],8))</f>
        <v>0</v>
      </c>
      <c r="Q304" s="41" t="s">
        <v>75</v>
      </c>
      <c r="R304" s="41">
        <f>HEX2DEC(RIGHT(Table13232127[[#This Row],[h2]],8))</f>
        <v>0</v>
      </c>
    </row>
    <row r="305" spans="1:18">
      <c r="A305" s="15" t="str">
        <f t="shared" si="9"/>
        <v>127</v>
      </c>
      <c r="B305" s="15">
        <v>295</v>
      </c>
      <c r="C305" s="38"/>
      <c r="D305" s="15" t="s">
        <v>119</v>
      </c>
      <c r="G305" s="49" t="s">
        <v>130</v>
      </c>
      <c r="I305" s="27"/>
      <c r="J305" s="27">
        <v>50000</v>
      </c>
      <c r="L305" s="27"/>
      <c r="M305" s="27">
        <v>50000</v>
      </c>
      <c r="O305" s="41" t="s">
        <v>75</v>
      </c>
      <c r="P305" s="41">
        <f>HEX2DEC(RIGHT(Table13232127[[#This Row],[h1]],8))</f>
        <v>0</v>
      </c>
      <c r="Q305" s="41" t="s">
        <v>75</v>
      </c>
      <c r="R305" s="41">
        <f>HEX2DEC(RIGHT(Table13232127[[#This Row],[h2]],8))</f>
        <v>0</v>
      </c>
    </row>
    <row r="306" spans="1:18">
      <c r="A306" s="15" t="str">
        <f t="shared" si="9"/>
        <v>128</v>
      </c>
      <c r="B306" s="15">
        <v>296</v>
      </c>
      <c r="C306" s="38"/>
      <c r="D306" s="15" t="s">
        <v>120</v>
      </c>
      <c r="G306" s="49" t="s">
        <v>130</v>
      </c>
      <c r="I306" s="27"/>
      <c r="J306" s="27">
        <v>50000</v>
      </c>
      <c r="L306" s="27"/>
      <c r="M306" s="27">
        <v>50000</v>
      </c>
      <c r="O306" s="41" t="s">
        <v>75</v>
      </c>
      <c r="P306" s="41">
        <f>HEX2DEC(RIGHT(Table13232127[[#This Row],[h1]],8))</f>
        <v>0</v>
      </c>
      <c r="Q306" s="41" t="s">
        <v>75</v>
      </c>
      <c r="R306" s="41">
        <f>HEX2DEC(RIGHT(Table13232127[[#This Row],[h2]],8))</f>
        <v>0</v>
      </c>
    </row>
    <row r="307" spans="1:18">
      <c r="A307" s="15" t="str">
        <f t="shared" si="9"/>
        <v>129</v>
      </c>
      <c r="B307" s="15">
        <v>297</v>
      </c>
      <c r="C307" s="38"/>
      <c r="D307" s="15" t="s">
        <v>121</v>
      </c>
      <c r="G307" s="49" t="s">
        <v>130</v>
      </c>
      <c r="I307" s="27"/>
      <c r="J307" s="27">
        <v>50000</v>
      </c>
      <c r="L307" s="27"/>
      <c r="M307" s="27">
        <v>50000</v>
      </c>
      <c r="O307" s="41" t="s">
        <v>75</v>
      </c>
      <c r="P307" s="41">
        <f>HEX2DEC(RIGHT(Table13232127[[#This Row],[h1]],8))</f>
        <v>0</v>
      </c>
      <c r="Q307" s="41" t="s">
        <v>75</v>
      </c>
      <c r="R307" s="41">
        <f>HEX2DEC(RIGHT(Table13232127[[#This Row],[h2]],8))</f>
        <v>0</v>
      </c>
    </row>
    <row r="308" spans="1:18">
      <c r="A308" s="15" t="str">
        <f t="shared" si="9"/>
        <v>12A</v>
      </c>
      <c r="B308" s="15">
        <v>298</v>
      </c>
      <c r="C308" s="38"/>
      <c r="D308" s="15" t="s">
        <v>122</v>
      </c>
      <c r="G308" s="49" t="s">
        <v>130</v>
      </c>
      <c r="I308" s="27"/>
      <c r="J308" s="27">
        <v>50000</v>
      </c>
      <c r="L308" s="27"/>
      <c r="M308" s="27">
        <v>50000</v>
      </c>
      <c r="O308" s="41" t="s">
        <v>75</v>
      </c>
      <c r="P308" s="41">
        <f>HEX2DEC(RIGHT(Table13232127[[#This Row],[h1]],8))</f>
        <v>0</v>
      </c>
      <c r="Q308" s="41" t="s">
        <v>75</v>
      </c>
      <c r="R308" s="41">
        <f>HEX2DEC(RIGHT(Table13232127[[#This Row],[h2]],8))</f>
        <v>0</v>
      </c>
    </row>
    <row r="309" spans="1:18">
      <c r="A309" s="15" t="str">
        <f t="shared" si="9"/>
        <v>12B</v>
      </c>
      <c r="B309" s="15">
        <v>299</v>
      </c>
      <c r="C309" s="38"/>
      <c r="D309" s="15" t="s">
        <v>123</v>
      </c>
      <c r="G309" s="49" t="s">
        <v>130</v>
      </c>
      <c r="I309" s="27"/>
      <c r="J309" s="27">
        <v>50000</v>
      </c>
      <c r="L309" s="27"/>
      <c r="M309" s="27">
        <v>50000</v>
      </c>
      <c r="O309" s="41" t="s">
        <v>75</v>
      </c>
      <c r="P309" s="41">
        <f>HEX2DEC(RIGHT(Table13232127[[#This Row],[h1]],8))</f>
        <v>0</v>
      </c>
      <c r="Q309" s="41" t="s">
        <v>75</v>
      </c>
      <c r="R309" s="41">
        <f>HEX2DEC(RIGHT(Table13232127[[#This Row],[h2]],8))</f>
        <v>0</v>
      </c>
    </row>
    <row r="310" spans="1:18">
      <c r="A310" s="15" t="str">
        <f t="shared" si="9"/>
        <v>12C</v>
      </c>
      <c r="B310" s="15">
        <v>300</v>
      </c>
      <c r="C310" s="38"/>
      <c r="D310" s="15" t="s">
        <v>124</v>
      </c>
      <c r="G310" s="49" t="s">
        <v>130</v>
      </c>
      <c r="I310" s="27"/>
      <c r="J310" s="27">
        <v>50000</v>
      </c>
      <c r="L310" s="27"/>
      <c r="M310" s="27">
        <v>50000</v>
      </c>
      <c r="O310" s="41" t="s">
        <v>75</v>
      </c>
      <c r="P310" s="41">
        <f>HEX2DEC(RIGHT(Table13232127[[#This Row],[h1]],8))</f>
        <v>0</v>
      </c>
      <c r="Q310" s="41" t="s">
        <v>75</v>
      </c>
      <c r="R310" s="41">
        <f>HEX2DEC(RIGHT(Table13232127[[#This Row],[h2]],8))</f>
        <v>0</v>
      </c>
    </row>
    <row r="311" spans="1:18">
      <c r="A311" s="15" t="str">
        <f t="shared" si="9"/>
        <v>12D</v>
      </c>
      <c r="B311" s="15">
        <v>301</v>
      </c>
      <c r="C311" s="38"/>
      <c r="D311" s="15" t="s">
        <v>125</v>
      </c>
      <c r="G311" s="49" t="s">
        <v>130</v>
      </c>
      <c r="I311" s="27"/>
      <c r="J311" s="27">
        <v>50000</v>
      </c>
      <c r="L311" s="27"/>
      <c r="M311" s="27">
        <v>50000</v>
      </c>
      <c r="O311" s="41" t="s">
        <v>75</v>
      </c>
      <c r="P311" s="41">
        <f>HEX2DEC(RIGHT(Table13232127[[#This Row],[h1]],8))</f>
        <v>0</v>
      </c>
      <c r="Q311" s="41" t="s">
        <v>75</v>
      </c>
      <c r="R311" s="41">
        <f>HEX2DEC(RIGHT(Table13232127[[#This Row],[h2]],8))</f>
        <v>0</v>
      </c>
    </row>
    <row r="312" spans="1:18">
      <c r="A312" s="15" t="str">
        <f t="shared" si="9"/>
        <v>12E</v>
      </c>
      <c r="B312" s="15">
        <v>302</v>
      </c>
      <c r="C312" s="38"/>
      <c r="D312" s="15" t="s">
        <v>126</v>
      </c>
      <c r="G312" s="49" t="s">
        <v>130</v>
      </c>
      <c r="I312" s="27"/>
      <c r="J312" s="27">
        <v>50000</v>
      </c>
      <c r="L312" s="27"/>
      <c r="M312" s="27">
        <v>50000</v>
      </c>
      <c r="O312" s="41" t="s">
        <v>75</v>
      </c>
      <c r="P312" s="41">
        <f>HEX2DEC(RIGHT(Table13232127[[#This Row],[h1]],8))</f>
        <v>0</v>
      </c>
      <c r="Q312" s="41" t="s">
        <v>75</v>
      </c>
      <c r="R312" s="41">
        <f>HEX2DEC(RIGHT(Table13232127[[#This Row],[h2]],8))</f>
        <v>0</v>
      </c>
    </row>
    <row r="313" spans="1:18">
      <c r="A313" s="15" t="str">
        <f t="shared" si="9"/>
        <v>12F</v>
      </c>
      <c r="B313" s="15">
        <v>303</v>
      </c>
      <c r="C313" s="38"/>
      <c r="D313" s="15" t="s">
        <v>127</v>
      </c>
      <c r="G313" s="49" t="s">
        <v>130</v>
      </c>
      <c r="I313" s="27"/>
      <c r="J313" s="27">
        <v>50000</v>
      </c>
      <c r="L313" s="27"/>
      <c r="M313" s="27">
        <v>50000</v>
      </c>
      <c r="O313" s="41" t="s">
        <v>75</v>
      </c>
      <c r="P313" s="41">
        <f>HEX2DEC(RIGHT(Table13232127[[#This Row],[h1]],8))</f>
        <v>0</v>
      </c>
      <c r="Q313" s="41" t="s">
        <v>75</v>
      </c>
      <c r="R313" s="41">
        <f>HEX2DEC(RIGHT(Table13232127[[#This Row],[h2]],8))</f>
        <v>0</v>
      </c>
    </row>
    <row r="314" spans="1:18">
      <c r="A314" s="15" t="str">
        <f t="shared" si="9"/>
        <v>130</v>
      </c>
      <c r="B314" s="15">
        <v>304</v>
      </c>
      <c r="C314" s="38"/>
      <c r="D314" s="15" t="s">
        <v>128</v>
      </c>
      <c r="G314" s="49" t="s">
        <v>130</v>
      </c>
      <c r="I314" s="27"/>
      <c r="J314" s="27">
        <v>50000</v>
      </c>
      <c r="L314" s="27"/>
      <c r="M314" s="27">
        <v>50000</v>
      </c>
      <c r="O314" s="41" t="s">
        <v>75</v>
      </c>
      <c r="P314" s="41">
        <f>HEX2DEC(RIGHT(Table13232127[[#This Row],[h1]],8))</f>
        <v>0</v>
      </c>
      <c r="Q314" s="41" t="s">
        <v>75</v>
      </c>
      <c r="R314" s="41">
        <f>HEX2DEC(RIGHT(Table13232127[[#This Row],[h2]],8))</f>
        <v>0</v>
      </c>
    </row>
    <row r="315" spans="1:18">
      <c r="A315" s="15" t="str">
        <f t="shared" si="9"/>
        <v>131</v>
      </c>
      <c r="B315" s="15">
        <v>305</v>
      </c>
      <c r="C315" s="38"/>
      <c r="D315" s="15" t="s">
        <v>129</v>
      </c>
      <c r="G315" s="49" t="s">
        <v>130</v>
      </c>
      <c r="I315" s="27"/>
      <c r="J315" s="27">
        <v>50000</v>
      </c>
      <c r="L315" s="27"/>
      <c r="M315" s="27">
        <v>50000</v>
      </c>
      <c r="O315" s="41" t="s">
        <v>75</v>
      </c>
      <c r="P315" s="41">
        <f>HEX2DEC(RIGHT(Table13232127[[#This Row],[h1]],8))</f>
        <v>0</v>
      </c>
      <c r="Q315" s="41" t="s">
        <v>75</v>
      </c>
      <c r="R315" s="41">
        <f>HEX2DEC(RIGHT(Table13232127[[#This Row],[h2]],8))</f>
        <v>0</v>
      </c>
    </row>
    <row r="316" spans="1:18">
      <c r="A316" s="15" t="str">
        <f t="shared" si="9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1" t="s">
        <v>75</v>
      </c>
      <c r="P316" s="41">
        <f>HEX2DEC(RIGHT(Table13232127[[#This Row],[h1]],8))</f>
        <v>0</v>
      </c>
      <c r="Q316" s="41" t="s">
        <v>75</v>
      </c>
      <c r="R316" s="41">
        <f>HEX2DEC(RIGHT(Table13232127[[#This Row],[h2]],8))</f>
        <v>0</v>
      </c>
    </row>
    <row r="317" spans="1:18">
      <c r="A317" s="15" t="str">
        <f t="shared" si="9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1" t="s">
        <v>75</v>
      </c>
      <c r="P317" s="41">
        <f>HEX2DEC(RIGHT(Table13232127[[#This Row],[h1]],8))</f>
        <v>0</v>
      </c>
      <c r="Q317" s="41" t="s">
        <v>75</v>
      </c>
      <c r="R317" s="41">
        <f>HEX2DEC(RIGHT(Table13232127[[#This Row],[h2]],8))</f>
        <v>0</v>
      </c>
    </row>
    <row r="318" spans="1:18">
      <c r="A318" s="15" t="str">
        <f t="shared" si="9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1" t="s">
        <v>75</v>
      </c>
      <c r="P318" s="41">
        <f>HEX2DEC(RIGHT(Table13232127[[#This Row],[h1]],8))</f>
        <v>0</v>
      </c>
      <c r="Q318" s="41" t="s">
        <v>75</v>
      </c>
      <c r="R318" s="41">
        <f>HEX2DEC(RIGHT(Table13232127[[#This Row],[h2]],8))</f>
        <v>0</v>
      </c>
    </row>
    <row r="319" spans="1:18">
      <c r="A319" s="15" t="str">
        <f t="shared" si="9"/>
        <v>135</v>
      </c>
      <c r="B319" s="15">
        <v>309</v>
      </c>
      <c r="C319" s="38"/>
      <c r="D319" s="15" t="s">
        <v>426</v>
      </c>
      <c r="G319" s="29">
        <v>1</v>
      </c>
      <c r="I319" s="27"/>
      <c r="J319" s="27">
        <v>50000</v>
      </c>
      <c r="L319" s="27"/>
      <c r="M319" s="27">
        <v>50000</v>
      </c>
      <c r="O319" s="41" t="s">
        <v>75</v>
      </c>
      <c r="P319" s="41">
        <f>HEX2DEC(RIGHT(Table13232127[[#This Row],[h1]],8))</f>
        <v>0</v>
      </c>
      <c r="Q319" s="41" t="s">
        <v>75</v>
      </c>
      <c r="R319" s="41">
        <f>HEX2DEC(RIGHT(Table13232127[[#This Row],[h2]],8))</f>
        <v>0</v>
      </c>
    </row>
    <row r="320" spans="1:18">
      <c r="A320" s="15" t="str">
        <f t="shared" si="9"/>
        <v>136</v>
      </c>
      <c r="B320" s="15">
        <v>310</v>
      </c>
      <c r="C320" s="38"/>
      <c r="D320" s="33" t="s">
        <v>325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1" t="s">
        <v>75</v>
      </c>
      <c r="P320" s="41">
        <f>HEX2DEC(RIGHT(Table13232127[[#This Row],[h1]],8))</f>
        <v>0</v>
      </c>
      <c r="Q320" s="41" t="s">
        <v>75</v>
      </c>
      <c r="R320" s="41">
        <f>HEX2DEC(RIGHT(Table13232127[[#This Row],[h2]],8))</f>
        <v>0</v>
      </c>
    </row>
    <row r="321" spans="1:18">
      <c r="A321" s="15" t="str">
        <f t="shared" si="9"/>
        <v>137</v>
      </c>
      <c r="B321" s="15">
        <v>311</v>
      </c>
      <c r="C321" s="38"/>
      <c r="D321" s="26" t="s">
        <v>344</v>
      </c>
      <c r="G321" s="29">
        <v>1</v>
      </c>
      <c r="I321" s="27"/>
      <c r="J321" s="27">
        <v>50000</v>
      </c>
      <c r="L321" s="27"/>
      <c r="M321" s="27">
        <v>50000</v>
      </c>
      <c r="O321" s="41" t="s">
        <v>75</v>
      </c>
      <c r="P321" s="41">
        <f>HEX2DEC(RIGHT(Table13232127[[#This Row],[h1]],8))</f>
        <v>0</v>
      </c>
      <c r="Q321" s="41" t="s">
        <v>75</v>
      </c>
      <c r="R321" s="41">
        <f>HEX2DEC(RIGHT(Table13232127[[#This Row],[h2]],8))</f>
        <v>0</v>
      </c>
    </row>
    <row r="322" spans="1:18">
      <c r="A322" s="15" t="str">
        <f t="shared" si="9"/>
        <v>138</v>
      </c>
      <c r="B322" s="15">
        <v>312</v>
      </c>
      <c r="C322" s="38"/>
      <c r="D322" s="26" t="s">
        <v>345</v>
      </c>
      <c r="G322" s="29">
        <v>0</v>
      </c>
      <c r="I322" s="27"/>
      <c r="J322" s="27">
        <v>50000</v>
      </c>
      <c r="L322" s="27"/>
      <c r="M322" s="27">
        <v>50000</v>
      </c>
      <c r="O322" s="41" t="s">
        <v>75</v>
      </c>
      <c r="P322" s="41">
        <f>HEX2DEC(RIGHT(Table13232127[[#This Row],[h1]],8))</f>
        <v>0</v>
      </c>
      <c r="Q322" s="41" t="s">
        <v>75</v>
      </c>
      <c r="R322" s="41">
        <f>HEX2DEC(RIGHT(Table13232127[[#This Row],[h2]],8))</f>
        <v>0</v>
      </c>
    </row>
    <row r="323" spans="1:18">
      <c r="A323" s="15" t="str">
        <f t="shared" si="9"/>
        <v>139</v>
      </c>
      <c r="B323" s="15">
        <v>313</v>
      </c>
      <c r="C323" s="38"/>
      <c r="D323" s="15" t="s">
        <v>326</v>
      </c>
      <c r="G323" s="29">
        <v>1</v>
      </c>
      <c r="I323" s="27"/>
      <c r="J323" s="27">
        <v>50000</v>
      </c>
      <c r="L323" s="27"/>
      <c r="M323" s="27">
        <v>50000</v>
      </c>
      <c r="O323" s="41" t="s">
        <v>75</v>
      </c>
      <c r="P323" s="41">
        <f>HEX2DEC(RIGHT(Table13232127[[#This Row],[h1]],8))</f>
        <v>0</v>
      </c>
      <c r="Q323" s="41" t="s">
        <v>75</v>
      </c>
      <c r="R323" s="41">
        <f>HEX2DEC(RIGHT(Table13232127[[#This Row],[h2]],8))</f>
        <v>0</v>
      </c>
    </row>
    <row r="324" spans="1:18">
      <c r="A324" s="15" t="str">
        <f t="shared" si="9"/>
        <v>13A</v>
      </c>
      <c r="B324" s="15">
        <v>314</v>
      </c>
      <c r="C324" s="38"/>
      <c r="D324" s="15" t="s">
        <v>327</v>
      </c>
      <c r="G324" s="29">
        <v>0</v>
      </c>
      <c r="I324" s="27"/>
      <c r="J324" s="27">
        <v>50000</v>
      </c>
      <c r="L324" s="27"/>
      <c r="M324" s="27">
        <v>50000</v>
      </c>
      <c r="O324" s="41" t="s">
        <v>75</v>
      </c>
      <c r="P324" s="41">
        <f>HEX2DEC(RIGHT(Table13232127[[#This Row],[h1]],8))</f>
        <v>0</v>
      </c>
      <c r="Q324" s="41" t="s">
        <v>75</v>
      </c>
      <c r="R324" s="41">
        <f>HEX2DEC(RIGHT(Table13232127[[#This Row],[h2]],8))</f>
        <v>0</v>
      </c>
    </row>
    <row r="325" spans="1:18">
      <c r="A325" s="15" t="str">
        <f t="shared" si="9"/>
        <v>13B</v>
      </c>
      <c r="B325" s="15">
        <v>315</v>
      </c>
      <c r="C325" s="38"/>
      <c r="D325" s="33" t="s">
        <v>323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1" t="s">
        <v>75</v>
      </c>
      <c r="P325" s="41">
        <f>HEX2DEC(RIGHT(Table13232127[[#This Row],[h1]],8))</f>
        <v>0</v>
      </c>
      <c r="Q325" s="41" t="s">
        <v>75</v>
      </c>
      <c r="R325" s="41">
        <f>HEX2DEC(RIGHT(Table13232127[[#This Row],[h2]],8))</f>
        <v>0</v>
      </c>
    </row>
    <row r="326" spans="1:18">
      <c r="A326" s="15" t="str">
        <f t="shared" si="9"/>
        <v>13C</v>
      </c>
      <c r="B326" s="15">
        <v>316</v>
      </c>
      <c r="C326" s="38"/>
      <c r="D326" s="15" t="s">
        <v>324</v>
      </c>
      <c r="G326" s="29">
        <v>1</v>
      </c>
      <c r="I326" s="27"/>
      <c r="J326" s="27">
        <v>50000</v>
      </c>
      <c r="L326" s="27"/>
      <c r="M326" s="27">
        <v>50000</v>
      </c>
      <c r="O326" s="41" t="s">
        <v>75</v>
      </c>
      <c r="P326" s="41">
        <f>HEX2DEC(RIGHT(Table13232127[[#This Row],[h1]],8))</f>
        <v>0</v>
      </c>
      <c r="Q326" s="41" t="s">
        <v>75</v>
      </c>
      <c r="R326" s="41">
        <f>HEX2DEC(RIGHT(Table13232127[[#This Row],[h2]],8))</f>
        <v>0</v>
      </c>
    </row>
    <row r="327" spans="1:18">
      <c r="A327" s="15" t="str">
        <f t="shared" si="9"/>
        <v>13D</v>
      </c>
      <c r="B327" s="15">
        <v>317</v>
      </c>
      <c r="C327" s="38"/>
      <c r="D327" s="15" t="s">
        <v>328</v>
      </c>
      <c r="G327" s="29">
        <v>1</v>
      </c>
      <c r="I327" s="27"/>
      <c r="J327" s="27">
        <v>50000</v>
      </c>
      <c r="L327" s="27"/>
      <c r="M327" s="27">
        <v>50000</v>
      </c>
      <c r="O327" s="41" t="s">
        <v>75</v>
      </c>
      <c r="P327" s="41">
        <f>HEX2DEC(RIGHT(Table13232127[[#This Row],[h1]],8))</f>
        <v>0</v>
      </c>
      <c r="Q327" s="41" t="s">
        <v>75</v>
      </c>
      <c r="R327" s="41">
        <f>HEX2DEC(RIGHT(Table13232127[[#This Row],[h2]],8))</f>
        <v>0</v>
      </c>
    </row>
    <row r="328" spans="1:18">
      <c r="A328" s="15" t="str">
        <f t="shared" si="9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1" t="s">
        <v>75</v>
      </c>
      <c r="P328" s="41">
        <f>HEX2DEC(RIGHT(Table13232127[[#This Row],[h1]],8))</f>
        <v>0</v>
      </c>
      <c r="Q328" s="41" t="s">
        <v>75</v>
      </c>
      <c r="R328" s="41">
        <f>HEX2DEC(RIGHT(Table13232127[[#This Row],[h2]],8))</f>
        <v>0</v>
      </c>
    </row>
    <row r="329" spans="1:18">
      <c r="A329" s="15" t="str">
        <f t="shared" si="9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1" t="s">
        <v>75</v>
      </c>
      <c r="P329" s="41">
        <f>HEX2DEC(RIGHT(Table13232127[[#This Row],[h1]],8))</f>
        <v>0</v>
      </c>
      <c r="Q329" s="41" t="s">
        <v>75</v>
      </c>
      <c r="R329" s="41">
        <f>HEX2DEC(RIGHT(Table13232127[[#This Row],[h2]],8))</f>
        <v>0</v>
      </c>
    </row>
    <row r="330" spans="1:18">
      <c r="A330" s="15" t="str">
        <f t="shared" si="9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1" t="s">
        <v>75</v>
      </c>
      <c r="P330" s="41">
        <f>HEX2DEC(RIGHT(Table13232127[[#This Row],[h1]],8))</f>
        <v>0</v>
      </c>
      <c r="Q330" s="41" t="s">
        <v>75</v>
      </c>
      <c r="R330" s="41">
        <f>HEX2DEC(RIGHT(Table13232127[[#This Row],[h2]],8))</f>
        <v>0</v>
      </c>
    </row>
    <row r="331" spans="1:18">
      <c r="A331" s="15" t="str">
        <f t="shared" ref="A331:A394" si="10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1" t="s">
        <v>75</v>
      </c>
      <c r="P331" s="41">
        <f>HEX2DEC(RIGHT(Table13232127[[#This Row],[h1]],8))</f>
        <v>0</v>
      </c>
      <c r="Q331" s="41" t="s">
        <v>75</v>
      </c>
      <c r="R331" s="41">
        <f>HEX2DEC(RIGHT(Table13232127[[#This Row],[h2]],8))</f>
        <v>0</v>
      </c>
    </row>
    <row r="332" spans="1:18">
      <c r="A332" s="15" t="str">
        <f t="shared" si="10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1" t="s">
        <v>75</v>
      </c>
      <c r="P332" s="41">
        <f>HEX2DEC(RIGHT(Table13232127[[#This Row],[h1]],8))</f>
        <v>0</v>
      </c>
      <c r="Q332" s="41" t="s">
        <v>75</v>
      </c>
      <c r="R332" s="41">
        <f>HEX2DEC(RIGHT(Table13232127[[#This Row],[h2]],8))</f>
        <v>0</v>
      </c>
    </row>
    <row r="333" spans="1:18">
      <c r="A333" s="15" t="str">
        <f t="shared" si="10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1" t="s">
        <v>75</v>
      </c>
      <c r="P333" s="41">
        <f>HEX2DEC(RIGHT(Table13232127[[#This Row],[h1]],8))</f>
        <v>0</v>
      </c>
      <c r="Q333" s="41" t="s">
        <v>75</v>
      </c>
      <c r="R333" s="41">
        <f>HEX2DEC(RIGHT(Table13232127[[#This Row],[h2]],8))</f>
        <v>0</v>
      </c>
    </row>
    <row r="334" spans="1:18">
      <c r="A334" s="15" t="str">
        <f t="shared" si="10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1" t="s">
        <v>75</v>
      </c>
      <c r="P334" s="41">
        <f>HEX2DEC(RIGHT(Table13232127[[#This Row],[h1]],8))</f>
        <v>0</v>
      </c>
      <c r="Q334" s="41" t="s">
        <v>75</v>
      </c>
      <c r="R334" s="41">
        <f>HEX2DEC(RIGHT(Table13232127[[#This Row],[h2]],8))</f>
        <v>0</v>
      </c>
    </row>
    <row r="335" spans="1:18">
      <c r="A335" s="15" t="str">
        <f t="shared" si="10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1" t="s">
        <v>75</v>
      </c>
      <c r="P335" s="41">
        <f>HEX2DEC(RIGHT(Table13232127[[#This Row],[h1]],8))</f>
        <v>0</v>
      </c>
      <c r="Q335" s="41" t="s">
        <v>75</v>
      </c>
      <c r="R335" s="41">
        <f>HEX2DEC(RIGHT(Table13232127[[#This Row],[h2]],8))</f>
        <v>0</v>
      </c>
    </row>
    <row r="336" spans="1:18">
      <c r="A336" s="15" t="str">
        <f t="shared" si="10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1" t="s">
        <v>75</v>
      </c>
      <c r="P336" s="41">
        <f>HEX2DEC(RIGHT(Table13232127[[#This Row],[h1]],8))</f>
        <v>0</v>
      </c>
      <c r="Q336" s="41" t="s">
        <v>75</v>
      </c>
      <c r="R336" s="41">
        <f>HEX2DEC(RIGHT(Table13232127[[#This Row],[h2]],8))</f>
        <v>0</v>
      </c>
    </row>
    <row r="337" spans="1:18">
      <c r="A337" s="15" t="str">
        <f t="shared" si="10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1" t="s">
        <v>75</v>
      </c>
      <c r="P337" s="41">
        <f>HEX2DEC(RIGHT(Table13232127[[#This Row],[h1]],8))</f>
        <v>0</v>
      </c>
      <c r="Q337" s="41" t="s">
        <v>75</v>
      </c>
      <c r="R337" s="41">
        <f>HEX2DEC(RIGHT(Table13232127[[#This Row],[h2]],8))</f>
        <v>0</v>
      </c>
    </row>
    <row r="338" spans="1:18">
      <c r="A338" s="15" t="str">
        <f t="shared" si="10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1" t="s">
        <v>75</v>
      </c>
      <c r="P338" s="41">
        <f>HEX2DEC(RIGHT(Table13232127[[#This Row],[h1]],8))</f>
        <v>0</v>
      </c>
      <c r="Q338" s="41" t="s">
        <v>75</v>
      </c>
      <c r="R338" s="41">
        <f>HEX2DEC(RIGHT(Table13232127[[#This Row],[h2]],8))</f>
        <v>0</v>
      </c>
    </row>
    <row r="339" spans="1:18">
      <c r="A339" s="15" t="str">
        <f t="shared" si="10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1" t="s">
        <v>75</v>
      </c>
      <c r="P339" s="41">
        <f>HEX2DEC(RIGHT(Table13232127[[#This Row],[h1]],8))</f>
        <v>0</v>
      </c>
      <c r="Q339" s="41" t="s">
        <v>75</v>
      </c>
      <c r="R339" s="41">
        <f>HEX2DEC(RIGHT(Table13232127[[#This Row],[h2]],8))</f>
        <v>0</v>
      </c>
    </row>
    <row r="340" spans="1:18">
      <c r="A340" s="15" t="str">
        <f t="shared" si="10"/>
        <v>14A</v>
      </c>
      <c r="B340" s="15">
        <v>330</v>
      </c>
      <c r="C340" s="38"/>
      <c r="G340" s="41"/>
      <c r="I340" s="27"/>
      <c r="J340" s="27">
        <v>50000</v>
      </c>
      <c r="L340" s="27"/>
      <c r="M340" s="27">
        <v>50000</v>
      </c>
      <c r="O340" s="41" t="s">
        <v>75</v>
      </c>
      <c r="P340" s="41">
        <f>HEX2DEC(RIGHT(Table13232127[[#This Row],[h1]],8))</f>
        <v>0</v>
      </c>
      <c r="Q340" s="41" t="s">
        <v>75</v>
      </c>
      <c r="R340" s="41">
        <f>HEX2DEC(RIGHT(Table13232127[[#This Row],[h2]],8))</f>
        <v>0</v>
      </c>
    </row>
    <row r="341" spans="1:18">
      <c r="A341" s="15" t="str">
        <f t="shared" si="10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1" t="s">
        <v>75</v>
      </c>
      <c r="P341" s="41">
        <f>HEX2DEC(RIGHT(Table13232127[[#This Row],[h1]],8))</f>
        <v>0</v>
      </c>
      <c r="Q341" s="41" t="s">
        <v>75</v>
      </c>
      <c r="R341" s="41">
        <f>HEX2DEC(RIGHT(Table13232127[[#This Row],[h2]],8))</f>
        <v>0</v>
      </c>
    </row>
    <row r="342" spans="1:18">
      <c r="A342" s="15" t="str">
        <f t="shared" si="10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1" t="s">
        <v>75</v>
      </c>
      <c r="P342" s="41">
        <f>HEX2DEC(RIGHT(Table13232127[[#This Row],[h1]],8))</f>
        <v>0</v>
      </c>
      <c r="Q342" s="41" t="s">
        <v>75</v>
      </c>
      <c r="R342" s="41">
        <f>HEX2DEC(RIGHT(Table13232127[[#This Row],[h2]],8))</f>
        <v>0</v>
      </c>
    </row>
    <row r="343" spans="1:18">
      <c r="A343" s="15" t="str">
        <f t="shared" si="10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1" t="s">
        <v>75</v>
      </c>
      <c r="P343" s="41">
        <f>HEX2DEC(RIGHT(Table13232127[[#This Row],[h1]],8))</f>
        <v>0</v>
      </c>
      <c r="Q343" s="41" t="s">
        <v>75</v>
      </c>
      <c r="R343" s="41">
        <f>HEX2DEC(RIGHT(Table13232127[[#This Row],[h2]],8))</f>
        <v>0</v>
      </c>
    </row>
    <row r="344" spans="1:18">
      <c r="A344" s="15" t="str">
        <f t="shared" si="10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1" t="s">
        <v>75</v>
      </c>
      <c r="P344" s="41">
        <f>HEX2DEC(RIGHT(Table13232127[[#This Row],[h1]],8))</f>
        <v>0</v>
      </c>
      <c r="Q344" s="41" t="s">
        <v>75</v>
      </c>
      <c r="R344" s="41">
        <f>HEX2DEC(RIGHT(Table13232127[[#This Row],[h2]],8))</f>
        <v>0</v>
      </c>
    </row>
    <row r="345" spans="1:18">
      <c r="A345" s="15" t="str">
        <f t="shared" si="10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1" t="s">
        <v>75</v>
      </c>
      <c r="P345" s="41">
        <f>HEX2DEC(RIGHT(Table13232127[[#This Row],[h1]],8))</f>
        <v>0</v>
      </c>
      <c r="Q345" s="41" t="s">
        <v>75</v>
      </c>
      <c r="R345" s="41">
        <f>HEX2DEC(RIGHT(Table13232127[[#This Row],[h2]],8))</f>
        <v>0</v>
      </c>
    </row>
    <row r="346" spans="1:18">
      <c r="A346" s="15" t="str">
        <f t="shared" si="10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1" t="s">
        <v>75</v>
      </c>
      <c r="P346" s="41">
        <f>HEX2DEC(RIGHT(Table13232127[[#This Row],[h1]],8))</f>
        <v>0</v>
      </c>
      <c r="Q346" s="41" t="s">
        <v>75</v>
      </c>
      <c r="R346" s="41">
        <f>HEX2DEC(RIGHT(Table13232127[[#This Row],[h2]],8))</f>
        <v>0</v>
      </c>
    </row>
    <row r="347" spans="1:18">
      <c r="A347" s="15" t="str">
        <f t="shared" si="10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1" t="s">
        <v>75</v>
      </c>
      <c r="P347" s="41">
        <f>HEX2DEC(RIGHT(Table13232127[[#This Row],[h1]],8))</f>
        <v>0</v>
      </c>
      <c r="Q347" s="41" t="s">
        <v>75</v>
      </c>
      <c r="R347" s="41">
        <f>HEX2DEC(RIGHT(Table13232127[[#This Row],[h2]],8))</f>
        <v>0</v>
      </c>
    </row>
    <row r="348" spans="1:18">
      <c r="A348" s="15" t="str">
        <f t="shared" si="10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1" t="s">
        <v>75</v>
      </c>
      <c r="P348" s="41">
        <f>HEX2DEC(RIGHT(Table13232127[[#This Row],[h1]],8))</f>
        <v>0</v>
      </c>
      <c r="Q348" s="41" t="s">
        <v>75</v>
      </c>
      <c r="R348" s="41">
        <f>HEX2DEC(RIGHT(Table13232127[[#This Row],[h2]],8))</f>
        <v>0</v>
      </c>
    </row>
    <row r="349" spans="1:18">
      <c r="A349" s="15" t="str">
        <f t="shared" si="10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1" t="s">
        <v>75</v>
      </c>
      <c r="P349" s="41">
        <f>HEX2DEC(RIGHT(Table13232127[[#This Row],[h1]],8))</f>
        <v>0</v>
      </c>
      <c r="Q349" s="41" t="s">
        <v>75</v>
      </c>
      <c r="R349" s="41">
        <f>HEX2DEC(RIGHT(Table13232127[[#This Row],[h2]],8))</f>
        <v>0</v>
      </c>
    </row>
    <row r="350" spans="1:18">
      <c r="A350" s="15" t="str">
        <f t="shared" si="10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1" t="s">
        <v>75</v>
      </c>
      <c r="P350" s="41">
        <f>HEX2DEC(RIGHT(Table13232127[[#This Row],[h1]],8))</f>
        <v>0</v>
      </c>
      <c r="Q350" s="41" t="s">
        <v>75</v>
      </c>
      <c r="R350" s="41">
        <f>HEX2DEC(RIGHT(Table13232127[[#This Row],[h2]],8))</f>
        <v>0</v>
      </c>
    </row>
    <row r="351" spans="1:18">
      <c r="A351" s="15" t="str">
        <f t="shared" si="10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1" t="s">
        <v>75</v>
      </c>
      <c r="P351" s="41">
        <f>HEX2DEC(RIGHT(Table13232127[[#This Row],[h1]],8))</f>
        <v>0</v>
      </c>
      <c r="Q351" s="41" t="s">
        <v>75</v>
      </c>
      <c r="R351" s="41">
        <f>HEX2DEC(RIGHT(Table13232127[[#This Row],[h2]],8))</f>
        <v>0</v>
      </c>
    </row>
    <row r="352" spans="1:18">
      <c r="A352" s="15" t="str">
        <f t="shared" si="10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1" t="s">
        <v>75</v>
      </c>
      <c r="P352" s="41">
        <f>HEX2DEC(RIGHT(Table13232127[[#This Row],[h1]],8))</f>
        <v>0</v>
      </c>
      <c r="Q352" s="41" t="s">
        <v>75</v>
      </c>
      <c r="R352" s="41">
        <f>HEX2DEC(RIGHT(Table13232127[[#This Row],[h2]],8))</f>
        <v>0</v>
      </c>
    </row>
    <row r="353" spans="1:18">
      <c r="A353" s="15" t="str">
        <f t="shared" si="10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1" t="s">
        <v>75</v>
      </c>
      <c r="P353" s="41">
        <f>HEX2DEC(RIGHT(Table13232127[[#This Row],[h1]],8))</f>
        <v>0</v>
      </c>
      <c r="Q353" s="41" t="s">
        <v>75</v>
      </c>
      <c r="R353" s="41">
        <f>HEX2DEC(RIGHT(Table13232127[[#This Row],[h2]],8))</f>
        <v>0</v>
      </c>
    </row>
    <row r="354" spans="1:18">
      <c r="A354" s="15" t="str">
        <f t="shared" si="10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1" t="s">
        <v>75</v>
      </c>
      <c r="P354" s="41">
        <f>HEX2DEC(RIGHT(Table13232127[[#This Row],[h1]],8))</f>
        <v>0</v>
      </c>
      <c r="Q354" s="41" t="s">
        <v>75</v>
      </c>
      <c r="R354" s="41">
        <f>HEX2DEC(RIGHT(Table13232127[[#This Row],[h2]],8))</f>
        <v>0</v>
      </c>
    </row>
    <row r="355" spans="1:18">
      <c r="A355" s="15" t="str">
        <f t="shared" si="10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1" t="s">
        <v>75</v>
      </c>
      <c r="P355" s="41">
        <f>HEX2DEC(RIGHT(Table13232127[[#This Row],[h1]],8))</f>
        <v>0</v>
      </c>
      <c r="Q355" s="41" t="s">
        <v>75</v>
      </c>
      <c r="R355" s="41">
        <f>HEX2DEC(RIGHT(Table13232127[[#This Row],[h2]],8))</f>
        <v>0</v>
      </c>
    </row>
    <row r="356" spans="1:18">
      <c r="A356" s="15" t="str">
        <f t="shared" si="10"/>
        <v>15A</v>
      </c>
      <c r="B356" s="15">
        <v>346</v>
      </c>
      <c r="C356" s="53"/>
      <c r="D356" s="54"/>
      <c r="E356" s="54"/>
      <c r="F356" s="54"/>
      <c r="G356" s="55"/>
      <c r="I356" s="27"/>
      <c r="J356" s="27">
        <v>50000</v>
      </c>
      <c r="L356" s="27"/>
      <c r="M356" s="27">
        <v>50000</v>
      </c>
      <c r="O356" s="41" t="s">
        <v>75</v>
      </c>
      <c r="P356" s="41">
        <f>HEX2DEC(RIGHT(Table13232127[[#This Row],[h1]],8))</f>
        <v>0</v>
      </c>
      <c r="Q356" s="41" t="s">
        <v>75</v>
      </c>
      <c r="R356" s="41">
        <f>HEX2DEC(RIGHT(Table13232127[[#This Row],[h2]],8))</f>
        <v>0</v>
      </c>
    </row>
    <row r="357" spans="1:18">
      <c r="A357" s="15" t="str">
        <f t="shared" si="10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1" t="s">
        <v>75</v>
      </c>
      <c r="P357" s="41">
        <f>HEX2DEC(RIGHT(Table13232127[[#This Row],[h1]],8))</f>
        <v>0</v>
      </c>
      <c r="Q357" s="41" t="s">
        <v>75</v>
      </c>
      <c r="R357" s="41">
        <f>HEX2DEC(RIGHT(Table13232127[[#This Row],[h2]],8))</f>
        <v>0</v>
      </c>
    </row>
    <row r="358" spans="1:18">
      <c r="A358" s="15" t="str">
        <f t="shared" si="10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1" t="s">
        <v>75</v>
      </c>
      <c r="P358" s="41">
        <f>HEX2DEC(RIGHT(Table13232127[[#This Row],[h1]],8))</f>
        <v>0</v>
      </c>
      <c r="Q358" s="41" t="s">
        <v>75</v>
      </c>
      <c r="R358" s="41">
        <f>HEX2DEC(RIGHT(Table13232127[[#This Row],[h2]],8))</f>
        <v>0</v>
      </c>
    </row>
    <row r="359" spans="1:18">
      <c r="A359" s="15" t="str">
        <f t="shared" si="10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1" t="s">
        <v>75</v>
      </c>
      <c r="P359" s="41">
        <f>HEX2DEC(RIGHT(Table13232127[[#This Row],[h1]],8))</f>
        <v>0</v>
      </c>
      <c r="Q359" s="41" t="s">
        <v>75</v>
      </c>
      <c r="R359" s="41">
        <f>HEX2DEC(RIGHT(Table13232127[[#This Row],[h2]],8))</f>
        <v>0</v>
      </c>
    </row>
    <row r="360" spans="1:18">
      <c r="A360" s="15" t="str">
        <f t="shared" si="10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1" t="s">
        <v>75</v>
      </c>
      <c r="P360" s="41">
        <f>HEX2DEC(RIGHT(Table13232127[[#This Row],[h1]],8))</f>
        <v>0</v>
      </c>
      <c r="Q360" s="41" t="s">
        <v>75</v>
      </c>
      <c r="R360" s="41">
        <f>HEX2DEC(RIGHT(Table13232127[[#This Row],[h2]],8))</f>
        <v>0</v>
      </c>
    </row>
    <row r="361" spans="1:18">
      <c r="A361" s="15" t="str">
        <f t="shared" si="10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1" t="s">
        <v>75</v>
      </c>
      <c r="P361" s="41">
        <f>HEX2DEC(RIGHT(Table13232127[[#This Row],[h1]],8))</f>
        <v>0</v>
      </c>
      <c r="Q361" s="41" t="s">
        <v>75</v>
      </c>
      <c r="R361" s="41">
        <f>HEX2DEC(RIGHT(Table13232127[[#This Row],[h2]],8))</f>
        <v>0</v>
      </c>
    </row>
    <row r="362" spans="1:18">
      <c r="A362" s="15" t="str">
        <f t="shared" si="10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1" t="s">
        <v>75</v>
      </c>
      <c r="P362" s="41">
        <f>HEX2DEC(RIGHT(Table13232127[[#This Row],[h1]],8))</f>
        <v>0</v>
      </c>
      <c r="Q362" s="41" t="s">
        <v>75</v>
      </c>
      <c r="R362" s="41">
        <f>HEX2DEC(RIGHT(Table13232127[[#This Row],[h2]],8))</f>
        <v>0</v>
      </c>
    </row>
    <row r="363" spans="1:18">
      <c r="A363" s="15" t="str">
        <f t="shared" si="10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1" t="s">
        <v>75</v>
      </c>
      <c r="P363" s="41">
        <f>HEX2DEC(RIGHT(Table13232127[[#This Row],[h1]],8))</f>
        <v>0</v>
      </c>
      <c r="Q363" s="41" t="s">
        <v>75</v>
      </c>
      <c r="R363" s="41">
        <f>HEX2DEC(RIGHT(Table13232127[[#This Row],[h2]],8))</f>
        <v>0</v>
      </c>
    </row>
    <row r="364" spans="1:18">
      <c r="A364" s="15" t="str">
        <f t="shared" si="10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1" t="s">
        <v>75</v>
      </c>
      <c r="P364" s="41">
        <f>HEX2DEC(RIGHT(Table13232127[[#This Row],[h1]],8))</f>
        <v>0</v>
      </c>
      <c r="Q364" s="41" t="s">
        <v>75</v>
      </c>
      <c r="R364" s="41">
        <f>HEX2DEC(RIGHT(Table13232127[[#This Row],[h2]],8))</f>
        <v>0</v>
      </c>
    </row>
    <row r="365" spans="1:18">
      <c r="A365" s="15" t="str">
        <f t="shared" si="10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1" t="s">
        <v>75</v>
      </c>
      <c r="P365" s="41">
        <f>HEX2DEC(RIGHT(Table13232127[[#This Row],[h1]],8))</f>
        <v>0</v>
      </c>
      <c r="Q365" s="41" t="s">
        <v>75</v>
      </c>
      <c r="R365" s="41">
        <f>HEX2DEC(RIGHT(Table13232127[[#This Row],[h2]],8))</f>
        <v>0</v>
      </c>
    </row>
    <row r="366" spans="1:18">
      <c r="A366" s="15" t="str">
        <f t="shared" si="10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1" t="s">
        <v>75</v>
      </c>
      <c r="P366" s="41">
        <f>HEX2DEC(RIGHT(Table13232127[[#This Row],[h1]],8))</f>
        <v>0</v>
      </c>
      <c r="Q366" s="41" t="s">
        <v>75</v>
      </c>
      <c r="R366" s="41">
        <f>HEX2DEC(RIGHT(Table13232127[[#This Row],[h2]],8))</f>
        <v>0</v>
      </c>
    </row>
    <row r="367" spans="1:18">
      <c r="A367" s="15" t="str">
        <f t="shared" si="10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1" t="s">
        <v>75</v>
      </c>
      <c r="P367" s="41">
        <f>HEX2DEC(RIGHT(Table13232127[[#This Row],[h1]],8))</f>
        <v>0</v>
      </c>
      <c r="Q367" s="41" t="s">
        <v>75</v>
      </c>
      <c r="R367" s="41">
        <f>HEX2DEC(RIGHT(Table13232127[[#This Row],[h2]],8))</f>
        <v>0</v>
      </c>
    </row>
    <row r="368" spans="1:18">
      <c r="A368" s="15" t="str">
        <f t="shared" si="10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1" t="s">
        <v>75</v>
      </c>
      <c r="P368" s="41">
        <f>HEX2DEC(RIGHT(Table13232127[[#This Row],[h1]],8))</f>
        <v>0</v>
      </c>
      <c r="Q368" s="41" t="s">
        <v>75</v>
      </c>
      <c r="R368" s="41">
        <f>HEX2DEC(RIGHT(Table13232127[[#This Row],[h2]],8))</f>
        <v>0</v>
      </c>
    </row>
    <row r="369" spans="1:18">
      <c r="A369" s="15" t="str">
        <f t="shared" si="10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1" t="s">
        <v>75</v>
      </c>
      <c r="P369" s="41">
        <f>HEX2DEC(RIGHT(Table13232127[[#This Row],[h1]],8))</f>
        <v>0</v>
      </c>
      <c r="Q369" s="41" t="s">
        <v>75</v>
      </c>
      <c r="R369" s="41">
        <f>HEX2DEC(RIGHT(Table13232127[[#This Row],[h2]],8))</f>
        <v>0</v>
      </c>
    </row>
    <row r="370" spans="1:18">
      <c r="A370" s="15" t="str">
        <f t="shared" si="10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1" t="s">
        <v>75</v>
      </c>
      <c r="P370" s="41">
        <f>HEX2DEC(RIGHT(Table13232127[[#This Row],[h1]],8))</f>
        <v>0</v>
      </c>
      <c r="Q370" s="41" t="s">
        <v>75</v>
      </c>
      <c r="R370" s="41">
        <f>HEX2DEC(RIGHT(Table13232127[[#This Row],[h2]],8))</f>
        <v>0</v>
      </c>
    </row>
    <row r="371" spans="1:18">
      <c r="A371" s="15" t="str">
        <f t="shared" si="10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1" t="s">
        <v>75</v>
      </c>
      <c r="P371" s="41">
        <f>HEX2DEC(RIGHT(Table13232127[[#This Row],[h1]],8))</f>
        <v>0</v>
      </c>
      <c r="Q371" s="41" t="s">
        <v>75</v>
      </c>
      <c r="R371" s="41">
        <f>HEX2DEC(RIGHT(Table13232127[[#This Row],[h2]],8))</f>
        <v>0</v>
      </c>
    </row>
    <row r="372" spans="1:18">
      <c r="A372" s="15" t="str">
        <f t="shared" si="10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1" t="s">
        <v>75</v>
      </c>
      <c r="P372" s="41">
        <f>HEX2DEC(RIGHT(Table13232127[[#This Row],[h1]],8))</f>
        <v>0</v>
      </c>
      <c r="Q372" s="41" t="s">
        <v>75</v>
      </c>
      <c r="R372" s="41">
        <f>HEX2DEC(RIGHT(Table13232127[[#This Row],[h2]],8))</f>
        <v>0</v>
      </c>
    </row>
    <row r="373" spans="1:18">
      <c r="A373" s="15" t="str">
        <f t="shared" si="10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1" t="s">
        <v>75</v>
      </c>
      <c r="P373" s="41">
        <f>HEX2DEC(RIGHT(Table13232127[[#This Row],[h1]],8))</f>
        <v>0</v>
      </c>
      <c r="Q373" s="41" t="s">
        <v>75</v>
      </c>
      <c r="R373" s="41">
        <f>HEX2DEC(RIGHT(Table13232127[[#This Row],[h2]],8))</f>
        <v>0</v>
      </c>
    </row>
    <row r="374" spans="1:18">
      <c r="A374" s="15" t="str">
        <f t="shared" si="10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1" t="s">
        <v>75</v>
      </c>
      <c r="P374" s="41">
        <f>HEX2DEC(RIGHT(Table13232127[[#This Row],[h1]],8))</f>
        <v>0</v>
      </c>
      <c r="Q374" s="41" t="s">
        <v>75</v>
      </c>
      <c r="R374" s="41">
        <f>HEX2DEC(RIGHT(Table13232127[[#This Row],[h2]],8))</f>
        <v>0</v>
      </c>
    </row>
    <row r="375" spans="1:18">
      <c r="A375" s="15" t="str">
        <f t="shared" si="10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1" t="s">
        <v>75</v>
      </c>
      <c r="P375" s="41">
        <f>HEX2DEC(RIGHT(Table13232127[[#This Row],[h1]],8))</f>
        <v>0</v>
      </c>
      <c r="Q375" s="41" t="s">
        <v>75</v>
      </c>
      <c r="R375" s="41">
        <f>HEX2DEC(RIGHT(Table13232127[[#This Row],[h2]],8))</f>
        <v>0</v>
      </c>
    </row>
    <row r="376" spans="1:18">
      <c r="A376" s="15" t="str">
        <f t="shared" si="10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1" t="s">
        <v>75</v>
      </c>
      <c r="P376" s="41">
        <f>HEX2DEC(RIGHT(Table13232127[[#This Row],[h1]],8))</f>
        <v>0</v>
      </c>
      <c r="Q376" s="41" t="s">
        <v>75</v>
      </c>
      <c r="R376" s="41">
        <f>HEX2DEC(RIGHT(Table13232127[[#This Row],[h2]],8))</f>
        <v>0</v>
      </c>
    </row>
    <row r="377" spans="1:18">
      <c r="A377" s="15" t="str">
        <f t="shared" si="10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1" t="s">
        <v>75</v>
      </c>
      <c r="P377" s="41">
        <f>HEX2DEC(RIGHT(Table13232127[[#This Row],[h1]],8))</f>
        <v>0</v>
      </c>
      <c r="Q377" s="41" t="s">
        <v>75</v>
      </c>
      <c r="R377" s="41">
        <f>HEX2DEC(RIGHT(Table13232127[[#This Row],[h2]],8))</f>
        <v>0</v>
      </c>
    </row>
    <row r="378" spans="1:18">
      <c r="A378" s="15" t="str">
        <f t="shared" si="10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1" t="s">
        <v>75</v>
      </c>
      <c r="P378" s="41">
        <f>HEX2DEC(RIGHT(Table13232127[[#This Row],[h1]],8))</f>
        <v>0</v>
      </c>
      <c r="Q378" s="41" t="s">
        <v>75</v>
      </c>
      <c r="R378" s="41">
        <f>HEX2DEC(RIGHT(Table13232127[[#This Row],[h2]],8))</f>
        <v>0</v>
      </c>
    </row>
    <row r="379" spans="1:18">
      <c r="A379" s="15" t="str">
        <f t="shared" si="10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1" t="s">
        <v>75</v>
      </c>
      <c r="P379" s="41">
        <f>HEX2DEC(RIGHT(Table13232127[[#This Row],[h1]],8))</f>
        <v>0</v>
      </c>
      <c r="Q379" s="41" t="s">
        <v>75</v>
      </c>
      <c r="R379" s="41">
        <f>HEX2DEC(RIGHT(Table13232127[[#This Row],[h2]],8))</f>
        <v>0</v>
      </c>
    </row>
    <row r="380" spans="1:18">
      <c r="A380" s="15" t="str">
        <f t="shared" si="10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1" t="s">
        <v>75</v>
      </c>
      <c r="P380" s="41">
        <f>HEX2DEC(RIGHT(Table13232127[[#This Row],[h1]],8))</f>
        <v>0</v>
      </c>
      <c r="Q380" s="41" t="s">
        <v>75</v>
      </c>
      <c r="R380" s="41">
        <f>HEX2DEC(RIGHT(Table13232127[[#This Row],[h2]],8))</f>
        <v>0</v>
      </c>
    </row>
    <row r="381" spans="1:18">
      <c r="A381" s="15" t="str">
        <f t="shared" si="10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1" t="s">
        <v>75</v>
      </c>
      <c r="P381" s="41">
        <f>HEX2DEC(RIGHT(Table13232127[[#This Row],[h1]],8))</f>
        <v>0</v>
      </c>
      <c r="Q381" s="41" t="s">
        <v>75</v>
      </c>
      <c r="R381" s="41">
        <f>HEX2DEC(RIGHT(Table13232127[[#This Row],[h2]],8))</f>
        <v>0</v>
      </c>
    </row>
    <row r="382" spans="1:18">
      <c r="A382" s="15" t="str">
        <f t="shared" si="10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1" t="s">
        <v>75</v>
      </c>
      <c r="P382" s="41">
        <f>HEX2DEC(RIGHT(Table13232127[[#This Row],[h1]],8))</f>
        <v>0</v>
      </c>
      <c r="Q382" s="41" t="s">
        <v>75</v>
      </c>
      <c r="R382" s="41">
        <f>HEX2DEC(RIGHT(Table13232127[[#This Row],[h2]],8))</f>
        <v>0</v>
      </c>
    </row>
    <row r="383" spans="1:18">
      <c r="A383" s="15" t="str">
        <f t="shared" si="10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1" t="s">
        <v>75</v>
      </c>
      <c r="P383" s="41">
        <f>HEX2DEC(RIGHT(Table13232127[[#This Row],[h1]],8))</f>
        <v>0</v>
      </c>
      <c r="Q383" s="41" t="s">
        <v>75</v>
      </c>
      <c r="R383" s="41">
        <f>HEX2DEC(RIGHT(Table13232127[[#This Row],[h2]],8))</f>
        <v>0</v>
      </c>
    </row>
    <row r="384" spans="1:18">
      <c r="A384" s="15" t="str">
        <f t="shared" si="10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1" t="s">
        <v>75</v>
      </c>
      <c r="P384" s="41">
        <f>HEX2DEC(RIGHT(Table13232127[[#This Row],[h1]],8))</f>
        <v>0</v>
      </c>
      <c r="Q384" s="41" t="s">
        <v>75</v>
      </c>
      <c r="R384" s="41">
        <f>HEX2DEC(RIGHT(Table13232127[[#This Row],[h2]],8))</f>
        <v>0</v>
      </c>
    </row>
    <row r="385" spans="1:18">
      <c r="A385" s="15" t="str">
        <f t="shared" si="10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1" t="s">
        <v>75</v>
      </c>
      <c r="P385" s="41">
        <f>HEX2DEC(RIGHT(Table13232127[[#This Row],[h1]],8))</f>
        <v>0</v>
      </c>
      <c r="Q385" s="41" t="s">
        <v>75</v>
      </c>
      <c r="R385" s="41">
        <f>HEX2DEC(RIGHT(Table13232127[[#This Row],[h2]],8))</f>
        <v>0</v>
      </c>
    </row>
    <row r="386" spans="1:18">
      <c r="A386" s="15" t="str">
        <f t="shared" si="10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1" t="s">
        <v>75</v>
      </c>
      <c r="P386" s="41">
        <f>HEX2DEC(RIGHT(Table13232127[[#This Row],[h1]],8))</f>
        <v>0</v>
      </c>
      <c r="Q386" s="41" t="s">
        <v>75</v>
      </c>
      <c r="R386" s="41">
        <f>HEX2DEC(RIGHT(Table13232127[[#This Row],[h2]],8))</f>
        <v>0</v>
      </c>
    </row>
    <row r="387" spans="1:18">
      <c r="A387" s="15" t="str">
        <f t="shared" si="10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1" t="s">
        <v>75</v>
      </c>
      <c r="P387" s="41">
        <f>HEX2DEC(RIGHT(Table13232127[[#This Row],[h1]],8))</f>
        <v>0</v>
      </c>
      <c r="Q387" s="41" t="s">
        <v>75</v>
      </c>
      <c r="R387" s="41">
        <f>HEX2DEC(RIGHT(Table13232127[[#This Row],[h2]],8))</f>
        <v>0</v>
      </c>
    </row>
    <row r="388" spans="1:18">
      <c r="A388" s="15" t="str">
        <f t="shared" si="10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1" t="s">
        <v>75</v>
      </c>
      <c r="P388" s="41">
        <f>HEX2DEC(RIGHT(Table13232127[[#This Row],[h1]],8))</f>
        <v>0</v>
      </c>
      <c r="Q388" s="41" t="s">
        <v>75</v>
      </c>
      <c r="R388" s="41">
        <f>HEX2DEC(RIGHT(Table13232127[[#This Row],[h2]],8))</f>
        <v>0</v>
      </c>
    </row>
    <row r="389" spans="1:18">
      <c r="A389" s="15" t="str">
        <f t="shared" si="10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1" t="s">
        <v>75</v>
      </c>
      <c r="P389" s="41">
        <f>HEX2DEC(RIGHT(Table13232127[[#This Row],[h1]],8))</f>
        <v>0</v>
      </c>
      <c r="Q389" s="41" t="s">
        <v>75</v>
      </c>
      <c r="R389" s="41">
        <f>HEX2DEC(RIGHT(Table13232127[[#This Row],[h2]],8))</f>
        <v>0</v>
      </c>
    </row>
    <row r="390" spans="1:18">
      <c r="A390" s="15" t="str">
        <f t="shared" si="10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1" t="s">
        <v>75</v>
      </c>
      <c r="P390" s="41">
        <f>HEX2DEC(RIGHT(Table13232127[[#This Row],[h1]],8))</f>
        <v>0</v>
      </c>
      <c r="Q390" s="41" t="s">
        <v>75</v>
      </c>
      <c r="R390" s="41">
        <f>HEX2DEC(RIGHT(Table13232127[[#This Row],[h2]],8))</f>
        <v>0</v>
      </c>
    </row>
    <row r="391" spans="1:18">
      <c r="A391" s="15" t="str">
        <f t="shared" si="10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1" t="s">
        <v>75</v>
      </c>
      <c r="P391" s="41">
        <f>HEX2DEC(RIGHT(Table13232127[[#This Row],[h1]],8))</f>
        <v>0</v>
      </c>
      <c r="Q391" s="41" t="s">
        <v>75</v>
      </c>
      <c r="R391" s="41">
        <f>HEX2DEC(RIGHT(Table13232127[[#This Row],[h2]],8))</f>
        <v>0</v>
      </c>
    </row>
    <row r="392" spans="1:18">
      <c r="A392" s="15" t="str">
        <f t="shared" si="10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1" t="s">
        <v>75</v>
      </c>
      <c r="P392" s="41">
        <f>HEX2DEC(RIGHT(Table13232127[[#This Row],[h1]],8))</f>
        <v>0</v>
      </c>
      <c r="Q392" s="41" t="s">
        <v>75</v>
      </c>
      <c r="R392" s="41">
        <f>HEX2DEC(RIGHT(Table13232127[[#This Row],[h2]],8))</f>
        <v>0</v>
      </c>
    </row>
    <row r="393" spans="1:18">
      <c r="A393" s="15" t="str">
        <f t="shared" si="10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1" t="s">
        <v>75</v>
      </c>
      <c r="P393" s="41">
        <f>HEX2DEC(RIGHT(Table13232127[[#This Row],[h1]],8))</f>
        <v>0</v>
      </c>
      <c r="Q393" s="41" t="s">
        <v>75</v>
      </c>
      <c r="R393" s="41">
        <f>HEX2DEC(RIGHT(Table13232127[[#This Row],[h2]],8))</f>
        <v>0</v>
      </c>
    </row>
    <row r="394" spans="1:18">
      <c r="A394" s="15" t="str">
        <f t="shared" si="10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1" t="s">
        <v>75</v>
      </c>
      <c r="P394" s="41">
        <f>HEX2DEC(RIGHT(Table13232127[[#This Row],[h1]],8))</f>
        <v>0</v>
      </c>
      <c r="Q394" s="41" t="s">
        <v>75</v>
      </c>
      <c r="R394" s="41">
        <f>HEX2DEC(RIGHT(Table13232127[[#This Row],[h2]],8))</f>
        <v>0</v>
      </c>
    </row>
    <row r="395" spans="1:18">
      <c r="A395" s="15" t="str">
        <f t="shared" ref="A395:A458" si="11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1" t="s">
        <v>75</v>
      </c>
      <c r="P395" s="41">
        <f>HEX2DEC(RIGHT(Table13232127[[#This Row],[h1]],8))</f>
        <v>0</v>
      </c>
      <c r="Q395" s="41" t="s">
        <v>75</v>
      </c>
      <c r="R395" s="41">
        <f>HEX2DEC(RIGHT(Table13232127[[#This Row],[h2]],8))</f>
        <v>0</v>
      </c>
    </row>
    <row r="396" spans="1:18">
      <c r="A396" s="15" t="str">
        <f t="shared" si="11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1" t="s">
        <v>75</v>
      </c>
      <c r="P396" s="41">
        <f>HEX2DEC(RIGHT(Table13232127[[#This Row],[h1]],8))</f>
        <v>0</v>
      </c>
      <c r="Q396" s="41" t="s">
        <v>75</v>
      </c>
      <c r="R396" s="41">
        <f>HEX2DEC(RIGHT(Table13232127[[#This Row],[h2]],8))</f>
        <v>0</v>
      </c>
    </row>
    <row r="397" spans="1:18">
      <c r="A397" s="15" t="str">
        <f t="shared" si="11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1" t="s">
        <v>75</v>
      </c>
      <c r="P397" s="41">
        <f>HEX2DEC(RIGHT(Table13232127[[#This Row],[h1]],8))</f>
        <v>0</v>
      </c>
      <c r="Q397" s="41" t="s">
        <v>75</v>
      </c>
      <c r="R397" s="41">
        <f>HEX2DEC(RIGHT(Table13232127[[#This Row],[h2]],8))</f>
        <v>0</v>
      </c>
    </row>
    <row r="398" spans="1:18">
      <c r="A398" s="15" t="str">
        <f t="shared" si="11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1" t="s">
        <v>75</v>
      </c>
      <c r="P398" s="41">
        <f>HEX2DEC(RIGHT(Table13232127[[#This Row],[h1]],8))</f>
        <v>0</v>
      </c>
      <c r="Q398" s="41" t="s">
        <v>75</v>
      </c>
      <c r="R398" s="41">
        <f>HEX2DEC(RIGHT(Table13232127[[#This Row],[h2]],8))</f>
        <v>0</v>
      </c>
    </row>
    <row r="399" spans="1:18">
      <c r="A399" s="15" t="str">
        <f t="shared" si="11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1" t="s">
        <v>75</v>
      </c>
      <c r="P399" s="41">
        <f>HEX2DEC(RIGHT(Table13232127[[#This Row],[h1]],8))</f>
        <v>0</v>
      </c>
      <c r="Q399" s="41" t="s">
        <v>75</v>
      </c>
      <c r="R399" s="41">
        <f>HEX2DEC(RIGHT(Table13232127[[#This Row],[h2]],8))</f>
        <v>0</v>
      </c>
    </row>
    <row r="400" spans="1:18">
      <c r="A400" s="15" t="str">
        <f t="shared" si="11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1" t="s">
        <v>75</v>
      </c>
      <c r="P400" s="41">
        <f>HEX2DEC(RIGHT(Table13232127[[#This Row],[h1]],8))</f>
        <v>0</v>
      </c>
      <c r="Q400" s="41" t="s">
        <v>75</v>
      </c>
      <c r="R400" s="41">
        <f>HEX2DEC(RIGHT(Table13232127[[#This Row],[h2]],8))</f>
        <v>0</v>
      </c>
    </row>
    <row r="401" spans="1:18">
      <c r="A401" s="15" t="str">
        <f t="shared" si="11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1" t="s">
        <v>75</v>
      </c>
      <c r="P401" s="41">
        <f>HEX2DEC(RIGHT(Table13232127[[#This Row],[h1]],8))</f>
        <v>0</v>
      </c>
      <c r="Q401" s="41" t="s">
        <v>75</v>
      </c>
      <c r="R401" s="41">
        <f>HEX2DEC(RIGHT(Table13232127[[#This Row],[h2]],8))</f>
        <v>0</v>
      </c>
    </row>
    <row r="402" spans="1:18">
      <c r="A402" s="15" t="str">
        <f t="shared" si="11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1" t="s">
        <v>75</v>
      </c>
      <c r="P402" s="41">
        <f>HEX2DEC(RIGHT(Table13232127[[#This Row],[h1]],8))</f>
        <v>0</v>
      </c>
      <c r="Q402" s="41" t="s">
        <v>75</v>
      </c>
      <c r="R402" s="41">
        <f>HEX2DEC(RIGHT(Table13232127[[#This Row],[h2]],8))</f>
        <v>0</v>
      </c>
    </row>
    <row r="403" spans="1:18">
      <c r="A403" s="15" t="str">
        <f t="shared" si="11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1" t="s">
        <v>75</v>
      </c>
      <c r="P403" s="41">
        <f>HEX2DEC(RIGHT(Table13232127[[#This Row],[h1]],8))</f>
        <v>0</v>
      </c>
      <c r="Q403" s="41" t="s">
        <v>75</v>
      </c>
      <c r="R403" s="41">
        <f>HEX2DEC(RIGHT(Table13232127[[#This Row],[h2]],8))</f>
        <v>0</v>
      </c>
    </row>
    <row r="404" spans="1:18">
      <c r="A404" s="15" t="str">
        <f t="shared" si="11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1" t="s">
        <v>75</v>
      </c>
      <c r="P404" s="41">
        <f>HEX2DEC(RIGHT(Table13232127[[#This Row],[h1]],8))</f>
        <v>0</v>
      </c>
      <c r="Q404" s="41" t="s">
        <v>75</v>
      </c>
      <c r="R404" s="41">
        <f>HEX2DEC(RIGHT(Table13232127[[#This Row],[h2]],8))</f>
        <v>0</v>
      </c>
    </row>
    <row r="405" spans="1:18">
      <c r="A405" s="15" t="str">
        <f t="shared" si="11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1" t="s">
        <v>75</v>
      </c>
      <c r="P405" s="41">
        <f>HEX2DEC(RIGHT(Table13232127[[#This Row],[h1]],8))</f>
        <v>0</v>
      </c>
      <c r="Q405" s="41" t="s">
        <v>75</v>
      </c>
      <c r="R405" s="41">
        <f>HEX2DEC(RIGHT(Table13232127[[#This Row],[h2]],8))</f>
        <v>0</v>
      </c>
    </row>
    <row r="406" spans="1:18">
      <c r="A406" s="15" t="str">
        <f t="shared" si="11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1" t="s">
        <v>75</v>
      </c>
      <c r="P406" s="41">
        <f>HEX2DEC(RIGHT(Table13232127[[#This Row],[h1]],8))</f>
        <v>0</v>
      </c>
      <c r="Q406" s="41" t="s">
        <v>75</v>
      </c>
      <c r="R406" s="41">
        <f>HEX2DEC(RIGHT(Table13232127[[#This Row],[h2]],8))</f>
        <v>0</v>
      </c>
    </row>
    <row r="407" spans="1:18">
      <c r="A407" s="15" t="str">
        <f t="shared" si="11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1" t="s">
        <v>75</v>
      </c>
      <c r="P407" s="41">
        <f>HEX2DEC(RIGHT(Table13232127[[#This Row],[h1]],8))</f>
        <v>0</v>
      </c>
      <c r="Q407" s="41" t="s">
        <v>75</v>
      </c>
      <c r="R407" s="41">
        <f>HEX2DEC(RIGHT(Table13232127[[#This Row],[h2]],8))</f>
        <v>0</v>
      </c>
    </row>
    <row r="408" spans="1:18">
      <c r="A408" s="15" t="str">
        <f t="shared" si="11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1" t="s">
        <v>75</v>
      </c>
      <c r="P408" s="41">
        <f>HEX2DEC(RIGHT(Table13232127[[#This Row],[h1]],8))</f>
        <v>0</v>
      </c>
      <c r="Q408" s="41" t="s">
        <v>75</v>
      </c>
      <c r="R408" s="41">
        <f>HEX2DEC(RIGHT(Table13232127[[#This Row],[h2]],8))</f>
        <v>0</v>
      </c>
    </row>
    <row r="409" spans="1:18">
      <c r="A409" s="15" t="str">
        <f t="shared" si="11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1" t="s">
        <v>75</v>
      </c>
      <c r="P409" s="41">
        <f>HEX2DEC(RIGHT(Table13232127[[#This Row],[h1]],8))</f>
        <v>0</v>
      </c>
      <c r="Q409" s="41" t="s">
        <v>75</v>
      </c>
      <c r="R409" s="41">
        <f>HEX2DEC(RIGHT(Table13232127[[#This Row],[h2]],8))</f>
        <v>0</v>
      </c>
    </row>
    <row r="410" spans="1:18">
      <c r="A410" s="15" t="str">
        <f t="shared" si="11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1" t="s">
        <v>75</v>
      </c>
      <c r="P410" s="41">
        <f>HEX2DEC(RIGHT(Table13232127[[#This Row],[h1]],8))</f>
        <v>0</v>
      </c>
      <c r="Q410" s="41" t="s">
        <v>75</v>
      </c>
      <c r="R410" s="41">
        <f>HEX2DEC(RIGHT(Table13232127[[#This Row],[h2]],8))</f>
        <v>0</v>
      </c>
    </row>
    <row r="411" spans="1:18">
      <c r="A411" s="15" t="str">
        <f t="shared" si="11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1" t="s">
        <v>75</v>
      </c>
      <c r="P411" s="41">
        <f>HEX2DEC(RIGHT(Table13232127[[#This Row],[h1]],8))</f>
        <v>0</v>
      </c>
      <c r="Q411" s="41" t="s">
        <v>75</v>
      </c>
      <c r="R411" s="41">
        <f>HEX2DEC(RIGHT(Table13232127[[#This Row],[h2]],8))</f>
        <v>0</v>
      </c>
    </row>
    <row r="412" spans="1:18">
      <c r="A412" s="15" t="str">
        <f t="shared" si="11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1" t="s">
        <v>75</v>
      </c>
      <c r="P412" s="41">
        <f>HEX2DEC(RIGHT(Table13232127[[#This Row],[h1]],8))</f>
        <v>0</v>
      </c>
      <c r="Q412" s="41" t="s">
        <v>75</v>
      </c>
      <c r="R412" s="41">
        <f>HEX2DEC(RIGHT(Table13232127[[#This Row],[h2]],8))</f>
        <v>0</v>
      </c>
    </row>
    <row r="413" spans="1:18">
      <c r="A413" s="15" t="str">
        <f t="shared" si="11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1" t="s">
        <v>75</v>
      </c>
      <c r="P413" s="41">
        <f>HEX2DEC(RIGHT(Table13232127[[#This Row],[h1]],8))</f>
        <v>0</v>
      </c>
      <c r="Q413" s="41" t="s">
        <v>75</v>
      </c>
      <c r="R413" s="41">
        <f>HEX2DEC(RIGHT(Table13232127[[#This Row],[h2]],8))</f>
        <v>0</v>
      </c>
    </row>
    <row r="414" spans="1:18">
      <c r="A414" s="15" t="str">
        <f t="shared" si="11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1" t="s">
        <v>75</v>
      </c>
      <c r="P414" s="41">
        <f>HEX2DEC(RIGHT(Table13232127[[#This Row],[h1]],8))</f>
        <v>0</v>
      </c>
      <c r="Q414" s="41" t="s">
        <v>75</v>
      </c>
      <c r="R414" s="41">
        <f>HEX2DEC(RIGHT(Table13232127[[#This Row],[h2]],8))</f>
        <v>0</v>
      </c>
    </row>
    <row r="415" spans="1:18">
      <c r="A415" s="15" t="str">
        <f t="shared" si="11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1" t="s">
        <v>75</v>
      </c>
      <c r="P415" s="41">
        <f>HEX2DEC(RIGHT(Table13232127[[#This Row],[h1]],8))</f>
        <v>0</v>
      </c>
      <c r="Q415" s="41" t="s">
        <v>75</v>
      </c>
      <c r="R415" s="41">
        <f>HEX2DEC(RIGHT(Table13232127[[#This Row],[h2]],8))</f>
        <v>0</v>
      </c>
    </row>
    <row r="416" spans="1:18">
      <c r="A416" s="15" t="str">
        <f t="shared" si="11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1" t="s">
        <v>75</v>
      </c>
      <c r="P416" s="41">
        <f>HEX2DEC(RIGHT(Table13232127[[#This Row],[h1]],8))</f>
        <v>0</v>
      </c>
      <c r="Q416" s="41" t="s">
        <v>75</v>
      </c>
      <c r="R416" s="41">
        <f>HEX2DEC(RIGHT(Table13232127[[#This Row],[h2]],8))</f>
        <v>0</v>
      </c>
    </row>
    <row r="417" spans="1:18">
      <c r="A417" s="15" t="str">
        <f t="shared" si="11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1" t="s">
        <v>75</v>
      </c>
      <c r="P417" s="41">
        <f>HEX2DEC(RIGHT(Table13232127[[#This Row],[h1]],8))</f>
        <v>0</v>
      </c>
      <c r="Q417" s="41" t="s">
        <v>75</v>
      </c>
      <c r="R417" s="41">
        <f>HEX2DEC(RIGHT(Table13232127[[#This Row],[h2]],8))</f>
        <v>0</v>
      </c>
    </row>
    <row r="418" spans="1:18">
      <c r="A418" s="15" t="str">
        <f t="shared" si="11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1" t="s">
        <v>75</v>
      </c>
      <c r="P418" s="41">
        <f>HEX2DEC(RIGHT(Table13232127[[#This Row],[h1]],8))</f>
        <v>0</v>
      </c>
      <c r="Q418" s="41" t="s">
        <v>75</v>
      </c>
      <c r="R418" s="41">
        <f>HEX2DEC(RIGHT(Table13232127[[#This Row],[h2]],8))</f>
        <v>0</v>
      </c>
    </row>
    <row r="419" spans="1:18">
      <c r="A419" s="15" t="str">
        <f t="shared" si="11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1" t="s">
        <v>75</v>
      </c>
      <c r="P419" s="41">
        <f>HEX2DEC(RIGHT(Table13232127[[#This Row],[h1]],8))</f>
        <v>0</v>
      </c>
      <c r="Q419" s="41" t="s">
        <v>75</v>
      </c>
      <c r="R419" s="41">
        <f>HEX2DEC(RIGHT(Table13232127[[#This Row],[h2]],8))</f>
        <v>0</v>
      </c>
    </row>
    <row r="420" spans="1:18">
      <c r="A420" s="15" t="str">
        <f t="shared" si="11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1" t="s">
        <v>75</v>
      </c>
      <c r="P420" s="41">
        <f>HEX2DEC(RIGHT(Table13232127[[#This Row],[h1]],8))</f>
        <v>0</v>
      </c>
      <c r="Q420" s="41" t="s">
        <v>75</v>
      </c>
      <c r="R420" s="41">
        <f>HEX2DEC(RIGHT(Table13232127[[#This Row],[h2]],8))</f>
        <v>0</v>
      </c>
    </row>
    <row r="421" spans="1:18">
      <c r="A421" s="15" t="str">
        <f t="shared" si="11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1" t="s">
        <v>75</v>
      </c>
      <c r="P421" s="41">
        <f>HEX2DEC(RIGHT(Table13232127[[#This Row],[h1]],8))</f>
        <v>0</v>
      </c>
      <c r="Q421" s="41" t="s">
        <v>75</v>
      </c>
      <c r="R421" s="41">
        <f>HEX2DEC(RIGHT(Table13232127[[#This Row],[h2]],8))</f>
        <v>0</v>
      </c>
    </row>
    <row r="422" spans="1:18">
      <c r="A422" s="15" t="str">
        <f t="shared" si="11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1" t="s">
        <v>75</v>
      </c>
      <c r="P422" s="41">
        <f>HEX2DEC(RIGHT(Table13232127[[#This Row],[h1]],8))</f>
        <v>0</v>
      </c>
      <c r="Q422" s="41" t="s">
        <v>75</v>
      </c>
      <c r="R422" s="41">
        <f>HEX2DEC(RIGHT(Table13232127[[#This Row],[h2]],8))</f>
        <v>0</v>
      </c>
    </row>
    <row r="423" spans="1:18">
      <c r="A423" s="15" t="str">
        <f t="shared" si="11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1" t="s">
        <v>75</v>
      </c>
      <c r="P423" s="41">
        <f>HEX2DEC(RIGHT(Table13232127[[#This Row],[h1]],8))</f>
        <v>0</v>
      </c>
      <c r="Q423" s="41" t="s">
        <v>75</v>
      </c>
      <c r="R423" s="41">
        <f>HEX2DEC(RIGHT(Table13232127[[#This Row],[h2]],8))</f>
        <v>0</v>
      </c>
    </row>
    <row r="424" spans="1:18">
      <c r="A424" s="15" t="str">
        <f t="shared" si="11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1" t="s">
        <v>75</v>
      </c>
      <c r="P424" s="41">
        <f>HEX2DEC(RIGHT(Table13232127[[#This Row],[h1]],8))</f>
        <v>0</v>
      </c>
      <c r="Q424" s="41" t="s">
        <v>75</v>
      </c>
      <c r="R424" s="41">
        <f>HEX2DEC(RIGHT(Table13232127[[#This Row],[h2]],8))</f>
        <v>0</v>
      </c>
    </row>
    <row r="425" spans="1:18">
      <c r="A425" s="15" t="str">
        <f t="shared" si="11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1" t="s">
        <v>75</v>
      </c>
      <c r="P425" s="41">
        <f>HEX2DEC(RIGHT(Table13232127[[#This Row],[h1]],8))</f>
        <v>0</v>
      </c>
      <c r="Q425" s="41" t="s">
        <v>75</v>
      </c>
      <c r="R425" s="41">
        <f>HEX2DEC(RIGHT(Table13232127[[#This Row],[h2]],8))</f>
        <v>0</v>
      </c>
    </row>
    <row r="426" spans="1:18">
      <c r="A426" s="15" t="str">
        <f t="shared" si="11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1" t="s">
        <v>75</v>
      </c>
      <c r="P426" s="41">
        <f>HEX2DEC(RIGHT(Table13232127[[#This Row],[h1]],8))</f>
        <v>0</v>
      </c>
      <c r="Q426" s="41" t="s">
        <v>75</v>
      </c>
      <c r="R426" s="41">
        <f>HEX2DEC(RIGHT(Table13232127[[#This Row],[h2]],8))</f>
        <v>0</v>
      </c>
    </row>
    <row r="427" spans="1:18">
      <c r="A427" s="15" t="str">
        <f t="shared" si="11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1" t="s">
        <v>75</v>
      </c>
      <c r="P427" s="41">
        <f>HEX2DEC(RIGHT(Table13232127[[#This Row],[h1]],8))</f>
        <v>0</v>
      </c>
      <c r="Q427" s="41" t="s">
        <v>75</v>
      </c>
      <c r="R427" s="41">
        <f>HEX2DEC(RIGHT(Table13232127[[#This Row],[h2]],8))</f>
        <v>0</v>
      </c>
    </row>
    <row r="428" spans="1:18">
      <c r="A428" s="15" t="str">
        <f t="shared" si="11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1" t="s">
        <v>75</v>
      </c>
      <c r="P428" s="41">
        <f>HEX2DEC(RIGHT(Table13232127[[#This Row],[h1]],8))</f>
        <v>0</v>
      </c>
      <c r="Q428" s="41" t="s">
        <v>75</v>
      </c>
      <c r="R428" s="41">
        <f>HEX2DEC(RIGHT(Table13232127[[#This Row],[h2]],8))</f>
        <v>0</v>
      </c>
    </row>
    <row r="429" spans="1:18">
      <c r="A429" s="15" t="str">
        <f t="shared" si="11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1" t="s">
        <v>75</v>
      </c>
      <c r="P429" s="41">
        <f>HEX2DEC(RIGHT(Table13232127[[#This Row],[h1]],8))</f>
        <v>0</v>
      </c>
      <c r="Q429" s="41" t="s">
        <v>75</v>
      </c>
      <c r="R429" s="41">
        <f>HEX2DEC(RIGHT(Table13232127[[#This Row],[h2]],8))</f>
        <v>0</v>
      </c>
    </row>
    <row r="430" spans="1:18">
      <c r="A430" s="15" t="str">
        <f t="shared" si="11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1" t="s">
        <v>75</v>
      </c>
      <c r="P430" s="41">
        <f>HEX2DEC(RIGHT(Table13232127[[#This Row],[h1]],8))</f>
        <v>0</v>
      </c>
      <c r="Q430" s="41" t="s">
        <v>75</v>
      </c>
      <c r="R430" s="41">
        <f>HEX2DEC(RIGHT(Table13232127[[#This Row],[h2]],8))</f>
        <v>0</v>
      </c>
    </row>
    <row r="431" spans="1:18">
      <c r="A431" s="15" t="str">
        <f t="shared" si="11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1" t="s">
        <v>75</v>
      </c>
      <c r="P431" s="41">
        <f>HEX2DEC(RIGHT(Table13232127[[#This Row],[h1]],8))</f>
        <v>0</v>
      </c>
      <c r="Q431" s="41" t="s">
        <v>75</v>
      </c>
      <c r="R431" s="41">
        <f>HEX2DEC(RIGHT(Table13232127[[#This Row],[h2]],8))</f>
        <v>0</v>
      </c>
    </row>
    <row r="432" spans="1:18">
      <c r="A432" s="15" t="str">
        <f t="shared" si="11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1" t="s">
        <v>75</v>
      </c>
      <c r="P432" s="41">
        <f>HEX2DEC(RIGHT(Table13232127[[#This Row],[h1]],8))</f>
        <v>0</v>
      </c>
      <c r="Q432" s="41" t="s">
        <v>75</v>
      </c>
      <c r="R432" s="41">
        <f>HEX2DEC(RIGHT(Table13232127[[#This Row],[h2]],8))</f>
        <v>0</v>
      </c>
    </row>
    <row r="433" spans="1:18">
      <c r="A433" s="15" t="str">
        <f t="shared" si="11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1" t="s">
        <v>75</v>
      </c>
      <c r="P433" s="41">
        <f>HEX2DEC(RIGHT(Table13232127[[#This Row],[h1]],8))</f>
        <v>0</v>
      </c>
      <c r="Q433" s="41" t="s">
        <v>75</v>
      </c>
      <c r="R433" s="41">
        <f>HEX2DEC(RIGHT(Table13232127[[#This Row],[h2]],8))</f>
        <v>0</v>
      </c>
    </row>
    <row r="434" spans="1:18">
      <c r="A434" s="15" t="str">
        <f t="shared" si="11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1" t="s">
        <v>75</v>
      </c>
      <c r="P434" s="41">
        <f>HEX2DEC(RIGHT(Table13232127[[#This Row],[h1]],8))</f>
        <v>0</v>
      </c>
      <c r="Q434" s="41" t="s">
        <v>75</v>
      </c>
      <c r="R434" s="41">
        <f>HEX2DEC(RIGHT(Table13232127[[#This Row],[h2]],8))</f>
        <v>0</v>
      </c>
    </row>
    <row r="435" spans="1:18">
      <c r="A435" s="15" t="str">
        <f t="shared" si="11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1" t="s">
        <v>75</v>
      </c>
      <c r="P435" s="41">
        <f>HEX2DEC(RIGHT(Table13232127[[#This Row],[h1]],8))</f>
        <v>0</v>
      </c>
      <c r="Q435" s="41" t="s">
        <v>75</v>
      </c>
      <c r="R435" s="41">
        <f>HEX2DEC(RIGHT(Table13232127[[#This Row],[h2]],8))</f>
        <v>0</v>
      </c>
    </row>
    <row r="436" spans="1:18">
      <c r="A436" s="15" t="str">
        <f t="shared" si="11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1" t="s">
        <v>75</v>
      </c>
      <c r="P436" s="41">
        <f>HEX2DEC(RIGHT(Table13232127[[#This Row],[h1]],8))</f>
        <v>0</v>
      </c>
      <c r="Q436" s="41" t="s">
        <v>75</v>
      </c>
      <c r="R436" s="41">
        <f>HEX2DEC(RIGHT(Table13232127[[#This Row],[h2]],8))</f>
        <v>0</v>
      </c>
    </row>
    <row r="437" spans="1:18">
      <c r="A437" s="15" t="str">
        <f t="shared" si="11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1" t="s">
        <v>75</v>
      </c>
      <c r="P437" s="41">
        <f>HEX2DEC(RIGHT(Table13232127[[#This Row],[h1]],8))</f>
        <v>0</v>
      </c>
      <c r="Q437" s="41" t="s">
        <v>75</v>
      </c>
      <c r="R437" s="41">
        <f>HEX2DEC(RIGHT(Table13232127[[#This Row],[h2]],8))</f>
        <v>0</v>
      </c>
    </row>
    <row r="438" spans="1:18">
      <c r="A438" s="15" t="str">
        <f t="shared" si="11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1" t="s">
        <v>75</v>
      </c>
      <c r="P438" s="41">
        <f>HEX2DEC(RIGHT(Table13232127[[#This Row],[h1]],8))</f>
        <v>0</v>
      </c>
      <c r="Q438" s="41" t="s">
        <v>75</v>
      </c>
      <c r="R438" s="41">
        <f>HEX2DEC(RIGHT(Table13232127[[#This Row],[h2]],8))</f>
        <v>0</v>
      </c>
    </row>
    <row r="439" spans="1:18">
      <c r="A439" s="15" t="str">
        <f t="shared" si="11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1" t="s">
        <v>75</v>
      </c>
      <c r="P439" s="41">
        <f>HEX2DEC(RIGHT(Table13232127[[#This Row],[h1]],8))</f>
        <v>0</v>
      </c>
      <c r="Q439" s="41" t="s">
        <v>75</v>
      </c>
      <c r="R439" s="41">
        <f>HEX2DEC(RIGHT(Table13232127[[#This Row],[h2]],8))</f>
        <v>0</v>
      </c>
    </row>
    <row r="440" spans="1:18">
      <c r="A440" s="15" t="str">
        <f t="shared" si="11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1" t="s">
        <v>75</v>
      </c>
      <c r="P440" s="41">
        <f>HEX2DEC(RIGHT(Table13232127[[#This Row],[h1]],8))</f>
        <v>0</v>
      </c>
      <c r="Q440" s="41" t="s">
        <v>75</v>
      </c>
      <c r="R440" s="41">
        <f>HEX2DEC(RIGHT(Table13232127[[#This Row],[h2]],8))</f>
        <v>0</v>
      </c>
    </row>
    <row r="441" spans="1:18">
      <c r="A441" s="15" t="str">
        <f t="shared" si="11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1" t="s">
        <v>75</v>
      </c>
      <c r="P441" s="41">
        <f>HEX2DEC(RIGHT(Table13232127[[#This Row],[h1]],8))</f>
        <v>0</v>
      </c>
      <c r="Q441" s="41" t="s">
        <v>75</v>
      </c>
      <c r="R441" s="41">
        <f>HEX2DEC(RIGHT(Table13232127[[#This Row],[h2]],8))</f>
        <v>0</v>
      </c>
    </row>
    <row r="442" spans="1:18">
      <c r="A442" s="15" t="str">
        <f t="shared" si="11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1" t="s">
        <v>75</v>
      </c>
      <c r="P442" s="41">
        <f>HEX2DEC(RIGHT(Table13232127[[#This Row],[h1]],8))</f>
        <v>0</v>
      </c>
      <c r="Q442" s="41" t="s">
        <v>75</v>
      </c>
      <c r="R442" s="41">
        <f>HEX2DEC(RIGHT(Table13232127[[#This Row],[h2]],8))</f>
        <v>0</v>
      </c>
    </row>
    <row r="443" spans="1:18">
      <c r="A443" s="15" t="str">
        <f t="shared" si="11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1" t="s">
        <v>75</v>
      </c>
      <c r="P443" s="41">
        <f>HEX2DEC(RIGHT(Table13232127[[#This Row],[h1]],8))</f>
        <v>0</v>
      </c>
      <c r="Q443" s="41" t="s">
        <v>75</v>
      </c>
      <c r="R443" s="41">
        <f>HEX2DEC(RIGHT(Table13232127[[#This Row],[h2]],8))</f>
        <v>0</v>
      </c>
    </row>
    <row r="444" spans="1:18">
      <c r="A444" s="15" t="str">
        <f t="shared" si="11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1" t="s">
        <v>75</v>
      </c>
      <c r="P444" s="41">
        <f>HEX2DEC(RIGHT(Table13232127[[#This Row],[h1]],8))</f>
        <v>0</v>
      </c>
      <c r="Q444" s="41" t="s">
        <v>75</v>
      </c>
      <c r="R444" s="41">
        <f>HEX2DEC(RIGHT(Table13232127[[#This Row],[h2]],8))</f>
        <v>0</v>
      </c>
    </row>
    <row r="445" spans="1:18">
      <c r="A445" s="15" t="str">
        <f t="shared" si="11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1" t="s">
        <v>75</v>
      </c>
      <c r="P445" s="41">
        <f>HEX2DEC(RIGHT(Table13232127[[#This Row],[h1]],8))</f>
        <v>0</v>
      </c>
      <c r="Q445" s="41" t="s">
        <v>75</v>
      </c>
      <c r="R445" s="41">
        <f>HEX2DEC(RIGHT(Table13232127[[#This Row],[h2]],8))</f>
        <v>0</v>
      </c>
    </row>
    <row r="446" spans="1:18">
      <c r="A446" s="15" t="str">
        <f t="shared" si="11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1" t="s">
        <v>75</v>
      </c>
      <c r="P446" s="41">
        <f>HEX2DEC(RIGHT(Table13232127[[#This Row],[h1]],8))</f>
        <v>0</v>
      </c>
      <c r="Q446" s="41" t="s">
        <v>75</v>
      </c>
      <c r="R446" s="41">
        <f>HEX2DEC(RIGHT(Table13232127[[#This Row],[h2]],8))</f>
        <v>0</v>
      </c>
    </row>
    <row r="447" spans="1:18">
      <c r="A447" s="15" t="str">
        <f t="shared" si="11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1" t="s">
        <v>75</v>
      </c>
      <c r="P447" s="41">
        <f>HEX2DEC(RIGHT(Table13232127[[#This Row],[h1]],8))</f>
        <v>0</v>
      </c>
      <c r="Q447" s="41" t="s">
        <v>75</v>
      </c>
      <c r="R447" s="41">
        <f>HEX2DEC(RIGHT(Table13232127[[#This Row],[h2]],8))</f>
        <v>0</v>
      </c>
    </row>
    <row r="448" spans="1:18">
      <c r="A448" s="15" t="str">
        <f t="shared" si="11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1" t="s">
        <v>75</v>
      </c>
      <c r="P448" s="41">
        <f>HEX2DEC(RIGHT(Table13232127[[#This Row],[h1]],8))</f>
        <v>0</v>
      </c>
      <c r="Q448" s="41" t="s">
        <v>75</v>
      </c>
      <c r="R448" s="41">
        <f>HEX2DEC(RIGHT(Table13232127[[#This Row],[h2]],8))</f>
        <v>0</v>
      </c>
    </row>
    <row r="449" spans="1:18">
      <c r="A449" s="15" t="str">
        <f t="shared" si="11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1" t="s">
        <v>75</v>
      </c>
      <c r="P449" s="41">
        <f>HEX2DEC(RIGHT(Table13232127[[#This Row],[h1]],8))</f>
        <v>0</v>
      </c>
      <c r="Q449" s="41" t="s">
        <v>75</v>
      </c>
      <c r="R449" s="41">
        <f>HEX2DEC(RIGHT(Table13232127[[#This Row],[h2]],8))</f>
        <v>0</v>
      </c>
    </row>
    <row r="450" spans="1:18">
      <c r="A450" s="15" t="str">
        <f t="shared" si="11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1" t="s">
        <v>75</v>
      </c>
      <c r="P450" s="41">
        <f>HEX2DEC(RIGHT(Table13232127[[#This Row],[h1]],8))</f>
        <v>0</v>
      </c>
      <c r="Q450" s="41" t="s">
        <v>75</v>
      </c>
      <c r="R450" s="41">
        <f>HEX2DEC(RIGHT(Table13232127[[#This Row],[h2]],8))</f>
        <v>0</v>
      </c>
    </row>
    <row r="451" spans="1:18">
      <c r="A451" s="15" t="str">
        <f t="shared" si="11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1" t="s">
        <v>75</v>
      </c>
      <c r="P451" s="41">
        <f>HEX2DEC(RIGHT(Table13232127[[#This Row],[h1]],8))</f>
        <v>0</v>
      </c>
      <c r="Q451" s="41" t="s">
        <v>75</v>
      </c>
      <c r="R451" s="41">
        <f>HEX2DEC(RIGHT(Table13232127[[#This Row],[h2]],8))</f>
        <v>0</v>
      </c>
    </row>
    <row r="452" spans="1:18">
      <c r="A452" s="15" t="str">
        <f t="shared" si="11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1" t="s">
        <v>75</v>
      </c>
      <c r="P452" s="41">
        <f>HEX2DEC(RIGHT(Table13232127[[#This Row],[h1]],8))</f>
        <v>0</v>
      </c>
      <c r="Q452" s="41" t="s">
        <v>75</v>
      </c>
      <c r="R452" s="41">
        <f>HEX2DEC(RIGHT(Table13232127[[#This Row],[h2]],8))</f>
        <v>0</v>
      </c>
    </row>
    <row r="453" spans="1:18">
      <c r="A453" s="15" t="str">
        <f t="shared" si="11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1" t="s">
        <v>75</v>
      </c>
      <c r="P453" s="41">
        <f>HEX2DEC(RIGHT(Table13232127[[#This Row],[h1]],8))</f>
        <v>0</v>
      </c>
      <c r="Q453" s="41" t="s">
        <v>75</v>
      </c>
      <c r="R453" s="41">
        <f>HEX2DEC(RIGHT(Table13232127[[#This Row],[h2]],8))</f>
        <v>0</v>
      </c>
    </row>
    <row r="454" spans="1:18">
      <c r="A454" s="15" t="str">
        <f t="shared" si="11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1" t="s">
        <v>75</v>
      </c>
      <c r="P454" s="41">
        <f>HEX2DEC(RIGHT(Table13232127[[#This Row],[h1]],8))</f>
        <v>0</v>
      </c>
      <c r="Q454" s="41" t="s">
        <v>75</v>
      </c>
      <c r="R454" s="41">
        <f>HEX2DEC(RIGHT(Table13232127[[#This Row],[h2]],8))</f>
        <v>0</v>
      </c>
    </row>
    <row r="455" spans="1:18">
      <c r="A455" s="15" t="str">
        <f t="shared" si="11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1" t="s">
        <v>75</v>
      </c>
      <c r="P455" s="41">
        <f>HEX2DEC(RIGHT(Table13232127[[#This Row],[h1]],8))</f>
        <v>0</v>
      </c>
      <c r="Q455" s="41" t="s">
        <v>75</v>
      </c>
      <c r="R455" s="41">
        <f>HEX2DEC(RIGHT(Table13232127[[#This Row],[h2]],8))</f>
        <v>0</v>
      </c>
    </row>
    <row r="456" spans="1:18">
      <c r="A456" s="15" t="str">
        <f t="shared" si="11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1" t="s">
        <v>75</v>
      </c>
      <c r="P456" s="41">
        <f>HEX2DEC(RIGHT(Table13232127[[#This Row],[h1]],8))</f>
        <v>0</v>
      </c>
      <c r="Q456" s="41" t="s">
        <v>75</v>
      </c>
      <c r="R456" s="41">
        <f>HEX2DEC(RIGHT(Table13232127[[#This Row],[h2]],8))</f>
        <v>0</v>
      </c>
    </row>
    <row r="457" spans="1:18">
      <c r="A457" s="15" t="str">
        <f t="shared" si="11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1" t="s">
        <v>75</v>
      </c>
      <c r="P457" s="41">
        <f>HEX2DEC(RIGHT(Table13232127[[#This Row],[h1]],8))</f>
        <v>0</v>
      </c>
      <c r="Q457" s="41" t="s">
        <v>75</v>
      </c>
      <c r="R457" s="41">
        <f>HEX2DEC(RIGHT(Table13232127[[#This Row],[h2]],8))</f>
        <v>0</v>
      </c>
    </row>
    <row r="458" spans="1:18">
      <c r="A458" s="15" t="str">
        <f t="shared" si="11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1" t="s">
        <v>75</v>
      </c>
      <c r="P458" s="41">
        <f>HEX2DEC(RIGHT(Table13232127[[#This Row],[h1]],8))</f>
        <v>0</v>
      </c>
      <c r="Q458" s="41" t="s">
        <v>75</v>
      </c>
      <c r="R458" s="41">
        <f>HEX2DEC(RIGHT(Table13232127[[#This Row],[h2]],8))</f>
        <v>0</v>
      </c>
    </row>
    <row r="459" spans="1:18">
      <c r="A459" s="15" t="str">
        <f t="shared" ref="A459:A522" si="12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1" t="s">
        <v>75</v>
      </c>
      <c r="P459" s="41">
        <f>HEX2DEC(RIGHT(Table13232127[[#This Row],[h1]],8))</f>
        <v>0</v>
      </c>
      <c r="Q459" s="41" t="s">
        <v>75</v>
      </c>
      <c r="R459" s="41">
        <f>HEX2DEC(RIGHT(Table13232127[[#This Row],[h2]],8))</f>
        <v>0</v>
      </c>
    </row>
    <row r="460" spans="1:18">
      <c r="A460" s="15" t="str">
        <f t="shared" si="12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1" t="s">
        <v>75</v>
      </c>
      <c r="P460" s="41">
        <f>HEX2DEC(RIGHT(Table13232127[[#This Row],[h1]],8))</f>
        <v>0</v>
      </c>
      <c r="Q460" s="41" t="s">
        <v>75</v>
      </c>
      <c r="R460" s="41">
        <f>HEX2DEC(RIGHT(Table13232127[[#This Row],[h2]],8))</f>
        <v>0</v>
      </c>
    </row>
    <row r="461" spans="1:18">
      <c r="A461" s="15" t="str">
        <f t="shared" si="12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1" t="s">
        <v>75</v>
      </c>
      <c r="P461" s="41">
        <f>HEX2DEC(RIGHT(Table13232127[[#This Row],[h1]],8))</f>
        <v>0</v>
      </c>
      <c r="Q461" s="41" t="s">
        <v>75</v>
      </c>
      <c r="R461" s="41">
        <f>HEX2DEC(RIGHT(Table13232127[[#This Row],[h2]],8))</f>
        <v>0</v>
      </c>
    </row>
    <row r="462" spans="1:18">
      <c r="A462" s="15" t="str">
        <f t="shared" si="12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1" t="s">
        <v>75</v>
      </c>
      <c r="P462" s="41">
        <f>HEX2DEC(RIGHT(Table13232127[[#This Row],[h1]],8))</f>
        <v>0</v>
      </c>
      <c r="Q462" s="41" t="s">
        <v>75</v>
      </c>
      <c r="R462" s="41">
        <f>HEX2DEC(RIGHT(Table13232127[[#This Row],[h2]],8))</f>
        <v>0</v>
      </c>
    </row>
    <row r="463" spans="1:18">
      <c r="A463" s="15" t="str">
        <f t="shared" si="12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1" t="s">
        <v>75</v>
      </c>
      <c r="P463" s="41">
        <f>HEX2DEC(RIGHT(Table13232127[[#This Row],[h1]],8))</f>
        <v>0</v>
      </c>
      <c r="Q463" s="41" t="s">
        <v>75</v>
      </c>
      <c r="R463" s="41">
        <f>HEX2DEC(RIGHT(Table13232127[[#This Row],[h2]],8))</f>
        <v>0</v>
      </c>
    </row>
    <row r="464" spans="1:18">
      <c r="A464" s="15" t="str">
        <f t="shared" si="12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1" t="s">
        <v>75</v>
      </c>
      <c r="P464" s="41">
        <f>HEX2DEC(RIGHT(Table13232127[[#This Row],[h1]],8))</f>
        <v>0</v>
      </c>
      <c r="Q464" s="41" t="s">
        <v>75</v>
      </c>
      <c r="R464" s="41">
        <f>HEX2DEC(RIGHT(Table13232127[[#This Row],[h2]],8))</f>
        <v>0</v>
      </c>
    </row>
    <row r="465" spans="1:18">
      <c r="A465" s="15" t="str">
        <f t="shared" si="12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1" t="s">
        <v>75</v>
      </c>
      <c r="P465" s="41">
        <f>HEX2DEC(RIGHT(Table13232127[[#This Row],[h1]],8))</f>
        <v>0</v>
      </c>
      <c r="Q465" s="41" t="s">
        <v>75</v>
      </c>
      <c r="R465" s="41">
        <f>HEX2DEC(RIGHT(Table13232127[[#This Row],[h2]],8))</f>
        <v>0</v>
      </c>
    </row>
    <row r="466" spans="1:18">
      <c r="A466" s="15" t="str">
        <f t="shared" si="12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1" t="s">
        <v>75</v>
      </c>
      <c r="P466" s="41">
        <f>HEX2DEC(RIGHT(Table13232127[[#This Row],[h1]],8))</f>
        <v>0</v>
      </c>
      <c r="Q466" s="41" t="s">
        <v>75</v>
      </c>
      <c r="R466" s="41">
        <f>HEX2DEC(RIGHT(Table13232127[[#This Row],[h2]],8))</f>
        <v>0</v>
      </c>
    </row>
    <row r="467" spans="1:18">
      <c r="A467" s="15" t="str">
        <f t="shared" si="12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1" t="s">
        <v>75</v>
      </c>
      <c r="P467" s="41">
        <f>HEX2DEC(RIGHT(Table13232127[[#This Row],[h1]],8))</f>
        <v>0</v>
      </c>
      <c r="Q467" s="41" t="s">
        <v>75</v>
      </c>
      <c r="R467" s="41">
        <f>HEX2DEC(RIGHT(Table13232127[[#This Row],[h2]],8))</f>
        <v>0</v>
      </c>
    </row>
    <row r="468" spans="1:18">
      <c r="A468" s="15" t="str">
        <f t="shared" si="12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1" t="s">
        <v>75</v>
      </c>
      <c r="P468" s="41">
        <f>HEX2DEC(RIGHT(Table13232127[[#This Row],[h1]],8))</f>
        <v>0</v>
      </c>
      <c r="Q468" s="41" t="s">
        <v>75</v>
      </c>
      <c r="R468" s="41">
        <f>HEX2DEC(RIGHT(Table13232127[[#This Row],[h2]],8))</f>
        <v>0</v>
      </c>
    </row>
    <row r="469" spans="1:18">
      <c r="A469" s="15" t="str">
        <f t="shared" si="12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1" t="s">
        <v>75</v>
      </c>
      <c r="P469" s="41">
        <f>HEX2DEC(RIGHT(Table13232127[[#This Row],[h1]],8))</f>
        <v>0</v>
      </c>
      <c r="Q469" s="41" t="s">
        <v>75</v>
      </c>
      <c r="R469" s="41">
        <f>HEX2DEC(RIGHT(Table13232127[[#This Row],[h2]],8))</f>
        <v>0</v>
      </c>
    </row>
    <row r="470" spans="1:18">
      <c r="A470" s="15" t="str">
        <f t="shared" si="12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1" t="s">
        <v>75</v>
      </c>
      <c r="P470" s="41">
        <f>HEX2DEC(RIGHT(Table13232127[[#This Row],[h1]],8))</f>
        <v>0</v>
      </c>
      <c r="Q470" s="41" t="s">
        <v>75</v>
      </c>
      <c r="R470" s="41">
        <f>HEX2DEC(RIGHT(Table13232127[[#This Row],[h2]],8))</f>
        <v>0</v>
      </c>
    </row>
    <row r="471" spans="1:18">
      <c r="A471" s="15" t="str">
        <f t="shared" si="12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1" t="s">
        <v>75</v>
      </c>
      <c r="P471" s="41">
        <f>HEX2DEC(RIGHT(Table13232127[[#This Row],[h1]],8))</f>
        <v>0</v>
      </c>
      <c r="Q471" s="41" t="s">
        <v>75</v>
      </c>
      <c r="R471" s="41">
        <f>HEX2DEC(RIGHT(Table13232127[[#This Row],[h2]],8))</f>
        <v>0</v>
      </c>
    </row>
    <row r="472" spans="1:18">
      <c r="A472" s="15" t="str">
        <f t="shared" si="12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1" t="s">
        <v>75</v>
      </c>
      <c r="P472" s="41">
        <f>HEX2DEC(RIGHT(Table13232127[[#This Row],[h1]],8))</f>
        <v>0</v>
      </c>
      <c r="Q472" s="41" t="s">
        <v>75</v>
      </c>
      <c r="R472" s="41">
        <f>HEX2DEC(RIGHT(Table13232127[[#This Row],[h2]],8))</f>
        <v>0</v>
      </c>
    </row>
    <row r="473" spans="1:18">
      <c r="A473" s="15" t="str">
        <f t="shared" si="12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1" t="s">
        <v>75</v>
      </c>
      <c r="P473" s="41">
        <f>HEX2DEC(RIGHT(Table13232127[[#This Row],[h1]],8))</f>
        <v>0</v>
      </c>
      <c r="Q473" s="41" t="s">
        <v>75</v>
      </c>
      <c r="R473" s="41">
        <f>HEX2DEC(RIGHT(Table13232127[[#This Row],[h2]],8))</f>
        <v>0</v>
      </c>
    </row>
    <row r="474" spans="1:18">
      <c r="A474" s="15" t="str">
        <f t="shared" si="12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1" t="s">
        <v>75</v>
      </c>
      <c r="P474" s="41">
        <f>HEX2DEC(RIGHT(Table13232127[[#This Row],[h1]],8))</f>
        <v>0</v>
      </c>
      <c r="Q474" s="41" t="s">
        <v>75</v>
      </c>
      <c r="R474" s="41">
        <f>HEX2DEC(RIGHT(Table13232127[[#This Row],[h2]],8))</f>
        <v>0</v>
      </c>
    </row>
    <row r="475" spans="1:18">
      <c r="A475" s="15" t="str">
        <f t="shared" si="12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1" t="s">
        <v>75</v>
      </c>
      <c r="P475" s="41">
        <f>HEX2DEC(RIGHT(Table13232127[[#This Row],[h1]],8))</f>
        <v>0</v>
      </c>
      <c r="Q475" s="41" t="s">
        <v>75</v>
      </c>
      <c r="R475" s="41">
        <f>HEX2DEC(RIGHT(Table13232127[[#This Row],[h2]],8))</f>
        <v>0</v>
      </c>
    </row>
    <row r="476" spans="1:18">
      <c r="A476" s="15" t="str">
        <f t="shared" si="12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1" t="s">
        <v>75</v>
      </c>
      <c r="P476" s="41">
        <f>HEX2DEC(RIGHT(Table13232127[[#This Row],[h1]],8))</f>
        <v>0</v>
      </c>
      <c r="Q476" s="41" t="s">
        <v>75</v>
      </c>
      <c r="R476" s="41">
        <f>HEX2DEC(RIGHT(Table13232127[[#This Row],[h2]],8))</f>
        <v>0</v>
      </c>
    </row>
    <row r="477" spans="1:18">
      <c r="A477" s="15" t="str">
        <f t="shared" si="12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1" t="s">
        <v>75</v>
      </c>
      <c r="P477" s="41">
        <f>HEX2DEC(RIGHT(Table13232127[[#This Row],[h1]],8))</f>
        <v>0</v>
      </c>
      <c r="Q477" s="41" t="s">
        <v>75</v>
      </c>
      <c r="R477" s="41">
        <f>HEX2DEC(RIGHT(Table13232127[[#This Row],[h2]],8))</f>
        <v>0</v>
      </c>
    </row>
    <row r="478" spans="1:18">
      <c r="A478" s="15" t="str">
        <f t="shared" si="12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1" t="s">
        <v>75</v>
      </c>
      <c r="P478" s="41">
        <f>HEX2DEC(RIGHT(Table13232127[[#This Row],[h1]],8))</f>
        <v>0</v>
      </c>
      <c r="Q478" s="41" t="s">
        <v>75</v>
      </c>
      <c r="R478" s="41">
        <f>HEX2DEC(RIGHT(Table13232127[[#This Row],[h2]],8))</f>
        <v>0</v>
      </c>
    </row>
    <row r="479" spans="1:18">
      <c r="A479" s="15" t="str">
        <f t="shared" si="12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1" t="s">
        <v>75</v>
      </c>
      <c r="P479" s="41">
        <f>HEX2DEC(RIGHT(Table13232127[[#This Row],[h1]],8))</f>
        <v>0</v>
      </c>
      <c r="Q479" s="41" t="s">
        <v>75</v>
      </c>
      <c r="R479" s="41">
        <f>HEX2DEC(RIGHT(Table13232127[[#This Row],[h2]],8))</f>
        <v>0</v>
      </c>
    </row>
    <row r="480" spans="1:18">
      <c r="A480" s="15" t="str">
        <f t="shared" si="12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1" t="s">
        <v>75</v>
      </c>
      <c r="P480" s="41">
        <f>HEX2DEC(RIGHT(Table13232127[[#This Row],[h1]],8))</f>
        <v>0</v>
      </c>
      <c r="Q480" s="41" t="s">
        <v>75</v>
      </c>
      <c r="R480" s="41">
        <f>HEX2DEC(RIGHT(Table13232127[[#This Row],[h2]],8))</f>
        <v>0</v>
      </c>
    </row>
    <row r="481" spans="1:18">
      <c r="A481" s="15" t="str">
        <f t="shared" si="12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1" t="s">
        <v>75</v>
      </c>
      <c r="P481" s="41">
        <f>HEX2DEC(RIGHT(Table13232127[[#This Row],[h1]],8))</f>
        <v>0</v>
      </c>
      <c r="Q481" s="41" t="s">
        <v>75</v>
      </c>
      <c r="R481" s="41">
        <f>HEX2DEC(RIGHT(Table13232127[[#This Row],[h2]],8))</f>
        <v>0</v>
      </c>
    </row>
    <row r="482" spans="1:18">
      <c r="A482" s="15" t="str">
        <f t="shared" si="12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1" t="s">
        <v>75</v>
      </c>
      <c r="P482" s="41">
        <f>HEX2DEC(RIGHT(Table13232127[[#This Row],[h1]],8))</f>
        <v>0</v>
      </c>
      <c r="Q482" s="41" t="s">
        <v>75</v>
      </c>
      <c r="R482" s="41">
        <f>HEX2DEC(RIGHT(Table13232127[[#This Row],[h2]],8))</f>
        <v>0</v>
      </c>
    </row>
    <row r="483" spans="1:18">
      <c r="A483" s="15" t="str">
        <f t="shared" si="12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1" t="s">
        <v>75</v>
      </c>
      <c r="P483" s="41">
        <f>HEX2DEC(RIGHT(Table13232127[[#This Row],[h1]],8))</f>
        <v>0</v>
      </c>
      <c r="Q483" s="41" t="s">
        <v>75</v>
      </c>
      <c r="R483" s="41">
        <f>HEX2DEC(RIGHT(Table13232127[[#This Row],[h2]],8))</f>
        <v>0</v>
      </c>
    </row>
    <row r="484" spans="1:18">
      <c r="A484" s="15" t="str">
        <f t="shared" si="12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1" t="s">
        <v>75</v>
      </c>
      <c r="P484" s="41">
        <f>HEX2DEC(RIGHT(Table13232127[[#This Row],[h1]],8))</f>
        <v>0</v>
      </c>
      <c r="Q484" s="41" t="s">
        <v>75</v>
      </c>
      <c r="R484" s="41">
        <f>HEX2DEC(RIGHT(Table13232127[[#This Row],[h2]],8))</f>
        <v>0</v>
      </c>
    </row>
    <row r="485" spans="1:18">
      <c r="A485" s="15" t="str">
        <f t="shared" si="12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1" t="s">
        <v>75</v>
      </c>
      <c r="P485" s="41">
        <f>HEX2DEC(RIGHT(Table13232127[[#This Row],[h1]],8))</f>
        <v>0</v>
      </c>
      <c r="Q485" s="41" t="s">
        <v>75</v>
      </c>
      <c r="R485" s="41">
        <f>HEX2DEC(RIGHT(Table13232127[[#This Row],[h2]],8))</f>
        <v>0</v>
      </c>
    </row>
    <row r="486" spans="1:18">
      <c r="A486" s="15" t="str">
        <f t="shared" si="12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1" t="s">
        <v>75</v>
      </c>
      <c r="P486" s="41">
        <f>HEX2DEC(RIGHT(Table13232127[[#This Row],[h1]],8))</f>
        <v>0</v>
      </c>
      <c r="Q486" s="41" t="s">
        <v>75</v>
      </c>
      <c r="R486" s="41">
        <f>HEX2DEC(RIGHT(Table13232127[[#This Row],[h2]],8))</f>
        <v>0</v>
      </c>
    </row>
    <row r="487" spans="1:18">
      <c r="A487" s="15" t="str">
        <f t="shared" si="12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1" t="s">
        <v>75</v>
      </c>
      <c r="P487" s="41">
        <f>HEX2DEC(RIGHT(Table13232127[[#This Row],[h1]],8))</f>
        <v>0</v>
      </c>
      <c r="Q487" s="41" t="s">
        <v>75</v>
      </c>
      <c r="R487" s="41">
        <f>HEX2DEC(RIGHT(Table13232127[[#This Row],[h2]],8))</f>
        <v>0</v>
      </c>
    </row>
    <row r="488" spans="1:18">
      <c r="A488" s="15" t="str">
        <f t="shared" si="12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1" t="s">
        <v>75</v>
      </c>
      <c r="P488" s="41">
        <f>HEX2DEC(RIGHT(Table13232127[[#This Row],[h1]],8))</f>
        <v>0</v>
      </c>
      <c r="Q488" s="41" t="s">
        <v>75</v>
      </c>
      <c r="R488" s="41">
        <f>HEX2DEC(RIGHT(Table13232127[[#This Row],[h2]],8))</f>
        <v>0</v>
      </c>
    </row>
    <row r="489" spans="1:18">
      <c r="A489" s="15" t="str">
        <f t="shared" si="12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1" t="s">
        <v>75</v>
      </c>
      <c r="P489" s="41">
        <f>HEX2DEC(RIGHT(Table13232127[[#This Row],[h1]],8))</f>
        <v>0</v>
      </c>
      <c r="Q489" s="41" t="s">
        <v>75</v>
      </c>
      <c r="R489" s="41">
        <f>HEX2DEC(RIGHT(Table13232127[[#This Row],[h2]],8))</f>
        <v>0</v>
      </c>
    </row>
    <row r="490" spans="1:18">
      <c r="A490" s="15" t="str">
        <f t="shared" si="12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1" t="s">
        <v>75</v>
      </c>
      <c r="P490" s="41">
        <f>HEX2DEC(RIGHT(Table13232127[[#This Row],[h1]],8))</f>
        <v>0</v>
      </c>
      <c r="Q490" s="41" t="s">
        <v>75</v>
      </c>
      <c r="R490" s="41">
        <f>HEX2DEC(RIGHT(Table13232127[[#This Row],[h2]],8))</f>
        <v>0</v>
      </c>
    </row>
    <row r="491" spans="1:18">
      <c r="A491" s="15" t="str">
        <f t="shared" si="12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1" t="s">
        <v>75</v>
      </c>
      <c r="P491" s="41">
        <f>HEX2DEC(RIGHT(Table13232127[[#This Row],[h1]],8))</f>
        <v>0</v>
      </c>
      <c r="Q491" s="41" t="s">
        <v>75</v>
      </c>
      <c r="R491" s="41">
        <f>HEX2DEC(RIGHT(Table13232127[[#This Row],[h2]],8))</f>
        <v>0</v>
      </c>
    </row>
    <row r="492" spans="1:18">
      <c r="A492" s="15" t="str">
        <f t="shared" si="12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1" t="s">
        <v>75</v>
      </c>
      <c r="P492" s="41">
        <f>HEX2DEC(RIGHT(Table13232127[[#This Row],[h1]],8))</f>
        <v>0</v>
      </c>
      <c r="Q492" s="41" t="s">
        <v>75</v>
      </c>
      <c r="R492" s="41">
        <f>HEX2DEC(RIGHT(Table13232127[[#This Row],[h2]],8))</f>
        <v>0</v>
      </c>
    </row>
    <row r="493" spans="1:18">
      <c r="A493" s="15" t="str">
        <f t="shared" si="12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1" t="s">
        <v>75</v>
      </c>
      <c r="P493" s="41">
        <f>HEX2DEC(RIGHT(Table13232127[[#This Row],[h1]],8))</f>
        <v>0</v>
      </c>
      <c r="Q493" s="41" t="s">
        <v>75</v>
      </c>
      <c r="R493" s="41">
        <f>HEX2DEC(RIGHT(Table13232127[[#This Row],[h2]],8))</f>
        <v>0</v>
      </c>
    </row>
    <row r="494" spans="1:18">
      <c r="A494" s="15" t="str">
        <f t="shared" si="12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1" t="s">
        <v>75</v>
      </c>
      <c r="P494" s="41">
        <f>HEX2DEC(RIGHT(Table13232127[[#This Row],[h1]],8))</f>
        <v>0</v>
      </c>
      <c r="Q494" s="41" t="s">
        <v>75</v>
      </c>
      <c r="R494" s="41">
        <f>HEX2DEC(RIGHT(Table13232127[[#This Row],[h2]],8))</f>
        <v>0</v>
      </c>
    </row>
    <row r="495" spans="1:18">
      <c r="A495" s="15" t="str">
        <f t="shared" si="12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1" t="s">
        <v>75</v>
      </c>
      <c r="P495" s="41">
        <f>HEX2DEC(RIGHT(Table13232127[[#This Row],[h1]],8))</f>
        <v>0</v>
      </c>
      <c r="Q495" s="41" t="s">
        <v>75</v>
      </c>
      <c r="R495" s="41">
        <f>HEX2DEC(RIGHT(Table13232127[[#This Row],[h2]],8))</f>
        <v>0</v>
      </c>
    </row>
    <row r="496" spans="1:18">
      <c r="A496" s="15" t="str">
        <f t="shared" si="12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1" t="s">
        <v>75</v>
      </c>
      <c r="P496" s="41">
        <f>HEX2DEC(RIGHT(Table13232127[[#This Row],[h1]],8))</f>
        <v>0</v>
      </c>
      <c r="Q496" s="41" t="s">
        <v>75</v>
      </c>
      <c r="R496" s="41">
        <f>HEX2DEC(RIGHT(Table13232127[[#This Row],[h2]],8))</f>
        <v>0</v>
      </c>
    </row>
    <row r="497" spans="1:18">
      <c r="A497" s="15" t="str">
        <f t="shared" si="12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1" t="s">
        <v>75</v>
      </c>
      <c r="P497" s="41">
        <f>HEX2DEC(RIGHT(Table13232127[[#This Row],[h1]],8))</f>
        <v>0</v>
      </c>
      <c r="Q497" s="41" t="s">
        <v>75</v>
      </c>
      <c r="R497" s="41">
        <f>HEX2DEC(RIGHT(Table13232127[[#This Row],[h2]],8))</f>
        <v>0</v>
      </c>
    </row>
    <row r="498" spans="1:18">
      <c r="A498" s="15" t="str">
        <f t="shared" si="12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1" t="s">
        <v>75</v>
      </c>
      <c r="P498" s="41">
        <f>HEX2DEC(RIGHT(Table13232127[[#This Row],[h1]],8))</f>
        <v>0</v>
      </c>
      <c r="Q498" s="41" t="s">
        <v>75</v>
      </c>
      <c r="R498" s="41">
        <f>HEX2DEC(RIGHT(Table13232127[[#This Row],[h2]],8))</f>
        <v>0</v>
      </c>
    </row>
    <row r="499" spans="1:18">
      <c r="A499" s="15" t="str">
        <f t="shared" si="12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1" t="s">
        <v>75</v>
      </c>
      <c r="P499" s="41">
        <f>HEX2DEC(RIGHT(Table13232127[[#This Row],[h1]],8))</f>
        <v>0</v>
      </c>
      <c r="Q499" s="41" t="s">
        <v>75</v>
      </c>
      <c r="R499" s="41">
        <f>HEX2DEC(RIGHT(Table13232127[[#This Row],[h2]],8))</f>
        <v>0</v>
      </c>
    </row>
    <row r="500" spans="1:18">
      <c r="A500" s="15" t="str">
        <f t="shared" si="12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1" t="s">
        <v>75</v>
      </c>
      <c r="P500" s="41">
        <f>HEX2DEC(RIGHT(Table13232127[[#This Row],[h1]],8))</f>
        <v>0</v>
      </c>
      <c r="Q500" s="41" t="s">
        <v>75</v>
      </c>
      <c r="R500" s="41">
        <f>HEX2DEC(RIGHT(Table13232127[[#This Row],[h2]],8))</f>
        <v>0</v>
      </c>
    </row>
    <row r="501" spans="1:18">
      <c r="A501" s="15" t="str">
        <f t="shared" si="12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1" t="s">
        <v>75</v>
      </c>
      <c r="P501" s="41">
        <f>HEX2DEC(RIGHT(Table13232127[[#This Row],[h1]],8))</f>
        <v>0</v>
      </c>
      <c r="Q501" s="41" t="s">
        <v>75</v>
      </c>
      <c r="R501" s="41">
        <f>HEX2DEC(RIGHT(Table13232127[[#This Row],[h2]],8))</f>
        <v>0</v>
      </c>
    </row>
    <row r="502" spans="1:18">
      <c r="A502" s="15" t="str">
        <f t="shared" si="12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1" t="s">
        <v>75</v>
      </c>
      <c r="P502" s="41">
        <f>HEX2DEC(RIGHT(Table13232127[[#This Row],[h1]],8))</f>
        <v>0</v>
      </c>
      <c r="Q502" s="41" t="s">
        <v>75</v>
      </c>
      <c r="R502" s="41">
        <f>HEX2DEC(RIGHT(Table13232127[[#This Row],[h2]],8))</f>
        <v>0</v>
      </c>
    </row>
    <row r="503" spans="1:18">
      <c r="A503" s="15" t="str">
        <f t="shared" si="12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1" t="s">
        <v>75</v>
      </c>
      <c r="P503" s="41">
        <f>HEX2DEC(RIGHT(Table13232127[[#This Row],[h1]],8))</f>
        <v>0</v>
      </c>
      <c r="Q503" s="41" t="s">
        <v>75</v>
      </c>
      <c r="R503" s="41">
        <f>HEX2DEC(RIGHT(Table13232127[[#This Row],[h2]],8))</f>
        <v>0</v>
      </c>
    </row>
    <row r="504" spans="1:18">
      <c r="A504" s="15" t="str">
        <f t="shared" si="12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1" t="s">
        <v>75</v>
      </c>
      <c r="P504" s="41">
        <f>HEX2DEC(RIGHT(Table13232127[[#This Row],[h1]],8))</f>
        <v>0</v>
      </c>
      <c r="Q504" s="41" t="s">
        <v>75</v>
      </c>
      <c r="R504" s="41">
        <f>HEX2DEC(RIGHT(Table13232127[[#This Row],[h2]],8))</f>
        <v>0</v>
      </c>
    </row>
    <row r="505" spans="1:18">
      <c r="A505" s="15" t="str">
        <f t="shared" si="12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1" t="s">
        <v>75</v>
      </c>
      <c r="P505" s="41">
        <f>HEX2DEC(RIGHT(Table13232127[[#This Row],[h1]],8))</f>
        <v>0</v>
      </c>
      <c r="Q505" s="41" t="s">
        <v>75</v>
      </c>
      <c r="R505" s="41">
        <f>HEX2DEC(RIGHT(Table13232127[[#This Row],[h2]],8))</f>
        <v>0</v>
      </c>
    </row>
    <row r="506" spans="1:18">
      <c r="A506" s="15" t="str">
        <f t="shared" si="12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1" t="s">
        <v>75</v>
      </c>
      <c r="P506" s="41">
        <f>HEX2DEC(RIGHT(Table13232127[[#This Row],[h1]],8))</f>
        <v>0</v>
      </c>
      <c r="Q506" s="41" t="s">
        <v>75</v>
      </c>
      <c r="R506" s="41">
        <f>HEX2DEC(RIGHT(Table13232127[[#This Row],[h2]],8))</f>
        <v>0</v>
      </c>
    </row>
    <row r="507" spans="1:18">
      <c r="A507" s="15" t="str">
        <f t="shared" si="12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1" t="s">
        <v>75</v>
      </c>
      <c r="P507" s="41">
        <f>HEX2DEC(RIGHT(Table13232127[[#This Row],[h1]],8))</f>
        <v>0</v>
      </c>
      <c r="Q507" s="41" t="s">
        <v>75</v>
      </c>
      <c r="R507" s="41">
        <f>HEX2DEC(RIGHT(Table13232127[[#This Row],[h2]],8))</f>
        <v>0</v>
      </c>
    </row>
    <row r="508" spans="1:18">
      <c r="A508" s="15" t="str">
        <f t="shared" si="12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1" t="s">
        <v>75</v>
      </c>
      <c r="P508" s="41">
        <f>HEX2DEC(RIGHT(Table13232127[[#This Row],[h1]],8))</f>
        <v>0</v>
      </c>
      <c r="Q508" s="41" t="s">
        <v>75</v>
      </c>
      <c r="R508" s="41">
        <f>HEX2DEC(RIGHT(Table13232127[[#This Row],[h2]],8))</f>
        <v>0</v>
      </c>
    </row>
    <row r="509" spans="1:18">
      <c r="A509" s="15" t="str">
        <f t="shared" si="12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1" t="s">
        <v>75</v>
      </c>
      <c r="P509" s="41">
        <f>HEX2DEC(RIGHT(Table13232127[[#This Row],[h1]],8))</f>
        <v>0</v>
      </c>
      <c r="Q509" s="41" t="s">
        <v>75</v>
      </c>
      <c r="R509" s="41">
        <f>HEX2DEC(RIGHT(Table13232127[[#This Row],[h2]],8))</f>
        <v>0</v>
      </c>
    </row>
    <row r="510" spans="1:18">
      <c r="A510" s="15" t="str">
        <f t="shared" si="12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1" t="s">
        <v>75</v>
      </c>
      <c r="P510" s="41">
        <f>HEX2DEC(RIGHT(Table13232127[[#This Row],[h1]],8))</f>
        <v>0</v>
      </c>
      <c r="Q510" s="41" t="s">
        <v>75</v>
      </c>
      <c r="R510" s="41">
        <f>HEX2DEC(RIGHT(Table13232127[[#This Row],[h2]],8))</f>
        <v>0</v>
      </c>
    </row>
    <row r="511" spans="1:18">
      <c r="A511" s="15" t="str">
        <f t="shared" si="12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1" t="s">
        <v>75</v>
      </c>
      <c r="P511" s="41">
        <f>HEX2DEC(RIGHT(Table13232127[[#This Row],[h1]],8))</f>
        <v>0</v>
      </c>
      <c r="Q511" s="41" t="s">
        <v>75</v>
      </c>
      <c r="R511" s="41">
        <f>HEX2DEC(RIGHT(Table13232127[[#This Row],[h2]],8))</f>
        <v>0</v>
      </c>
    </row>
    <row r="512" spans="1:18">
      <c r="A512" s="15" t="str">
        <f t="shared" si="12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1" t="s">
        <v>75</v>
      </c>
      <c r="P512" s="41">
        <f>HEX2DEC(RIGHT(Table13232127[[#This Row],[h1]],8))</f>
        <v>0</v>
      </c>
      <c r="Q512" s="41" t="s">
        <v>75</v>
      </c>
      <c r="R512" s="41">
        <f>HEX2DEC(RIGHT(Table13232127[[#This Row],[h2]],8))</f>
        <v>0</v>
      </c>
    </row>
    <row r="513" spans="1:18">
      <c r="A513" s="15" t="str">
        <f t="shared" si="12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1" t="s">
        <v>75</v>
      </c>
      <c r="P513" s="41">
        <f>HEX2DEC(RIGHT(Table13232127[[#This Row],[h1]],8))</f>
        <v>0</v>
      </c>
      <c r="Q513" s="41" t="s">
        <v>75</v>
      </c>
      <c r="R513" s="41">
        <f>HEX2DEC(RIGHT(Table13232127[[#This Row],[h2]],8))</f>
        <v>0</v>
      </c>
    </row>
    <row r="514" spans="1:18">
      <c r="A514" s="15" t="str">
        <f t="shared" si="12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1" t="s">
        <v>75</v>
      </c>
      <c r="P514" s="41">
        <f>HEX2DEC(RIGHT(Table13232127[[#This Row],[h1]],8))</f>
        <v>0</v>
      </c>
      <c r="Q514" s="41" t="s">
        <v>75</v>
      </c>
      <c r="R514" s="41">
        <f>HEX2DEC(RIGHT(Table13232127[[#This Row],[h2]],8))</f>
        <v>0</v>
      </c>
    </row>
    <row r="515" spans="1:18">
      <c r="A515" s="15" t="str">
        <f t="shared" si="12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1" t="s">
        <v>75</v>
      </c>
      <c r="P515" s="41">
        <f>HEX2DEC(RIGHT(Table13232127[[#This Row],[h1]],8))</f>
        <v>0</v>
      </c>
      <c r="Q515" s="41" t="s">
        <v>75</v>
      </c>
      <c r="R515" s="41">
        <f>HEX2DEC(RIGHT(Table13232127[[#This Row],[h2]],8))</f>
        <v>0</v>
      </c>
    </row>
    <row r="516" spans="1:18">
      <c r="A516" s="15" t="str">
        <f t="shared" si="12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1" t="s">
        <v>75</v>
      </c>
      <c r="P516" s="41">
        <f>HEX2DEC(RIGHT(Table13232127[[#This Row],[h1]],8))</f>
        <v>0</v>
      </c>
      <c r="Q516" s="41" t="s">
        <v>75</v>
      </c>
      <c r="R516" s="41">
        <f>HEX2DEC(RIGHT(Table13232127[[#This Row],[h2]],8))</f>
        <v>0</v>
      </c>
    </row>
    <row r="517" spans="1:18">
      <c r="A517" s="15" t="str">
        <f t="shared" si="12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1" t="s">
        <v>75</v>
      </c>
      <c r="P517" s="41">
        <f>HEX2DEC(RIGHT(Table13232127[[#This Row],[h1]],8))</f>
        <v>0</v>
      </c>
      <c r="Q517" s="41" t="s">
        <v>75</v>
      </c>
      <c r="R517" s="41">
        <f>HEX2DEC(RIGHT(Table13232127[[#This Row],[h2]],8))</f>
        <v>0</v>
      </c>
    </row>
    <row r="518" spans="1:18">
      <c r="A518" s="15" t="str">
        <f t="shared" si="12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1" t="s">
        <v>75</v>
      </c>
      <c r="P518" s="41">
        <f>HEX2DEC(RIGHT(Table13232127[[#This Row],[h1]],8))</f>
        <v>0</v>
      </c>
      <c r="Q518" s="41" t="s">
        <v>75</v>
      </c>
      <c r="R518" s="41">
        <f>HEX2DEC(RIGHT(Table13232127[[#This Row],[h2]],8))</f>
        <v>0</v>
      </c>
    </row>
    <row r="519" spans="1:18">
      <c r="A519" s="15" t="str">
        <f t="shared" si="12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1" t="s">
        <v>75</v>
      </c>
      <c r="P519" s="41">
        <f>HEX2DEC(RIGHT(Table13232127[[#This Row],[h1]],8))</f>
        <v>0</v>
      </c>
      <c r="Q519" s="41" t="s">
        <v>75</v>
      </c>
      <c r="R519" s="41">
        <f>HEX2DEC(RIGHT(Table13232127[[#This Row],[h2]],8))</f>
        <v>0</v>
      </c>
    </row>
    <row r="520" spans="1:18">
      <c r="A520" s="15" t="str">
        <f t="shared" si="12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1" t="s">
        <v>75</v>
      </c>
      <c r="P520" s="41">
        <f>HEX2DEC(RIGHT(Table13232127[[#This Row],[h1]],8))</f>
        <v>0</v>
      </c>
      <c r="Q520" s="41" t="s">
        <v>75</v>
      </c>
      <c r="R520" s="41">
        <f>HEX2DEC(RIGHT(Table13232127[[#This Row],[h2]],8))</f>
        <v>0</v>
      </c>
    </row>
    <row r="521" spans="1:18">
      <c r="A521" s="15" t="str">
        <f t="shared" si="12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1" t="s">
        <v>75</v>
      </c>
      <c r="P521" s="41">
        <f>HEX2DEC(RIGHT(Table13232127[[#This Row],[h1]],8))</f>
        <v>0</v>
      </c>
      <c r="Q521" s="41" t="s">
        <v>75</v>
      </c>
      <c r="R521" s="41">
        <f>HEX2DEC(RIGHT(Table13232127[[#This Row],[h2]],8))</f>
        <v>0</v>
      </c>
    </row>
    <row r="522" spans="1:18">
      <c r="A522" s="15" t="str">
        <f t="shared" si="12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1" t="s">
        <v>75</v>
      </c>
      <c r="P522" s="41">
        <f>HEX2DEC(RIGHT(Table13232127[[#This Row],[h1]],8))</f>
        <v>0</v>
      </c>
      <c r="Q522" s="41" t="s">
        <v>75</v>
      </c>
      <c r="R522" s="41">
        <f>HEX2DEC(RIGHT(Table13232127[[#This Row],[h2]],8))</f>
        <v>0</v>
      </c>
    </row>
    <row r="523" spans="1:18">
      <c r="A523" s="15" t="str">
        <f t="shared" ref="A523:A586" si="13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1" t="s">
        <v>75</v>
      </c>
      <c r="P523" s="41">
        <f>HEX2DEC(RIGHT(Table13232127[[#This Row],[h1]],8))</f>
        <v>0</v>
      </c>
      <c r="Q523" s="41" t="s">
        <v>75</v>
      </c>
      <c r="R523" s="41">
        <f>HEX2DEC(RIGHT(Table13232127[[#This Row],[h2]],8))</f>
        <v>0</v>
      </c>
    </row>
    <row r="524" spans="1:18">
      <c r="A524" s="15" t="str">
        <f t="shared" si="13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1" t="s">
        <v>75</v>
      </c>
      <c r="P524" s="41">
        <f>HEX2DEC(RIGHT(Table13232127[[#This Row],[h1]],8))</f>
        <v>0</v>
      </c>
      <c r="Q524" s="41" t="s">
        <v>75</v>
      </c>
      <c r="R524" s="41">
        <f>HEX2DEC(RIGHT(Table13232127[[#This Row],[h2]],8))</f>
        <v>0</v>
      </c>
    </row>
    <row r="525" spans="1:18">
      <c r="A525" s="15" t="str">
        <f t="shared" si="13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1" t="s">
        <v>75</v>
      </c>
      <c r="P525" s="41">
        <f>HEX2DEC(RIGHT(Table13232127[[#This Row],[h1]],8))</f>
        <v>0</v>
      </c>
      <c r="Q525" s="41" t="s">
        <v>75</v>
      </c>
      <c r="R525" s="41">
        <f>HEX2DEC(RIGHT(Table13232127[[#This Row],[h2]],8))</f>
        <v>0</v>
      </c>
    </row>
    <row r="526" spans="1:18">
      <c r="A526" s="15" t="str">
        <f t="shared" si="13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1" t="s">
        <v>75</v>
      </c>
      <c r="P526" s="41">
        <f>HEX2DEC(RIGHT(Table13232127[[#This Row],[h1]],8))</f>
        <v>0</v>
      </c>
      <c r="Q526" s="41" t="s">
        <v>75</v>
      </c>
      <c r="R526" s="41">
        <f>HEX2DEC(RIGHT(Table13232127[[#This Row],[h2]],8))</f>
        <v>0</v>
      </c>
    </row>
    <row r="527" spans="1:18">
      <c r="A527" s="15" t="str">
        <f t="shared" si="13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1" t="s">
        <v>75</v>
      </c>
      <c r="P527" s="41">
        <f>HEX2DEC(RIGHT(Table13232127[[#This Row],[h1]],8))</f>
        <v>0</v>
      </c>
      <c r="Q527" s="41" t="s">
        <v>75</v>
      </c>
      <c r="R527" s="41">
        <f>HEX2DEC(RIGHT(Table13232127[[#This Row],[h2]],8))</f>
        <v>0</v>
      </c>
    </row>
    <row r="528" spans="1:18">
      <c r="A528" s="15" t="str">
        <f t="shared" si="13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1" t="s">
        <v>75</v>
      </c>
      <c r="P528" s="41">
        <f>HEX2DEC(RIGHT(Table13232127[[#This Row],[h1]],8))</f>
        <v>0</v>
      </c>
      <c r="Q528" s="41" t="s">
        <v>75</v>
      </c>
      <c r="R528" s="41">
        <f>HEX2DEC(RIGHT(Table13232127[[#This Row],[h2]],8))</f>
        <v>0</v>
      </c>
    </row>
    <row r="529" spans="1:18">
      <c r="A529" s="15" t="str">
        <f t="shared" si="13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1" t="s">
        <v>75</v>
      </c>
      <c r="P529" s="41">
        <f>HEX2DEC(RIGHT(Table13232127[[#This Row],[h1]],8))</f>
        <v>0</v>
      </c>
      <c r="Q529" s="41" t="s">
        <v>75</v>
      </c>
      <c r="R529" s="41">
        <f>HEX2DEC(RIGHT(Table13232127[[#This Row],[h2]],8))</f>
        <v>0</v>
      </c>
    </row>
    <row r="530" spans="1:18">
      <c r="A530" s="15" t="str">
        <f t="shared" si="13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1" t="s">
        <v>75</v>
      </c>
      <c r="P530" s="41">
        <f>HEX2DEC(RIGHT(Table13232127[[#This Row],[h1]],8))</f>
        <v>0</v>
      </c>
      <c r="Q530" s="41" t="s">
        <v>75</v>
      </c>
      <c r="R530" s="41">
        <f>HEX2DEC(RIGHT(Table13232127[[#This Row],[h2]],8))</f>
        <v>0</v>
      </c>
    </row>
    <row r="531" spans="1:18">
      <c r="A531" s="15" t="str">
        <f t="shared" si="13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1" t="s">
        <v>75</v>
      </c>
      <c r="P531" s="41">
        <f>HEX2DEC(RIGHT(Table13232127[[#This Row],[h1]],8))</f>
        <v>0</v>
      </c>
      <c r="Q531" s="41" t="s">
        <v>75</v>
      </c>
      <c r="R531" s="41">
        <f>HEX2DEC(RIGHT(Table13232127[[#This Row],[h2]],8))</f>
        <v>0</v>
      </c>
    </row>
    <row r="532" spans="1:18">
      <c r="A532" s="15" t="str">
        <f t="shared" si="13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1" t="s">
        <v>75</v>
      </c>
      <c r="P532" s="41">
        <f>HEX2DEC(RIGHT(Table13232127[[#This Row],[h1]],8))</f>
        <v>0</v>
      </c>
      <c r="Q532" s="41" t="s">
        <v>75</v>
      </c>
      <c r="R532" s="41">
        <f>HEX2DEC(RIGHT(Table13232127[[#This Row],[h2]],8))</f>
        <v>0</v>
      </c>
    </row>
    <row r="533" spans="1:18">
      <c r="A533" s="15" t="str">
        <f t="shared" si="13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1" t="s">
        <v>75</v>
      </c>
      <c r="P533" s="41">
        <f>HEX2DEC(RIGHT(Table13232127[[#This Row],[h1]],8))</f>
        <v>0</v>
      </c>
      <c r="Q533" s="41" t="s">
        <v>75</v>
      </c>
      <c r="R533" s="41">
        <f>HEX2DEC(RIGHT(Table13232127[[#This Row],[h2]],8))</f>
        <v>0</v>
      </c>
    </row>
    <row r="534" spans="1:18">
      <c r="A534" s="15" t="str">
        <f t="shared" si="13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1" t="s">
        <v>75</v>
      </c>
      <c r="P534" s="41">
        <f>HEX2DEC(RIGHT(Table13232127[[#This Row],[h1]],8))</f>
        <v>0</v>
      </c>
      <c r="Q534" s="41" t="s">
        <v>75</v>
      </c>
      <c r="R534" s="41">
        <f>HEX2DEC(RIGHT(Table13232127[[#This Row],[h2]],8))</f>
        <v>0</v>
      </c>
    </row>
    <row r="535" spans="1:18">
      <c r="A535" s="15" t="str">
        <f t="shared" si="13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1" t="s">
        <v>75</v>
      </c>
      <c r="P535" s="41">
        <f>HEX2DEC(RIGHT(Table13232127[[#This Row],[h1]],8))</f>
        <v>0</v>
      </c>
      <c r="Q535" s="41" t="s">
        <v>75</v>
      </c>
      <c r="R535" s="41">
        <f>HEX2DEC(RIGHT(Table13232127[[#This Row],[h2]],8))</f>
        <v>0</v>
      </c>
    </row>
    <row r="536" spans="1:18">
      <c r="A536" s="15" t="str">
        <f t="shared" si="13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1" t="s">
        <v>75</v>
      </c>
      <c r="P536" s="41">
        <f>HEX2DEC(RIGHT(Table13232127[[#This Row],[h1]],8))</f>
        <v>0</v>
      </c>
      <c r="Q536" s="41" t="s">
        <v>75</v>
      </c>
      <c r="R536" s="41">
        <f>HEX2DEC(RIGHT(Table13232127[[#This Row],[h2]],8))</f>
        <v>0</v>
      </c>
    </row>
    <row r="537" spans="1:18">
      <c r="A537" s="15" t="str">
        <f t="shared" si="13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1" t="s">
        <v>75</v>
      </c>
      <c r="P537" s="41">
        <f>HEX2DEC(RIGHT(Table13232127[[#This Row],[h1]],8))</f>
        <v>0</v>
      </c>
      <c r="Q537" s="41" t="s">
        <v>75</v>
      </c>
      <c r="R537" s="41">
        <f>HEX2DEC(RIGHT(Table13232127[[#This Row],[h2]],8))</f>
        <v>0</v>
      </c>
    </row>
    <row r="538" spans="1:18">
      <c r="A538" s="15" t="str">
        <f t="shared" si="13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1" t="s">
        <v>75</v>
      </c>
      <c r="P538" s="41">
        <f>HEX2DEC(RIGHT(Table13232127[[#This Row],[h1]],8))</f>
        <v>0</v>
      </c>
      <c r="Q538" s="41" t="s">
        <v>75</v>
      </c>
      <c r="R538" s="41">
        <f>HEX2DEC(RIGHT(Table13232127[[#This Row],[h2]],8))</f>
        <v>0</v>
      </c>
    </row>
    <row r="539" spans="1:18">
      <c r="A539" s="15" t="str">
        <f t="shared" si="13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1" t="s">
        <v>75</v>
      </c>
      <c r="P539" s="41">
        <f>HEX2DEC(RIGHT(Table13232127[[#This Row],[h1]],8))</f>
        <v>0</v>
      </c>
      <c r="Q539" s="41" t="s">
        <v>75</v>
      </c>
      <c r="R539" s="41">
        <f>HEX2DEC(RIGHT(Table13232127[[#This Row],[h2]],8))</f>
        <v>0</v>
      </c>
    </row>
    <row r="540" spans="1:18">
      <c r="A540" s="15" t="str">
        <f t="shared" si="13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1" t="s">
        <v>75</v>
      </c>
      <c r="P540" s="41">
        <f>HEX2DEC(RIGHT(Table13232127[[#This Row],[h1]],8))</f>
        <v>0</v>
      </c>
      <c r="Q540" s="41" t="s">
        <v>75</v>
      </c>
      <c r="R540" s="41">
        <f>HEX2DEC(RIGHT(Table13232127[[#This Row],[h2]],8))</f>
        <v>0</v>
      </c>
    </row>
    <row r="541" spans="1:18">
      <c r="A541" s="15" t="str">
        <f t="shared" si="13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1" t="s">
        <v>75</v>
      </c>
      <c r="P541" s="41">
        <f>HEX2DEC(RIGHT(Table13232127[[#This Row],[h1]],8))</f>
        <v>0</v>
      </c>
      <c r="Q541" s="41" t="s">
        <v>75</v>
      </c>
      <c r="R541" s="41">
        <f>HEX2DEC(RIGHT(Table13232127[[#This Row],[h2]],8))</f>
        <v>0</v>
      </c>
    </row>
    <row r="542" spans="1:18">
      <c r="A542" s="15" t="str">
        <f t="shared" si="13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1" t="s">
        <v>75</v>
      </c>
      <c r="P542" s="41">
        <f>HEX2DEC(RIGHT(Table13232127[[#This Row],[h1]],8))</f>
        <v>0</v>
      </c>
      <c r="Q542" s="41" t="s">
        <v>75</v>
      </c>
      <c r="R542" s="41">
        <f>HEX2DEC(RIGHT(Table13232127[[#This Row],[h2]],8))</f>
        <v>0</v>
      </c>
    </row>
    <row r="543" spans="1:18">
      <c r="A543" s="15" t="str">
        <f t="shared" si="13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1" t="s">
        <v>75</v>
      </c>
      <c r="P543" s="41">
        <f>HEX2DEC(RIGHT(Table13232127[[#This Row],[h1]],8))</f>
        <v>0</v>
      </c>
      <c r="Q543" s="41" t="s">
        <v>75</v>
      </c>
      <c r="R543" s="41">
        <f>HEX2DEC(RIGHT(Table13232127[[#This Row],[h2]],8))</f>
        <v>0</v>
      </c>
    </row>
    <row r="544" spans="1:18">
      <c r="A544" s="15" t="str">
        <f t="shared" si="13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1" t="s">
        <v>75</v>
      </c>
      <c r="P544" s="41">
        <f>HEX2DEC(RIGHT(Table13232127[[#This Row],[h1]],8))</f>
        <v>0</v>
      </c>
      <c r="Q544" s="41" t="s">
        <v>75</v>
      </c>
      <c r="R544" s="41">
        <f>HEX2DEC(RIGHT(Table13232127[[#This Row],[h2]],8))</f>
        <v>0</v>
      </c>
    </row>
    <row r="545" spans="1:18">
      <c r="A545" s="15" t="str">
        <f t="shared" si="13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1" t="s">
        <v>75</v>
      </c>
      <c r="P545" s="41">
        <f>HEX2DEC(RIGHT(Table13232127[[#This Row],[h1]],8))</f>
        <v>0</v>
      </c>
      <c r="Q545" s="41" t="s">
        <v>75</v>
      </c>
      <c r="R545" s="41">
        <f>HEX2DEC(RIGHT(Table13232127[[#This Row],[h2]],8))</f>
        <v>0</v>
      </c>
    </row>
    <row r="546" spans="1:18">
      <c r="A546" s="15" t="str">
        <f t="shared" si="13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1" t="s">
        <v>75</v>
      </c>
      <c r="P546" s="41">
        <f>HEX2DEC(RIGHT(Table13232127[[#This Row],[h1]],8))</f>
        <v>0</v>
      </c>
      <c r="Q546" s="41" t="s">
        <v>75</v>
      </c>
      <c r="R546" s="41">
        <f>HEX2DEC(RIGHT(Table13232127[[#This Row],[h2]],8))</f>
        <v>0</v>
      </c>
    </row>
    <row r="547" spans="1:18">
      <c r="A547" s="15" t="str">
        <f t="shared" si="13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1" t="s">
        <v>75</v>
      </c>
      <c r="P547" s="41">
        <f>HEX2DEC(RIGHT(Table13232127[[#This Row],[h1]],8))</f>
        <v>0</v>
      </c>
      <c r="Q547" s="41" t="s">
        <v>75</v>
      </c>
      <c r="R547" s="41">
        <f>HEX2DEC(RIGHT(Table13232127[[#This Row],[h2]],8))</f>
        <v>0</v>
      </c>
    </row>
    <row r="548" spans="1:18">
      <c r="A548" s="15" t="str">
        <f t="shared" si="13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1" t="s">
        <v>75</v>
      </c>
      <c r="P548" s="41">
        <f>HEX2DEC(RIGHT(Table13232127[[#This Row],[h1]],8))</f>
        <v>0</v>
      </c>
      <c r="Q548" s="41" t="s">
        <v>75</v>
      </c>
      <c r="R548" s="41">
        <f>HEX2DEC(RIGHT(Table13232127[[#This Row],[h2]],8))</f>
        <v>0</v>
      </c>
    </row>
    <row r="549" spans="1:18">
      <c r="A549" s="15" t="str">
        <f t="shared" si="13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1" t="s">
        <v>75</v>
      </c>
      <c r="P549" s="41">
        <f>HEX2DEC(RIGHT(Table13232127[[#This Row],[h1]],8))</f>
        <v>0</v>
      </c>
      <c r="Q549" s="41" t="s">
        <v>75</v>
      </c>
      <c r="R549" s="41">
        <f>HEX2DEC(RIGHT(Table13232127[[#This Row],[h2]],8))</f>
        <v>0</v>
      </c>
    </row>
    <row r="550" spans="1:18">
      <c r="A550" s="15" t="str">
        <f t="shared" si="13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1" t="s">
        <v>75</v>
      </c>
      <c r="P550" s="41">
        <f>HEX2DEC(RIGHT(Table13232127[[#This Row],[h1]],8))</f>
        <v>0</v>
      </c>
      <c r="Q550" s="41" t="s">
        <v>75</v>
      </c>
      <c r="R550" s="41">
        <f>HEX2DEC(RIGHT(Table13232127[[#This Row],[h2]],8))</f>
        <v>0</v>
      </c>
    </row>
    <row r="551" spans="1:18">
      <c r="A551" s="15" t="str">
        <f t="shared" si="13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1" t="s">
        <v>75</v>
      </c>
      <c r="P551" s="41">
        <f>HEX2DEC(RIGHT(Table13232127[[#This Row],[h1]],8))</f>
        <v>0</v>
      </c>
      <c r="Q551" s="41" t="s">
        <v>75</v>
      </c>
      <c r="R551" s="41">
        <f>HEX2DEC(RIGHT(Table13232127[[#This Row],[h2]],8))</f>
        <v>0</v>
      </c>
    </row>
    <row r="552" spans="1:18">
      <c r="A552" s="15" t="str">
        <f t="shared" si="13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1" t="s">
        <v>75</v>
      </c>
      <c r="P552" s="41">
        <f>HEX2DEC(RIGHT(Table13232127[[#This Row],[h1]],8))</f>
        <v>0</v>
      </c>
      <c r="Q552" s="41" t="s">
        <v>75</v>
      </c>
      <c r="R552" s="41">
        <f>HEX2DEC(RIGHT(Table13232127[[#This Row],[h2]],8))</f>
        <v>0</v>
      </c>
    </row>
    <row r="553" spans="1:18">
      <c r="A553" s="15" t="str">
        <f t="shared" si="13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1" t="s">
        <v>75</v>
      </c>
      <c r="P553" s="41">
        <f>HEX2DEC(RIGHT(Table13232127[[#This Row],[h1]],8))</f>
        <v>0</v>
      </c>
      <c r="Q553" s="41" t="s">
        <v>75</v>
      </c>
      <c r="R553" s="41">
        <f>HEX2DEC(RIGHT(Table13232127[[#This Row],[h2]],8))</f>
        <v>0</v>
      </c>
    </row>
    <row r="554" spans="1:18">
      <c r="A554" s="15" t="str">
        <f t="shared" si="13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1" t="s">
        <v>75</v>
      </c>
      <c r="P554" s="41">
        <f>HEX2DEC(RIGHT(Table13232127[[#This Row],[h1]],8))</f>
        <v>0</v>
      </c>
      <c r="Q554" s="41" t="s">
        <v>75</v>
      </c>
      <c r="R554" s="41">
        <f>HEX2DEC(RIGHT(Table13232127[[#This Row],[h2]],8))</f>
        <v>0</v>
      </c>
    </row>
    <row r="555" spans="1:18">
      <c r="A555" s="15" t="str">
        <f t="shared" si="13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1" t="s">
        <v>75</v>
      </c>
      <c r="P555" s="41">
        <f>HEX2DEC(RIGHT(Table13232127[[#This Row],[h1]],8))</f>
        <v>0</v>
      </c>
      <c r="Q555" s="41" t="s">
        <v>75</v>
      </c>
      <c r="R555" s="41">
        <f>HEX2DEC(RIGHT(Table13232127[[#This Row],[h2]],8))</f>
        <v>0</v>
      </c>
    </row>
    <row r="556" spans="1:18">
      <c r="A556" s="15" t="str">
        <f t="shared" si="13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1" t="s">
        <v>75</v>
      </c>
      <c r="P556" s="41">
        <f>HEX2DEC(RIGHT(Table13232127[[#This Row],[h1]],8))</f>
        <v>0</v>
      </c>
      <c r="Q556" s="41" t="s">
        <v>75</v>
      </c>
      <c r="R556" s="41">
        <f>HEX2DEC(RIGHT(Table13232127[[#This Row],[h2]],8))</f>
        <v>0</v>
      </c>
    </row>
    <row r="557" spans="1:18">
      <c r="A557" s="15" t="str">
        <f t="shared" si="13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1" t="s">
        <v>75</v>
      </c>
      <c r="P557" s="41">
        <f>HEX2DEC(RIGHT(Table13232127[[#This Row],[h1]],8))</f>
        <v>0</v>
      </c>
      <c r="Q557" s="41" t="s">
        <v>75</v>
      </c>
      <c r="R557" s="41">
        <f>HEX2DEC(RIGHT(Table13232127[[#This Row],[h2]],8))</f>
        <v>0</v>
      </c>
    </row>
    <row r="558" spans="1:18">
      <c r="A558" s="15" t="str">
        <f t="shared" si="13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1" t="s">
        <v>75</v>
      </c>
      <c r="P558" s="41">
        <f>HEX2DEC(RIGHT(Table13232127[[#This Row],[h1]],8))</f>
        <v>0</v>
      </c>
      <c r="Q558" s="41" t="s">
        <v>75</v>
      </c>
      <c r="R558" s="41">
        <f>HEX2DEC(RIGHT(Table13232127[[#This Row],[h2]],8))</f>
        <v>0</v>
      </c>
    </row>
    <row r="559" spans="1:18">
      <c r="A559" s="15" t="str">
        <f t="shared" si="13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1" t="s">
        <v>75</v>
      </c>
      <c r="P559" s="41">
        <f>HEX2DEC(RIGHT(Table13232127[[#This Row],[h1]],8))</f>
        <v>0</v>
      </c>
      <c r="Q559" s="41" t="s">
        <v>75</v>
      </c>
      <c r="R559" s="41">
        <f>HEX2DEC(RIGHT(Table13232127[[#This Row],[h2]],8))</f>
        <v>0</v>
      </c>
    </row>
    <row r="560" spans="1:18">
      <c r="A560" s="15" t="str">
        <f t="shared" si="13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1" t="s">
        <v>75</v>
      </c>
      <c r="P560" s="41">
        <f>HEX2DEC(RIGHT(Table13232127[[#This Row],[h1]],8))</f>
        <v>0</v>
      </c>
      <c r="Q560" s="41" t="s">
        <v>75</v>
      </c>
      <c r="R560" s="41">
        <f>HEX2DEC(RIGHT(Table13232127[[#This Row],[h2]],8))</f>
        <v>0</v>
      </c>
    </row>
    <row r="561" spans="1:18">
      <c r="A561" s="15" t="str">
        <f t="shared" si="13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1" t="s">
        <v>75</v>
      </c>
      <c r="P561" s="41">
        <f>HEX2DEC(RIGHT(Table13232127[[#This Row],[h1]],8))</f>
        <v>0</v>
      </c>
      <c r="Q561" s="41" t="s">
        <v>75</v>
      </c>
      <c r="R561" s="41">
        <f>HEX2DEC(RIGHT(Table13232127[[#This Row],[h2]],8))</f>
        <v>0</v>
      </c>
    </row>
    <row r="562" spans="1:18">
      <c r="A562" s="15" t="str">
        <f t="shared" si="13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1" t="s">
        <v>75</v>
      </c>
      <c r="P562" s="41">
        <f>HEX2DEC(RIGHT(Table13232127[[#This Row],[h1]],8))</f>
        <v>0</v>
      </c>
      <c r="Q562" s="41" t="s">
        <v>75</v>
      </c>
      <c r="R562" s="41">
        <f>HEX2DEC(RIGHT(Table13232127[[#This Row],[h2]],8))</f>
        <v>0</v>
      </c>
    </row>
    <row r="563" spans="1:18">
      <c r="A563" s="15" t="str">
        <f t="shared" si="13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1" t="s">
        <v>75</v>
      </c>
      <c r="P563" s="41">
        <f>HEX2DEC(RIGHT(Table13232127[[#This Row],[h1]],8))</f>
        <v>0</v>
      </c>
      <c r="Q563" s="41" t="s">
        <v>75</v>
      </c>
      <c r="R563" s="41">
        <f>HEX2DEC(RIGHT(Table13232127[[#This Row],[h2]],8))</f>
        <v>0</v>
      </c>
    </row>
    <row r="564" spans="1:18">
      <c r="A564" s="15" t="str">
        <f t="shared" si="13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1" t="s">
        <v>75</v>
      </c>
      <c r="P564" s="41">
        <f>HEX2DEC(RIGHT(Table13232127[[#This Row],[h1]],8))</f>
        <v>0</v>
      </c>
      <c r="Q564" s="41" t="s">
        <v>75</v>
      </c>
      <c r="R564" s="41">
        <f>HEX2DEC(RIGHT(Table13232127[[#This Row],[h2]],8))</f>
        <v>0</v>
      </c>
    </row>
    <row r="565" spans="1:18">
      <c r="A565" s="15" t="str">
        <f t="shared" si="13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1" t="s">
        <v>75</v>
      </c>
      <c r="P565" s="41">
        <f>HEX2DEC(RIGHT(Table13232127[[#This Row],[h1]],8))</f>
        <v>0</v>
      </c>
      <c r="Q565" s="41" t="s">
        <v>75</v>
      </c>
      <c r="R565" s="41">
        <f>HEX2DEC(RIGHT(Table13232127[[#This Row],[h2]],8))</f>
        <v>0</v>
      </c>
    </row>
    <row r="566" spans="1:18">
      <c r="A566" s="15" t="str">
        <f t="shared" si="13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1" t="s">
        <v>75</v>
      </c>
      <c r="P566" s="41">
        <f>HEX2DEC(RIGHT(Table13232127[[#This Row],[h1]],8))</f>
        <v>0</v>
      </c>
      <c r="Q566" s="41" t="s">
        <v>75</v>
      </c>
      <c r="R566" s="41">
        <f>HEX2DEC(RIGHT(Table13232127[[#This Row],[h2]],8))</f>
        <v>0</v>
      </c>
    </row>
    <row r="567" spans="1:18">
      <c r="A567" s="15" t="str">
        <f t="shared" si="13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1" t="s">
        <v>75</v>
      </c>
      <c r="P567" s="41">
        <f>HEX2DEC(RIGHT(Table13232127[[#This Row],[h1]],8))</f>
        <v>0</v>
      </c>
      <c r="Q567" s="41" t="s">
        <v>75</v>
      </c>
      <c r="R567" s="41">
        <f>HEX2DEC(RIGHT(Table13232127[[#This Row],[h2]],8))</f>
        <v>0</v>
      </c>
    </row>
    <row r="568" spans="1:18">
      <c r="A568" s="15" t="str">
        <f t="shared" si="13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1" t="s">
        <v>75</v>
      </c>
      <c r="P568" s="41">
        <f>HEX2DEC(RIGHT(Table13232127[[#This Row],[h1]],8))</f>
        <v>0</v>
      </c>
      <c r="Q568" s="41" t="s">
        <v>75</v>
      </c>
      <c r="R568" s="41">
        <f>HEX2DEC(RIGHT(Table13232127[[#This Row],[h2]],8))</f>
        <v>0</v>
      </c>
    </row>
    <row r="569" spans="1:18">
      <c r="A569" s="15" t="str">
        <f t="shared" si="13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1" t="s">
        <v>75</v>
      </c>
      <c r="P569" s="41">
        <f>HEX2DEC(RIGHT(Table13232127[[#This Row],[h1]],8))</f>
        <v>0</v>
      </c>
      <c r="Q569" s="41" t="s">
        <v>75</v>
      </c>
      <c r="R569" s="41">
        <f>HEX2DEC(RIGHT(Table13232127[[#This Row],[h2]],8))</f>
        <v>0</v>
      </c>
    </row>
    <row r="570" spans="1:18">
      <c r="A570" s="15" t="str">
        <f t="shared" si="13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1" t="s">
        <v>75</v>
      </c>
      <c r="P570" s="41">
        <f>HEX2DEC(RIGHT(Table13232127[[#This Row],[h1]],8))</f>
        <v>0</v>
      </c>
      <c r="Q570" s="41" t="s">
        <v>75</v>
      </c>
      <c r="R570" s="41">
        <f>HEX2DEC(RIGHT(Table13232127[[#This Row],[h2]],8))</f>
        <v>0</v>
      </c>
    </row>
    <row r="571" spans="1:18">
      <c r="A571" s="15" t="str">
        <f t="shared" si="13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1" t="s">
        <v>75</v>
      </c>
      <c r="P571" s="41">
        <f>HEX2DEC(RIGHT(Table13232127[[#This Row],[h1]],8))</f>
        <v>0</v>
      </c>
      <c r="Q571" s="41" t="s">
        <v>75</v>
      </c>
      <c r="R571" s="41">
        <f>HEX2DEC(RIGHT(Table13232127[[#This Row],[h2]],8))</f>
        <v>0</v>
      </c>
    </row>
    <row r="572" spans="1:18">
      <c r="A572" s="15" t="str">
        <f t="shared" si="13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1" t="s">
        <v>75</v>
      </c>
      <c r="P572" s="41">
        <f>HEX2DEC(RIGHT(Table13232127[[#This Row],[h1]],8))</f>
        <v>0</v>
      </c>
      <c r="Q572" s="41" t="s">
        <v>75</v>
      </c>
      <c r="R572" s="41">
        <f>HEX2DEC(RIGHT(Table13232127[[#This Row],[h2]],8))</f>
        <v>0</v>
      </c>
    </row>
    <row r="573" spans="1:18">
      <c r="A573" s="15" t="str">
        <f t="shared" si="13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1" t="s">
        <v>75</v>
      </c>
      <c r="P573" s="41">
        <f>HEX2DEC(RIGHT(Table13232127[[#This Row],[h1]],8))</f>
        <v>0</v>
      </c>
      <c r="Q573" s="41" t="s">
        <v>75</v>
      </c>
      <c r="R573" s="41">
        <f>HEX2DEC(RIGHT(Table13232127[[#This Row],[h2]],8))</f>
        <v>0</v>
      </c>
    </row>
    <row r="574" spans="1:18">
      <c r="A574" s="15" t="str">
        <f t="shared" si="13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1" t="s">
        <v>75</v>
      </c>
      <c r="P574" s="41">
        <f>HEX2DEC(RIGHT(Table13232127[[#This Row],[h1]],8))</f>
        <v>0</v>
      </c>
      <c r="Q574" s="41" t="s">
        <v>75</v>
      </c>
      <c r="R574" s="41">
        <f>HEX2DEC(RIGHT(Table13232127[[#This Row],[h2]],8))</f>
        <v>0</v>
      </c>
    </row>
    <row r="575" spans="1:18">
      <c r="A575" s="15" t="str">
        <f t="shared" si="13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1" t="s">
        <v>75</v>
      </c>
      <c r="P575" s="41">
        <f>HEX2DEC(RIGHT(Table13232127[[#This Row],[h1]],8))</f>
        <v>0</v>
      </c>
      <c r="Q575" s="41" t="s">
        <v>75</v>
      </c>
      <c r="R575" s="41">
        <f>HEX2DEC(RIGHT(Table13232127[[#This Row],[h2]],8))</f>
        <v>0</v>
      </c>
    </row>
    <row r="576" spans="1:18">
      <c r="A576" s="15" t="str">
        <f t="shared" si="13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1" t="s">
        <v>75</v>
      </c>
      <c r="P576" s="41">
        <f>HEX2DEC(RIGHT(Table13232127[[#This Row],[h1]],8))</f>
        <v>0</v>
      </c>
      <c r="Q576" s="41" t="s">
        <v>75</v>
      </c>
      <c r="R576" s="41">
        <f>HEX2DEC(RIGHT(Table13232127[[#This Row],[h2]],8))</f>
        <v>0</v>
      </c>
    </row>
    <row r="577" spans="1:18">
      <c r="A577" s="15" t="str">
        <f t="shared" si="13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1" t="s">
        <v>75</v>
      </c>
      <c r="P577" s="41">
        <f>HEX2DEC(RIGHT(Table13232127[[#This Row],[h1]],8))</f>
        <v>0</v>
      </c>
      <c r="Q577" s="41" t="s">
        <v>75</v>
      </c>
      <c r="R577" s="41">
        <f>HEX2DEC(RIGHT(Table13232127[[#This Row],[h2]],8))</f>
        <v>0</v>
      </c>
    </row>
    <row r="578" spans="1:18">
      <c r="A578" s="15" t="str">
        <f t="shared" si="13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1" t="s">
        <v>75</v>
      </c>
      <c r="P578" s="41">
        <f>HEX2DEC(RIGHT(Table13232127[[#This Row],[h1]],8))</f>
        <v>0</v>
      </c>
      <c r="Q578" s="41" t="s">
        <v>75</v>
      </c>
      <c r="R578" s="41">
        <f>HEX2DEC(RIGHT(Table13232127[[#This Row],[h2]],8))</f>
        <v>0</v>
      </c>
    </row>
    <row r="579" spans="1:18">
      <c r="A579" s="15" t="str">
        <f t="shared" si="13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1" t="s">
        <v>75</v>
      </c>
      <c r="P579" s="41">
        <f>HEX2DEC(RIGHT(Table13232127[[#This Row],[h1]],8))</f>
        <v>0</v>
      </c>
      <c r="Q579" s="41" t="s">
        <v>75</v>
      </c>
      <c r="R579" s="41">
        <f>HEX2DEC(RIGHT(Table13232127[[#This Row],[h2]],8))</f>
        <v>0</v>
      </c>
    </row>
    <row r="580" spans="1:18">
      <c r="A580" s="15" t="str">
        <f t="shared" si="13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1" t="s">
        <v>75</v>
      </c>
      <c r="P580" s="41">
        <f>HEX2DEC(RIGHT(Table13232127[[#This Row],[h1]],8))</f>
        <v>0</v>
      </c>
      <c r="Q580" s="41" t="s">
        <v>75</v>
      </c>
      <c r="R580" s="41">
        <f>HEX2DEC(RIGHT(Table13232127[[#This Row],[h2]],8))</f>
        <v>0</v>
      </c>
    </row>
    <row r="581" spans="1:18">
      <c r="A581" s="15" t="str">
        <f t="shared" si="13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1" t="s">
        <v>75</v>
      </c>
      <c r="P581" s="41">
        <f>HEX2DEC(RIGHT(Table13232127[[#This Row],[h1]],8))</f>
        <v>0</v>
      </c>
      <c r="Q581" s="41" t="s">
        <v>75</v>
      </c>
      <c r="R581" s="41">
        <f>HEX2DEC(RIGHT(Table13232127[[#This Row],[h2]],8))</f>
        <v>0</v>
      </c>
    </row>
    <row r="582" spans="1:18">
      <c r="A582" s="15" t="str">
        <f t="shared" si="13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1" t="s">
        <v>75</v>
      </c>
      <c r="P582" s="41">
        <f>HEX2DEC(RIGHT(Table13232127[[#This Row],[h1]],8))</f>
        <v>0</v>
      </c>
      <c r="Q582" s="41" t="s">
        <v>75</v>
      </c>
      <c r="R582" s="41">
        <f>HEX2DEC(RIGHT(Table13232127[[#This Row],[h2]],8))</f>
        <v>0</v>
      </c>
    </row>
    <row r="583" spans="1:18">
      <c r="A583" s="15" t="str">
        <f t="shared" si="13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1" t="s">
        <v>75</v>
      </c>
      <c r="P583" s="41">
        <f>HEX2DEC(RIGHT(Table13232127[[#This Row],[h1]],8))</f>
        <v>0</v>
      </c>
      <c r="Q583" s="41" t="s">
        <v>75</v>
      </c>
      <c r="R583" s="41">
        <f>HEX2DEC(RIGHT(Table13232127[[#This Row],[h2]],8))</f>
        <v>0</v>
      </c>
    </row>
    <row r="584" spans="1:18">
      <c r="A584" s="15" t="str">
        <f t="shared" si="13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1" t="s">
        <v>75</v>
      </c>
      <c r="P584" s="41">
        <f>HEX2DEC(RIGHT(Table13232127[[#This Row],[h1]],8))</f>
        <v>0</v>
      </c>
      <c r="Q584" s="41" t="s">
        <v>75</v>
      </c>
      <c r="R584" s="41">
        <f>HEX2DEC(RIGHT(Table13232127[[#This Row],[h2]],8))</f>
        <v>0</v>
      </c>
    </row>
    <row r="585" spans="1:18">
      <c r="A585" s="15" t="str">
        <f t="shared" si="13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1" t="s">
        <v>75</v>
      </c>
      <c r="P585" s="41">
        <f>HEX2DEC(RIGHT(Table13232127[[#This Row],[h1]],8))</f>
        <v>0</v>
      </c>
      <c r="Q585" s="41" t="s">
        <v>75</v>
      </c>
      <c r="R585" s="41">
        <f>HEX2DEC(RIGHT(Table13232127[[#This Row],[h2]],8))</f>
        <v>0</v>
      </c>
    </row>
    <row r="586" spans="1:18">
      <c r="A586" s="15" t="str">
        <f t="shared" si="13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1" t="s">
        <v>75</v>
      </c>
      <c r="P586" s="41">
        <f>HEX2DEC(RIGHT(Table13232127[[#This Row],[h1]],8))</f>
        <v>0</v>
      </c>
      <c r="Q586" s="41" t="s">
        <v>75</v>
      </c>
      <c r="R586" s="41">
        <f>HEX2DEC(RIGHT(Table13232127[[#This Row],[h2]],8))</f>
        <v>0</v>
      </c>
    </row>
    <row r="587" spans="1:18">
      <c r="A587" s="15" t="str">
        <f t="shared" ref="A587:A650" si="14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1" t="s">
        <v>75</v>
      </c>
      <c r="P587" s="41">
        <f>HEX2DEC(RIGHT(Table13232127[[#This Row],[h1]],8))</f>
        <v>0</v>
      </c>
      <c r="Q587" s="41" t="s">
        <v>75</v>
      </c>
      <c r="R587" s="41">
        <f>HEX2DEC(RIGHT(Table13232127[[#This Row],[h2]],8))</f>
        <v>0</v>
      </c>
    </row>
    <row r="588" spans="1:18">
      <c r="A588" s="15" t="str">
        <f t="shared" si="14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1" t="s">
        <v>75</v>
      </c>
      <c r="P588" s="41">
        <f>HEX2DEC(RIGHT(Table13232127[[#This Row],[h1]],8))</f>
        <v>0</v>
      </c>
      <c r="Q588" s="41" t="s">
        <v>75</v>
      </c>
      <c r="R588" s="41">
        <f>HEX2DEC(RIGHT(Table13232127[[#This Row],[h2]],8))</f>
        <v>0</v>
      </c>
    </row>
    <row r="589" spans="1:18">
      <c r="A589" s="15" t="str">
        <f t="shared" si="14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1" t="s">
        <v>75</v>
      </c>
      <c r="P589" s="41">
        <f>HEX2DEC(RIGHT(Table13232127[[#This Row],[h1]],8))</f>
        <v>0</v>
      </c>
      <c r="Q589" s="41" t="s">
        <v>75</v>
      </c>
      <c r="R589" s="41">
        <f>HEX2DEC(RIGHT(Table13232127[[#This Row],[h2]],8))</f>
        <v>0</v>
      </c>
    </row>
    <row r="590" spans="1:18">
      <c r="A590" s="15" t="str">
        <f t="shared" si="14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1" t="s">
        <v>75</v>
      </c>
      <c r="P590" s="41">
        <f>HEX2DEC(RIGHT(Table13232127[[#This Row],[h1]],8))</f>
        <v>0</v>
      </c>
      <c r="Q590" s="41" t="s">
        <v>75</v>
      </c>
      <c r="R590" s="41">
        <f>HEX2DEC(RIGHT(Table13232127[[#This Row],[h2]],8))</f>
        <v>0</v>
      </c>
    </row>
    <row r="591" spans="1:18">
      <c r="A591" s="15" t="str">
        <f t="shared" si="14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1" t="s">
        <v>75</v>
      </c>
      <c r="P591" s="41">
        <f>HEX2DEC(RIGHT(Table13232127[[#This Row],[h1]],8))</f>
        <v>0</v>
      </c>
      <c r="Q591" s="41" t="s">
        <v>75</v>
      </c>
      <c r="R591" s="41">
        <f>HEX2DEC(RIGHT(Table13232127[[#This Row],[h2]],8))</f>
        <v>0</v>
      </c>
    </row>
    <row r="592" spans="1:18">
      <c r="A592" s="15" t="str">
        <f t="shared" si="14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1" t="s">
        <v>75</v>
      </c>
      <c r="P592" s="41">
        <f>HEX2DEC(RIGHT(Table13232127[[#This Row],[h1]],8))</f>
        <v>0</v>
      </c>
      <c r="Q592" s="41" t="s">
        <v>75</v>
      </c>
      <c r="R592" s="41">
        <f>HEX2DEC(RIGHT(Table13232127[[#This Row],[h2]],8))</f>
        <v>0</v>
      </c>
    </row>
    <row r="593" spans="1:18">
      <c r="A593" s="15" t="str">
        <f t="shared" si="14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1" t="s">
        <v>75</v>
      </c>
      <c r="P593" s="41">
        <f>HEX2DEC(RIGHT(Table13232127[[#This Row],[h1]],8))</f>
        <v>0</v>
      </c>
      <c r="Q593" s="41" t="s">
        <v>75</v>
      </c>
      <c r="R593" s="41">
        <f>HEX2DEC(RIGHT(Table13232127[[#This Row],[h2]],8))</f>
        <v>0</v>
      </c>
    </row>
    <row r="594" spans="1:18">
      <c r="A594" s="15" t="str">
        <f t="shared" si="14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1" t="s">
        <v>75</v>
      </c>
      <c r="P594" s="41">
        <f>HEX2DEC(RIGHT(Table13232127[[#This Row],[h1]],8))</f>
        <v>0</v>
      </c>
      <c r="Q594" s="41" t="s">
        <v>75</v>
      </c>
      <c r="R594" s="41">
        <f>HEX2DEC(RIGHT(Table13232127[[#This Row],[h2]],8))</f>
        <v>0</v>
      </c>
    </row>
    <row r="595" spans="1:18">
      <c r="A595" s="15" t="str">
        <f t="shared" si="14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1" t="s">
        <v>75</v>
      </c>
      <c r="P595" s="41">
        <f>HEX2DEC(RIGHT(Table13232127[[#This Row],[h1]],8))</f>
        <v>0</v>
      </c>
      <c r="Q595" s="41" t="s">
        <v>75</v>
      </c>
      <c r="R595" s="41">
        <f>HEX2DEC(RIGHT(Table13232127[[#This Row],[h2]],8))</f>
        <v>0</v>
      </c>
    </row>
    <row r="596" spans="1:18">
      <c r="A596" s="15" t="str">
        <f t="shared" si="14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1" t="s">
        <v>75</v>
      </c>
      <c r="P596" s="41">
        <f>HEX2DEC(RIGHT(Table13232127[[#This Row],[h1]],8))</f>
        <v>0</v>
      </c>
      <c r="Q596" s="41" t="s">
        <v>75</v>
      </c>
      <c r="R596" s="41">
        <f>HEX2DEC(RIGHT(Table13232127[[#This Row],[h2]],8))</f>
        <v>0</v>
      </c>
    </row>
    <row r="597" spans="1:18">
      <c r="A597" s="15" t="str">
        <f t="shared" si="14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1" t="s">
        <v>75</v>
      </c>
      <c r="P597" s="41">
        <f>HEX2DEC(RIGHT(Table13232127[[#This Row],[h1]],8))</f>
        <v>0</v>
      </c>
      <c r="Q597" s="41" t="s">
        <v>75</v>
      </c>
      <c r="R597" s="41">
        <f>HEX2DEC(RIGHT(Table13232127[[#This Row],[h2]],8))</f>
        <v>0</v>
      </c>
    </row>
    <row r="598" spans="1:18">
      <c r="A598" s="15" t="str">
        <f t="shared" si="14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1" t="s">
        <v>75</v>
      </c>
      <c r="P598" s="41">
        <f>HEX2DEC(RIGHT(Table13232127[[#This Row],[h1]],8))</f>
        <v>0</v>
      </c>
      <c r="Q598" s="41" t="s">
        <v>75</v>
      </c>
      <c r="R598" s="41">
        <f>HEX2DEC(RIGHT(Table13232127[[#This Row],[h2]],8))</f>
        <v>0</v>
      </c>
    </row>
    <row r="599" spans="1:18">
      <c r="A599" s="15" t="str">
        <f t="shared" si="14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1" t="s">
        <v>75</v>
      </c>
      <c r="P599" s="41">
        <f>HEX2DEC(RIGHT(Table13232127[[#This Row],[h1]],8))</f>
        <v>0</v>
      </c>
      <c r="Q599" s="41" t="s">
        <v>75</v>
      </c>
      <c r="R599" s="41">
        <f>HEX2DEC(RIGHT(Table13232127[[#This Row],[h2]],8))</f>
        <v>0</v>
      </c>
    </row>
    <row r="600" spans="1:18">
      <c r="A600" s="15" t="str">
        <f t="shared" si="14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1" t="s">
        <v>75</v>
      </c>
      <c r="P600" s="41">
        <f>HEX2DEC(RIGHT(Table13232127[[#This Row],[h1]],8))</f>
        <v>0</v>
      </c>
      <c r="Q600" s="41" t="s">
        <v>75</v>
      </c>
      <c r="R600" s="41">
        <f>HEX2DEC(RIGHT(Table13232127[[#This Row],[h2]],8))</f>
        <v>0</v>
      </c>
    </row>
    <row r="601" spans="1:18">
      <c r="A601" s="15" t="str">
        <f t="shared" si="14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1" t="s">
        <v>75</v>
      </c>
      <c r="P601" s="41">
        <f>HEX2DEC(RIGHT(Table13232127[[#This Row],[h1]],8))</f>
        <v>0</v>
      </c>
      <c r="Q601" s="41" t="s">
        <v>75</v>
      </c>
      <c r="R601" s="41">
        <f>HEX2DEC(RIGHT(Table13232127[[#This Row],[h2]],8))</f>
        <v>0</v>
      </c>
    </row>
    <row r="602" spans="1:18">
      <c r="A602" s="15" t="str">
        <f t="shared" si="14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1" t="s">
        <v>75</v>
      </c>
      <c r="P602" s="41">
        <f>HEX2DEC(RIGHT(Table13232127[[#This Row],[h1]],8))</f>
        <v>0</v>
      </c>
      <c r="Q602" s="41" t="s">
        <v>75</v>
      </c>
      <c r="R602" s="41">
        <f>HEX2DEC(RIGHT(Table13232127[[#This Row],[h2]],8))</f>
        <v>0</v>
      </c>
    </row>
    <row r="603" spans="1:18">
      <c r="A603" s="15" t="str">
        <f t="shared" si="14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1" t="s">
        <v>75</v>
      </c>
      <c r="P603" s="41">
        <f>HEX2DEC(RIGHT(Table13232127[[#This Row],[h1]],8))</f>
        <v>0</v>
      </c>
      <c r="Q603" s="41" t="s">
        <v>75</v>
      </c>
      <c r="R603" s="41">
        <f>HEX2DEC(RIGHT(Table13232127[[#This Row],[h2]],8))</f>
        <v>0</v>
      </c>
    </row>
    <row r="604" spans="1:18">
      <c r="A604" s="15" t="str">
        <f t="shared" si="14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1" t="s">
        <v>75</v>
      </c>
      <c r="P604" s="41">
        <f>HEX2DEC(RIGHT(Table13232127[[#This Row],[h1]],8))</f>
        <v>0</v>
      </c>
      <c r="Q604" s="41" t="s">
        <v>75</v>
      </c>
      <c r="R604" s="41">
        <f>HEX2DEC(RIGHT(Table13232127[[#This Row],[h2]],8))</f>
        <v>0</v>
      </c>
    </row>
    <row r="605" spans="1:18">
      <c r="A605" s="15" t="str">
        <f t="shared" si="14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1" t="s">
        <v>75</v>
      </c>
      <c r="P605" s="41">
        <f>HEX2DEC(RIGHT(Table13232127[[#This Row],[h1]],8))</f>
        <v>0</v>
      </c>
      <c r="Q605" s="41" t="s">
        <v>75</v>
      </c>
      <c r="R605" s="41">
        <f>HEX2DEC(RIGHT(Table13232127[[#This Row],[h2]],8))</f>
        <v>0</v>
      </c>
    </row>
    <row r="606" spans="1:18">
      <c r="A606" s="15" t="str">
        <f t="shared" si="14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1" t="s">
        <v>75</v>
      </c>
      <c r="P606" s="41">
        <f>HEX2DEC(RIGHT(Table13232127[[#This Row],[h1]],8))</f>
        <v>0</v>
      </c>
      <c r="Q606" s="41" t="s">
        <v>75</v>
      </c>
      <c r="R606" s="41">
        <f>HEX2DEC(RIGHT(Table13232127[[#This Row],[h2]],8))</f>
        <v>0</v>
      </c>
    </row>
    <row r="607" spans="1:18">
      <c r="A607" s="15" t="str">
        <f t="shared" si="14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1" t="s">
        <v>75</v>
      </c>
      <c r="P607" s="41">
        <f>HEX2DEC(RIGHT(Table13232127[[#This Row],[h1]],8))</f>
        <v>0</v>
      </c>
      <c r="Q607" s="41" t="s">
        <v>75</v>
      </c>
      <c r="R607" s="41">
        <f>HEX2DEC(RIGHT(Table13232127[[#This Row],[h2]],8))</f>
        <v>0</v>
      </c>
    </row>
    <row r="608" spans="1:18">
      <c r="A608" s="15" t="str">
        <f t="shared" si="14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1" t="s">
        <v>75</v>
      </c>
      <c r="P608" s="41">
        <f>HEX2DEC(RIGHT(Table13232127[[#This Row],[h1]],8))</f>
        <v>0</v>
      </c>
      <c r="Q608" s="41" t="s">
        <v>75</v>
      </c>
      <c r="R608" s="41">
        <f>HEX2DEC(RIGHT(Table13232127[[#This Row],[h2]],8))</f>
        <v>0</v>
      </c>
    </row>
    <row r="609" spans="1:18">
      <c r="A609" s="15" t="str">
        <f t="shared" si="14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1" t="s">
        <v>75</v>
      </c>
      <c r="P609" s="41">
        <f>HEX2DEC(RIGHT(Table13232127[[#This Row],[h1]],8))</f>
        <v>0</v>
      </c>
      <c r="Q609" s="41" t="s">
        <v>75</v>
      </c>
      <c r="R609" s="41">
        <f>HEX2DEC(RIGHT(Table13232127[[#This Row],[h2]],8))</f>
        <v>0</v>
      </c>
    </row>
    <row r="610" spans="1:18">
      <c r="A610" s="15" t="str">
        <f t="shared" si="14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1" t="s">
        <v>75</v>
      </c>
      <c r="P610" s="41">
        <f>HEX2DEC(RIGHT(Table13232127[[#This Row],[h1]],8))</f>
        <v>0</v>
      </c>
      <c r="Q610" s="41" t="s">
        <v>75</v>
      </c>
      <c r="R610" s="41">
        <f>HEX2DEC(RIGHT(Table13232127[[#This Row],[h2]],8))</f>
        <v>0</v>
      </c>
    </row>
    <row r="611" spans="1:18">
      <c r="A611" s="15" t="str">
        <f t="shared" si="14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1" t="s">
        <v>75</v>
      </c>
      <c r="P611" s="41">
        <f>HEX2DEC(RIGHT(Table13232127[[#This Row],[h1]],8))</f>
        <v>0</v>
      </c>
      <c r="Q611" s="41" t="s">
        <v>75</v>
      </c>
      <c r="R611" s="41">
        <f>HEX2DEC(RIGHT(Table13232127[[#This Row],[h2]],8))</f>
        <v>0</v>
      </c>
    </row>
    <row r="612" spans="1:18">
      <c r="A612" s="15" t="str">
        <f t="shared" si="14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1" t="s">
        <v>75</v>
      </c>
      <c r="P612" s="41">
        <f>HEX2DEC(RIGHT(Table13232127[[#This Row],[h1]],8))</f>
        <v>0</v>
      </c>
      <c r="Q612" s="41" t="s">
        <v>75</v>
      </c>
      <c r="R612" s="41">
        <f>HEX2DEC(RIGHT(Table13232127[[#This Row],[h2]],8))</f>
        <v>0</v>
      </c>
    </row>
    <row r="613" spans="1:18">
      <c r="A613" s="15" t="str">
        <f t="shared" si="14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1" t="s">
        <v>75</v>
      </c>
      <c r="P613" s="41">
        <f>HEX2DEC(RIGHT(Table13232127[[#This Row],[h1]],8))</f>
        <v>0</v>
      </c>
      <c r="Q613" s="41" t="s">
        <v>75</v>
      </c>
      <c r="R613" s="41">
        <f>HEX2DEC(RIGHT(Table13232127[[#This Row],[h2]],8))</f>
        <v>0</v>
      </c>
    </row>
    <row r="614" spans="1:18">
      <c r="A614" s="15" t="str">
        <f t="shared" si="14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1" t="s">
        <v>75</v>
      </c>
      <c r="P614" s="41">
        <f>HEX2DEC(RIGHT(Table13232127[[#This Row],[h1]],8))</f>
        <v>0</v>
      </c>
      <c r="Q614" s="41" t="s">
        <v>75</v>
      </c>
      <c r="R614" s="41">
        <f>HEX2DEC(RIGHT(Table13232127[[#This Row],[h2]],8))</f>
        <v>0</v>
      </c>
    </row>
    <row r="615" spans="1:18">
      <c r="A615" s="15" t="str">
        <f t="shared" si="14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1" t="s">
        <v>75</v>
      </c>
      <c r="P615" s="41">
        <f>HEX2DEC(RIGHT(Table13232127[[#This Row],[h1]],8))</f>
        <v>0</v>
      </c>
      <c r="Q615" s="41" t="s">
        <v>75</v>
      </c>
      <c r="R615" s="41">
        <f>HEX2DEC(RIGHT(Table13232127[[#This Row],[h2]],8))</f>
        <v>0</v>
      </c>
    </row>
    <row r="616" spans="1:18">
      <c r="A616" s="15" t="str">
        <f t="shared" si="14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1" t="s">
        <v>75</v>
      </c>
      <c r="P616" s="41">
        <f>HEX2DEC(RIGHT(Table13232127[[#This Row],[h1]],8))</f>
        <v>0</v>
      </c>
      <c r="Q616" s="41" t="s">
        <v>75</v>
      </c>
      <c r="R616" s="41">
        <f>HEX2DEC(RIGHT(Table13232127[[#This Row],[h2]],8))</f>
        <v>0</v>
      </c>
    </row>
    <row r="617" spans="1:18">
      <c r="A617" s="15" t="str">
        <f t="shared" si="14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1" t="s">
        <v>75</v>
      </c>
      <c r="P617" s="41">
        <f>HEX2DEC(RIGHT(Table13232127[[#This Row],[h1]],8))</f>
        <v>0</v>
      </c>
      <c r="Q617" s="41" t="s">
        <v>75</v>
      </c>
      <c r="R617" s="41">
        <f>HEX2DEC(RIGHT(Table13232127[[#This Row],[h2]],8))</f>
        <v>0</v>
      </c>
    </row>
    <row r="618" spans="1:18">
      <c r="A618" s="15" t="str">
        <f t="shared" si="14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1" t="s">
        <v>75</v>
      </c>
      <c r="P618" s="41">
        <f>HEX2DEC(RIGHT(Table13232127[[#This Row],[h1]],8))</f>
        <v>0</v>
      </c>
      <c r="Q618" s="41" t="s">
        <v>75</v>
      </c>
      <c r="R618" s="41">
        <f>HEX2DEC(RIGHT(Table13232127[[#This Row],[h2]],8))</f>
        <v>0</v>
      </c>
    </row>
    <row r="619" spans="1:18">
      <c r="A619" s="15" t="str">
        <f t="shared" si="14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1" t="s">
        <v>75</v>
      </c>
      <c r="P619" s="41">
        <f>HEX2DEC(RIGHT(Table13232127[[#This Row],[h1]],8))</f>
        <v>0</v>
      </c>
      <c r="Q619" s="41" t="s">
        <v>75</v>
      </c>
      <c r="R619" s="41">
        <f>HEX2DEC(RIGHT(Table13232127[[#This Row],[h2]],8))</f>
        <v>0</v>
      </c>
    </row>
    <row r="620" spans="1:18">
      <c r="A620" s="15" t="str">
        <f t="shared" si="14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1" t="s">
        <v>75</v>
      </c>
      <c r="P620" s="41">
        <f>HEX2DEC(RIGHT(Table13232127[[#This Row],[h1]],8))</f>
        <v>0</v>
      </c>
      <c r="Q620" s="41" t="s">
        <v>75</v>
      </c>
      <c r="R620" s="41">
        <f>HEX2DEC(RIGHT(Table13232127[[#This Row],[h2]],8))</f>
        <v>0</v>
      </c>
    </row>
    <row r="621" spans="1:18">
      <c r="A621" s="15" t="str">
        <f t="shared" si="14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1" t="s">
        <v>75</v>
      </c>
      <c r="P621" s="41">
        <f>HEX2DEC(RIGHT(Table13232127[[#This Row],[h1]],8))</f>
        <v>0</v>
      </c>
      <c r="Q621" s="41" t="s">
        <v>75</v>
      </c>
      <c r="R621" s="41">
        <f>HEX2DEC(RIGHT(Table13232127[[#This Row],[h2]],8))</f>
        <v>0</v>
      </c>
    </row>
    <row r="622" spans="1:18">
      <c r="A622" s="15" t="str">
        <f t="shared" si="14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1" t="s">
        <v>75</v>
      </c>
      <c r="P622" s="41">
        <f>HEX2DEC(RIGHT(Table13232127[[#This Row],[h1]],8))</f>
        <v>0</v>
      </c>
      <c r="Q622" s="41" t="s">
        <v>75</v>
      </c>
      <c r="R622" s="41">
        <f>HEX2DEC(RIGHT(Table13232127[[#This Row],[h2]],8))</f>
        <v>0</v>
      </c>
    </row>
    <row r="623" spans="1:18">
      <c r="A623" s="15" t="str">
        <f t="shared" si="14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1" t="s">
        <v>75</v>
      </c>
      <c r="P623" s="41">
        <f>HEX2DEC(RIGHT(Table13232127[[#This Row],[h1]],8))</f>
        <v>0</v>
      </c>
      <c r="Q623" s="41" t="s">
        <v>75</v>
      </c>
      <c r="R623" s="41">
        <f>HEX2DEC(RIGHT(Table13232127[[#This Row],[h2]],8))</f>
        <v>0</v>
      </c>
    </row>
    <row r="624" spans="1:18">
      <c r="A624" s="15" t="str">
        <f t="shared" si="14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1" t="s">
        <v>75</v>
      </c>
      <c r="P624" s="41">
        <f>HEX2DEC(RIGHT(Table13232127[[#This Row],[h1]],8))</f>
        <v>0</v>
      </c>
      <c r="Q624" s="41" t="s">
        <v>75</v>
      </c>
      <c r="R624" s="41">
        <f>HEX2DEC(RIGHT(Table13232127[[#This Row],[h2]],8))</f>
        <v>0</v>
      </c>
    </row>
    <row r="625" spans="1:18">
      <c r="A625" s="15" t="str">
        <f t="shared" si="14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1" t="s">
        <v>75</v>
      </c>
      <c r="P625" s="41">
        <f>HEX2DEC(RIGHT(Table13232127[[#This Row],[h1]],8))</f>
        <v>0</v>
      </c>
      <c r="Q625" s="41" t="s">
        <v>75</v>
      </c>
      <c r="R625" s="41">
        <f>HEX2DEC(RIGHT(Table13232127[[#This Row],[h2]],8))</f>
        <v>0</v>
      </c>
    </row>
    <row r="626" spans="1:18">
      <c r="A626" s="15" t="str">
        <f t="shared" si="14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1" t="s">
        <v>75</v>
      </c>
      <c r="P626" s="41">
        <f>HEX2DEC(RIGHT(Table13232127[[#This Row],[h1]],8))</f>
        <v>0</v>
      </c>
      <c r="Q626" s="41" t="s">
        <v>75</v>
      </c>
      <c r="R626" s="41">
        <f>HEX2DEC(RIGHT(Table13232127[[#This Row],[h2]],8))</f>
        <v>0</v>
      </c>
    </row>
    <row r="627" spans="1:18">
      <c r="A627" s="15" t="str">
        <f t="shared" si="14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1" t="s">
        <v>75</v>
      </c>
      <c r="P627" s="41">
        <f>HEX2DEC(RIGHT(Table13232127[[#This Row],[h1]],8))</f>
        <v>0</v>
      </c>
      <c r="Q627" s="41" t="s">
        <v>75</v>
      </c>
      <c r="R627" s="41">
        <f>HEX2DEC(RIGHT(Table13232127[[#This Row],[h2]],8))</f>
        <v>0</v>
      </c>
    </row>
    <row r="628" spans="1:18">
      <c r="A628" s="15" t="str">
        <f t="shared" si="14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1" t="s">
        <v>75</v>
      </c>
      <c r="P628" s="41">
        <f>HEX2DEC(RIGHT(Table13232127[[#This Row],[h1]],8))</f>
        <v>0</v>
      </c>
      <c r="Q628" s="41" t="s">
        <v>75</v>
      </c>
      <c r="R628" s="41">
        <f>HEX2DEC(RIGHT(Table13232127[[#This Row],[h2]],8))</f>
        <v>0</v>
      </c>
    </row>
    <row r="629" spans="1:18">
      <c r="A629" s="15" t="str">
        <f t="shared" si="14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1" t="s">
        <v>75</v>
      </c>
      <c r="P629" s="41">
        <f>HEX2DEC(RIGHT(Table13232127[[#This Row],[h1]],8))</f>
        <v>0</v>
      </c>
      <c r="Q629" s="41" t="s">
        <v>75</v>
      </c>
      <c r="R629" s="41">
        <f>HEX2DEC(RIGHT(Table13232127[[#This Row],[h2]],8))</f>
        <v>0</v>
      </c>
    </row>
    <row r="630" spans="1:18">
      <c r="A630" s="15" t="str">
        <f t="shared" si="14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1" t="s">
        <v>75</v>
      </c>
      <c r="P630" s="41">
        <f>HEX2DEC(RIGHT(Table13232127[[#This Row],[h1]],8))</f>
        <v>0</v>
      </c>
      <c r="Q630" s="41" t="s">
        <v>75</v>
      </c>
      <c r="R630" s="41">
        <f>HEX2DEC(RIGHT(Table13232127[[#This Row],[h2]],8))</f>
        <v>0</v>
      </c>
    </row>
    <row r="631" spans="1:18">
      <c r="A631" s="15" t="str">
        <f t="shared" si="14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1" t="s">
        <v>75</v>
      </c>
      <c r="P631" s="41">
        <f>HEX2DEC(RIGHT(Table13232127[[#This Row],[h1]],8))</f>
        <v>0</v>
      </c>
      <c r="Q631" s="41" t="s">
        <v>75</v>
      </c>
      <c r="R631" s="41">
        <f>HEX2DEC(RIGHT(Table13232127[[#This Row],[h2]],8))</f>
        <v>0</v>
      </c>
    </row>
    <row r="632" spans="1:18">
      <c r="A632" s="15" t="str">
        <f t="shared" si="14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1" t="s">
        <v>75</v>
      </c>
      <c r="P632" s="41">
        <f>HEX2DEC(RIGHT(Table13232127[[#This Row],[h1]],8))</f>
        <v>0</v>
      </c>
      <c r="Q632" s="41" t="s">
        <v>75</v>
      </c>
      <c r="R632" s="41">
        <f>HEX2DEC(RIGHT(Table13232127[[#This Row],[h2]],8))</f>
        <v>0</v>
      </c>
    </row>
    <row r="633" spans="1:18">
      <c r="A633" s="15" t="str">
        <f t="shared" si="14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1" t="s">
        <v>75</v>
      </c>
      <c r="P633" s="41">
        <f>HEX2DEC(RIGHT(Table13232127[[#This Row],[h1]],8))</f>
        <v>0</v>
      </c>
      <c r="Q633" s="41" t="s">
        <v>75</v>
      </c>
      <c r="R633" s="41">
        <f>HEX2DEC(RIGHT(Table13232127[[#This Row],[h2]],8))</f>
        <v>0</v>
      </c>
    </row>
    <row r="634" spans="1:18">
      <c r="A634" s="15" t="str">
        <f t="shared" si="14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1" t="s">
        <v>75</v>
      </c>
      <c r="P634" s="41">
        <f>HEX2DEC(RIGHT(Table13232127[[#This Row],[h1]],8))</f>
        <v>0</v>
      </c>
      <c r="Q634" s="41" t="s">
        <v>75</v>
      </c>
      <c r="R634" s="41">
        <f>HEX2DEC(RIGHT(Table13232127[[#This Row],[h2]],8))</f>
        <v>0</v>
      </c>
    </row>
    <row r="635" spans="1:18">
      <c r="A635" s="15" t="str">
        <f t="shared" si="14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1" t="s">
        <v>75</v>
      </c>
      <c r="P635" s="41">
        <f>HEX2DEC(RIGHT(Table13232127[[#This Row],[h1]],8))</f>
        <v>0</v>
      </c>
      <c r="Q635" s="41" t="s">
        <v>75</v>
      </c>
      <c r="R635" s="41">
        <f>HEX2DEC(RIGHT(Table13232127[[#This Row],[h2]],8))</f>
        <v>0</v>
      </c>
    </row>
    <row r="636" spans="1:18">
      <c r="A636" s="15" t="str">
        <f t="shared" si="14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1" t="s">
        <v>75</v>
      </c>
      <c r="P636" s="41">
        <f>HEX2DEC(RIGHT(Table13232127[[#This Row],[h1]],8))</f>
        <v>0</v>
      </c>
      <c r="Q636" s="41" t="s">
        <v>75</v>
      </c>
      <c r="R636" s="41">
        <f>HEX2DEC(RIGHT(Table13232127[[#This Row],[h2]],8))</f>
        <v>0</v>
      </c>
    </row>
    <row r="637" spans="1:18">
      <c r="A637" s="15" t="str">
        <f t="shared" si="14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1" t="s">
        <v>75</v>
      </c>
      <c r="P637" s="41">
        <f>HEX2DEC(RIGHT(Table13232127[[#This Row],[h1]],8))</f>
        <v>0</v>
      </c>
      <c r="Q637" s="41" t="s">
        <v>75</v>
      </c>
      <c r="R637" s="41">
        <f>HEX2DEC(RIGHT(Table13232127[[#This Row],[h2]],8))</f>
        <v>0</v>
      </c>
    </row>
    <row r="638" spans="1:18">
      <c r="A638" s="15" t="str">
        <f t="shared" si="14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1" t="s">
        <v>75</v>
      </c>
      <c r="P638" s="41">
        <f>HEX2DEC(RIGHT(Table13232127[[#This Row],[h1]],8))</f>
        <v>0</v>
      </c>
      <c r="Q638" s="41" t="s">
        <v>75</v>
      </c>
      <c r="R638" s="41">
        <f>HEX2DEC(RIGHT(Table13232127[[#This Row],[h2]],8))</f>
        <v>0</v>
      </c>
    </row>
    <row r="639" spans="1:18">
      <c r="A639" s="15" t="str">
        <f t="shared" si="14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1" t="s">
        <v>75</v>
      </c>
      <c r="P639" s="41">
        <f>HEX2DEC(RIGHT(Table13232127[[#This Row],[h1]],8))</f>
        <v>0</v>
      </c>
      <c r="Q639" s="41" t="s">
        <v>75</v>
      </c>
      <c r="R639" s="41">
        <f>HEX2DEC(RIGHT(Table13232127[[#This Row],[h2]],8))</f>
        <v>0</v>
      </c>
    </row>
    <row r="640" spans="1:18">
      <c r="A640" s="15" t="str">
        <f t="shared" si="14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1" t="s">
        <v>75</v>
      </c>
      <c r="P640" s="41">
        <f>HEX2DEC(RIGHT(Table13232127[[#This Row],[h1]],8))</f>
        <v>0</v>
      </c>
      <c r="Q640" s="41" t="s">
        <v>75</v>
      </c>
      <c r="R640" s="41">
        <f>HEX2DEC(RIGHT(Table13232127[[#This Row],[h2]],8))</f>
        <v>0</v>
      </c>
    </row>
    <row r="641" spans="1:18">
      <c r="A641" s="15" t="str">
        <f t="shared" si="14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1" t="s">
        <v>75</v>
      </c>
      <c r="P641" s="41">
        <f>HEX2DEC(RIGHT(Table13232127[[#This Row],[h1]],8))</f>
        <v>0</v>
      </c>
      <c r="Q641" s="41" t="s">
        <v>75</v>
      </c>
      <c r="R641" s="41">
        <f>HEX2DEC(RIGHT(Table13232127[[#This Row],[h2]],8))</f>
        <v>0</v>
      </c>
    </row>
    <row r="642" spans="1:18">
      <c r="A642" s="15" t="str">
        <f t="shared" si="14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1" t="s">
        <v>75</v>
      </c>
      <c r="P642" s="41">
        <f>HEX2DEC(RIGHT(Table13232127[[#This Row],[h1]],8))</f>
        <v>0</v>
      </c>
      <c r="Q642" s="41" t="s">
        <v>75</v>
      </c>
      <c r="R642" s="41">
        <f>HEX2DEC(RIGHT(Table13232127[[#This Row],[h2]],8))</f>
        <v>0</v>
      </c>
    </row>
    <row r="643" spans="1:18">
      <c r="A643" s="15" t="str">
        <f t="shared" si="14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1" t="s">
        <v>75</v>
      </c>
      <c r="P643" s="41">
        <f>HEX2DEC(RIGHT(Table13232127[[#This Row],[h1]],8))</f>
        <v>0</v>
      </c>
      <c r="Q643" s="41" t="s">
        <v>75</v>
      </c>
      <c r="R643" s="41">
        <f>HEX2DEC(RIGHT(Table13232127[[#This Row],[h2]],8))</f>
        <v>0</v>
      </c>
    </row>
    <row r="644" spans="1:18">
      <c r="A644" s="15" t="str">
        <f t="shared" si="14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1" t="s">
        <v>75</v>
      </c>
      <c r="P644" s="41">
        <f>HEX2DEC(RIGHT(Table13232127[[#This Row],[h1]],8))</f>
        <v>0</v>
      </c>
      <c r="Q644" s="41" t="s">
        <v>75</v>
      </c>
      <c r="R644" s="41">
        <f>HEX2DEC(RIGHT(Table13232127[[#This Row],[h2]],8))</f>
        <v>0</v>
      </c>
    </row>
    <row r="645" spans="1:18">
      <c r="A645" s="15" t="str">
        <f t="shared" si="14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1" t="s">
        <v>75</v>
      </c>
      <c r="P645" s="41">
        <f>HEX2DEC(RIGHT(Table13232127[[#This Row],[h1]],8))</f>
        <v>0</v>
      </c>
      <c r="Q645" s="41" t="s">
        <v>75</v>
      </c>
      <c r="R645" s="41">
        <f>HEX2DEC(RIGHT(Table13232127[[#This Row],[h2]],8))</f>
        <v>0</v>
      </c>
    </row>
    <row r="646" spans="1:18">
      <c r="A646" s="15" t="str">
        <f t="shared" si="14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1" t="s">
        <v>75</v>
      </c>
      <c r="P646" s="41">
        <f>HEX2DEC(RIGHT(Table13232127[[#This Row],[h1]],8))</f>
        <v>0</v>
      </c>
      <c r="Q646" s="41" t="s">
        <v>75</v>
      </c>
      <c r="R646" s="41">
        <f>HEX2DEC(RIGHT(Table13232127[[#This Row],[h2]],8))</f>
        <v>0</v>
      </c>
    </row>
    <row r="647" spans="1:18">
      <c r="A647" s="15" t="str">
        <f t="shared" si="14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1" t="s">
        <v>75</v>
      </c>
      <c r="P647" s="41">
        <f>HEX2DEC(RIGHT(Table13232127[[#This Row],[h1]],8))</f>
        <v>0</v>
      </c>
      <c r="Q647" s="41" t="s">
        <v>75</v>
      </c>
      <c r="R647" s="41">
        <f>HEX2DEC(RIGHT(Table13232127[[#This Row],[h2]],8))</f>
        <v>0</v>
      </c>
    </row>
    <row r="648" spans="1:18">
      <c r="A648" s="15" t="str">
        <f t="shared" si="14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1" t="s">
        <v>75</v>
      </c>
      <c r="P648" s="41">
        <f>HEX2DEC(RIGHT(Table13232127[[#This Row],[h1]],8))</f>
        <v>0</v>
      </c>
      <c r="Q648" s="41" t="s">
        <v>75</v>
      </c>
      <c r="R648" s="41">
        <f>HEX2DEC(RIGHT(Table13232127[[#This Row],[h2]],8))</f>
        <v>0</v>
      </c>
    </row>
    <row r="649" spans="1:18">
      <c r="A649" s="15" t="str">
        <f t="shared" si="14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1" t="s">
        <v>75</v>
      </c>
      <c r="P649" s="41">
        <f>HEX2DEC(RIGHT(Table13232127[[#This Row],[h1]],8))</f>
        <v>0</v>
      </c>
      <c r="Q649" s="41" t="s">
        <v>75</v>
      </c>
      <c r="R649" s="41">
        <f>HEX2DEC(RIGHT(Table13232127[[#This Row],[h2]],8))</f>
        <v>0</v>
      </c>
    </row>
    <row r="650" spans="1:18">
      <c r="A650" s="15" t="str">
        <f t="shared" si="14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1" t="s">
        <v>75</v>
      </c>
      <c r="P650" s="41">
        <f>HEX2DEC(RIGHT(Table13232127[[#This Row],[h1]],8))</f>
        <v>0</v>
      </c>
      <c r="Q650" s="41" t="s">
        <v>75</v>
      </c>
      <c r="R650" s="41">
        <f>HEX2DEC(RIGHT(Table13232127[[#This Row],[h2]],8))</f>
        <v>0</v>
      </c>
    </row>
    <row r="651" spans="1:18">
      <c r="A651" s="15" t="str">
        <f t="shared" ref="A651:A714" si="15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1" t="s">
        <v>75</v>
      </c>
      <c r="P651" s="41">
        <f>HEX2DEC(RIGHT(Table13232127[[#This Row],[h1]],8))</f>
        <v>0</v>
      </c>
      <c r="Q651" s="41" t="s">
        <v>75</v>
      </c>
      <c r="R651" s="41">
        <f>HEX2DEC(RIGHT(Table13232127[[#This Row],[h2]],8))</f>
        <v>0</v>
      </c>
    </row>
    <row r="652" spans="1:18">
      <c r="A652" s="15" t="str">
        <f t="shared" si="15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1" t="s">
        <v>75</v>
      </c>
      <c r="P652" s="41">
        <f>HEX2DEC(RIGHT(Table13232127[[#This Row],[h1]],8))</f>
        <v>0</v>
      </c>
      <c r="Q652" s="41" t="s">
        <v>75</v>
      </c>
      <c r="R652" s="41">
        <f>HEX2DEC(RIGHT(Table13232127[[#This Row],[h2]],8))</f>
        <v>0</v>
      </c>
    </row>
    <row r="653" spans="1:18">
      <c r="A653" s="15" t="str">
        <f t="shared" si="15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1" t="s">
        <v>75</v>
      </c>
      <c r="P653" s="41">
        <f>HEX2DEC(RIGHT(Table13232127[[#This Row],[h1]],8))</f>
        <v>0</v>
      </c>
      <c r="Q653" s="41" t="s">
        <v>75</v>
      </c>
      <c r="R653" s="41">
        <f>HEX2DEC(RIGHT(Table13232127[[#This Row],[h2]],8))</f>
        <v>0</v>
      </c>
    </row>
    <row r="654" spans="1:18">
      <c r="A654" s="15" t="str">
        <f t="shared" si="15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1" t="s">
        <v>75</v>
      </c>
      <c r="P654" s="41">
        <f>HEX2DEC(RIGHT(Table13232127[[#This Row],[h1]],8))</f>
        <v>0</v>
      </c>
      <c r="Q654" s="41" t="s">
        <v>75</v>
      </c>
      <c r="R654" s="41">
        <f>HEX2DEC(RIGHT(Table13232127[[#This Row],[h2]],8))</f>
        <v>0</v>
      </c>
    </row>
    <row r="655" spans="1:18">
      <c r="A655" s="15" t="str">
        <f t="shared" si="15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1" t="s">
        <v>75</v>
      </c>
      <c r="P655" s="41">
        <f>HEX2DEC(RIGHT(Table13232127[[#This Row],[h1]],8))</f>
        <v>0</v>
      </c>
      <c r="Q655" s="41" t="s">
        <v>75</v>
      </c>
      <c r="R655" s="41">
        <f>HEX2DEC(RIGHT(Table13232127[[#This Row],[h2]],8))</f>
        <v>0</v>
      </c>
    </row>
    <row r="656" spans="1:18">
      <c r="A656" s="15" t="str">
        <f t="shared" si="15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1" t="s">
        <v>75</v>
      </c>
      <c r="P656" s="41">
        <f>HEX2DEC(RIGHT(Table13232127[[#This Row],[h1]],8))</f>
        <v>0</v>
      </c>
      <c r="Q656" s="41" t="s">
        <v>75</v>
      </c>
      <c r="R656" s="41">
        <f>HEX2DEC(RIGHT(Table13232127[[#This Row],[h2]],8))</f>
        <v>0</v>
      </c>
    </row>
    <row r="657" spans="1:18">
      <c r="A657" s="15" t="str">
        <f t="shared" si="15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1" t="s">
        <v>75</v>
      </c>
      <c r="P657" s="41">
        <f>HEX2DEC(RIGHT(Table13232127[[#This Row],[h1]],8))</f>
        <v>0</v>
      </c>
      <c r="Q657" s="41" t="s">
        <v>75</v>
      </c>
      <c r="R657" s="41">
        <f>HEX2DEC(RIGHT(Table13232127[[#This Row],[h2]],8))</f>
        <v>0</v>
      </c>
    </row>
    <row r="658" spans="1:18">
      <c r="A658" s="15" t="str">
        <f t="shared" si="15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1" t="s">
        <v>75</v>
      </c>
      <c r="P658" s="41">
        <f>HEX2DEC(RIGHT(Table13232127[[#This Row],[h1]],8))</f>
        <v>0</v>
      </c>
      <c r="Q658" s="41" t="s">
        <v>75</v>
      </c>
      <c r="R658" s="41">
        <f>HEX2DEC(RIGHT(Table13232127[[#This Row],[h2]],8))</f>
        <v>0</v>
      </c>
    </row>
    <row r="659" spans="1:18">
      <c r="A659" s="15" t="str">
        <f t="shared" si="15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1" t="s">
        <v>75</v>
      </c>
      <c r="P659" s="41">
        <f>HEX2DEC(RIGHT(Table13232127[[#This Row],[h1]],8))</f>
        <v>0</v>
      </c>
      <c r="Q659" s="41" t="s">
        <v>75</v>
      </c>
      <c r="R659" s="41">
        <f>HEX2DEC(RIGHT(Table13232127[[#This Row],[h2]],8))</f>
        <v>0</v>
      </c>
    </row>
    <row r="660" spans="1:18">
      <c r="A660" s="15" t="str">
        <f t="shared" si="15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1" t="s">
        <v>75</v>
      </c>
      <c r="P660" s="41">
        <f>HEX2DEC(RIGHT(Table13232127[[#This Row],[h1]],8))</f>
        <v>0</v>
      </c>
      <c r="Q660" s="41" t="s">
        <v>75</v>
      </c>
      <c r="R660" s="41">
        <f>HEX2DEC(RIGHT(Table13232127[[#This Row],[h2]],8))</f>
        <v>0</v>
      </c>
    </row>
    <row r="661" spans="1:18">
      <c r="A661" s="15" t="str">
        <f t="shared" si="15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1" t="s">
        <v>75</v>
      </c>
      <c r="P661" s="41">
        <f>HEX2DEC(RIGHT(Table13232127[[#This Row],[h1]],8))</f>
        <v>0</v>
      </c>
      <c r="Q661" s="41" t="s">
        <v>75</v>
      </c>
      <c r="R661" s="41">
        <f>HEX2DEC(RIGHT(Table13232127[[#This Row],[h2]],8))</f>
        <v>0</v>
      </c>
    </row>
    <row r="662" spans="1:18">
      <c r="A662" s="15" t="str">
        <f t="shared" si="15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1" t="s">
        <v>75</v>
      </c>
      <c r="P662" s="41">
        <f>HEX2DEC(RIGHT(Table13232127[[#This Row],[h1]],8))</f>
        <v>0</v>
      </c>
      <c r="Q662" s="41" t="s">
        <v>75</v>
      </c>
      <c r="R662" s="41">
        <f>HEX2DEC(RIGHT(Table13232127[[#This Row],[h2]],8))</f>
        <v>0</v>
      </c>
    </row>
    <row r="663" spans="1:18">
      <c r="A663" s="15" t="str">
        <f t="shared" si="15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1" t="s">
        <v>75</v>
      </c>
      <c r="P663" s="41">
        <f>HEX2DEC(RIGHT(Table13232127[[#This Row],[h1]],8))</f>
        <v>0</v>
      </c>
      <c r="Q663" s="41" t="s">
        <v>75</v>
      </c>
      <c r="R663" s="41">
        <f>HEX2DEC(RIGHT(Table13232127[[#This Row],[h2]],8))</f>
        <v>0</v>
      </c>
    </row>
    <row r="664" spans="1:18">
      <c r="A664" s="15" t="str">
        <f t="shared" si="15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1" t="s">
        <v>75</v>
      </c>
      <c r="P664" s="41">
        <f>HEX2DEC(RIGHT(Table13232127[[#This Row],[h1]],8))</f>
        <v>0</v>
      </c>
      <c r="Q664" s="41" t="s">
        <v>75</v>
      </c>
      <c r="R664" s="41">
        <f>HEX2DEC(RIGHT(Table13232127[[#This Row],[h2]],8))</f>
        <v>0</v>
      </c>
    </row>
    <row r="665" spans="1:18">
      <c r="A665" s="15" t="str">
        <f t="shared" si="15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1" t="s">
        <v>75</v>
      </c>
      <c r="P665" s="41">
        <f>HEX2DEC(RIGHT(Table13232127[[#This Row],[h1]],8))</f>
        <v>0</v>
      </c>
      <c r="Q665" s="41" t="s">
        <v>75</v>
      </c>
      <c r="R665" s="41">
        <f>HEX2DEC(RIGHT(Table13232127[[#This Row],[h2]],8))</f>
        <v>0</v>
      </c>
    </row>
    <row r="666" spans="1:18">
      <c r="A666" s="15" t="str">
        <f t="shared" si="15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1" t="s">
        <v>75</v>
      </c>
      <c r="P666" s="41">
        <f>HEX2DEC(RIGHT(Table13232127[[#This Row],[h1]],8))</f>
        <v>0</v>
      </c>
      <c r="Q666" s="41" t="s">
        <v>75</v>
      </c>
      <c r="R666" s="41">
        <f>HEX2DEC(RIGHT(Table13232127[[#This Row],[h2]],8))</f>
        <v>0</v>
      </c>
    </row>
    <row r="667" spans="1:18">
      <c r="A667" s="15" t="str">
        <f t="shared" si="15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1" t="s">
        <v>75</v>
      </c>
      <c r="P667" s="41">
        <f>HEX2DEC(RIGHT(Table13232127[[#This Row],[h1]],8))</f>
        <v>0</v>
      </c>
      <c r="Q667" s="41" t="s">
        <v>75</v>
      </c>
      <c r="R667" s="41">
        <f>HEX2DEC(RIGHT(Table13232127[[#This Row],[h2]],8))</f>
        <v>0</v>
      </c>
    </row>
    <row r="668" spans="1:18">
      <c r="A668" s="15" t="str">
        <f t="shared" si="15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1" t="s">
        <v>75</v>
      </c>
      <c r="P668" s="41">
        <f>HEX2DEC(RIGHT(Table13232127[[#This Row],[h1]],8))</f>
        <v>0</v>
      </c>
      <c r="Q668" s="41" t="s">
        <v>75</v>
      </c>
      <c r="R668" s="41">
        <f>HEX2DEC(RIGHT(Table13232127[[#This Row],[h2]],8))</f>
        <v>0</v>
      </c>
    </row>
    <row r="669" spans="1:18">
      <c r="A669" s="15" t="str">
        <f t="shared" si="15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1" t="s">
        <v>75</v>
      </c>
      <c r="P669" s="41">
        <f>HEX2DEC(RIGHT(Table13232127[[#This Row],[h1]],8))</f>
        <v>0</v>
      </c>
      <c r="Q669" s="41" t="s">
        <v>75</v>
      </c>
      <c r="R669" s="41">
        <f>HEX2DEC(RIGHT(Table13232127[[#This Row],[h2]],8))</f>
        <v>0</v>
      </c>
    </row>
    <row r="670" spans="1:18">
      <c r="A670" s="15" t="str">
        <f t="shared" si="15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1" t="s">
        <v>75</v>
      </c>
      <c r="P670" s="41">
        <f>HEX2DEC(RIGHT(Table13232127[[#This Row],[h1]],8))</f>
        <v>0</v>
      </c>
      <c r="Q670" s="41" t="s">
        <v>75</v>
      </c>
      <c r="R670" s="41">
        <f>HEX2DEC(RIGHT(Table13232127[[#This Row],[h2]],8))</f>
        <v>0</v>
      </c>
    </row>
    <row r="671" spans="1:18">
      <c r="A671" s="15" t="str">
        <f t="shared" si="15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1" t="s">
        <v>75</v>
      </c>
      <c r="P671" s="41">
        <f>HEX2DEC(RIGHT(Table13232127[[#This Row],[h1]],8))</f>
        <v>0</v>
      </c>
      <c r="Q671" s="41" t="s">
        <v>75</v>
      </c>
      <c r="R671" s="41">
        <f>HEX2DEC(RIGHT(Table13232127[[#This Row],[h2]],8))</f>
        <v>0</v>
      </c>
    </row>
    <row r="672" spans="1:18">
      <c r="A672" s="15" t="str">
        <f t="shared" si="15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1" t="s">
        <v>75</v>
      </c>
      <c r="P672" s="41">
        <f>HEX2DEC(RIGHT(Table13232127[[#This Row],[h1]],8))</f>
        <v>0</v>
      </c>
      <c r="Q672" s="41" t="s">
        <v>75</v>
      </c>
      <c r="R672" s="41">
        <f>HEX2DEC(RIGHT(Table13232127[[#This Row],[h2]],8))</f>
        <v>0</v>
      </c>
    </row>
    <row r="673" spans="1:18">
      <c r="A673" s="15" t="str">
        <f t="shared" si="15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1" t="s">
        <v>75</v>
      </c>
      <c r="P673" s="41">
        <f>HEX2DEC(RIGHT(Table13232127[[#This Row],[h1]],8))</f>
        <v>0</v>
      </c>
      <c r="Q673" s="41" t="s">
        <v>75</v>
      </c>
      <c r="R673" s="41">
        <f>HEX2DEC(RIGHT(Table13232127[[#This Row],[h2]],8))</f>
        <v>0</v>
      </c>
    </row>
    <row r="674" spans="1:18">
      <c r="A674" s="15" t="str">
        <f t="shared" si="15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1" t="s">
        <v>75</v>
      </c>
      <c r="P674" s="41">
        <f>HEX2DEC(RIGHT(Table13232127[[#This Row],[h1]],8))</f>
        <v>0</v>
      </c>
      <c r="Q674" s="41" t="s">
        <v>75</v>
      </c>
      <c r="R674" s="41">
        <f>HEX2DEC(RIGHT(Table13232127[[#This Row],[h2]],8))</f>
        <v>0</v>
      </c>
    </row>
    <row r="675" spans="1:18">
      <c r="A675" s="15" t="str">
        <f t="shared" si="15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1" t="s">
        <v>75</v>
      </c>
      <c r="P675" s="41">
        <f>HEX2DEC(RIGHT(Table13232127[[#This Row],[h1]],8))</f>
        <v>0</v>
      </c>
      <c r="Q675" s="41" t="s">
        <v>75</v>
      </c>
      <c r="R675" s="41">
        <f>HEX2DEC(RIGHT(Table13232127[[#This Row],[h2]],8))</f>
        <v>0</v>
      </c>
    </row>
    <row r="676" spans="1:18">
      <c r="A676" s="15" t="str">
        <f t="shared" si="15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1" t="s">
        <v>75</v>
      </c>
      <c r="P676" s="41">
        <f>HEX2DEC(RIGHT(Table13232127[[#This Row],[h1]],8))</f>
        <v>0</v>
      </c>
      <c r="Q676" s="41" t="s">
        <v>75</v>
      </c>
      <c r="R676" s="41">
        <f>HEX2DEC(RIGHT(Table13232127[[#This Row],[h2]],8))</f>
        <v>0</v>
      </c>
    </row>
    <row r="677" spans="1:18">
      <c r="A677" s="15" t="str">
        <f t="shared" si="15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1" t="s">
        <v>75</v>
      </c>
      <c r="P677" s="41">
        <f>HEX2DEC(RIGHT(Table13232127[[#This Row],[h1]],8))</f>
        <v>0</v>
      </c>
      <c r="Q677" s="41" t="s">
        <v>75</v>
      </c>
      <c r="R677" s="41">
        <f>HEX2DEC(RIGHT(Table13232127[[#This Row],[h2]],8))</f>
        <v>0</v>
      </c>
    </row>
    <row r="678" spans="1:18">
      <c r="A678" s="15" t="str">
        <f t="shared" si="15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1" t="s">
        <v>75</v>
      </c>
      <c r="P678" s="41">
        <f>HEX2DEC(RIGHT(Table13232127[[#This Row],[h1]],8))</f>
        <v>0</v>
      </c>
      <c r="Q678" s="41" t="s">
        <v>75</v>
      </c>
      <c r="R678" s="41">
        <f>HEX2DEC(RIGHT(Table13232127[[#This Row],[h2]],8))</f>
        <v>0</v>
      </c>
    </row>
    <row r="679" spans="1:18">
      <c r="A679" s="15" t="str">
        <f t="shared" si="15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1" t="s">
        <v>75</v>
      </c>
      <c r="P679" s="41">
        <f>HEX2DEC(RIGHT(Table13232127[[#This Row],[h1]],8))</f>
        <v>0</v>
      </c>
      <c r="Q679" s="41" t="s">
        <v>75</v>
      </c>
      <c r="R679" s="41">
        <f>HEX2DEC(RIGHT(Table13232127[[#This Row],[h2]],8))</f>
        <v>0</v>
      </c>
    </row>
    <row r="680" spans="1:18">
      <c r="A680" s="15" t="str">
        <f t="shared" si="15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1" t="s">
        <v>75</v>
      </c>
      <c r="P680" s="41">
        <f>HEX2DEC(RIGHT(Table13232127[[#This Row],[h1]],8))</f>
        <v>0</v>
      </c>
      <c r="Q680" s="41" t="s">
        <v>75</v>
      </c>
      <c r="R680" s="41">
        <f>HEX2DEC(RIGHT(Table13232127[[#This Row],[h2]],8))</f>
        <v>0</v>
      </c>
    </row>
    <row r="681" spans="1:18">
      <c r="A681" s="15" t="str">
        <f t="shared" si="15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1" t="s">
        <v>75</v>
      </c>
      <c r="P681" s="41">
        <f>HEX2DEC(RIGHT(Table13232127[[#This Row],[h1]],8))</f>
        <v>0</v>
      </c>
      <c r="Q681" s="41" t="s">
        <v>75</v>
      </c>
      <c r="R681" s="41">
        <f>HEX2DEC(RIGHT(Table13232127[[#This Row],[h2]],8))</f>
        <v>0</v>
      </c>
    </row>
    <row r="682" spans="1:18">
      <c r="A682" s="15" t="str">
        <f t="shared" si="15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1" t="s">
        <v>75</v>
      </c>
      <c r="P682" s="41">
        <f>HEX2DEC(RIGHT(Table13232127[[#This Row],[h1]],8))</f>
        <v>0</v>
      </c>
      <c r="Q682" s="41" t="s">
        <v>75</v>
      </c>
      <c r="R682" s="41">
        <f>HEX2DEC(RIGHT(Table13232127[[#This Row],[h2]],8))</f>
        <v>0</v>
      </c>
    </row>
    <row r="683" spans="1:18">
      <c r="A683" s="15" t="str">
        <f t="shared" si="15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1" t="s">
        <v>75</v>
      </c>
      <c r="P683" s="41">
        <f>HEX2DEC(RIGHT(Table13232127[[#This Row],[h1]],8))</f>
        <v>0</v>
      </c>
      <c r="Q683" s="41" t="s">
        <v>75</v>
      </c>
      <c r="R683" s="41">
        <f>HEX2DEC(RIGHT(Table13232127[[#This Row],[h2]],8))</f>
        <v>0</v>
      </c>
    </row>
    <row r="684" spans="1:18">
      <c r="A684" s="15" t="str">
        <f t="shared" si="15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1" t="s">
        <v>75</v>
      </c>
      <c r="P684" s="41">
        <f>HEX2DEC(RIGHT(Table13232127[[#This Row],[h1]],8))</f>
        <v>0</v>
      </c>
      <c r="Q684" s="41" t="s">
        <v>75</v>
      </c>
      <c r="R684" s="41">
        <f>HEX2DEC(RIGHT(Table13232127[[#This Row],[h2]],8))</f>
        <v>0</v>
      </c>
    </row>
    <row r="685" spans="1:18">
      <c r="A685" s="15" t="str">
        <f t="shared" si="15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1" t="s">
        <v>75</v>
      </c>
      <c r="P685" s="41">
        <f>HEX2DEC(RIGHT(Table13232127[[#This Row],[h1]],8))</f>
        <v>0</v>
      </c>
      <c r="Q685" s="41" t="s">
        <v>75</v>
      </c>
      <c r="R685" s="41">
        <f>HEX2DEC(RIGHT(Table13232127[[#This Row],[h2]],8))</f>
        <v>0</v>
      </c>
    </row>
    <row r="686" spans="1:18">
      <c r="A686" s="15" t="str">
        <f t="shared" si="15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1" t="s">
        <v>75</v>
      </c>
      <c r="P686" s="41">
        <f>HEX2DEC(RIGHT(Table13232127[[#This Row],[h1]],8))</f>
        <v>0</v>
      </c>
      <c r="Q686" s="41" t="s">
        <v>75</v>
      </c>
      <c r="R686" s="41">
        <f>HEX2DEC(RIGHT(Table13232127[[#This Row],[h2]],8))</f>
        <v>0</v>
      </c>
    </row>
    <row r="687" spans="1:18">
      <c r="A687" s="15" t="str">
        <f t="shared" si="15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1" t="s">
        <v>75</v>
      </c>
      <c r="P687" s="41">
        <f>HEX2DEC(RIGHT(Table13232127[[#This Row],[h1]],8))</f>
        <v>0</v>
      </c>
      <c r="Q687" s="41" t="s">
        <v>75</v>
      </c>
      <c r="R687" s="41">
        <f>HEX2DEC(RIGHT(Table13232127[[#This Row],[h2]],8))</f>
        <v>0</v>
      </c>
    </row>
    <row r="688" spans="1:18">
      <c r="A688" s="15" t="str">
        <f t="shared" si="15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1" t="s">
        <v>75</v>
      </c>
      <c r="P688" s="41">
        <f>HEX2DEC(RIGHT(Table13232127[[#This Row],[h1]],8))</f>
        <v>0</v>
      </c>
      <c r="Q688" s="41" t="s">
        <v>75</v>
      </c>
      <c r="R688" s="41">
        <f>HEX2DEC(RIGHT(Table13232127[[#This Row],[h2]],8))</f>
        <v>0</v>
      </c>
    </row>
    <row r="689" spans="1:18">
      <c r="A689" s="15" t="str">
        <f t="shared" si="15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1" t="s">
        <v>75</v>
      </c>
      <c r="P689" s="41">
        <f>HEX2DEC(RIGHT(Table13232127[[#This Row],[h1]],8))</f>
        <v>0</v>
      </c>
      <c r="Q689" s="41" t="s">
        <v>75</v>
      </c>
      <c r="R689" s="41">
        <f>HEX2DEC(RIGHT(Table13232127[[#This Row],[h2]],8))</f>
        <v>0</v>
      </c>
    </row>
    <row r="690" spans="1:18">
      <c r="A690" s="15" t="str">
        <f t="shared" si="15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1" t="s">
        <v>75</v>
      </c>
      <c r="P690" s="41">
        <f>HEX2DEC(RIGHT(Table13232127[[#This Row],[h1]],8))</f>
        <v>0</v>
      </c>
      <c r="Q690" s="41" t="s">
        <v>75</v>
      </c>
      <c r="R690" s="41">
        <f>HEX2DEC(RIGHT(Table13232127[[#This Row],[h2]],8))</f>
        <v>0</v>
      </c>
    </row>
    <row r="691" spans="1:18">
      <c r="A691" s="15" t="str">
        <f t="shared" si="15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1" t="s">
        <v>75</v>
      </c>
      <c r="P691" s="41">
        <f>HEX2DEC(RIGHT(Table13232127[[#This Row],[h1]],8))</f>
        <v>0</v>
      </c>
      <c r="Q691" s="41" t="s">
        <v>75</v>
      </c>
      <c r="R691" s="41">
        <f>HEX2DEC(RIGHT(Table13232127[[#This Row],[h2]],8))</f>
        <v>0</v>
      </c>
    </row>
    <row r="692" spans="1:18">
      <c r="A692" s="15" t="str">
        <f t="shared" si="15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1" t="s">
        <v>75</v>
      </c>
      <c r="P692" s="41">
        <f>HEX2DEC(RIGHT(Table13232127[[#This Row],[h1]],8))</f>
        <v>0</v>
      </c>
      <c r="Q692" s="41" t="s">
        <v>75</v>
      </c>
      <c r="R692" s="41">
        <f>HEX2DEC(RIGHT(Table13232127[[#This Row],[h2]],8))</f>
        <v>0</v>
      </c>
    </row>
    <row r="693" spans="1:18">
      <c r="A693" s="15" t="str">
        <f t="shared" si="15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1" t="s">
        <v>75</v>
      </c>
      <c r="P693" s="41">
        <f>HEX2DEC(RIGHT(Table13232127[[#This Row],[h1]],8))</f>
        <v>0</v>
      </c>
      <c r="Q693" s="41" t="s">
        <v>75</v>
      </c>
      <c r="R693" s="41">
        <f>HEX2DEC(RIGHT(Table13232127[[#This Row],[h2]],8))</f>
        <v>0</v>
      </c>
    </row>
    <row r="694" spans="1:18">
      <c r="A694" s="15" t="str">
        <f t="shared" si="15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1" t="s">
        <v>75</v>
      </c>
      <c r="P694" s="41">
        <f>HEX2DEC(RIGHT(Table13232127[[#This Row],[h1]],8))</f>
        <v>0</v>
      </c>
      <c r="Q694" s="41" t="s">
        <v>75</v>
      </c>
      <c r="R694" s="41">
        <f>HEX2DEC(RIGHT(Table13232127[[#This Row],[h2]],8))</f>
        <v>0</v>
      </c>
    </row>
    <row r="695" spans="1:18">
      <c r="A695" s="15" t="str">
        <f t="shared" si="15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1" t="s">
        <v>75</v>
      </c>
      <c r="P695" s="41">
        <f>HEX2DEC(RIGHT(Table13232127[[#This Row],[h1]],8))</f>
        <v>0</v>
      </c>
      <c r="Q695" s="41" t="s">
        <v>75</v>
      </c>
      <c r="R695" s="41">
        <f>HEX2DEC(RIGHT(Table13232127[[#This Row],[h2]],8))</f>
        <v>0</v>
      </c>
    </row>
    <row r="696" spans="1:18">
      <c r="A696" s="15" t="str">
        <f t="shared" si="15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1" t="s">
        <v>75</v>
      </c>
      <c r="P696" s="41">
        <f>HEX2DEC(RIGHT(Table13232127[[#This Row],[h1]],8))</f>
        <v>0</v>
      </c>
      <c r="Q696" s="41" t="s">
        <v>75</v>
      </c>
      <c r="R696" s="41">
        <f>HEX2DEC(RIGHT(Table13232127[[#This Row],[h2]],8))</f>
        <v>0</v>
      </c>
    </row>
    <row r="697" spans="1:18">
      <c r="A697" s="15" t="str">
        <f t="shared" si="15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1" t="s">
        <v>75</v>
      </c>
      <c r="P697" s="41">
        <f>HEX2DEC(RIGHT(Table13232127[[#This Row],[h1]],8))</f>
        <v>0</v>
      </c>
      <c r="Q697" s="41" t="s">
        <v>75</v>
      </c>
      <c r="R697" s="41">
        <f>HEX2DEC(RIGHT(Table13232127[[#This Row],[h2]],8))</f>
        <v>0</v>
      </c>
    </row>
    <row r="698" spans="1:18">
      <c r="A698" s="15" t="str">
        <f t="shared" si="15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1" t="s">
        <v>75</v>
      </c>
      <c r="P698" s="41">
        <f>HEX2DEC(RIGHT(Table13232127[[#This Row],[h1]],8))</f>
        <v>0</v>
      </c>
      <c r="Q698" s="41" t="s">
        <v>75</v>
      </c>
      <c r="R698" s="41">
        <f>HEX2DEC(RIGHT(Table13232127[[#This Row],[h2]],8))</f>
        <v>0</v>
      </c>
    </row>
    <row r="699" spans="1:18">
      <c r="A699" s="15" t="str">
        <f t="shared" si="15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1" t="s">
        <v>75</v>
      </c>
      <c r="P699" s="41">
        <f>HEX2DEC(RIGHT(Table13232127[[#This Row],[h1]],8))</f>
        <v>0</v>
      </c>
      <c r="Q699" s="41" t="s">
        <v>75</v>
      </c>
      <c r="R699" s="41">
        <f>HEX2DEC(RIGHT(Table13232127[[#This Row],[h2]],8))</f>
        <v>0</v>
      </c>
    </row>
    <row r="700" spans="1:18">
      <c r="A700" s="15" t="str">
        <f t="shared" si="15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1" t="s">
        <v>75</v>
      </c>
      <c r="P700" s="41">
        <f>HEX2DEC(RIGHT(Table13232127[[#This Row],[h1]],8))</f>
        <v>0</v>
      </c>
      <c r="Q700" s="41" t="s">
        <v>75</v>
      </c>
      <c r="R700" s="41">
        <f>HEX2DEC(RIGHT(Table13232127[[#This Row],[h2]],8))</f>
        <v>0</v>
      </c>
    </row>
    <row r="701" spans="1:18">
      <c r="A701" s="15" t="str">
        <f t="shared" si="15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1" t="s">
        <v>75</v>
      </c>
      <c r="P701" s="41">
        <f>HEX2DEC(RIGHT(Table13232127[[#This Row],[h1]],8))</f>
        <v>0</v>
      </c>
      <c r="Q701" s="41" t="s">
        <v>75</v>
      </c>
      <c r="R701" s="41">
        <f>HEX2DEC(RIGHT(Table13232127[[#This Row],[h2]],8))</f>
        <v>0</v>
      </c>
    </row>
    <row r="702" spans="1:18">
      <c r="A702" s="15" t="str">
        <f t="shared" si="15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1" t="s">
        <v>75</v>
      </c>
      <c r="P702" s="41">
        <f>HEX2DEC(RIGHT(Table13232127[[#This Row],[h1]],8))</f>
        <v>0</v>
      </c>
      <c r="Q702" s="41" t="s">
        <v>75</v>
      </c>
      <c r="R702" s="41">
        <f>HEX2DEC(RIGHT(Table13232127[[#This Row],[h2]],8))</f>
        <v>0</v>
      </c>
    </row>
    <row r="703" spans="1:18">
      <c r="A703" s="15" t="str">
        <f t="shared" si="15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1" t="s">
        <v>75</v>
      </c>
      <c r="P703" s="41">
        <f>HEX2DEC(RIGHT(Table13232127[[#This Row],[h1]],8))</f>
        <v>0</v>
      </c>
      <c r="Q703" s="41" t="s">
        <v>75</v>
      </c>
      <c r="R703" s="41">
        <f>HEX2DEC(RIGHT(Table13232127[[#This Row],[h2]],8))</f>
        <v>0</v>
      </c>
    </row>
    <row r="704" spans="1:18">
      <c r="A704" s="15" t="str">
        <f t="shared" si="15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1" t="s">
        <v>75</v>
      </c>
      <c r="P704" s="41">
        <f>HEX2DEC(RIGHT(Table13232127[[#This Row],[h1]],8))</f>
        <v>0</v>
      </c>
      <c r="Q704" s="41" t="s">
        <v>75</v>
      </c>
      <c r="R704" s="41">
        <f>HEX2DEC(RIGHT(Table13232127[[#This Row],[h2]],8))</f>
        <v>0</v>
      </c>
    </row>
    <row r="705" spans="1:18">
      <c r="A705" s="15" t="str">
        <f t="shared" si="15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1" t="s">
        <v>75</v>
      </c>
      <c r="P705" s="41">
        <f>HEX2DEC(RIGHT(Table13232127[[#This Row],[h1]],8))</f>
        <v>0</v>
      </c>
      <c r="Q705" s="41" t="s">
        <v>75</v>
      </c>
      <c r="R705" s="41">
        <f>HEX2DEC(RIGHT(Table13232127[[#This Row],[h2]],8))</f>
        <v>0</v>
      </c>
    </row>
    <row r="706" spans="1:18">
      <c r="A706" s="15" t="str">
        <f t="shared" si="15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1" t="s">
        <v>75</v>
      </c>
      <c r="P706" s="41">
        <f>HEX2DEC(RIGHT(Table13232127[[#This Row],[h1]],8))</f>
        <v>0</v>
      </c>
      <c r="Q706" s="41" t="s">
        <v>75</v>
      </c>
      <c r="R706" s="41">
        <f>HEX2DEC(RIGHT(Table13232127[[#This Row],[h2]],8))</f>
        <v>0</v>
      </c>
    </row>
    <row r="707" spans="1:18">
      <c r="A707" s="15" t="str">
        <f t="shared" si="15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1" t="s">
        <v>75</v>
      </c>
      <c r="P707" s="41">
        <f>HEX2DEC(RIGHT(Table13232127[[#This Row],[h1]],8))</f>
        <v>0</v>
      </c>
      <c r="Q707" s="41" t="s">
        <v>75</v>
      </c>
      <c r="R707" s="41">
        <f>HEX2DEC(RIGHT(Table13232127[[#This Row],[h2]],8))</f>
        <v>0</v>
      </c>
    </row>
    <row r="708" spans="1:18">
      <c r="A708" s="15" t="str">
        <f t="shared" si="15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1" t="s">
        <v>75</v>
      </c>
      <c r="P708" s="41">
        <f>HEX2DEC(RIGHT(Table13232127[[#This Row],[h1]],8))</f>
        <v>0</v>
      </c>
      <c r="Q708" s="41" t="s">
        <v>75</v>
      </c>
      <c r="R708" s="41">
        <f>HEX2DEC(RIGHT(Table13232127[[#This Row],[h2]],8))</f>
        <v>0</v>
      </c>
    </row>
    <row r="709" spans="1:18">
      <c r="A709" s="15" t="str">
        <f t="shared" si="15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1" t="s">
        <v>75</v>
      </c>
      <c r="P709" s="41">
        <f>HEX2DEC(RIGHT(Table13232127[[#This Row],[h1]],8))</f>
        <v>0</v>
      </c>
      <c r="Q709" s="41" t="s">
        <v>75</v>
      </c>
      <c r="R709" s="41">
        <f>HEX2DEC(RIGHT(Table13232127[[#This Row],[h2]],8))</f>
        <v>0</v>
      </c>
    </row>
    <row r="710" spans="1:18">
      <c r="A710" s="15" t="str">
        <f t="shared" si="15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1" t="s">
        <v>75</v>
      </c>
      <c r="P710" s="41">
        <f>HEX2DEC(RIGHT(Table13232127[[#This Row],[h1]],8))</f>
        <v>0</v>
      </c>
      <c r="Q710" s="41" t="s">
        <v>75</v>
      </c>
      <c r="R710" s="41">
        <f>HEX2DEC(RIGHT(Table13232127[[#This Row],[h2]],8))</f>
        <v>0</v>
      </c>
    </row>
    <row r="711" spans="1:18">
      <c r="A711" s="15" t="str">
        <f t="shared" si="15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1" t="s">
        <v>75</v>
      </c>
      <c r="P711" s="41">
        <f>HEX2DEC(RIGHT(Table13232127[[#This Row],[h1]],8))</f>
        <v>0</v>
      </c>
      <c r="Q711" s="41" t="s">
        <v>75</v>
      </c>
      <c r="R711" s="41">
        <f>HEX2DEC(RIGHT(Table13232127[[#This Row],[h2]],8))</f>
        <v>0</v>
      </c>
    </row>
    <row r="712" spans="1:18">
      <c r="A712" s="15" t="str">
        <f t="shared" si="15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1" t="s">
        <v>75</v>
      </c>
      <c r="P712" s="41">
        <f>HEX2DEC(RIGHT(Table13232127[[#This Row],[h1]],8))</f>
        <v>0</v>
      </c>
      <c r="Q712" s="41" t="s">
        <v>75</v>
      </c>
      <c r="R712" s="41">
        <f>HEX2DEC(RIGHT(Table13232127[[#This Row],[h2]],8))</f>
        <v>0</v>
      </c>
    </row>
    <row r="713" spans="1:18">
      <c r="A713" s="15" t="str">
        <f t="shared" si="15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1" t="s">
        <v>75</v>
      </c>
      <c r="P713" s="41">
        <f>HEX2DEC(RIGHT(Table13232127[[#This Row],[h1]],8))</f>
        <v>0</v>
      </c>
      <c r="Q713" s="41" t="s">
        <v>75</v>
      </c>
      <c r="R713" s="41">
        <f>HEX2DEC(RIGHT(Table13232127[[#This Row],[h2]],8))</f>
        <v>0</v>
      </c>
    </row>
    <row r="714" spans="1:18">
      <c r="A714" s="15" t="str">
        <f t="shared" si="15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1" t="s">
        <v>75</v>
      </c>
      <c r="P714" s="41">
        <f>HEX2DEC(RIGHT(Table13232127[[#This Row],[h1]],8))</f>
        <v>0</v>
      </c>
      <c r="Q714" s="41" t="s">
        <v>75</v>
      </c>
      <c r="R714" s="41">
        <f>HEX2DEC(RIGHT(Table13232127[[#This Row],[h2]],8))</f>
        <v>0</v>
      </c>
    </row>
    <row r="715" spans="1:18">
      <c r="A715" s="15" t="str">
        <f t="shared" ref="A715:A778" si="16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1" t="s">
        <v>75</v>
      </c>
      <c r="P715" s="41">
        <f>HEX2DEC(RIGHT(Table13232127[[#This Row],[h1]],8))</f>
        <v>0</v>
      </c>
      <c r="Q715" s="41" t="s">
        <v>75</v>
      </c>
      <c r="R715" s="41">
        <f>HEX2DEC(RIGHT(Table13232127[[#This Row],[h2]],8))</f>
        <v>0</v>
      </c>
    </row>
    <row r="716" spans="1:18">
      <c r="A716" s="15" t="str">
        <f t="shared" si="16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1" t="s">
        <v>75</v>
      </c>
      <c r="P716" s="41">
        <f>HEX2DEC(RIGHT(Table13232127[[#This Row],[h1]],8))</f>
        <v>0</v>
      </c>
      <c r="Q716" s="41" t="s">
        <v>75</v>
      </c>
      <c r="R716" s="41">
        <f>HEX2DEC(RIGHT(Table13232127[[#This Row],[h2]],8))</f>
        <v>0</v>
      </c>
    </row>
    <row r="717" spans="1:18">
      <c r="A717" s="15" t="str">
        <f t="shared" si="16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1" t="s">
        <v>75</v>
      </c>
      <c r="P717" s="41">
        <f>HEX2DEC(RIGHT(Table13232127[[#This Row],[h1]],8))</f>
        <v>0</v>
      </c>
      <c r="Q717" s="41" t="s">
        <v>75</v>
      </c>
      <c r="R717" s="41">
        <f>HEX2DEC(RIGHT(Table13232127[[#This Row],[h2]],8))</f>
        <v>0</v>
      </c>
    </row>
    <row r="718" spans="1:18">
      <c r="A718" s="15" t="str">
        <f t="shared" si="16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1" t="s">
        <v>75</v>
      </c>
      <c r="P718" s="41">
        <f>HEX2DEC(RIGHT(Table13232127[[#This Row],[h1]],8))</f>
        <v>0</v>
      </c>
      <c r="Q718" s="41" t="s">
        <v>75</v>
      </c>
      <c r="R718" s="41">
        <f>HEX2DEC(RIGHT(Table13232127[[#This Row],[h2]],8))</f>
        <v>0</v>
      </c>
    </row>
    <row r="719" spans="1:18">
      <c r="A719" s="15" t="str">
        <f t="shared" si="16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1" t="s">
        <v>75</v>
      </c>
      <c r="P719" s="41">
        <f>HEX2DEC(RIGHT(Table13232127[[#This Row],[h1]],8))</f>
        <v>0</v>
      </c>
      <c r="Q719" s="41" t="s">
        <v>75</v>
      </c>
      <c r="R719" s="41">
        <f>HEX2DEC(RIGHT(Table13232127[[#This Row],[h2]],8))</f>
        <v>0</v>
      </c>
    </row>
    <row r="720" spans="1:18">
      <c r="A720" s="15" t="str">
        <f t="shared" si="16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1" t="s">
        <v>75</v>
      </c>
      <c r="P720" s="41">
        <f>HEX2DEC(RIGHT(Table13232127[[#This Row],[h1]],8))</f>
        <v>0</v>
      </c>
      <c r="Q720" s="41" t="s">
        <v>75</v>
      </c>
      <c r="R720" s="41">
        <f>HEX2DEC(RIGHT(Table13232127[[#This Row],[h2]],8))</f>
        <v>0</v>
      </c>
    </row>
    <row r="721" spans="1:18">
      <c r="A721" s="15" t="str">
        <f t="shared" si="16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1" t="s">
        <v>75</v>
      </c>
      <c r="P721" s="41">
        <f>HEX2DEC(RIGHT(Table13232127[[#This Row],[h1]],8))</f>
        <v>0</v>
      </c>
      <c r="Q721" s="41" t="s">
        <v>75</v>
      </c>
      <c r="R721" s="41">
        <f>HEX2DEC(RIGHT(Table13232127[[#This Row],[h2]],8))</f>
        <v>0</v>
      </c>
    </row>
    <row r="722" spans="1:18">
      <c r="A722" s="15" t="str">
        <f t="shared" si="16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1" t="s">
        <v>75</v>
      </c>
      <c r="P722" s="41">
        <f>HEX2DEC(RIGHT(Table13232127[[#This Row],[h1]],8))</f>
        <v>0</v>
      </c>
      <c r="Q722" s="41" t="s">
        <v>75</v>
      </c>
      <c r="R722" s="41">
        <f>HEX2DEC(RIGHT(Table13232127[[#This Row],[h2]],8))</f>
        <v>0</v>
      </c>
    </row>
    <row r="723" spans="1:18">
      <c r="A723" s="15" t="str">
        <f t="shared" si="16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1" t="s">
        <v>75</v>
      </c>
      <c r="P723" s="41">
        <f>HEX2DEC(RIGHT(Table13232127[[#This Row],[h1]],8))</f>
        <v>0</v>
      </c>
      <c r="Q723" s="41" t="s">
        <v>75</v>
      </c>
      <c r="R723" s="41">
        <f>HEX2DEC(RIGHT(Table13232127[[#This Row],[h2]],8))</f>
        <v>0</v>
      </c>
    </row>
    <row r="724" spans="1:18">
      <c r="A724" s="15" t="str">
        <f t="shared" si="16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1" t="s">
        <v>75</v>
      </c>
      <c r="P724" s="41">
        <f>HEX2DEC(RIGHT(Table13232127[[#This Row],[h1]],8))</f>
        <v>0</v>
      </c>
      <c r="Q724" s="41" t="s">
        <v>75</v>
      </c>
      <c r="R724" s="41">
        <f>HEX2DEC(RIGHT(Table13232127[[#This Row],[h2]],8))</f>
        <v>0</v>
      </c>
    </row>
    <row r="725" spans="1:18">
      <c r="A725" s="15" t="str">
        <f t="shared" si="16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1" t="s">
        <v>75</v>
      </c>
      <c r="P725" s="41">
        <f>HEX2DEC(RIGHT(Table13232127[[#This Row],[h1]],8))</f>
        <v>0</v>
      </c>
      <c r="Q725" s="41" t="s">
        <v>75</v>
      </c>
      <c r="R725" s="41">
        <f>HEX2DEC(RIGHT(Table13232127[[#This Row],[h2]],8))</f>
        <v>0</v>
      </c>
    </row>
    <row r="726" spans="1:18">
      <c r="A726" s="15" t="str">
        <f t="shared" si="16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1" t="s">
        <v>75</v>
      </c>
      <c r="P726" s="41">
        <f>HEX2DEC(RIGHT(Table13232127[[#This Row],[h1]],8))</f>
        <v>0</v>
      </c>
      <c r="Q726" s="41" t="s">
        <v>75</v>
      </c>
      <c r="R726" s="41">
        <f>HEX2DEC(RIGHT(Table13232127[[#This Row],[h2]],8))</f>
        <v>0</v>
      </c>
    </row>
    <row r="727" spans="1:18">
      <c r="A727" s="15" t="str">
        <f t="shared" si="16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1" t="s">
        <v>75</v>
      </c>
      <c r="P727" s="41">
        <f>HEX2DEC(RIGHT(Table13232127[[#This Row],[h1]],8))</f>
        <v>0</v>
      </c>
      <c r="Q727" s="41" t="s">
        <v>75</v>
      </c>
      <c r="R727" s="41">
        <f>HEX2DEC(RIGHT(Table13232127[[#This Row],[h2]],8))</f>
        <v>0</v>
      </c>
    </row>
    <row r="728" spans="1:18">
      <c r="A728" s="15" t="str">
        <f t="shared" si="16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1" t="s">
        <v>75</v>
      </c>
      <c r="P728" s="41">
        <f>HEX2DEC(RIGHT(Table13232127[[#This Row],[h1]],8))</f>
        <v>0</v>
      </c>
      <c r="Q728" s="41" t="s">
        <v>75</v>
      </c>
      <c r="R728" s="41">
        <f>HEX2DEC(RIGHT(Table13232127[[#This Row],[h2]],8))</f>
        <v>0</v>
      </c>
    </row>
    <row r="729" spans="1:18">
      <c r="A729" s="15" t="str">
        <f t="shared" si="16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1" t="s">
        <v>75</v>
      </c>
      <c r="P729" s="41">
        <f>HEX2DEC(RIGHT(Table13232127[[#This Row],[h1]],8))</f>
        <v>0</v>
      </c>
      <c r="Q729" s="41" t="s">
        <v>75</v>
      </c>
      <c r="R729" s="41">
        <f>HEX2DEC(RIGHT(Table13232127[[#This Row],[h2]],8))</f>
        <v>0</v>
      </c>
    </row>
    <row r="730" spans="1:18">
      <c r="A730" s="15" t="str">
        <f t="shared" si="16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1" t="s">
        <v>75</v>
      </c>
      <c r="P730" s="41">
        <f>HEX2DEC(RIGHT(Table13232127[[#This Row],[h1]],8))</f>
        <v>0</v>
      </c>
      <c r="Q730" s="41" t="s">
        <v>75</v>
      </c>
      <c r="R730" s="41">
        <f>HEX2DEC(RIGHT(Table13232127[[#This Row],[h2]],8))</f>
        <v>0</v>
      </c>
    </row>
    <row r="731" spans="1:18">
      <c r="A731" s="15" t="str">
        <f t="shared" si="16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1" t="s">
        <v>75</v>
      </c>
      <c r="P731" s="41">
        <f>HEX2DEC(RIGHT(Table13232127[[#This Row],[h1]],8))</f>
        <v>0</v>
      </c>
      <c r="Q731" s="41" t="s">
        <v>75</v>
      </c>
      <c r="R731" s="41">
        <f>HEX2DEC(RIGHT(Table13232127[[#This Row],[h2]],8))</f>
        <v>0</v>
      </c>
    </row>
    <row r="732" spans="1:18">
      <c r="A732" s="15" t="str">
        <f t="shared" si="16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1" t="s">
        <v>75</v>
      </c>
      <c r="P732" s="41">
        <f>HEX2DEC(RIGHT(Table13232127[[#This Row],[h1]],8))</f>
        <v>0</v>
      </c>
      <c r="Q732" s="41" t="s">
        <v>75</v>
      </c>
      <c r="R732" s="41">
        <f>HEX2DEC(RIGHT(Table13232127[[#This Row],[h2]],8))</f>
        <v>0</v>
      </c>
    </row>
    <row r="733" spans="1:18">
      <c r="A733" s="15" t="str">
        <f t="shared" si="16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1" t="s">
        <v>75</v>
      </c>
      <c r="P733" s="41">
        <f>HEX2DEC(RIGHT(Table13232127[[#This Row],[h1]],8))</f>
        <v>0</v>
      </c>
      <c r="Q733" s="41" t="s">
        <v>75</v>
      </c>
      <c r="R733" s="41">
        <f>HEX2DEC(RIGHT(Table13232127[[#This Row],[h2]],8))</f>
        <v>0</v>
      </c>
    </row>
    <row r="734" spans="1:18">
      <c r="A734" s="15" t="str">
        <f t="shared" si="16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1" t="s">
        <v>75</v>
      </c>
      <c r="P734" s="41">
        <f>HEX2DEC(RIGHT(Table13232127[[#This Row],[h1]],8))</f>
        <v>0</v>
      </c>
      <c r="Q734" s="41" t="s">
        <v>75</v>
      </c>
      <c r="R734" s="41">
        <f>HEX2DEC(RIGHT(Table13232127[[#This Row],[h2]],8))</f>
        <v>0</v>
      </c>
    </row>
    <row r="735" spans="1:18">
      <c r="A735" s="15" t="str">
        <f t="shared" si="16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1" t="s">
        <v>75</v>
      </c>
      <c r="P735" s="41">
        <f>HEX2DEC(RIGHT(Table13232127[[#This Row],[h1]],8))</f>
        <v>0</v>
      </c>
      <c r="Q735" s="41" t="s">
        <v>75</v>
      </c>
      <c r="R735" s="41">
        <f>HEX2DEC(RIGHT(Table13232127[[#This Row],[h2]],8))</f>
        <v>0</v>
      </c>
    </row>
    <row r="736" spans="1:18">
      <c r="A736" s="15" t="str">
        <f t="shared" si="16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1" t="s">
        <v>75</v>
      </c>
      <c r="P736" s="41">
        <f>HEX2DEC(RIGHT(Table13232127[[#This Row],[h1]],8))</f>
        <v>0</v>
      </c>
      <c r="Q736" s="41" t="s">
        <v>75</v>
      </c>
      <c r="R736" s="41">
        <f>HEX2DEC(RIGHT(Table13232127[[#This Row],[h2]],8))</f>
        <v>0</v>
      </c>
    </row>
    <row r="737" spans="1:18">
      <c r="A737" s="15" t="str">
        <f t="shared" si="16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1" t="s">
        <v>75</v>
      </c>
      <c r="P737" s="41">
        <f>HEX2DEC(RIGHT(Table13232127[[#This Row],[h1]],8))</f>
        <v>0</v>
      </c>
      <c r="Q737" s="41" t="s">
        <v>75</v>
      </c>
      <c r="R737" s="41">
        <f>HEX2DEC(RIGHT(Table13232127[[#This Row],[h2]],8))</f>
        <v>0</v>
      </c>
    </row>
    <row r="738" spans="1:18">
      <c r="A738" s="15" t="str">
        <f t="shared" si="16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1" t="s">
        <v>75</v>
      </c>
      <c r="P738" s="41">
        <f>HEX2DEC(RIGHT(Table13232127[[#This Row],[h1]],8))</f>
        <v>0</v>
      </c>
      <c r="Q738" s="41" t="s">
        <v>75</v>
      </c>
      <c r="R738" s="41">
        <f>HEX2DEC(RIGHT(Table13232127[[#This Row],[h2]],8))</f>
        <v>0</v>
      </c>
    </row>
    <row r="739" spans="1:18">
      <c r="A739" s="15" t="str">
        <f t="shared" si="16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1" t="s">
        <v>75</v>
      </c>
      <c r="P739" s="41">
        <f>HEX2DEC(RIGHT(Table13232127[[#This Row],[h1]],8))</f>
        <v>0</v>
      </c>
      <c r="Q739" s="41" t="s">
        <v>75</v>
      </c>
      <c r="R739" s="41">
        <f>HEX2DEC(RIGHT(Table13232127[[#This Row],[h2]],8))</f>
        <v>0</v>
      </c>
    </row>
    <row r="740" spans="1:18">
      <c r="A740" s="15" t="str">
        <f t="shared" si="16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1" t="s">
        <v>75</v>
      </c>
      <c r="P740" s="41">
        <f>HEX2DEC(RIGHT(Table13232127[[#This Row],[h1]],8))</f>
        <v>0</v>
      </c>
      <c r="Q740" s="41" t="s">
        <v>75</v>
      </c>
      <c r="R740" s="41">
        <f>HEX2DEC(RIGHT(Table13232127[[#This Row],[h2]],8))</f>
        <v>0</v>
      </c>
    </row>
    <row r="741" spans="1:18">
      <c r="A741" s="15" t="str">
        <f t="shared" si="16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1" t="s">
        <v>75</v>
      </c>
      <c r="P741" s="41">
        <f>HEX2DEC(RIGHT(Table13232127[[#This Row],[h1]],8))</f>
        <v>0</v>
      </c>
      <c r="Q741" s="41" t="s">
        <v>75</v>
      </c>
      <c r="R741" s="41">
        <f>HEX2DEC(RIGHT(Table13232127[[#This Row],[h2]],8))</f>
        <v>0</v>
      </c>
    </row>
    <row r="742" spans="1:18">
      <c r="A742" s="15" t="str">
        <f t="shared" si="16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1" t="s">
        <v>75</v>
      </c>
      <c r="P742" s="41">
        <f>HEX2DEC(RIGHT(Table13232127[[#This Row],[h1]],8))</f>
        <v>0</v>
      </c>
      <c r="Q742" s="41" t="s">
        <v>75</v>
      </c>
      <c r="R742" s="41">
        <f>HEX2DEC(RIGHT(Table13232127[[#This Row],[h2]],8))</f>
        <v>0</v>
      </c>
    </row>
    <row r="743" spans="1:18">
      <c r="A743" s="15" t="str">
        <f t="shared" si="16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1" t="s">
        <v>75</v>
      </c>
      <c r="P743" s="41">
        <f>HEX2DEC(RIGHT(Table13232127[[#This Row],[h1]],8))</f>
        <v>0</v>
      </c>
      <c r="Q743" s="41" t="s">
        <v>75</v>
      </c>
      <c r="R743" s="41">
        <f>HEX2DEC(RIGHT(Table13232127[[#This Row],[h2]],8))</f>
        <v>0</v>
      </c>
    </row>
    <row r="744" spans="1:18">
      <c r="A744" s="15" t="str">
        <f t="shared" si="16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1" t="s">
        <v>75</v>
      </c>
      <c r="P744" s="41">
        <f>HEX2DEC(RIGHT(Table13232127[[#This Row],[h1]],8))</f>
        <v>0</v>
      </c>
      <c r="Q744" s="41" t="s">
        <v>75</v>
      </c>
      <c r="R744" s="41">
        <f>HEX2DEC(RIGHT(Table13232127[[#This Row],[h2]],8))</f>
        <v>0</v>
      </c>
    </row>
    <row r="745" spans="1:18">
      <c r="A745" s="15" t="str">
        <f t="shared" si="16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1" t="s">
        <v>75</v>
      </c>
      <c r="P745" s="41">
        <f>HEX2DEC(RIGHT(Table13232127[[#This Row],[h1]],8))</f>
        <v>0</v>
      </c>
      <c r="Q745" s="41" t="s">
        <v>75</v>
      </c>
      <c r="R745" s="41">
        <f>HEX2DEC(RIGHT(Table13232127[[#This Row],[h2]],8))</f>
        <v>0</v>
      </c>
    </row>
    <row r="746" spans="1:18">
      <c r="A746" s="15" t="str">
        <f t="shared" si="16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1" t="s">
        <v>75</v>
      </c>
      <c r="P746" s="41">
        <f>HEX2DEC(RIGHT(Table13232127[[#This Row],[h1]],8))</f>
        <v>0</v>
      </c>
      <c r="Q746" s="41" t="s">
        <v>75</v>
      </c>
      <c r="R746" s="41">
        <f>HEX2DEC(RIGHT(Table13232127[[#This Row],[h2]],8))</f>
        <v>0</v>
      </c>
    </row>
    <row r="747" spans="1:18">
      <c r="A747" s="15" t="str">
        <f t="shared" si="16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1" t="s">
        <v>75</v>
      </c>
      <c r="P747" s="41">
        <f>HEX2DEC(RIGHT(Table13232127[[#This Row],[h1]],8))</f>
        <v>0</v>
      </c>
      <c r="Q747" s="41" t="s">
        <v>75</v>
      </c>
      <c r="R747" s="41">
        <f>HEX2DEC(RIGHT(Table13232127[[#This Row],[h2]],8))</f>
        <v>0</v>
      </c>
    </row>
    <row r="748" spans="1:18">
      <c r="A748" s="15" t="str">
        <f t="shared" si="16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1" t="s">
        <v>75</v>
      </c>
      <c r="P748" s="41">
        <f>HEX2DEC(RIGHT(Table13232127[[#This Row],[h1]],8))</f>
        <v>0</v>
      </c>
      <c r="Q748" s="41" t="s">
        <v>75</v>
      </c>
      <c r="R748" s="41">
        <f>HEX2DEC(RIGHT(Table13232127[[#This Row],[h2]],8))</f>
        <v>0</v>
      </c>
    </row>
    <row r="749" spans="1:18">
      <c r="A749" s="15" t="str">
        <f t="shared" si="16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1" t="s">
        <v>75</v>
      </c>
      <c r="P749" s="41">
        <f>HEX2DEC(RIGHT(Table13232127[[#This Row],[h1]],8))</f>
        <v>0</v>
      </c>
      <c r="Q749" s="41" t="s">
        <v>75</v>
      </c>
      <c r="R749" s="41">
        <f>HEX2DEC(RIGHT(Table13232127[[#This Row],[h2]],8))</f>
        <v>0</v>
      </c>
    </row>
    <row r="750" spans="1:18">
      <c r="A750" s="15" t="str">
        <f t="shared" si="16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1" t="s">
        <v>75</v>
      </c>
      <c r="P750" s="41">
        <f>HEX2DEC(RIGHT(Table13232127[[#This Row],[h1]],8))</f>
        <v>0</v>
      </c>
      <c r="Q750" s="41" t="s">
        <v>75</v>
      </c>
      <c r="R750" s="41">
        <f>HEX2DEC(RIGHT(Table13232127[[#This Row],[h2]],8))</f>
        <v>0</v>
      </c>
    </row>
    <row r="751" spans="1:18">
      <c r="A751" s="15" t="str">
        <f t="shared" si="16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1" t="s">
        <v>75</v>
      </c>
      <c r="P751" s="41">
        <f>HEX2DEC(RIGHT(Table13232127[[#This Row],[h1]],8))</f>
        <v>0</v>
      </c>
      <c r="Q751" s="41" t="s">
        <v>75</v>
      </c>
      <c r="R751" s="41">
        <f>HEX2DEC(RIGHT(Table13232127[[#This Row],[h2]],8))</f>
        <v>0</v>
      </c>
    </row>
    <row r="752" spans="1:18">
      <c r="A752" s="15" t="str">
        <f t="shared" si="16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1" t="s">
        <v>75</v>
      </c>
      <c r="P752" s="41">
        <f>HEX2DEC(RIGHT(Table13232127[[#This Row],[h1]],8))</f>
        <v>0</v>
      </c>
      <c r="Q752" s="41" t="s">
        <v>75</v>
      </c>
      <c r="R752" s="41">
        <f>HEX2DEC(RIGHT(Table13232127[[#This Row],[h2]],8))</f>
        <v>0</v>
      </c>
    </row>
    <row r="753" spans="1:18">
      <c r="A753" s="15" t="str">
        <f t="shared" si="16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1" t="s">
        <v>75</v>
      </c>
      <c r="P753" s="41">
        <f>HEX2DEC(RIGHT(Table13232127[[#This Row],[h1]],8))</f>
        <v>0</v>
      </c>
      <c r="Q753" s="41" t="s">
        <v>75</v>
      </c>
      <c r="R753" s="41">
        <f>HEX2DEC(RIGHT(Table13232127[[#This Row],[h2]],8))</f>
        <v>0</v>
      </c>
    </row>
    <row r="754" spans="1:18">
      <c r="A754" s="15" t="str">
        <f t="shared" si="16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1" t="s">
        <v>75</v>
      </c>
      <c r="P754" s="41">
        <f>HEX2DEC(RIGHT(Table13232127[[#This Row],[h1]],8))</f>
        <v>0</v>
      </c>
      <c r="Q754" s="41" t="s">
        <v>75</v>
      </c>
      <c r="R754" s="41">
        <f>HEX2DEC(RIGHT(Table13232127[[#This Row],[h2]],8))</f>
        <v>0</v>
      </c>
    </row>
    <row r="755" spans="1:18">
      <c r="A755" s="15" t="str">
        <f t="shared" si="16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1" t="s">
        <v>75</v>
      </c>
      <c r="P755" s="41">
        <f>HEX2DEC(RIGHT(Table13232127[[#This Row],[h1]],8))</f>
        <v>0</v>
      </c>
      <c r="Q755" s="41" t="s">
        <v>75</v>
      </c>
      <c r="R755" s="41">
        <f>HEX2DEC(RIGHT(Table13232127[[#This Row],[h2]],8))</f>
        <v>0</v>
      </c>
    </row>
    <row r="756" spans="1:18">
      <c r="A756" s="15" t="str">
        <f t="shared" si="16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1" t="s">
        <v>75</v>
      </c>
      <c r="P756" s="41">
        <f>HEX2DEC(RIGHT(Table13232127[[#This Row],[h1]],8))</f>
        <v>0</v>
      </c>
      <c r="Q756" s="41" t="s">
        <v>75</v>
      </c>
      <c r="R756" s="41">
        <f>HEX2DEC(RIGHT(Table13232127[[#This Row],[h2]],8))</f>
        <v>0</v>
      </c>
    </row>
    <row r="757" spans="1:18">
      <c r="A757" s="15" t="str">
        <f t="shared" si="16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1" t="s">
        <v>75</v>
      </c>
      <c r="P757" s="41">
        <f>HEX2DEC(RIGHT(Table13232127[[#This Row],[h1]],8))</f>
        <v>0</v>
      </c>
      <c r="Q757" s="41" t="s">
        <v>75</v>
      </c>
      <c r="R757" s="41">
        <f>HEX2DEC(RIGHT(Table13232127[[#This Row],[h2]],8))</f>
        <v>0</v>
      </c>
    </row>
    <row r="758" spans="1:18">
      <c r="A758" s="15" t="str">
        <f t="shared" si="16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1" t="s">
        <v>75</v>
      </c>
      <c r="P758" s="41">
        <f>HEX2DEC(RIGHT(Table13232127[[#This Row],[h1]],8))</f>
        <v>0</v>
      </c>
      <c r="Q758" s="41" t="s">
        <v>75</v>
      </c>
      <c r="R758" s="41">
        <f>HEX2DEC(RIGHT(Table13232127[[#This Row],[h2]],8))</f>
        <v>0</v>
      </c>
    </row>
    <row r="759" spans="1:18">
      <c r="A759" s="15" t="str">
        <f t="shared" si="16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1" t="s">
        <v>75</v>
      </c>
      <c r="P759" s="41">
        <f>HEX2DEC(RIGHT(Table13232127[[#This Row],[h1]],8))</f>
        <v>0</v>
      </c>
      <c r="Q759" s="41" t="s">
        <v>75</v>
      </c>
      <c r="R759" s="41">
        <f>HEX2DEC(RIGHT(Table13232127[[#This Row],[h2]],8))</f>
        <v>0</v>
      </c>
    </row>
    <row r="760" spans="1:18">
      <c r="A760" s="15" t="str">
        <f t="shared" si="16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1" t="s">
        <v>75</v>
      </c>
      <c r="P760" s="41">
        <f>HEX2DEC(RIGHT(Table13232127[[#This Row],[h1]],8))</f>
        <v>0</v>
      </c>
      <c r="Q760" s="41" t="s">
        <v>75</v>
      </c>
      <c r="R760" s="41">
        <f>HEX2DEC(RIGHT(Table13232127[[#This Row],[h2]],8))</f>
        <v>0</v>
      </c>
    </row>
    <row r="761" spans="1:18">
      <c r="A761" s="15" t="str">
        <f t="shared" si="16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1" t="s">
        <v>75</v>
      </c>
      <c r="P761" s="41">
        <f>HEX2DEC(RIGHT(Table13232127[[#This Row],[h1]],8))</f>
        <v>0</v>
      </c>
      <c r="Q761" s="41" t="s">
        <v>75</v>
      </c>
      <c r="R761" s="41">
        <f>HEX2DEC(RIGHT(Table13232127[[#This Row],[h2]],8))</f>
        <v>0</v>
      </c>
    </row>
    <row r="762" spans="1:18">
      <c r="A762" s="15" t="str">
        <f t="shared" si="16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1" t="s">
        <v>75</v>
      </c>
      <c r="P762" s="41">
        <f>HEX2DEC(RIGHT(Table13232127[[#This Row],[h1]],8))</f>
        <v>0</v>
      </c>
      <c r="Q762" s="41" t="s">
        <v>75</v>
      </c>
      <c r="R762" s="41">
        <f>HEX2DEC(RIGHT(Table13232127[[#This Row],[h2]],8))</f>
        <v>0</v>
      </c>
    </row>
    <row r="763" spans="1:18">
      <c r="A763" s="15" t="str">
        <f t="shared" si="16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1" t="s">
        <v>75</v>
      </c>
      <c r="P763" s="41">
        <f>HEX2DEC(RIGHT(Table13232127[[#This Row],[h1]],8))</f>
        <v>0</v>
      </c>
      <c r="Q763" s="41" t="s">
        <v>75</v>
      </c>
      <c r="R763" s="41">
        <f>HEX2DEC(RIGHT(Table13232127[[#This Row],[h2]],8))</f>
        <v>0</v>
      </c>
    </row>
    <row r="764" spans="1:18">
      <c r="A764" s="15" t="str">
        <f t="shared" si="16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1" t="s">
        <v>75</v>
      </c>
      <c r="P764" s="41">
        <f>HEX2DEC(RIGHT(Table13232127[[#This Row],[h1]],8))</f>
        <v>0</v>
      </c>
      <c r="Q764" s="41" t="s">
        <v>75</v>
      </c>
      <c r="R764" s="41">
        <f>HEX2DEC(RIGHT(Table13232127[[#This Row],[h2]],8))</f>
        <v>0</v>
      </c>
    </row>
    <row r="765" spans="1:18">
      <c r="A765" s="15" t="str">
        <f t="shared" si="16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1" t="s">
        <v>75</v>
      </c>
      <c r="P765" s="41">
        <f>HEX2DEC(RIGHT(Table13232127[[#This Row],[h1]],8))</f>
        <v>0</v>
      </c>
      <c r="Q765" s="41" t="s">
        <v>75</v>
      </c>
      <c r="R765" s="41">
        <f>HEX2DEC(RIGHT(Table13232127[[#This Row],[h2]],8))</f>
        <v>0</v>
      </c>
    </row>
    <row r="766" spans="1:18">
      <c r="A766" s="15" t="str">
        <f t="shared" si="16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1" t="s">
        <v>75</v>
      </c>
      <c r="P766" s="41">
        <f>HEX2DEC(RIGHT(Table13232127[[#This Row],[h1]],8))</f>
        <v>0</v>
      </c>
      <c r="Q766" s="41" t="s">
        <v>75</v>
      </c>
      <c r="R766" s="41">
        <f>HEX2DEC(RIGHT(Table13232127[[#This Row],[h2]],8))</f>
        <v>0</v>
      </c>
    </row>
    <row r="767" spans="1:18">
      <c r="A767" s="15" t="str">
        <f t="shared" si="16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1" t="s">
        <v>75</v>
      </c>
      <c r="P767" s="41">
        <f>HEX2DEC(RIGHT(Table13232127[[#This Row],[h1]],8))</f>
        <v>0</v>
      </c>
      <c r="Q767" s="41" t="s">
        <v>75</v>
      </c>
      <c r="R767" s="41">
        <f>HEX2DEC(RIGHT(Table13232127[[#This Row],[h2]],8))</f>
        <v>0</v>
      </c>
    </row>
    <row r="768" spans="1:18">
      <c r="A768" s="15" t="str">
        <f t="shared" si="16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1" t="s">
        <v>75</v>
      </c>
      <c r="P768" s="41">
        <f>HEX2DEC(RIGHT(Table13232127[[#This Row],[h1]],8))</f>
        <v>0</v>
      </c>
      <c r="Q768" s="41" t="s">
        <v>75</v>
      </c>
      <c r="R768" s="41">
        <f>HEX2DEC(RIGHT(Table13232127[[#This Row],[h2]],8))</f>
        <v>0</v>
      </c>
    </row>
    <row r="769" spans="1:18">
      <c r="A769" s="15" t="str">
        <f t="shared" si="16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1" t="s">
        <v>75</v>
      </c>
      <c r="P769" s="41">
        <f>HEX2DEC(RIGHT(Table13232127[[#This Row],[h1]],8))</f>
        <v>0</v>
      </c>
      <c r="Q769" s="41" t="s">
        <v>75</v>
      </c>
      <c r="R769" s="41">
        <f>HEX2DEC(RIGHT(Table13232127[[#This Row],[h2]],8))</f>
        <v>0</v>
      </c>
    </row>
    <row r="770" spans="1:18">
      <c r="A770" s="15" t="str">
        <f t="shared" si="16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1" t="s">
        <v>75</v>
      </c>
      <c r="P770" s="41">
        <f>HEX2DEC(RIGHT(Table13232127[[#This Row],[h1]],8))</f>
        <v>0</v>
      </c>
      <c r="Q770" s="41" t="s">
        <v>75</v>
      </c>
      <c r="R770" s="41">
        <f>HEX2DEC(RIGHT(Table13232127[[#This Row],[h2]],8))</f>
        <v>0</v>
      </c>
    </row>
    <row r="771" spans="1:18">
      <c r="A771" s="15" t="str">
        <f t="shared" si="16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1" t="s">
        <v>75</v>
      </c>
      <c r="P771" s="41">
        <f>HEX2DEC(RIGHT(Table13232127[[#This Row],[h1]],8))</f>
        <v>0</v>
      </c>
      <c r="Q771" s="41" t="s">
        <v>75</v>
      </c>
      <c r="R771" s="41">
        <f>HEX2DEC(RIGHT(Table13232127[[#This Row],[h2]],8))</f>
        <v>0</v>
      </c>
    </row>
    <row r="772" spans="1:18">
      <c r="A772" s="15" t="str">
        <f t="shared" si="16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1" t="s">
        <v>75</v>
      </c>
      <c r="P772" s="41">
        <f>HEX2DEC(RIGHT(Table13232127[[#This Row],[h1]],8))</f>
        <v>0</v>
      </c>
      <c r="Q772" s="41" t="s">
        <v>75</v>
      </c>
      <c r="R772" s="41">
        <f>HEX2DEC(RIGHT(Table13232127[[#This Row],[h2]],8))</f>
        <v>0</v>
      </c>
    </row>
    <row r="773" spans="1:18">
      <c r="A773" s="15" t="str">
        <f t="shared" si="16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1" t="s">
        <v>75</v>
      </c>
      <c r="P773" s="41">
        <f>HEX2DEC(RIGHT(Table13232127[[#This Row],[h1]],8))</f>
        <v>0</v>
      </c>
      <c r="Q773" s="41" t="s">
        <v>75</v>
      </c>
      <c r="R773" s="41">
        <f>HEX2DEC(RIGHT(Table13232127[[#This Row],[h2]],8))</f>
        <v>0</v>
      </c>
    </row>
    <row r="774" spans="1:18">
      <c r="A774" s="15" t="str">
        <f t="shared" si="16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1" t="s">
        <v>75</v>
      </c>
      <c r="P774" s="41">
        <f>HEX2DEC(RIGHT(Table13232127[[#This Row],[h1]],8))</f>
        <v>0</v>
      </c>
      <c r="Q774" s="41" t="s">
        <v>75</v>
      </c>
      <c r="R774" s="41">
        <f>HEX2DEC(RIGHT(Table13232127[[#This Row],[h2]],8))</f>
        <v>0</v>
      </c>
    </row>
    <row r="775" spans="1:18">
      <c r="A775" s="15" t="str">
        <f t="shared" si="16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1" t="s">
        <v>75</v>
      </c>
      <c r="P775" s="41">
        <f>HEX2DEC(RIGHT(Table13232127[[#This Row],[h1]],8))</f>
        <v>0</v>
      </c>
      <c r="Q775" s="41" t="s">
        <v>75</v>
      </c>
      <c r="R775" s="41">
        <f>HEX2DEC(RIGHT(Table13232127[[#This Row],[h2]],8))</f>
        <v>0</v>
      </c>
    </row>
    <row r="776" spans="1:18">
      <c r="A776" s="15" t="str">
        <f t="shared" si="16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1" t="s">
        <v>75</v>
      </c>
      <c r="P776" s="41">
        <f>HEX2DEC(RIGHT(Table13232127[[#This Row],[h1]],8))</f>
        <v>0</v>
      </c>
      <c r="Q776" s="41" t="s">
        <v>75</v>
      </c>
      <c r="R776" s="41">
        <f>HEX2DEC(RIGHT(Table13232127[[#This Row],[h2]],8))</f>
        <v>0</v>
      </c>
    </row>
    <row r="777" spans="1:18">
      <c r="A777" s="15" t="str">
        <f t="shared" si="16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1" t="s">
        <v>75</v>
      </c>
      <c r="P777" s="41">
        <f>HEX2DEC(RIGHT(Table13232127[[#This Row],[h1]],8))</f>
        <v>0</v>
      </c>
      <c r="Q777" s="41" t="s">
        <v>75</v>
      </c>
      <c r="R777" s="41">
        <f>HEX2DEC(RIGHT(Table13232127[[#This Row],[h2]],8))</f>
        <v>0</v>
      </c>
    </row>
    <row r="778" spans="1:18">
      <c r="A778" s="15" t="str">
        <f t="shared" si="16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1" t="s">
        <v>75</v>
      </c>
      <c r="P778" s="41">
        <f>HEX2DEC(RIGHT(Table13232127[[#This Row],[h1]],8))</f>
        <v>0</v>
      </c>
      <c r="Q778" s="41" t="s">
        <v>75</v>
      </c>
      <c r="R778" s="41">
        <f>HEX2DEC(RIGHT(Table13232127[[#This Row],[h2]],8))</f>
        <v>0</v>
      </c>
    </row>
    <row r="779" spans="1:18">
      <c r="A779" s="15" t="str">
        <f t="shared" ref="A779:A842" si="17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1" t="s">
        <v>75</v>
      </c>
      <c r="P779" s="41">
        <f>HEX2DEC(RIGHT(Table13232127[[#This Row],[h1]],8))</f>
        <v>0</v>
      </c>
      <c r="Q779" s="41" t="s">
        <v>75</v>
      </c>
      <c r="R779" s="41">
        <f>HEX2DEC(RIGHT(Table13232127[[#This Row],[h2]],8))</f>
        <v>0</v>
      </c>
    </row>
    <row r="780" spans="1:18">
      <c r="A780" s="15" t="str">
        <f t="shared" si="17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1" t="s">
        <v>75</v>
      </c>
      <c r="P780" s="41">
        <f>HEX2DEC(RIGHT(Table13232127[[#This Row],[h1]],8))</f>
        <v>0</v>
      </c>
      <c r="Q780" s="41" t="s">
        <v>75</v>
      </c>
      <c r="R780" s="41">
        <f>HEX2DEC(RIGHT(Table13232127[[#This Row],[h2]],8))</f>
        <v>0</v>
      </c>
    </row>
    <row r="781" spans="1:18">
      <c r="A781" s="15" t="str">
        <f t="shared" si="17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1" t="s">
        <v>75</v>
      </c>
      <c r="P781" s="41">
        <f>HEX2DEC(RIGHT(Table13232127[[#This Row],[h1]],8))</f>
        <v>0</v>
      </c>
      <c r="Q781" s="41" t="s">
        <v>75</v>
      </c>
      <c r="R781" s="41">
        <f>HEX2DEC(RIGHT(Table13232127[[#This Row],[h2]],8))</f>
        <v>0</v>
      </c>
    </row>
    <row r="782" spans="1:18">
      <c r="A782" s="15" t="str">
        <f t="shared" si="17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1" t="s">
        <v>75</v>
      </c>
      <c r="P782" s="41">
        <f>HEX2DEC(RIGHT(Table13232127[[#This Row],[h1]],8))</f>
        <v>0</v>
      </c>
      <c r="Q782" s="41" t="s">
        <v>75</v>
      </c>
      <c r="R782" s="41">
        <f>HEX2DEC(RIGHT(Table13232127[[#This Row],[h2]],8))</f>
        <v>0</v>
      </c>
    </row>
    <row r="783" spans="1:18">
      <c r="A783" s="15" t="str">
        <f t="shared" si="17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1" t="s">
        <v>75</v>
      </c>
      <c r="P783" s="41">
        <f>HEX2DEC(RIGHT(Table13232127[[#This Row],[h1]],8))</f>
        <v>0</v>
      </c>
      <c r="Q783" s="41" t="s">
        <v>75</v>
      </c>
      <c r="R783" s="41">
        <f>HEX2DEC(RIGHT(Table13232127[[#This Row],[h2]],8))</f>
        <v>0</v>
      </c>
    </row>
    <row r="784" spans="1:18">
      <c r="A784" s="15" t="str">
        <f t="shared" si="17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1" t="s">
        <v>75</v>
      </c>
      <c r="P784" s="41">
        <f>HEX2DEC(RIGHT(Table13232127[[#This Row],[h1]],8))</f>
        <v>0</v>
      </c>
      <c r="Q784" s="41" t="s">
        <v>75</v>
      </c>
      <c r="R784" s="41">
        <f>HEX2DEC(RIGHT(Table13232127[[#This Row],[h2]],8))</f>
        <v>0</v>
      </c>
    </row>
    <row r="785" spans="1:18">
      <c r="A785" s="15" t="str">
        <f t="shared" si="17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1" t="s">
        <v>75</v>
      </c>
      <c r="P785" s="41">
        <f>HEX2DEC(RIGHT(Table13232127[[#This Row],[h1]],8))</f>
        <v>0</v>
      </c>
      <c r="Q785" s="41" t="s">
        <v>75</v>
      </c>
      <c r="R785" s="41">
        <f>HEX2DEC(RIGHT(Table13232127[[#This Row],[h2]],8))</f>
        <v>0</v>
      </c>
    </row>
    <row r="786" spans="1:18">
      <c r="A786" s="15" t="str">
        <f t="shared" si="17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1" t="s">
        <v>75</v>
      </c>
      <c r="P786" s="41">
        <f>HEX2DEC(RIGHT(Table13232127[[#This Row],[h1]],8))</f>
        <v>0</v>
      </c>
      <c r="Q786" s="41" t="s">
        <v>75</v>
      </c>
      <c r="R786" s="41">
        <f>HEX2DEC(RIGHT(Table13232127[[#This Row],[h2]],8))</f>
        <v>0</v>
      </c>
    </row>
    <row r="787" spans="1:18">
      <c r="A787" s="15" t="str">
        <f t="shared" si="17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1" t="s">
        <v>75</v>
      </c>
      <c r="P787" s="41">
        <f>HEX2DEC(RIGHT(Table13232127[[#This Row],[h1]],8))</f>
        <v>0</v>
      </c>
      <c r="Q787" s="41" t="s">
        <v>75</v>
      </c>
      <c r="R787" s="41">
        <f>HEX2DEC(RIGHT(Table13232127[[#This Row],[h2]],8))</f>
        <v>0</v>
      </c>
    </row>
    <row r="788" spans="1:18">
      <c r="A788" s="15" t="str">
        <f t="shared" si="17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1" t="s">
        <v>75</v>
      </c>
      <c r="P788" s="41">
        <f>HEX2DEC(RIGHT(Table13232127[[#This Row],[h1]],8))</f>
        <v>0</v>
      </c>
      <c r="Q788" s="41" t="s">
        <v>75</v>
      </c>
      <c r="R788" s="41">
        <f>HEX2DEC(RIGHT(Table13232127[[#This Row],[h2]],8))</f>
        <v>0</v>
      </c>
    </row>
    <row r="789" spans="1:18">
      <c r="A789" s="15" t="str">
        <f t="shared" si="17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1" t="s">
        <v>75</v>
      </c>
      <c r="P789" s="41">
        <f>HEX2DEC(RIGHT(Table13232127[[#This Row],[h1]],8))</f>
        <v>0</v>
      </c>
      <c r="Q789" s="41" t="s">
        <v>75</v>
      </c>
      <c r="R789" s="41">
        <f>HEX2DEC(RIGHT(Table13232127[[#This Row],[h2]],8))</f>
        <v>0</v>
      </c>
    </row>
    <row r="790" spans="1:18">
      <c r="A790" s="15" t="str">
        <f t="shared" si="17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1" t="s">
        <v>75</v>
      </c>
      <c r="P790" s="41">
        <f>HEX2DEC(RIGHT(Table13232127[[#This Row],[h1]],8))</f>
        <v>0</v>
      </c>
      <c r="Q790" s="41" t="s">
        <v>75</v>
      </c>
      <c r="R790" s="41">
        <f>HEX2DEC(RIGHT(Table13232127[[#This Row],[h2]],8))</f>
        <v>0</v>
      </c>
    </row>
    <row r="791" spans="1:18">
      <c r="A791" s="15" t="str">
        <f t="shared" si="17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1" t="s">
        <v>75</v>
      </c>
      <c r="P791" s="41">
        <f>HEX2DEC(RIGHT(Table13232127[[#This Row],[h1]],8))</f>
        <v>0</v>
      </c>
      <c r="Q791" s="41" t="s">
        <v>75</v>
      </c>
      <c r="R791" s="41">
        <f>HEX2DEC(RIGHT(Table13232127[[#This Row],[h2]],8))</f>
        <v>0</v>
      </c>
    </row>
    <row r="792" spans="1:18">
      <c r="A792" s="15" t="str">
        <f t="shared" si="17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1" t="s">
        <v>75</v>
      </c>
      <c r="P792" s="41">
        <f>HEX2DEC(RIGHT(Table13232127[[#This Row],[h1]],8))</f>
        <v>0</v>
      </c>
      <c r="Q792" s="41" t="s">
        <v>75</v>
      </c>
      <c r="R792" s="41">
        <f>HEX2DEC(RIGHT(Table13232127[[#This Row],[h2]],8))</f>
        <v>0</v>
      </c>
    </row>
    <row r="793" spans="1:18">
      <c r="A793" s="15" t="str">
        <f t="shared" si="17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1" t="s">
        <v>75</v>
      </c>
      <c r="P793" s="41">
        <f>HEX2DEC(RIGHT(Table13232127[[#This Row],[h1]],8))</f>
        <v>0</v>
      </c>
      <c r="Q793" s="41" t="s">
        <v>75</v>
      </c>
      <c r="R793" s="41">
        <f>HEX2DEC(RIGHT(Table13232127[[#This Row],[h2]],8))</f>
        <v>0</v>
      </c>
    </row>
    <row r="794" spans="1:18">
      <c r="A794" s="15" t="str">
        <f t="shared" si="17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1" t="s">
        <v>75</v>
      </c>
      <c r="P794" s="41">
        <f>HEX2DEC(RIGHT(Table13232127[[#This Row],[h1]],8))</f>
        <v>0</v>
      </c>
      <c r="Q794" s="41" t="s">
        <v>75</v>
      </c>
      <c r="R794" s="41">
        <f>HEX2DEC(RIGHT(Table13232127[[#This Row],[h2]],8))</f>
        <v>0</v>
      </c>
    </row>
    <row r="795" spans="1:18">
      <c r="A795" s="15" t="str">
        <f t="shared" si="17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1" t="s">
        <v>75</v>
      </c>
      <c r="P795" s="41">
        <f>HEX2DEC(RIGHT(Table13232127[[#This Row],[h1]],8))</f>
        <v>0</v>
      </c>
      <c r="Q795" s="41" t="s">
        <v>75</v>
      </c>
      <c r="R795" s="41">
        <f>HEX2DEC(RIGHT(Table13232127[[#This Row],[h2]],8))</f>
        <v>0</v>
      </c>
    </row>
    <row r="796" spans="1:18">
      <c r="A796" s="15" t="str">
        <f t="shared" si="17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1" t="s">
        <v>75</v>
      </c>
      <c r="P796" s="41">
        <f>HEX2DEC(RIGHT(Table13232127[[#This Row],[h1]],8))</f>
        <v>0</v>
      </c>
      <c r="Q796" s="41" t="s">
        <v>75</v>
      </c>
      <c r="R796" s="41">
        <f>HEX2DEC(RIGHT(Table13232127[[#This Row],[h2]],8))</f>
        <v>0</v>
      </c>
    </row>
    <row r="797" spans="1:18">
      <c r="A797" s="15" t="str">
        <f t="shared" si="17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1" t="s">
        <v>75</v>
      </c>
      <c r="P797" s="41">
        <f>HEX2DEC(RIGHT(Table13232127[[#This Row],[h1]],8))</f>
        <v>0</v>
      </c>
      <c r="Q797" s="41" t="s">
        <v>75</v>
      </c>
      <c r="R797" s="41">
        <f>HEX2DEC(RIGHT(Table13232127[[#This Row],[h2]],8))</f>
        <v>0</v>
      </c>
    </row>
    <row r="798" spans="1:18">
      <c r="A798" s="15" t="str">
        <f t="shared" si="17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1" t="s">
        <v>75</v>
      </c>
      <c r="P798" s="41">
        <f>HEX2DEC(RIGHT(Table13232127[[#This Row],[h1]],8))</f>
        <v>0</v>
      </c>
      <c r="Q798" s="41" t="s">
        <v>75</v>
      </c>
      <c r="R798" s="41">
        <f>HEX2DEC(RIGHT(Table13232127[[#This Row],[h2]],8))</f>
        <v>0</v>
      </c>
    </row>
    <row r="799" spans="1:18">
      <c r="A799" s="15" t="str">
        <f t="shared" si="17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1" t="s">
        <v>75</v>
      </c>
      <c r="P799" s="41">
        <f>HEX2DEC(RIGHT(Table13232127[[#This Row],[h1]],8))</f>
        <v>0</v>
      </c>
      <c r="Q799" s="41" t="s">
        <v>75</v>
      </c>
      <c r="R799" s="41">
        <f>HEX2DEC(RIGHT(Table13232127[[#This Row],[h2]],8))</f>
        <v>0</v>
      </c>
    </row>
    <row r="800" spans="1:18">
      <c r="A800" s="15" t="str">
        <f t="shared" si="17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1" t="s">
        <v>75</v>
      </c>
      <c r="P800" s="41">
        <f>HEX2DEC(RIGHT(Table13232127[[#This Row],[h1]],8))</f>
        <v>0</v>
      </c>
      <c r="Q800" s="41" t="s">
        <v>75</v>
      </c>
      <c r="R800" s="41">
        <f>HEX2DEC(RIGHT(Table13232127[[#This Row],[h2]],8))</f>
        <v>0</v>
      </c>
    </row>
    <row r="801" spans="1:18">
      <c r="A801" s="15" t="str">
        <f t="shared" si="17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1" t="s">
        <v>75</v>
      </c>
      <c r="P801" s="41">
        <f>HEX2DEC(RIGHT(Table13232127[[#This Row],[h1]],8))</f>
        <v>0</v>
      </c>
      <c r="Q801" s="41" t="s">
        <v>75</v>
      </c>
      <c r="R801" s="41">
        <f>HEX2DEC(RIGHT(Table13232127[[#This Row],[h2]],8))</f>
        <v>0</v>
      </c>
    </row>
    <row r="802" spans="1:18">
      <c r="A802" s="15" t="str">
        <f t="shared" si="17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1" t="s">
        <v>75</v>
      </c>
      <c r="P802" s="41">
        <f>HEX2DEC(RIGHT(Table13232127[[#This Row],[h1]],8))</f>
        <v>0</v>
      </c>
      <c r="Q802" s="41" t="s">
        <v>75</v>
      </c>
      <c r="R802" s="41">
        <f>HEX2DEC(RIGHT(Table13232127[[#This Row],[h2]],8))</f>
        <v>0</v>
      </c>
    </row>
    <row r="803" spans="1:18">
      <c r="A803" s="15" t="str">
        <f t="shared" si="17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1" t="s">
        <v>75</v>
      </c>
      <c r="P803" s="41">
        <f>HEX2DEC(RIGHT(Table13232127[[#This Row],[h1]],8))</f>
        <v>0</v>
      </c>
      <c r="Q803" s="41" t="s">
        <v>75</v>
      </c>
      <c r="R803" s="41">
        <f>HEX2DEC(RIGHT(Table13232127[[#This Row],[h2]],8))</f>
        <v>0</v>
      </c>
    </row>
    <row r="804" spans="1:18">
      <c r="A804" s="15" t="str">
        <f t="shared" si="17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1" t="s">
        <v>75</v>
      </c>
      <c r="P804" s="41">
        <f>HEX2DEC(RIGHT(Table13232127[[#This Row],[h1]],8))</f>
        <v>0</v>
      </c>
      <c r="Q804" s="41" t="s">
        <v>75</v>
      </c>
      <c r="R804" s="41">
        <f>HEX2DEC(RIGHT(Table13232127[[#This Row],[h2]],8))</f>
        <v>0</v>
      </c>
    </row>
    <row r="805" spans="1:18">
      <c r="A805" s="15" t="str">
        <f t="shared" si="17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1" t="s">
        <v>75</v>
      </c>
      <c r="P805" s="41">
        <f>HEX2DEC(RIGHT(Table13232127[[#This Row],[h1]],8))</f>
        <v>0</v>
      </c>
      <c r="Q805" s="41" t="s">
        <v>75</v>
      </c>
      <c r="R805" s="41">
        <f>HEX2DEC(RIGHT(Table13232127[[#This Row],[h2]],8))</f>
        <v>0</v>
      </c>
    </row>
    <row r="806" spans="1:18">
      <c r="A806" s="15" t="str">
        <f t="shared" si="17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1" t="s">
        <v>75</v>
      </c>
      <c r="P806" s="41">
        <f>HEX2DEC(RIGHT(Table13232127[[#This Row],[h1]],8))</f>
        <v>0</v>
      </c>
      <c r="Q806" s="41" t="s">
        <v>75</v>
      </c>
      <c r="R806" s="41">
        <f>HEX2DEC(RIGHT(Table13232127[[#This Row],[h2]],8))</f>
        <v>0</v>
      </c>
    </row>
    <row r="807" spans="1:18">
      <c r="A807" s="15" t="str">
        <f t="shared" si="17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1" t="s">
        <v>75</v>
      </c>
      <c r="P807" s="41">
        <f>HEX2DEC(RIGHT(Table13232127[[#This Row],[h1]],8))</f>
        <v>0</v>
      </c>
      <c r="Q807" s="41" t="s">
        <v>75</v>
      </c>
      <c r="R807" s="41">
        <f>HEX2DEC(RIGHT(Table13232127[[#This Row],[h2]],8))</f>
        <v>0</v>
      </c>
    </row>
    <row r="808" spans="1:18">
      <c r="A808" s="15" t="str">
        <f t="shared" si="17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1" t="s">
        <v>75</v>
      </c>
      <c r="P808" s="41">
        <f>HEX2DEC(RIGHT(Table13232127[[#This Row],[h1]],8))</f>
        <v>0</v>
      </c>
      <c r="Q808" s="41" t="s">
        <v>75</v>
      </c>
      <c r="R808" s="41">
        <f>HEX2DEC(RIGHT(Table13232127[[#This Row],[h2]],8))</f>
        <v>0</v>
      </c>
    </row>
    <row r="809" spans="1:18">
      <c r="A809" s="15" t="str">
        <f t="shared" si="17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1" t="s">
        <v>75</v>
      </c>
      <c r="P809" s="41">
        <f>HEX2DEC(RIGHT(Table13232127[[#This Row],[h1]],8))</f>
        <v>0</v>
      </c>
      <c r="Q809" s="41" t="s">
        <v>75</v>
      </c>
      <c r="R809" s="41">
        <f>HEX2DEC(RIGHT(Table13232127[[#This Row],[h2]],8))</f>
        <v>0</v>
      </c>
    </row>
    <row r="810" spans="1:18">
      <c r="A810" s="15" t="str">
        <f t="shared" si="17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1" t="s">
        <v>75</v>
      </c>
      <c r="P810" s="41">
        <f>HEX2DEC(RIGHT(Table13232127[[#This Row],[h1]],8))</f>
        <v>0</v>
      </c>
      <c r="Q810" s="41" t="s">
        <v>75</v>
      </c>
      <c r="R810" s="41">
        <f>HEX2DEC(RIGHT(Table13232127[[#This Row],[h2]],8))</f>
        <v>0</v>
      </c>
    </row>
    <row r="811" spans="1:18">
      <c r="A811" s="15" t="str">
        <f t="shared" si="17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1" t="s">
        <v>75</v>
      </c>
      <c r="P811" s="41">
        <f>HEX2DEC(RIGHT(Table13232127[[#This Row],[h1]],8))</f>
        <v>0</v>
      </c>
      <c r="Q811" s="41" t="s">
        <v>75</v>
      </c>
      <c r="R811" s="41">
        <f>HEX2DEC(RIGHT(Table13232127[[#This Row],[h2]],8))</f>
        <v>0</v>
      </c>
    </row>
    <row r="812" spans="1:18">
      <c r="A812" s="15" t="str">
        <f t="shared" si="17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1" t="s">
        <v>75</v>
      </c>
      <c r="P812" s="41">
        <f>HEX2DEC(RIGHT(Table13232127[[#This Row],[h1]],8))</f>
        <v>0</v>
      </c>
      <c r="Q812" s="41" t="s">
        <v>75</v>
      </c>
      <c r="R812" s="41">
        <f>HEX2DEC(RIGHT(Table13232127[[#This Row],[h2]],8))</f>
        <v>0</v>
      </c>
    </row>
    <row r="813" spans="1:18">
      <c r="A813" s="15" t="str">
        <f t="shared" si="17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1" t="s">
        <v>75</v>
      </c>
      <c r="P813" s="41">
        <f>HEX2DEC(RIGHT(Table13232127[[#This Row],[h1]],8))</f>
        <v>0</v>
      </c>
      <c r="Q813" s="41" t="s">
        <v>75</v>
      </c>
      <c r="R813" s="41">
        <f>HEX2DEC(RIGHT(Table13232127[[#This Row],[h2]],8))</f>
        <v>0</v>
      </c>
    </row>
    <row r="814" spans="1:18">
      <c r="A814" s="15" t="str">
        <f t="shared" si="17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1" t="s">
        <v>75</v>
      </c>
      <c r="P814" s="41">
        <f>HEX2DEC(RIGHT(Table13232127[[#This Row],[h1]],8))</f>
        <v>0</v>
      </c>
      <c r="Q814" s="41" t="s">
        <v>75</v>
      </c>
      <c r="R814" s="41">
        <f>HEX2DEC(RIGHT(Table13232127[[#This Row],[h2]],8))</f>
        <v>0</v>
      </c>
    </row>
    <row r="815" spans="1:18">
      <c r="A815" s="15" t="str">
        <f t="shared" si="17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1" t="s">
        <v>75</v>
      </c>
      <c r="P815" s="41">
        <f>HEX2DEC(RIGHT(Table13232127[[#This Row],[h1]],8))</f>
        <v>0</v>
      </c>
      <c r="Q815" s="41" t="s">
        <v>75</v>
      </c>
      <c r="R815" s="41">
        <f>HEX2DEC(RIGHT(Table13232127[[#This Row],[h2]],8))</f>
        <v>0</v>
      </c>
    </row>
    <row r="816" spans="1:18">
      <c r="A816" s="15" t="str">
        <f t="shared" si="17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1" t="s">
        <v>75</v>
      </c>
      <c r="P816" s="41">
        <f>HEX2DEC(RIGHT(Table13232127[[#This Row],[h1]],8))</f>
        <v>0</v>
      </c>
      <c r="Q816" s="41" t="s">
        <v>75</v>
      </c>
      <c r="R816" s="41">
        <f>HEX2DEC(RIGHT(Table13232127[[#This Row],[h2]],8))</f>
        <v>0</v>
      </c>
    </row>
    <row r="817" spans="1:18">
      <c r="A817" s="15" t="str">
        <f t="shared" si="17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1" t="s">
        <v>75</v>
      </c>
      <c r="P817" s="41">
        <f>HEX2DEC(RIGHT(Table13232127[[#This Row],[h1]],8))</f>
        <v>0</v>
      </c>
      <c r="Q817" s="41" t="s">
        <v>75</v>
      </c>
      <c r="R817" s="41">
        <f>HEX2DEC(RIGHT(Table13232127[[#This Row],[h2]],8))</f>
        <v>0</v>
      </c>
    </row>
    <row r="818" spans="1:18">
      <c r="A818" s="15" t="str">
        <f t="shared" si="17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1" t="s">
        <v>75</v>
      </c>
      <c r="P818" s="41">
        <f>HEX2DEC(RIGHT(Table13232127[[#This Row],[h1]],8))</f>
        <v>0</v>
      </c>
      <c r="Q818" s="41" t="s">
        <v>75</v>
      </c>
      <c r="R818" s="41">
        <f>HEX2DEC(RIGHT(Table13232127[[#This Row],[h2]],8))</f>
        <v>0</v>
      </c>
    </row>
    <row r="819" spans="1:18">
      <c r="A819" s="15" t="str">
        <f t="shared" si="17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1" t="s">
        <v>75</v>
      </c>
      <c r="P819" s="41">
        <f>HEX2DEC(RIGHT(Table13232127[[#This Row],[h1]],8))</f>
        <v>0</v>
      </c>
      <c r="Q819" s="41" t="s">
        <v>75</v>
      </c>
      <c r="R819" s="41">
        <f>HEX2DEC(RIGHT(Table13232127[[#This Row],[h2]],8))</f>
        <v>0</v>
      </c>
    </row>
    <row r="820" spans="1:18">
      <c r="A820" s="15" t="str">
        <f t="shared" si="17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1" t="s">
        <v>75</v>
      </c>
      <c r="P820" s="41">
        <f>HEX2DEC(RIGHT(Table13232127[[#This Row],[h1]],8))</f>
        <v>0</v>
      </c>
      <c r="Q820" s="41" t="s">
        <v>75</v>
      </c>
      <c r="R820" s="41">
        <f>HEX2DEC(RIGHT(Table13232127[[#This Row],[h2]],8))</f>
        <v>0</v>
      </c>
    </row>
    <row r="821" spans="1:18">
      <c r="A821" s="15" t="str">
        <f t="shared" si="17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1" t="s">
        <v>75</v>
      </c>
      <c r="P821" s="41">
        <f>HEX2DEC(RIGHT(Table13232127[[#This Row],[h1]],8))</f>
        <v>0</v>
      </c>
      <c r="Q821" s="41" t="s">
        <v>75</v>
      </c>
      <c r="R821" s="41">
        <f>HEX2DEC(RIGHT(Table13232127[[#This Row],[h2]],8))</f>
        <v>0</v>
      </c>
    </row>
    <row r="822" spans="1:18">
      <c r="A822" s="15" t="str">
        <f t="shared" si="17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1" t="s">
        <v>75</v>
      </c>
      <c r="P822" s="41">
        <f>HEX2DEC(RIGHT(Table13232127[[#This Row],[h1]],8))</f>
        <v>0</v>
      </c>
      <c r="Q822" s="41" t="s">
        <v>75</v>
      </c>
      <c r="R822" s="41">
        <f>HEX2DEC(RIGHT(Table13232127[[#This Row],[h2]],8))</f>
        <v>0</v>
      </c>
    </row>
    <row r="823" spans="1:18">
      <c r="A823" s="15" t="str">
        <f t="shared" si="17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1" t="s">
        <v>75</v>
      </c>
      <c r="P823" s="41">
        <f>HEX2DEC(RIGHT(Table13232127[[#This Row],[h1]],8))</f>
        <v>0</v>
      </c>
      <c r="Q823" s="41" t="s">
        <v>75</v>
      </c>
      <c r="R823" s="41">
        <f>HEX2DEC(RIGHT(Table13232127[[#This Row],[h2]],8))</f>
        <v>0</v>
      </c>
    </row>
    <row r="824" spans="1:18">
      <c r="A824" s="15" t="str">
        <f t="shared" si="17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1" t="s">
        <v>75</v>
      </c>
      <c r="P824" s="41">
        <f>HEX2DEC(RIGHT(Table13232127[[#This Row],[h1]],8))</f>
        <v>0</v>
      </c>
      <c r="Q824" s="41" t="s">
        <v>75</v>
      </c>
      <c r="R824" s="41">
        <f>HEX2DEC(RIGHT(Table13232127[[#This Row],[h2]],8))</f>
        <v>0</v>
      </c>
    </row>
    <row r="825" spans="1:18">
      <c r="A825" s="15" t="str">
        <f t="shared" si="17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1" t="s">
        <v>75</v>
      </c>
      <c r="P825" s="41">
        <f>HEX2DEC(RIGHT(Table13232127[[#This Row],[h1]],8))</f>
        <v>0</v>
      </c>
      <c r="Q825" s="41" t="s">
        <v>75</v>
      </c>
      <c r="R825" s="41">
        <f>HEX2DEC(RIGHT(Table13232127[[#This Row],[h2]],8))</f>
        <v>0</v>
      </c>
    </row>
    <row r="826" spans="1:18">
      <c r="A826" s="15" t="str">
        <f t="shared" si="17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1" t="s">
        <v>75</v>
      </c>
      <c r="P826" s="41">
        <f>HEX2DEC(RIGHT(Table13232127[[#This Row],[h1]],8))</f>
        <v>0</v>
      </c>
      <c r="Q826" s="41" t="s">
        <v>75</v>
      </c>
      <c r="R826" s="41">
        <f>HEX2DEC(RIGHT(Table13232127[[#This Row],[h2]],8))</f>
        <v>0</v>
      </c>
    </row>
    <row r="827" spans="1:18">
      <c r="A827" s="15" t="str">
        <f t="shared" si="17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1" t="s">
        <v>75</v>
      </c>
      <c r="P827" s="41">
        <f>HEX2DEC(RIGHT(Table13232127[[#This Row],[h1]],8))</f>
        <v>0</v>
      </c>
      <c r="Q827" s="41" t="s">
        <v>75</v>
      </c>
      <c r="R827" s="41">
        <f>HEX2DEC(RIGHT(Table13232127[[#This Row],[h2]],8))</f>
        <v>0</v>
      </c>
    </row>
    <row r="828" spans="1:18">
      <c r="A828" s="15" t="str">
        <f t="shared" si="17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1" t="s">
        <v>75</v>
      </c>
      <c r="P828" s="41">
        <f>HEX2DEC(RIGHT(Table13232127[[#This Row],[h1]],8))</f>
        <v>0</v>
      </c>
      <c r="Q828" s="41" t="s">
        <v>75</v>
      </c>
      <c r="R828" s="41">
        <f>HEX2DEC(RIGHT(Table13232127[[#This Row],[h2]],8))</f>
        <v>0</v>
      </c>
    </row>
    <row r="829" spans="1:18">
      <c r="A829" s="15" t="str">
        <f t="shared" si="17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1" t="s">
        <v>75</v>
      </c>
      <c r="P829" s="41">
        <f>HEX2DEC(RIGHT(Table13232127[[#This Row],[h1]],8))</f>
        <v>0</v>
      </c>
      <c r="Q829" s="41" t="s">
        <v>75</v>
      </c>
      <c r="R829" s="41">
        <f>HEX2DEC(RIGHT(Table13232127[[#This Row],[h2]],8))</f>
        <v>0</v>
      </c>
    </row>
    <row r="830" spans="1:18">
      <c r="A830" s="15" t="str">
        <f t="shared" si="17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1" t="s">
        <v>75</v>
      </c>
      <c r="P830" s="41">
        <f>HEX2DEC(RIGHT(Table13232127[[#This Row],[h1]],8))</f>
        <v>0</v>
      </c>
      <c r="Q830" s="41" t="s">
        <v>75</v>
      </c>
      <c r="R830" s="41">
        <f>HEX2DEC(RIGHT(Table13232127[[#This Row],[h2]],8))</f>
        <v>0</v>
      </c>
    </row>
    <row r="831" spans="1:18">
      <c r="A831" s="15" t="str">
        <f t="shared" si="17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1" t="s">
        <v>75</v>
      </c>
      <c r="P831" s="41">
        <f>HEX2DEC(RIGHT(Table13232127[[#This Row],[h1]],8))</f>
        <v>0</v>
      </c>
      <c r="Q831" s="41" t="s">
        <v>75</v>
      </c>
      <c r="R831" s="41">
        <f>HEX2DEC(RIGHT(Table13232127[[#This Row],[h2]],8))</f>
        <v>0</v>
      </c>
    </row>
    <row r="832" spans="1:18">
      <c r="A832" s="15" t="str">
        <f t="shared" si="17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1" t="s">
        <v>75</v>
      </c>
      <c r="P832" s="41">
        <f>HEX2DEC(RIGHT(Table13232127[[#This Row],[h1]],8))</f>
        <v>0</v>
      </c>
      <c r="Q832" s="41" t="s">
        <v>75</v>
      </c>
      <c r="R832" s="41">
        <f>HEX2DEC(RIGHT(Table13232127[[#This Row],[h2]],8))</f>
        <v>0</v>
      </c>
    </row>
    <row r="833" spans="1:18">
      <c r="A833" s="15" t="str">
        <f t="shared" si="17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1" t="s">
        <v>75</v>
      </c>
      <c r="P833" s="41">
        <f>HEX2DEC(RIGHT(Table13232127[[#This Row],[h1]],8))</f>
        <v>0</v>
      </c>
      <c r="Q833" s="41" t="s">
        <v>75</v>
      </c>
      <c r="R833" s="41">
        <f>HEX2DEC(RIGHT(Table13232127[[#This Row],[h2]],8))</f>
        <v>0</v>
      </c>
    </row>
    <row r="834" spans="1:18">
      <c r="A834" s="15" t="str">
        <f t="shared" si="17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1" t="s">
        <v>75</v>
      </c>
      <c r="P834" s="41">
        <f>HEX2DEC(RIGHT(Table13232127[[#This Row],[h1]],8))</f>
        <v>0</v>
      </c>
      <c r="Q834" s="41" t="s">
        <v>75</v>
      </c>
      <c r="R834" s="41">
        <f>HEX2DEC(RIGHT(Table13232127[[#This Row],[h2]],8))</f>
        <v>0</v>
      </c>
    </row>
    <row r="835" spans="1:18">
      <c r="A835" s="15" t="str">
        <f t="shared" si="17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1" t="s">
        <v>75</v>
      </c>
      <c r="P835" s="41">
        <f>HEX2DEC(RIGHT(Table13232127[[#This Row],[h1]],8))</f>
        <v>0</v>
      </c>
      <c r="Q835" s="41" t="s">
        <v>75</v>
      </c>
      <c r="R835" s="41">
        <f>HEX2DEC(RIGHT(Table13232127[[#This Row],[h2]],8))</f>
        <v>0</v>
      </c>
    </row>
    <row r="836" spans="1:18">
      <c r="A836" s="15" t="str">
        <f t="shared" si="17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1" t="s">
        <v>75</v>
      </c>
      <c r="P836" s="41">
        <f>HEX2DEC(RIGHT(Table13232127[[#This Row],[h1]],8))</f>
        <v>0</v>
      </c>
      <c r="Q836" s="41" t="s">
        <v>75</v>
      </c>
      <c r="R836" s="41">
        <f>HEX2DEC(RIGHT(Table13232127[[#This Row],[h2]],8))</f>
        <v>0</v>
      </c>
    </row>
    <row r="837" spans="1:18">
      <c r="A837" s="15" t="str">
        <f t="shared" si="17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1" t="s">
        <v>75</v>
      </c>
      <c r="P837" s="41">
        <f>HEX2DEC(RIGHT(Table13232127[[#This Row],[h1]],8))</f>
        <v>0</v>
      </c>
      <c r="Q837" s="41" t="s">
        <v>75</v>
      </c>
      <c r="R837" s="41">
        <f>HEX2DEC(RIGHT(Table13232127[[#This Row],[h2]],8))</f>
        <v>0</v>
      </c>
    </row>
    <row r="838" spans="1:18">
      <c r="A838" s="15" t="str">
        <f t="shared" si="17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1" t="s">
        <v>75</v>
      </c>
      <c r="P838" s="41">
        <f>HEX2DEC(RIGHT(Table13232127[[#This Row],[h1]],8))</f>
        <v>0</v>
      </c>
      <c r="Q838" s="41" t="s">
        <v>75</v>
      </c>
      <c r="R838" s="41">
        <f>HEX2DEC(RIGHT(Table13232127[[#This Row],[h2]],8))</f>
        <v>0</v>
      </c>
    </row>
    <row r="839" spans="1:18">
      <c r="A839" s="15" t="str">
        <f t="shared" si="17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1" t="s">
        <v>75</v>
      </c>
      <c r="P839" s="41">
        <f>HEX2DEC(RIGHT(Table13232127[[#This Row],[h1]],8))</f>
        <v>0</v>
      </c>
      <c r="Q839" s="41" t="s">
        <v>75</v>
      </c>
      <c r="R839" s="41">
        <f>HEX2DEC(RIGHT(Table13232127[[#This Row],[h2]],8))</f>
        <v>0</v>
      </c>
    </row>
    <row r="840" spans="1:18">
      <c r="A840" s="15" t="str">
        <f t="shared" si="17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1" t="s">
        <v>75</v>
      </c>
      <c r="P840" s="41">
        <f>HEX2DEC(RIGHT(Table13232127[[#This Row],[h1]],8))</f>
        <v>0</v>
      </c>
      <c r="Q840" s="41" t="s">
        <v>75</v>
      </c>
      <c r="R840" s="41">
        <f>HEX2DEC(RIGHT(Table13232127[[#This Row],[h2]],8))</f>
        <v>0</v>
      </c>
    </row>
    <row r="841" spans="1:18">
      <c r="A841" s="15" t="str">
        <f t="shared" si="17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1" t="s">
        <v>75</v>
      </c>
      <c r="P841" s="41">
        <f>HEX2DEC(RIGHT(Table13232127[[#This Row],[h1]],8))</f>
        <v>0</v>
      </c>
      <c r="Q841" s="41" t="s">
        <v>75</v>
      </c>
      <c r="R841" s="41">
        <f>HEX2DEC(RIGHT(Table13232127[[#This Row],[h2]],8))</f>
        <v>0</v>
      </c>
    </row>
    <row r="842" spans="1:18">
      <c r="A842" s="15" t="str">
        <f t="shared" si="17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1" t="s">
        <v>75</v>
      </c>
      <c r="P842" s="41">
        <f>HEX2DEC(RIGHT(Table13232127[[#This Row],[h1]],8))</f>
        <v>0</v>
      </c>
      <c r="Q842" s="41" t="s">
        <v>75</v>
      </c>
      <c r="R842" s="41">
        <f>HEX2DEC(RIGHT(Table13232127[[#This Row],[h2]],8))</f>
        <v>0</v>
      </c>
    </row>
    <row r="843" spans="1:18">
      <c r="A843" s="15" t="str">
        <f t="shared" ref="A843:A906" si="18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1" t="s">
        <v>75</v>
      </c>
      <c r="P843" s="41">
        <f>HEX2DEC(RIGHT(Table13232127[[#This Row],[h1]],8))</f>
        <v>0</v>
      </c>
      <c r="Q843" s="41" t="s">
        <v>75</v>
      </c>
      <c r="R843" s="41">
        <f>HEX2DEC(RIGHT(Table13232127[[#This Row],[h2]],8))</f>
        <v>0</v>
      </c>
    </row>
    <row r="844" spans="1:18">
      <c r="A844" s="15" t="str">
        <f t="shared" si="18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1" t="s">
        <v>75</v>
      </c>
      <c r="P844" s="41">
        <f>HEX2DEC(RIGHT(Table13232127[[#This Row],[h1]],8))</f>
        <v>0</v>
      </c>
      <c r="Q844" s="41" t="s">
        <v>75</v>
      </c>
      <c r="R844" s="41">
        <f>HEX2DEC(RIGHT(Table13232127[[#This Row],[h2]],8))</f>
        <v>0</v>
      </c>
    </row>
    <row r="845" spans="1:18">
      <c r="A845" s="15" t="str">
        <f t="shared" si="18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1" t="s">
        <v>75</v>
      </c>
      <c r="P845" s="41">
        <f>HEX2DEC(RIGHT(Table13232127[[#This Row],[h1]],8))</f>
        <v>0</v>
      </c>
      <c r="Q845" s="41" t="s">
        <v>75</v>
      </c>
      <c r="R845" s="41">
        <f>HEX2DEC(RIGHT(Table13232127[[#This Row],[h2]],8))</f>
        <v>0</v>
      </c>
    </row>
    <row r="846" spans="1:18">
      <c r="A846" s="15" t="str">
        <f t="shared" si="18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1" t="s">
        <v>75</v>
      </c>
      <c r="P846" s="41">
        <f>HEX2DEC(RIGHT(Table13232127[[#This Row],[h1]],8))</f>
        <v>0</v>
      </c>
      <c r="Q846" s="41" t="s">
        <v>75</v>
      </c>
      <c r="R846" s="41">
        <f>HEX2DEC(RIGHT(Table13232127[[#This Row],[h2]],8))</f>
        <v>0</v>
      </c>
    </row>
    <row r="847" spans="1:18">
      <c r="A847" s="15" t="str">
        <f t="shared" si="18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1" t="s">
        <v>75</v>
      </c>
      <c r="P847" s="41">
        <f>HEX2DEC(RIGHT(Table13232127[[#This Row],[h1]],8))</f>
        <v>0</v>
      </c>
      <c r="Q847" s="41" t="s">
        <v>75</v>
      </c>
      <c r="R847" s="41">
        <f>HEX2DEC(RIGHT(Table13232127[[#This Row],[h2]],8))</f>
        <v>0</v>
      </c>
    </row>
    <row r="848" spans="1:18">
      <c r="A848" s="15" t="str">
        <f t="shared" si="18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1" t="s">
        <v>75</v>
      </c>
      <c r="P848" s="41">
        <f>HEX2DEC(RIGHT(Table13232127[[#This Row],[h1]],8))</f>
        <v>0</v>
      </c>
      <c r="Q848" s="41" t="s">
        <v>75</v>
      </c>
      <c r="R848" s="41">
        <f>HEX2DEC(RIGHT(Table13232127[[#This Row],[h2]],8))</f>
        <v>0</v>
      </c>
    </row>
    <row r="849" spans="1:18">
      <c r="A849" s="15" t="str">
        <f t="shared" si="18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1" t="s">
        <v>75</v>
      </c>
      <c r="P849" s="41">
        <f>HEX2DEC(RIGHT(Table13232127[[#This Row],[h1]],8))</f>
        <v>0</v>
      </c>
      <c r="Q849" s="41" t="s">
        <v>75</v>
      </c>
      <c r="R849" s="41">
        <f>HEX2DEC(RIGHT(Table13232127[[#This Row],[h2]],8))</f>
        <v>0</v>
      </c>
    </row>
    <row r="850" spans="1:18">
      <c r="A850" s="15" t="str">
        <f t="shared" si="18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1" t="s">
        <v>75</v>
      </c>
      <c r="P850" s="41">
        <f>HEX2DEC(RIGHT(Table13232127[[#This Row],[h1]],8))</f>
        <v>0</v>
      </c>
      <c r="Q850" s="41" t="s">
        <v>75</v>
      </c>
      <c r="R850" s="41">
        <f>HEX2DEC(RIGHT(Table13232127[[#This Row],[h2]],8))</f>
        <v>0</v>
      </c>
    </row>
    <row r="851" spans="1:18">
      <c r="A851" s="15" t="str">
        <f t="shared" si="18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1" t="s">
        <v>75</v>
      </c>
      <c r="P851" s="41">
        <f>HEX2DEC(RIGHT(Table13232127[[#This Row],[h1]],8))</f>
        <v>0</v>
      </c>
      <c r="Q851" s="41" t="s">
        <v>75</v>
      </c>
      <c r="R851" s="41">
        <f>HEX2DEC(RIGHT(Table13232127[[#This Row],[h2]],8))</f>
        <v>0</v>
      </c>
    </row>
    <row r="852" spans="1:18">
      <c r="A852" s="15" t="str">
        <f t="shared" si="18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1" t="s">
        <v>75</v>
      </c>
      <c r="P852" s="41">
        <f>HEX2DEC(RIGHT(Table13232127[[#This Row],[h1]],8))</f>
        <v>0</v>
      </c>
      <c r="Q852" s="41" t="s">
        <v>75</v>
      </c>
      <c r="R852" s="41">
        <f>HEX2DEC(RIGHT(Table13232127[[#This Row],[h2]],8))</f>
        <v>0</v>
      </c>
    </row>
    <row r="853" spans="1:18">
      <c r="A853" s="15" t="str">
        <f t="shared" si="18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1" t="s">
        <v>75</v>
      </c>
      <c r="P853" s="41">
        <f>HEX2DEC(RIGHT(Table13232127[[#This Row],[h1]],8))</f>
        <v>0</v>
      </c>
      <c r="Q853" s="41" t="s">
        <v>75</v>
      </c>
      <c r="R853" s="41">
        <f>HEX2DEC(RIGHT(Table13232127[[#This Row],[h2]],8))</f>
        <v>0</v>
      </c>
    </row>
    <row r="854" spans="1:18">
      <c r="A854" s="15" t="str">
        <f t="shared" si="18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1" t="s">
        <v>75</v>
      </c>
      <c r="P854" s="41">
        <f>HEX2DEC(RIGHT(Table13232127[[#This Row],[h1]],8))</f>
        <v>0</v>
      </c>
      <c r="Q854" s="41" t="s">
        <v>75</v>
      </c>
      <c r="R854" s="41">
        <f>HEX2DEC(RIGHT(Table13232127[[#This Row],[h2]],8))</f>
        <v>0</v>
      </c>
    </row>
    <row r="855" spans="1:18">
      <c r="A855" s="15" t="str">
        <f t="shared" si="18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1" t="s">
        <v>75</v>
      </c>
      <c r="P855" s="41">
        <f>HEX2DEC(RIGHT(Table13232127[[#This Row],[h1]],8))</f>
        <v>0</v>
      </c>
      <c r="Q855" s="41" t="s">
        <v>75</v>
      </c>
      <c r="R855" s="41">
        <f>HEX2DEC(RIGHT(Table13232127[[#This Row],[h2]],8))</f>
        <v>0</v>
      </c>
    </row>
    <row r="856" spans="1:18">
      <c r="A856" s="15" t="str">
        <f t="shared" si="18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1" t="s">
        <v>75</v>
      </c>
      <c r="P856" s="41">
        <f>HEX2DEC(RIGHT(Table13232127[[#This Row],[h1]],8))</f>
        <v>0</v>
      </c>
      <c r="Q856" s="41" t="s">
        <v>75</v>
      </c>
      <c r="R856" s="41">
        <f>HEX2DEC(RIGHT(Table13232127[[#This Row],[h2]],8))</f>
        <v>0</v>
      </c>
    </row>
    <row r="857" spans="1:18">
      <c r="A857" s="15" t="str">
        <f t="shared" si="18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1" t="s">
        <v>75</v>
      </c>
      <c r="P857" s="41">
        <f>HEX2DEC(RIGHT(Table13232127[[#This Row],[h1]],8))</f>
        <v>0</v>
      </c>
      <c r="Q857" s="41" t="s">
        <v>75</v>
      </c>
      <c r="R857" s="41">
        <f>HEX2DEC(RIGHT(Table13232127[[#This Row],[h2]],8))</f>
        <v>0</v>
      </c>
    </row>
    <row r="858" spans="1:18">
      <c r="A858" s="15" t="str">
        <f t="shared" si="18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1" t="s">
        <v>75</v>
      </c>
      <c r="P858" s="41">
        <f>HEX2DEC(RIGHT(Table13232127[[#This Row],[h1]],8))</f>
        <v>0</v>
      </c>
      <c r="Q858" s="41" t="s">
        <v>75</v>
      </c>
      <c r="R858" s="41">
        <f>HEX2DEC(RIGHT(Table13232127[[#This Row],[h2]],8))</f>
        <v>0</v>
      </c>
    </row>
    <row r="859" spans="1:18">
      <c r="A859" s="15" t="str">
        <f t="shared" si="18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1" t="s">
        <v>75</v>
      </c>
      <c r="P859" s="41">
        <f>HEX2DEC(RIGHT(Table13232127[[#This Row],[h1]],8))</f>
        <v>0</v>
      </c>
      <c r="Q859" s="41" t="s">
        <v>75</v>
      </c>
      <c r="R859" s="41">
        <f>HEX2DEC(RIGHT(Table13232127[[#This Row],[h2]],8))</f>
        <v>0</v>
      </c>
    </row>
    <row r="860" spans="1:18">
      <c r="A860" s="15" t="str">
        <f t="shared" si="18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1" t="s">
        <v>75</v>
      </c>
      <c r="P860" s="41">
        <f>HEX2DEC(RIGHT(Table13232127[[#This Row],[h1]],8))</f>
        <v>0</v>
      </c>
      <c r="Q860" s="41" t="s">
        <v>75</v>
      </c>
      <c r="R860" s="41">
        <f>HEX2DEC(RIGHT(Table13232127[[#This Row],[h2]],8))</f>
        <v>0</v>
      </c>
    </row>
    <row r="861" spans="1:18">
      <c r="A861" s="15" t="str">
        <f t="shared" si="18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1" t="s">
        <v>75</v>
      </c>
      <c r="P861" s="41">
        <f>HEX2DEC(RIGHT(Table13232127[[#This Row],[h1]],8))</f>
        <v>0</v>
      </c>
      <c r="Q861" s="41" t="s">
        <v>75</v>
      </c>
      <c r="R861" s="41">
        <f>HEX2DEC(RIGHT(Table13232127[[#This Row],[h2]],8))</f>
        <v>0</v>
      </c>
    </row>
    <row r="862" spans="1:18">
      <c r="A862" s="15" t="str">
        <f t="shared" si="18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1" t="s">
        <v>75</v>
      </c>
      <c r="P862" s="41">
        <f>HEX2DEC(RIGHT(Table13232127[[#This Row],[h1]],8))</f>
        <v>0</v>
      </c>
      <c r="Q862" s="41" t="s">
        <v>75</v>
      </c>
      <c r="R862" s="41">
        <f>HEX2DEC(RIGHT(Table13232127[[#This Row],[h2]],8))</f>
        <v>0</v>
      </c>
    </row>
    <row r="863" spans="1:18">
      <c r="A863" s="15" t="str">
        <f t="shared" si="18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1" t="s">
        <v>75</v>
      </c>
      <c r="P863" s="41">
        <f>HEX2DEC(RIGHT(Table13232127[[#This Row],[h1]],8))</f>
        <v>0</v>
      </c>
      <c r="Q863" s="41" t="s">
        <v>75</v>
      </c>
      <c r="R863" s="41">
        <f>HEX2DEC(RIGHT(Table13232127[[#This Row],[h2]],8))</f>
        <v>0</v>
      </c>
    </row>
    <row r="864" spans="1:18">
      <c r="A864" s="15" t="str">
        <f t="shared" si="18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1" t="s">
        <v>75</v>
      </c>
      <c r="P864" s="41">
        <f>HEX2DEC(RIGHT(Table13232127[[#This Row],[h1]],8))</f>
        <v>0</v>
      </c>
      <c r="Q864" s="41" t="s">
        <v>75</v>
      </c>
      <c r="R864" s="41">
        <f>HEX2DEC(RIGHT(Table13232127[[#This Row],[h2]],8))</f>
        <v>0</v>
      </c>
    </row>
    <row r="865" spans="1:18">
      <c r="A865" s="15" t="str">
        <f t="shared" si="18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1" t="s">
        <v>75</v>
      </c>
      <c r="P865" s="41">
        <f>HEX2DEC(RIGHT(Table13232127[[#This Row],[h1]],8))</f>
        <v>0</v>
      </c>
      <c r="Q865" s="41" t="s">
        <v>75</v>
      </c>
      <c r="R865" s="41">
        <f>HEX2DEC(RIGHT(Table13232127[[#This Row],[h2]],8))</f>
        <v>0</v>
      </c>
    </row>
    <row r="866" spans="1:18">
      <c r="A866" s="15" t="str">
        <f t="shared" si="18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1" t="s">
        <v>75</v>
      </c>
      <c r="P866" s="41">
        <f>HEX2DEC(RIGHT(Table13232127[[#This Row],[h1]],8))</f>
        <v>0</v>
      </c>
      <c r="Q866" s="41" t="s">
        <v>75</v>
      </c>
      <c r="R866" s="41">
        <f>HEX2DEC(RIGHT(Table13232127[[#This Row],[h2]],8))</f>
        <v>0</v>
      </c>
    </row>
    <row r="867" spans="1:18">
      <c r="A867" s="15" t="str">
        <f t="shared" si="18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1" t="s">
        <v>75</v>
      </c>
      <c r="P867" s="41">
        <f>HEX2DEC(RIGHT(Table13232127[[#This Row],[h1]],8))</f>
        <v>0</v>
      </c>
      <c r="Q867" s="41" t="s">
        <v>75</v>
      </c>
      <c r="R867" s="41">
        <f>HEX2DEC(RIGHT(Table13232127[[#This Row],[h2]],8))</f>
        <v>0</v>
      </c>
    </row>
    <row r="868" spans="1:18">
      <c r="A868" s="15" t="str">
        <f t="shared" si="18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1" t="s">
        <v>75</v>
      </c>
      <c r="P868" s="41">
        <f>HEX2DEC(RIGHT(Table13232127[[#This Row],[h1]],8))</f>
        <v>0</v>
      </c>
      <c r="Q868" s="41" t="s">
        <v>75</v>
      </c>
      <c r="R868" s="41">
        <f>HEX2DEC(RIGHT(Table13232127[[#This Row],[h2]],8))</f>
        <v>0</v>
      </c>
    </row>
    <row r="869" spans="1:18">
      <c r="A869" s="15" t="str">
        <f t="shared" si="18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1" t="s">
        <v>75</v>
      </c>
      <c r="P869" s="41">
        <f>HEX2DEC(RIGHT(Table13232127[[#This Row],[h1]],8))</f>
        <v>0</v>
      </c>
      <c r="Q869" s="41" t="s">
        <v>75</v>
      </c>
      <c r="R869" s="41">
        <f>HEX2DEC(RIGHT(Table13232127[[#This Row],[h2]],8))</f>
        <v>0</v>
      </c>
    </row>
    <row r="870" spans="1:18">
      <c r="A870" s="15" t="str">
        <f t="shared" si="18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1" t="s">
        <v>75</v>
      </c>
      <c r="P870" s="41">
        <f>HEX2DEC(RIGHT(Table13232127[[#This Row],[h1]],8))</f>
        <v>0</v>
      </c>
      <c r="Q870" s="41" t="s">
        <v>75</v>
      </c>
      <c r="R870" s="41">
        <f>HEX2DEC(RIGHT(Table13232127[[#This Row],[h2]],8))</f>
        <v>0</v>
      </c>
    </row>
    <row r="871" spans="1:18">
      <c r="A871" s="15" t="str">
        <f t="shared" si="18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1" t="s">
        <v>75</v>
      </c>
      <c r="P871" s="41">
        <f>HEX2DEC(RIGHT(Table13232127[[#This Row],[h1]],8))</f>
        <v>0</v>
      </c>
      <c r="Q871" s="41" t="s">
        <v>75</v>
      </c>
      <c r="R871" s="41">
        <f>HEX2DEC(RIGHT(Table13232127[[#This Row],[h2]],8))</f>
        <v>0</v>
      </c>
    </row>
    <row r="872" spans="1:18">
      <c r="A872" s="15" t="str">
        <f t="shared" si="18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1" t="s">
        <v>75</v>
      </c>
      <c r="P872" s="41">
        <f>HEX2DEC(RIGHT(Table13232127[[#This Row],[h1]],8))</f>
        <v>0</v>
      </c>
      <c r="Q872" s="41" t="s">
        <v>75</v>
      </c>
      <c r="R872" s="41">
        <f>HEX2DEC(RIGHT(Table13232127[[#This Row],[h2]],8))</f>
        <v>0</v>
      </c>
    </row>
    <row r="873" spans="1:18">
      <c r="A873" s="15" t="str">
        <f t="shared" si="18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1" t="s">
        <v>75</v>
      </c>
      <c r="P873" s="41">
        <f>HEX2DEC(RIGHT(Table13232127[[#This Row],[h1]],8))</f>
        <v>0</v>
      </c>
      <c r="Q873" s="41" t="s">
        <v>75</v>
      </c>
      <c r="R873" s="41">
        <f>HEX2DEC(RIGHT(Table13232127[[#This Row],[h2]],8))</f>
        <v>0</v>
      </c>
    </row>
    <row r="874" spans="1:18">
      <c r="A874" s="15" t="str">
        <f t="shared" si="18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1" t="s">
        <v>75</v>
      </c>
      <c r="P874" s="41">
        <f>HEX2DEC(RIGHT(Table13232127[[#This Row],[h1]],8))</f>
        <v>0</v>
      </c>
      <c r="Q874" s="41" t="s">
        <v>75</v>
      </c>
      <c r="R874" s="41">
        <f>HEX2DEC(RIGHT(Table13232127[[#This Row],[h2]],8))</f>
        <v>0</v>
      </c>
    </row>
    <row r="875" spans="1:18">
      <c r="A875" s="15" t="str">
        <f t="shared" si="18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1" t="s">
        <v>75</v>
      </c>
      <c r="P875" s="41">
        <f>HEX2DEC(RIGHT(Table13232127[[#This Row],[h1]],8))</f>
        <v>0</v>
      </c>
      <c r="Q875" s="41" t="s">
        <v>75</v>
      </c>
      <c r="R875" s="41">
        <f>HEX2DEC(RIGHT(Table13232127[[#This Row],[h2]],8))</f>
        <v>0</v>
      </c>
    </row>
    <row r="876" spans="1:18">
      <c r="A876" s="15" t="str">
        <f t="shared" si="18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1" t="s">
        <v>75</v>
      </c>
      <c r="P876" s="41">
        <f>HEX2DEC(RIGHT(Table13232127[[#This Row],[h1]],8))</f>
        <v>0</v>
      </c>
      <c r="Q876" s="41" t="s">
        <v>75</v>
      </c>
      <c r="R876" s="41">
        <f>HEX2DEC(RIGHT(Table13232127[[#This Row],[h2]],8))</f>
        <v>0</v>
      </c>
    </row>
    <row r="877" spans="1:18">
      <c r="A877" s="15" t="str">
        <f t="shared" si="18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1" t="s">
        <v>75</v>
      </c>
      <c r="P877" s="41">
        <f>HEX2DEC(RIGHT(Table13232127[[#This Row],[h1]],8))</f>
        <v>0</v>
      </c>
      <c r="Q877" s="41" t="s">
        <v>75</v>
      </c>
      <c r="R877" s="41">
        <f>HEX2DEC(RIGHT(Table13232127[[#This Row],[h2]],8))</f>
        <v>0</v>
      </c>
    </row>
    <row r="878" spans="1:18">
      <c r="A878" s="15" t="str">
        <f t="shared" si="18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1" t="s">
        <v>75</v>
      </c>
      <c r="P878" s="41">
        <f>HEX2DEC(RIGHT(Table13232127[[#This Row],[h1]],8))</f>
        <v>0</v>
      </c>
      <c r="Q878" s="41" t="s">
        <v>75</v>
      </c>
      <c r="R878" s="41">
        <f>HEX2DEC(RIGHT(Table13232127[[#This Row],[h2]],8))</f>
        <v>0</v>
      </c>
    </row>
    <row r="879" spans="1:18">
      <c r="A879" s="15" t="str">
        <f t="shared" si="18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1" t="s">
        <v>75</v>
      </c>
      <c r="P879" s="41">
        <f>HEX2DEC(RIGHT(Table13232127[[#This Row],[h1]],8))</f>
        <v>0</v>
      </c>
      <c r="Q879" s="41" t="s">
        <v>75</v>
      </c>
      <c r="R879" s="41">
        <f>HEX2DEC(RIGHT(Table13232127[[#This Row],[h2]],8))</f>
        <v>0</v>
      </c>
    </row>
    <row r="880" spans="1:18">
      <c r="A880" s="15" t="str">
        <f t="shared" si="18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1" t="s">
        <v>75</v>
      </c>
      <c r="P880" s="41">
        <f>HEX2DEC(RIGHT(Table13232127[[#This Row],[h1]],8))</f>
        <v>0</v>
      </c>
      <c r="Q880" s="41" t="s">
        <v>75</v>
      </c>
      <c r="R880" s="41">
        <f>HEX2DEC(RIGHT(Table13232127[[#This Row],[h2]],8))</f>
        <v>0</v>
      </c>
    </row>
    <row r="881" spans="1:18">
      <c r="A881" s="15" t="str">
        <f t="shared" si="18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1" t="s">
        <v>75</v>
      </c>
      <c r="P881" s="41">
        <f>HEX2DEC(RIGHT(Table13232127[[#This Row],[h1]],8))</f>
        <v>0</v>
      </c>
      <c r="Q881" s="41" t="s">
        <v>75</v>
      </c>
      <c r="R881" s="41">
        <f>HEX2DEC(RIGHT(Table13232127[[#This Row],[h2]],8))</f>
        <v>0</v>
      </c>
    </row>
    <row r="882" spans="1:18">
      <c r="A882" s="15" t="str">
        <f t="shared" si="18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1" t="s">
        <v>75</v>
      </c>
      <c r="P882" s="41">
        <f>HEX2DEC(RIGHT(Table13232127[[#This Row],[h1]],8))</f>
        <v>0</v>
      </c>
      <c r="Q882" s="41" t="s">
        <v>75</v>
      </c>
      <c r="R882" s="41">
        <f>HEX2DEC(RIGHT(Table13232127[[#This Row],[h2]],8))</f>
        <v>0</v>
      </c>
    </row>
    <row r="883" spans="1:18">
      <c r="A883" s="15" t="str">
        <f t="shared" si="18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1" t="s">
        <v>75</v>
      </c>
      <c r="P883" s="41">
        <f>HEX2DEC(RIGHT(Table13232127[[#This Row],[h1]],8))</f>
        <v>0</v>
      </c>
      <c r="Q883" s="41" t="s">
        <v>75</v>
      </c>
      <c r="R883" s="41">
        <f>HEX2DEC(RIGHT(Table13232127[[#This Row],[h2]],8))</f>
        <v>0</v>
      </c>
    </row>
    <row r="884" spans="1:18">
      <c r="A884" s="15" t="str">
        <f t="shared" si="18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1" t="s">
        <v>75</v>
      </c>
      <c r="P884" s="41">
        <f>HEX2DEC(RIGHT(Table13232127[[#This Row],[h1]],8))</f>
        <v>0</v>
      </c>
      <c r="Q884" s="41" t="s">
        <v>75</v>
      </c>
      <c r="R884" s="41">
        <f>HEX2DEC(RIGHT(Table13232127[[#This Row],[h2]],8))</f>
        <v>0</v>
      </c>
    </row>
    <row r="885" spans="1:18">
      <c r="A885" s="15" t="str">
        <f t="shared" si="18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1" t="s">
        <v>75</v>
      </c>
      <c r="P885" s="41">
        <f>HEX2DEC(RIGHT(Table13232127[[#This Row],[h1]],8))</f>
        <v>0</v>
      </c>
      <c r="Q885" s="41" t="s">
        <v>75</v>
      </c>
      <c r="R885" s="41">
        <f>HEX2DEC(RIGHT(Table13232127[[#This Row],[h2]],8))</f>
        <v>0</v>
      </c>
    </row>
    <row r="886" spans="1:18">
      <c r="A886" s="15" t="str">
        <f t="shared" si="18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1" t="s">
        <v>75</v>
      </c>
      <c r="P886" s="41">
        <f>HEX2DEC(RIGHT(Table13232127[[#This Row],[h1]],8))</f>
        <v>0</v>
      </c>
      <c r="Q886" s="41" t="s">
        <v>75</v>
      </c>
      <c r="R886" s="41">
        <f>HEX2DEC(RIGHT(Table13232127[[#This Row],[h2]],8))</f>
        <v>0</v>
      </c>
    </row>
    <row r="887" spans="1:18">
      <c r="A887" s="15" t="str">
        <f t="shared" si="18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1" t="s">
        <v>75</v>
      </c>
      <c r="P887" s="41">
        <f>HEX2DEC(RIGHT(Table13232127[[#This Row],[h1]],8))</f>
        <v>0</v>
      </c>
      <c r="Q887" s="41" t="s">
        <v>75</v>
      </c>
      <c r="R887" s="41">
        <f>HEX2DEC(RIGHT(Table13232127[[#This Row],[h2]],8))</f>
        <v>0</v>
      </c>
    </row>
    <row r="888" spans="1:18">
      <c r="A888" s="15" t="str">
        <f t="shared" si="18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1" t="s">
        <v>75</v>
      </c>
      <c r="P888" s="41">
        <f>HEX2DEC(RIGHT(Table13232127[[#This Row],[h1]],8))</f>
        <v>0</v>
      </c>
      <c r="Q888" s="41" t="s">
        <v>75</v>
      </c>
      <c r="R888" s="41">
        <f>HEX2DEC(RIGHT(Table13232127[[#This Row],[h2]],8))</f>
        <v>0</v>
      </c>
    </row>
    <row r="889" spans="1:18">
      <c r="A889" s="15" t="str">
        <f t="shared" si="18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1" t="s">
        <v>75</v>
      </c>
      <c r="P889" s="41">
        <f>HEX2DEC(RIGHT(Table13232127[[#This Row],[h1]],8))</f>
        <v>0</v>
      </c>
      <c r="Q889" s="41" t="s">
        <v>75</v>
      </c>
      <c r="R889" s="41">
        <f>HEX2DEC(RIGHT(Table13232127[[#This Row],[h2]],8))</f>
        <v>0</v>
      </c>
    </row>
    <row r="890" spans="1:18">
      <c r="A890" s="15" t="str">
        <f t="shared" si="18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1" t="s">
        <v>75</v>
      </c>
      <c r="P890" s="41">
        <f>HEX2DEC(RIGHT(Table13232127[[#This Row],[h1]],8))</f>
        <v>0</v>
      </c>
      <c r="Q890" s="41" t="s">
        <v>75</v>
      </c>
      <c r="R890" s="41">
        <f>HEX2DEC(RIGHT(Table13232127[[#This Row],[h2]],8))</f>
        <v>0</v>
      </c>
    </row>
    <row r="891" spans="1:18">
      <c r="A891" s="15" t="str">
        <f t="shared" si="18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1" t="s">
        <v>75</v>
      </c>
      <c r="P891" s="41">
        <f>HEX2DEC(RIGHT(Table13232127[[#This Row],[h1]],8))</f>
        <v>0</v>
      </c>
      <c r="Q891" s="41" t="s">
        <v>75</v>
      </c>
      <c r="R891" s="41">
        <f>HEX2DEC(RIGHT(Table13232127[[#This Row],[h2]],8))</f>
        <v>0</v>
      </c>
    </row>
    <row r="892" spans="1:18">
      <c r="A892" s="15" t="str">
        <f t="shared" si="18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1" t="s">
        <v>75</v>
      </c>
      <c r="P892" s="41">
        <f>HEX2DEC(RIGHT(Table13232127[[#This Row],[h1]],8))</f>
        <v>0</v>
      </c>
      <c r="Q892" s="41" t="s">
        <v>75</v>
      </c>
      <c r="R892" s="41">
        <f>HEX2DEC(RIGHT(Table13232127[[#This Row],[h2]],8))</f>
        <v>0</v>
      </c>
    </row>
    <row r="893" spans="1:18">
      <c r="A893" s="15" t="str">
        <f t="shared" si="18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1" t="s">
        <v>75</v>
      </c>
      <c r="P893" s="41">
        <f>HEX2DEC(RIGHT(Table13232127[[#This Row],[h1]],8))</f>
        <v>0</v>
      </c>
      <c r="Q893" s="41" t="s">
        <v>75</v>
      </c>
      <c r="R893" s="41">
        <f>HEX2DEC(RIGHT(Table13232127[[#This Row],[h2]],8))</f>
        <v>0</v>
      </c>
    </row>
    <row r="894" spans="1:18">
      <c r="A894" s="15" t="str">
        <f t="shared" si="18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1" t="s">
        <v>75</v>
      </c>
      <c r="P894" s="41">
        <f>HEX2DEC(RIGHT(Table13232127[[#This Row],[h1]],8))</f>
        <v>0</v>
      </c>
      <c r="Q894" s="41" t="s">
        <v>75</v>
      </c>
      <c r="R894" s="41">
        <f>HEX2DEC(RIGHT(Table13232127[[#This Row],[h2]],8))</f>
        <v>0</v>
      </c>
    </row>
    <row r="895" spans="1:18">
      <c r="A895" s="15" t="str">
        <f t="shared" si="18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1" t="s">
        <v>75</v>
      </c>
      <c r="P895" s="41">
        <f>HEX2DEC(RIGHT(Table13232127[[#This Row],[h1]],8))</f>
        <v>0</v>
      </c>
      <c r="Q895" s="41" t="s">
        <v>75</v>
      </c>
      <c r="R895" s="41">
        <f>HEX2DEC(RIGHT(Table13232127[[#This Row],[h2]],8))</f>
        <v>0</v>
      </c>
    </row>
    <row r="896" spans="1:18">
      <c r="A896" s="15" t="str">
        <f t="shared" si="18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1" t="s">
        <v>75</v>
      </c>
      <c r="P896" s="41">
        <f>HEX2DEC(RIGHT(Table13232127[[#This Row],[h1]],8))</f>
        <v>0</v>
      </c>
      <c r="Q896" s="41" t="s">
        <v>75</v>
      </c>
      <c r="R896" s="41">
        <f>HEX2DEC(RIGHT(Table13232127[[#This Row],[h2]],8))</f>
        <v>0</v>
      </c>
    </row>
    <row r="897" spans="1:18">
      <c r="A897" s="15" t="str">
        <f t="shared" si="18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1" t="s">
        <v>75</v>
      </c>
      <c r="P897" s="41">
        <f>HEX2DEC(RIGHT(Table13232127[[#This Row],[h1]],8))</f>
        <v>0</v>
      </c>
      <c r="Q897" s="41" t="s">
        <v>75</v>
      </c>
      <c r="R897" s="41">
        <f>HEX2DEC(RIGHT(Table13232127[[#This Row],[h2]],8))</f>
        <v>0</v>
      </c>
    </row>
    <row r="898" spans="1:18">
      <c r="A898" s="15" t="str">
        <f t="shared" si="18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1" t="s">
        <v>75</v>
      </c>
      <c r="P898" s="41">
        <f>HEX2DEC(RIGHT(Table13232127[[#This Row],[h1]],8))</f>
        <v>0</v>
      </c>
      <c r="Q898" s="41" t="s">
        <v>75</v>
      </c>
      <c r="R898" s="41">
        <f>HEX2DEC(RIGHT(Table13232127[[#This Row],[h2]],8))</f>
        <v>0</v>
      </c>
    </row>
    <row r="899" spans="1:18">
      <c r="A899" s="15" t="str">
        <f t="shared" si="18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1" t="s">
        <v>75</v>
      </c>
      <c r="P899" s="41">
        <f>HEX2DEC(RIGHT(Table13232127[[#This Row],[h1]],8))</f>
        <v>0</v>
      </c>
      <c r="Q899" s="41" t="s">
        <v>75</v>
      </c>
      <c r="R899" s="41">
        <f>HEX2DEC(RIGHT(Table13232127[[#This Row],[h2]],8))</f>
        <v>0</v>
      </c>
    </row>
    <row r="900" spans="1:18">
      <c r="A900" s="15" t="str">
        <f t="shared" si="18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1" t="s">
        <v>75</v>
      </c>
      <c r="P900" s="41">
        <f>HEX2DEC(RIGHT(Table13232127[[#This Row],[h1]],8))</f>
        <v>0</v>
      </c>
      <c r="Q900" s="41" t="s">
        <v>75</v>
      </c>
      <c r="R900" s="41">
        <f>HEX2DEC(RIGHT(Table13232127[[#This Row],[h2]],8))</f>
        <v>0</v>
      </c>
    </row>
    <row r="901" spans="1:18">
      <c r="A901" s="15" t="str">
        <f t="shared" si="18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1" t="s">
        <v>75</v>
      </c>
      <c r="P901" s="41">
        <f>HEX2DEC(RIGHT(Table13232127[[#This Row],[h1]],8))</f>
        <v>0</v>
      </c>
      <c r="Q901" s="41" t="s">
        <v>75</v>
      </c>
      <c r="R901" s="41">
        <f>HEX2DEC(RIGHT(Table13232127[[#This Row],[h2]],8))</f>
        <v>0</v>
      </c>
    </row>
    <row r="902" spans="1:18">
      <c r="A902" s="15" t="str">
        <f t="shared" si="18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1" t="s">
        <v>75</v>
      </c>
      <c r="P902" s="41">
        <f>HEX2DEC(RIGHT(Table13232127[[#This Row],[h1]],8))</f>
        <v>0</v>
      </c>
      <c r="Q902" s="41" t="s">
        <v>75</v>
      </c>
      <c r="R902" s="41">
        <f>HEX2DEC(RIGHT(Table13232127[[#This Row],[h2]],8))</f>
        <v>0</v>
      </c>
    </row>
    <row r="903" spans="1:18">
      <c r="A903" s="15" t="str">
        <f t="shared" si="18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1" t="s">
        <v>75</v>
      </c>
      <c r="P903" s="41">
        <f>HEX2DEC(RIGHT(Table13232127[[#This Row],[h1]],8))</f>
        <v>0</v>
      </c>
      <c r="Q903" s="41" t="s">
        <v>75</v>
      </c>
      <c r="R903" s="41">
        <f>HEX2DEC(RIGHT(Table13232127[[#This Row],[h2]],8))</f>
        <v>0</v>
      </c>
    </row>
    <row r="904" spans="1:18">
      <c r="A904" s="15" t="str">
        <f t="shared" si="18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1" t="s">
        <v>75</v>
      </c>
      <c r="P904" s="41">
        <f>HEX2DEC(RIGHT(Table13232127[[#This Row],[h1]],8))</f>
        <v>0</v>
      </c>
      <c r="Q904" s="41" t="s">
        <v>75</v>
      </c>
      <c r="R904" s="41">
        <f>HEX2DEC(RIGHT(Table13232127[[#This Row],[h2]],8))</f>
        <v>0</v>
      </c>
    </row>
    <row r="905" spans="1:18">
      <c r="A905" s="15" t="str">
        <f t="shared" si="18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1" t="s">
        <v>75</v>
      </c>
      <c r="P905" s="41">
        <f>HEX2DEC(RIGHT(Table13232127[[#This Row],[h1]],8))</f>
        <v>0</v>
      </c>
      <c r="Q905" s="41" t="s">
        <v>75</v>
      </c>
      <c r="R905" s="41">
        <f>HEX2DEC(RIGHT(Table13232127[[#This Row],[h2]],8))</f>
        <v>0</v>
      </c>
    </row>
    <row r="906" spans="1:18">
      <c r="A906" s="15" t="str">
        <f t="shared" si="18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1" t="s">
        <v>75</v>
      </c>
      <c r="P906" s="41">
        <f>HEX2DEC(RIGHT(Table13232127[[#This Row],[h1]],8))</f>
        <v>0</v>
      </c>
      <c r="Q906" s="41" t="s">
        <v>75</v>
      </c>
      <c r="R906" s="41">
        <f>HEX2DEC(RIGHT(Table13232127[[#This Row],[h2]],8))</f>
        <v>0</v>
      </c>
    </row>
    <row r="907" spans="1:18">
      <c r="A907" s="15" t="str">
        <f t="shared" ref="A907:A970" si="19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1" t="s">
        <v>75</v>
      </c>
      <c r="P907" s="41">
        <f>HEX2DEC(RIGHT(Table13232127[[#This Row],[h1]],8))</f>
        <v>0</v>
      </c>
      <c r="Q907" s="41" t="s">
        <v>75</v>
      </c>
      <c r="R907" s="41">
        <f>HEX2DEC(RIGHT(Table13232127[[#This Row],[h2]],8))</f>
        <v>0</v>
      </c>
    </row>
    <row r="908" spans="1:18">
      <c r="A908" s="15" t="str">
        <f t="shared" si="19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1" t="s">
        <v>75</v>
      </c>
      <c r="P908" s="41">
        <f>HEX2DEC(RIGHT(Table13232127[[#This Row],[h1]],8))</f>
        <v>0</v>
      </c>
      <c r="Q908" s="41" t="s">
        <v>75</v>
      </c>
      <c r="R908" s="41">
        <f>HEX2DEC(RIGHT(Table13232127[[#This Row],[h2]],8))</f>
        <v>0</v>
      </c>
    </row>
    <row r="909" spans="1:18">
      <c r="A909" s="15" t="str">
        <f t="shared" si="19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1" t="s">
        <v>75</v>
      </c>
      <c r="P909" s="41">
        <f>HEX2DEC(RIGHT(Table13232127[[#This Row],[h1]],8))</f>
        <v>0</v>
      </c>
      <c r="Q909" s="41" t="s">
        <v>75</v>
      </c>
      <c r="R909" s="41">
        <f>HEX2DEC(RIGHT(Table13232127[[#This Row],[h2]],8))</f>
        <v>0</v>
      </c>
    </row>
    <row r="910" spans="1:18">
      <c r="A910" s="15" t="str">
        <f t="shared" si="19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1" t="s">
        <v>75</v>
      </c>
      <c r="P910" s="41">
        <f>HEX2DEC(RIGHT(Table13232127[[#This Row],[h1]],8))</f>
        <v>0</v>
      </c>
      <c r="Q910" s="41" t="s">
        <v>75</v>
      </c>
      <c r="R910" s="41">
        <f>HEX2DEC(RIGHT(Table13232127[[#This Row],[h2]],8))</f>
        <v>0</v>
      </c>
    </row>
    <row r="911" spans="1:18">
      <c r="A911" s="15" t="str">
        <f t="shared" si="19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1" t="s">
        <v>75</v>
      </c>
      <c r="P911" s="41">
        <f>HEX2DEC(RIGHT(Table13232127[[#This Row],[h1]],8))</f>
        <v>0</v>
      </c>
      <c r="Q911" s="41" t="s">
        <v>75</v>
      </c>
      <c r="R911" s="41">
        <f>HEX2DEC(RIGHT(Table13232127[[#This Row],[h2]],8))</f>
        <v>0</v>
      </c>
    </row>
    <row r="912" spans="1:18">
      <c r="A912" s="15" t="str">
        <f t="shared" si="19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1" t="s">
        <v>75</v>
      </c>
      <c r="P912" s="41">
        <f>HEX2DEC(RIGHT(Table13232127[[#This Row],[h1]],8))</f>
        <v>0</v>
      </c>
      <c r="Q912" s="41" t="s">
        <v>75</v>
      </c>
      <c r="R912" s="41">
        <f>HEX2DEC(RIGHT(Table13232127[[#This Row],[h2]],8))</f>
        <v>0</v>
      </c>
    </row>
    <row r="913" spans="1:18">
      <c r="A913" s="15" t="str">
        <f t="shared" si="19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1" t="s">
        <v>75</v>
      </c>
      <c r="P913" s="41">
        <f>HEX2DEC(RIGHT(Table13232127[[#This Row],[h1]],8))</f>
        <v>0</v>
      </c>
      <c r="Q913" s="41" t="s">
        <v>75</v>
      </c>
      <c r="R913" s="41">
        <f>HEX2DEC(RIGHT(Table13232127[[#This Row],[h2]],8))</f>
        <v>0</v>
      </c>
    </row>
    <row r="914" spans="1:18">
      <c r="A914" s="15" t="str">
        <f t="shared" si="19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1" t="s">
        <v>75</v>
      </c>
      <c r="P914" s="41">
        <f>HEX2DEC(RIGHT(Table13232127[[#This Row],[h1]],8))</f>
        <v>0</v>
      </c>
      <c r="Q914" s="41" t="s">
        <v>75</v>
      </c>
      <c r="R914" s="41">
        <f>HEX2DEC(RIGHT(Table13232127[[#This Row],[h2]],8))</f>
        <v>0</v>
      </c>
    </row>
    <row r="915" spans="1:18">
      <c r="A915" s="15" t="str">
        <f t="shared" si="19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1" t="s">
        <v>75</v>
      </c>
      <c r="P915" s="41">
        <f>HEX2DEC(RIGHT(Table13232127[[#This Row],[h1]],8))</f>
        <v>0</v>
      </c>
      <c r="Q915" s="41" t="s">
        <v>75</v>
      </c>
      <c r="R915" s="41">
        <f>HEX2DEC(RIGHT(Table13232127[[#This Row],[h2]],8))</f>
        <v>0</v>
      </c>
    </row>
    <row r="916" spans="1:18">
      <c r="A916" s="15" t="str">
        <f t="shared" si="19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1" t="s">
        <v>75</v>
      </c>
      <c r="P916" s="41">
        <f>HEX2DEC(RIGHT(Table13232127[[#This Row],[h1]],8))</f>
        <v>0</v>
      </c>
      <c r="Q916" s="41" t="s">
        <v>75</v>
      </c>
      <c r="R916" s="41">
        <f>HEX2DEC(RIGHT(Table13232127[[#This Row],[h2]],8))</f>
        <v>0</v>
      </c>
    </row>
    <row r="917" spans="1:18">
      <c r="A917" s="15" t="str">
        <f t="shared" si="19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1" t="s">
        <v>75</v>
      </c>
      <c r="P917" s="41">
        <f>HEX2DEC(RIGHT(Table13232127[[#This Row],[h1]],8))</f>
        <v>0</v>
      </c>
      <c r="Q917" s="41" t="s">
        <v>75</v>
      </c>
      <c r="R917" s="41">
        <f>HEX2DEC(RIGHT(Table13232127[[#This Row],[h2]],8))</f>
        <v>0</v>
      </c>
    </row>
    <row r="918" spans="1:18">
      <c r="A918" s="15" t="str">
        <f t="shared" si="19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1" t="s">
        <v>75</v>
      </c>
      <c r="P918" s="41">
        <f>HEX2DEC(RIGHT(Table13232127[[#This Row],[h1]],8))</f>
        <v>0</v>
      </c>
      <c r="Q918" s="41" t="s">
        <v>75</v>
      </c>
      <c r="R918" s="41">
        <f>HEX2DEC(RIGHT(Table13232127[[#This Row],[h2]],8))</f>
        <v>0</v>
      </c>
    </row>
    <row r="919" spans="1:18">
      <c r="A919" s="15" t="str">
        <f t="shared" si="19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1" t="s">
        <v>75</v>
      </c>
      <c r="P919" s="41">
        <f>HEX2DEC(RIGHT(Table13232127[[#This Row],[h1]],8))</f>
        <v>0</v>
      </c>
      <c r="Q919" s="41" t="s">
        <v>75</v>
      </c>
      <c r="R919" s="41">
        <f>HEX2DEC(RIGHT(Table13232127[[#This Row],[h2]],8))</f>
        <v>0</v>
      </c>
    </row>
    <row r="920" spans="1:18">
      <c r="A920" s="15" t="str">
        <f t="shared" si="19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1" t="s">
        <v>75</v>
      </c>
      <c r="P920" s="41">
        <f>HEX2DEC(RIGHT(Table13232127[[#This Row],[h1]],8))</f>
        <v>0</v>
      </c>
      <c r="Q920" s="41" t="s">
        <v>75</v>
      </c>
      <c r="R920" s="41">
        <f>HEX2DEC(RIGHT(Table13232127[[#This Row],[h2]],8))</f>
        <v>0</v>
      </c>
    </row>
    <row r="921" spans="1:18">
      <c r="A921" s="15" t="str">
        <f t="shared" si="19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1" t="s">
        <v>75</v>
      </c>
      <c r="P921" s="41">
        <f>HEX2DEC(RIGHT(Table13232127[[#This Row],[h1]],8))</f>
        <v>0</v>
      </c>
      <c r="Q921" s="41" t="s">
        <v>75</v>
      </c>
      <c r="R921" s="41">
        <f>HEX2DEC(RIGHT(Table13232127[[#This Row],[h2]],8))</f>
        <v>0</v>
      </c>
    </row>
    <row r="922" spans="1:18">
      <c r="A922" s="15" t="str">
        <f t="shared" si="19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1" t="s">
        <v>75</v>
      </c>
      <c r="P922" s="41">
        <f>HEX2DEC(RIGHT(Table13232127[[#This Row],[h1]],8))</f>
        <v>0</v>
      </c>
      <c r="Q922" s="41" t="s">
        <v>75</v>
      </c>
      <c r="R922" s="41">
        <f>HEX2DEC(RIGHT(Table13232127[[#This Row],[h2]],8))</f>
        <v>0</v>
      </c>
    </row>
    <row r="923" spans="1:18">
      <c r="A923" s="15" t="str">
        <f t="shared" si="19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1" t="s">
        <v>75</v>
      </c>
      <c r="P923" s="41">
        <f>HEX2DEC(RIGHT(Table13232127[[#This Row],[h1]],8))</f>
        <v>0</v>
      </c>
      <c r="Q923" s="41" t="s">
        <v>75</v>
      </c>
      <c r="R923" s="41">
        <f>HEX2DEC(RIGHT(Table13232127[[#This Row],[h2]],8))</f>
        <v>0</v>
      </c>
    </row>
    <row r="924" spans="1:18">
      <c r="A924" s="15" t="str">
        <f t="shared" si="19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1" t="s">
        <v>75</v>
      </c>
      <c r="P924" s="41">
        <f>HEX2DEC(RIGHT(Table13232127[[#This Row],[h1]],8))</f>
        <v>0</v>
      </c>
      <c r="Q924" s="41" t="s">
        <v>75</v>
      </c>
      <c r="R924" s="41">
        <f>HEX2DEC(RIGHT(Table13232127[[#This Row],[h2]],8))</f>
        <v>0</v>
      </c>
    </row>
    <row r="925" spans="1:18">
      <c r="A925" s="15" t="str">
        <f t="shared" si="19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1" t="s">
        <v>75</v>
      </c>
      <c r="P925" s="41">
        <f>HEX2DEC(RIGHT(Table13232127[[#This Row],[h1]],8))</f>
        <v>0</v>
      </c>
      <c r="Q925" s="41" t="s">
        <v>75</v>
      </c>
      <c r="R925" s="41">
        <f>HEX2DEC(RIGHT(Table13232127[[#This Row],[h2]],8))</f>
        <v>0</v>
      </c>
    </row>
    <row r="926" spans="1:18">
      <c r="A926" s="15" t="str">
        <f t="shared" si="19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1" t="s">
        <v>75</v>
      </c>
      <c r="P926" s="41">
        <f>HEX2DEC(RIGHT(Table13232127[[#This Row],[h1]],8))</f>
        <v>0</v>
      </c>
      <c r="Q926" s="41" t="s">
        <v>75</v>
      </c>
      <c r="R926" s="41">
        <f>HEX2DEC(RIGHT(Table13232127[[#This Row],[h2]],8))</f>
        <v>0</v>
      </c>
    </row>
    <row r="927" spans="1:18">
      <c r="A927" s="15" t="str">
        <f t="shared" si="19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1" t="s">
        <v>75</v>
      </c>
      <c r="P927" s="41">
        <f>HEX2DEC(RIGHT(Table13232127[[#This Row],[h1]],8))</f>
        <v>0</v>
      </c>
      <c r="Q927" s="41" t="s">
        <v>75</v>
      </c>
      <c r="R927" s="41">
        <f>HEX2DEC(RIGHT(Table13232127[[#This Row],[h2]],8))</f>
        <v>0</v>
      </c>
    </row>
    <row r="928" spans="1:18">
      <c r="A928" s="15" t="str">
        <f t="shared" si="19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1" t="s">
        <v>75</v>
      </c>
      <c r="P928" s="41">
        <f>HEX2DEC(RIGHT(Table13232127[[#This Row],[h1]],8))</f>
        <v>0</v>
      </c>
      <c r="Q928" s="41" t="s">
        <v>75</v>
      </c>
      <c r="R928" s="41">
        <f>HEX2DEC(RIGHT(Table13232127[[#This Row],[h2]],8))</f>
        <v>0</v>
      </c>
    </row>
    <row r="929" spans="1:18">
      <c r="A929" s="15" t="str">
        <f t="shared" si="19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1" t="s">
        <v>75</v>
      </c>
      <c r="P929" s="41">
        <f>HEX2DEC(RIGHT(Table13232127[[#This Row],[h1]],8))</f>
        <v>0</v>
      </c>
      <c r="Q929" s="41" t="s">
        <v>75</v>
      </c>
      <c r="R929" s="41">
        <f>HEX2DEC(RIGHT(Table13232127[[#This Row],[h2]],8))</f>
        <v>0</v>
      </c>
    </row>
    <row r="930" spans="1:18">
      <c r="A930" s="15" t="str">
        <f t="shared" si="19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1" t="s">
        <v>75</v>
      </c>
      <c r="P930" s="41">
        <f>HEX2DEC(RIGHT(Table13232127[[#This Row],[h1]],8))</f>
        <v>0</v>
      </c>
      <c r="Q930" s="41" t="s">
        <v>75</v>
      </c>
      <c r="R930" s="41">
        <f>HEX2DEC(RIGHT(Table13232127[[#This Row],[h2]],8))</f>
        <v>0</v>
      </c>
    </row>
    <row r="931" spans="1:18">
      <c r="A931" s="15" t="str">
        <f t="shared" si="19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1" t="s">
        <v>75</v>
      </c>
      <c r="P931" s="41">
        <f>HEX2DEC(RIGHT(Table13232127[[#This Row],[h1]],8))</f>
        <v>0</v>
      </c>
      <c r="Q931" s="41" t="s">
        <v>75</v>
      </c>
      <c r="R931" s="41">
        <f>HEX2DEC(RIGHT(Table13232127[[#This Row],[h2]],8))</f>
        <v>0</v>
      </c>
    </row>
    <row r="932" spans="1:18">
      <c r="A932" s="15" t="str">
        <f t="shared" si="19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1" t="s">
        <v>75</v>
      </c>
      <c r="P932" s="41">
        <f>HEX2DEC(RIGHT(Table13232127[[#This Row],[h1]],8))</f>
        <v>0</v>
      </c>
      <c r="Q932" s="41" t="s">
        <v>75</v>
      </c>
      <c r="R932" s="41">
        <f>HEX2DEC(RIGHT(Table13232127[[#This Row],[h2]],8))</f>
        <v>0</v>
      </c>
    </row>
    <row r="933" spans="1:18">
      <c r="A933" s="15" t="str">
        <f t="shared" si="19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1" t="s">
        <v>75</v>
      </c>
      <c r="P933" s="41">
        <f>HEX2DEC(RIGHT(Table13232127[[#This Row],[h1]],8))</f>
        <v>0</v>
      </c>
      <c r="Q933" s="41" t="s">
        <v>75</v>
      </c>
      <c r="R933" s="41">
        <f>HEX2DEC(RIGHT(Table13232127[[#This Row],[h2]],8))</f>
        <v>0</v>
      </c>
    </row>
    <row r="934" spans="1:18">
      <c r="A934" s="15" t="str">
        <f t="shared" si="19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1" t="s">
        <v>75</v>
      </c>
      <c r="P934" s="41">
        <f>HEX2DEC(RIGHT(Table13232127[[#This Row],[h1]],8))</f>
        <v>0</v>
      </c>
      <c r="Q934" s="41" t="s">
        <v>75</v>
      </c>
      <c r="R934" s="41">
        <f>HEX2DEC(RIGHT(Table13232127[[#This Row],[h2]],8))</f>
        <v>0</v>
      </c>
    </row>
    <row r="935" spans="1:18">
      <c r="A935" s="15" t="str">
        <f t="shared" si="19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1" t="s">
        <v>75</v>
      </c>
      <c r="P935" s="41">
        <f>HEX2DEC(RIGHT(Table13232127[[#This Row],[h1]],8))</f>
        <v>0</v>
      </c>
      <c r="Q935" s="41" t="s">
        <v>75</v>
      </c>
      <c r="R935" s="41">
        <f>HEX2DEC(RIGHT(Table13232127[[#This Row],[h2]],8))</f>
        <v>0</v>
      </c>
    </row>
    <row r="936" spans="1:18">
      <c r="A936" s="15" t="str">
        <f t="shared" si="19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1" t="s">
        <v>75</v>
      </c>
      <c r="P936" s="41">
        <f>HEX2DEC(RIGHT(Table13232127[[#This Row],[h1]],8))</f>
        <v>0</v>
      </c>
      <c r="Q936" s="41" t="s">
        <v>75</v>
      </c>
      <c r="R936" s="41">
        <f>HEX2DEC(RIGHT(Table13232127[[#This Row],[h2]],8))</f>
        <v>0</v>
      </c>
    </row>
    <row r="937" spans="1:18">
      <c r="A937" s="15" t="str">
        <f t="shared" si="19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1" t="s">
        <v>75</v>
      </c>
      <c r="P937" s="41">
        <f>HEX2DEC(RIGHT(Table13232127[[#This Row],[h1]],8))</f>
        <v>0</v>
      </c>
      <c r="Q937" s="41" t="s">
        <v>75</v>
      </c>
      <c r="R937" s="41">
        <f>HEX2DEC(RIGHT(Table13232127[[#This Row],[h2]],8))</f>
        <v>0</v>
      </c>
    </row>
    <row r="938" spans="1:18">
      <c r="A938" s="15" t="str">
        <f t="shared" si="19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1" t="s">
        <v>75</v>
      </c>
      <c r="P938" s="41">
        <f>HEX2DEC(RIGHT(Table13232127[[#This Row],[h1]],8))</f>
        <v>0</v>
      </c>
      <c r="Q938" s="41" t="s">
        <v>75</v>
      </c>
      <c r="R938" s="41">
        <f>HEX2DEC(RIGHT(Table13232127[[#This Row],[h2]],8))</f>
        <v>0</v>
      </c>
    </row>
    <row r="939" spans="1:18">
      <c r="A939" s="15" t="str">
        <f t="shared" si="19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1" t="s">
        <v>75</v>
      </c>
      <c r="P939" s="41">
        <f>HEX2DEC(RIGHT(Table13232127[[#This Row],[h1]],8))</f>
        <v>0</v>
      </c>
      <c r="Q939" s="41" t="s">
        <v>75</v>
      </c>
      <c r="R939" s="41">
        <f>HEX2DEC(RIGHT(Table13232127[[#This Row],[h2]],8))</f>
        <v>0</v>
      </c>
    </row>
    <row r="940" spans="1:18">
      <c r="A940" s="15" t="str">
        <f t="shared" si="19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1" t="s">
        <v>75</v>
      </c>
      <c r="P940" s="41">
        <f>HEX2DEC(RIGHT(Table13232127[[#This Row],[h1]],8))</f>
        <v>0</v>
      </c>
      <c r="Q940" s="41" t="s">
        <v>75</v>
      </c>
      <c r="R940" s="41">
        <f>HEX2DEC(RIGHT(Table13232127[[#This Row],[h2]],8))</f>
        <v>0</v>
      </c>
    </row>
    <row r="941" spans="1:18">
      <c r="A941" s="15" t="str">
        <f t="shared" si="19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1" t="s">
        <v>75</v>
      </c>
      <c r="P941" s="41">
        <f>HEX2DEC(RIGHT(Table13232127[[#This Row],[h1]],8))</f>
        <v>0</v>
      </c>
      <c r="Q941" s="41" t="s">
        <v>75</v>
      </c>
      <c r="R941" s="41">
        <f>HEX2DEC(RIGHT(Table13232127[[#This Row],[h2]],8))</f>
        <v>0</v>
      </c>
    </row>
    <row r="942" spans="1:18">
      <c r="A942" s="15" t="str">
        <f t="shared" si="19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1" t="s">
        <v>75</v>
      </c>
      <c r="P942" s="41">
        <f>HEX2DEC(RIGHT(Table13232127[[#This Row],[h1]],8))</f>
        <v>0</v>
      </c>
      <c r="Q942" s="41" t="s">
        <v>75</v>
      </c>
      <c r="R942" s="41">
        <f>HEX2DEC(RIGHT(Table13232127[[#This Row],[h2]],8))</f>
        <v>0</v>
      </c>
    </row>
    <row r="943" spans="1:18">
      <c r="A943" s="15" t="str">
        <f t="shared" si="19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1" t="s">
        <v>75</v>
      </c>
      <c r="P943" s="41">
        <f>HEX2DEC(RIGHT(Table13232127[[#This Row],[h1]],8))</f>
        <v>0</v>
      </c>
      <c r="Q943" s="41" t="s">
        <v>75</v>
      </c>
      <c r="R943" s="41">
        <f>HEX2DEC(RIGHT(Table13232127[[#This Row],[h2]],8))</f>
        <v>0</v>
      </c>
    </row>
    <row r="944" spans="1:18">
      <c r="A944" s="15" t="str">
        <f t="shared" si="19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1" t="s">
        <v>75</v>
      </c>
      <c r="P944" s="41">
        <f>HEX2DEC(RIGHT(Table13232127[[#This Row],[h1]],8))</f>
        <v>0</v>
      </c>
      <c r="Q944" s="41" t="s">
        <v>75</v>
      </c>
      <c r="R944" s="41">
        <f>HEX2DEC(RIGHT(Table13232127[[#This Row],[h2]],8))</f>
        <v>0</v>
      </c>
    </row>
    <row r="945" spans="1:18">
      <c r="A945" s="15" t="str">
        <f t="shared" si="19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1" t="s">
        <v>75</v>
      </c>
      <c r="P945" s="41">
        <f>HEX2DEC(RIGHT(Table13232127[[#This Row],[h1]],8))</f>
        <v>0</v>
      </c>
      <c r="Q945" s="41" t="s">
        <v>75</v>
      </c>
      <c r="R945" s="41">
        <f>HEX2DEC(RIGHT(Table13232127[[#This Row],[h2]],8))</f>
        <v>0</v>
      </c>
    </row>
    <row r="946" spans="1:18">
      <c r="A946" s="15" t="str">
        <f t="shared" si="19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1" t="s">
        <v>75</v>
      </c>
      <c r="P946" s="41">
        <f>HEX2DEC(RIGHT(Table13232127[[#This Row],[h1]],8))</f>
        <v>0</v>
      </c>
      <c r="Q946" s="41" t="s">
        <v>75</v>
      </c>
      <c r="R946" s="41">
        <f>HEX2DEC(RIGHT(Table13232127[[#This Row],[h2]],8))</f>
        <v>0</v>
      </c>
    </row>
    <row r="947" spans="1:18">
      <c r="A947" s="15" t="str">
        <f t="shared" si="19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1" t="s">
        <v>75</v>
      </c>
      <c r="P947" s="41">
        <f>HEX2DEC(RIGHT(Table13232127[[#This Row],[h1]],8))</f>
        <v>0</v>
      </c>
      <c r="Q947" s="41" t="s">
        <v>75</v>
      </c>
      <c r="R947" s="41">
        <f>HEX2DEC(RIGHT(Table13232127[[#This Row],[h2]],8))</f>
        <v>0</v>
      </c>
    </row>
    <row r="948" spans="1:18">
      <c r="A948" s="15" t="str">
        <f t="shared" si="19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1" t="s">
        <v>75</v>
      </c>
      <c r="P948" s="41">
        <f>HEX2DEC(RIGHT(Table13232127[[#This Row],[h1]],8))</f>
        <v>0</v>
      </c>
      <c r="Q948" s="41" t="s">
        <v>75</v>
      </c>
      <c r="R948" s="41">
        <f>HEX2DEC(RIGHT(Table13232127[[#This Row],[h2]],8))</f>
        <v>0</v>
      </c>
    </row>
    <row r="949" spans="1:18">
      <c r="A949" s="15" t="str">
        <f t="shared" si="19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1" t="s">
        <v>75</v>
      </c>
      <c r="P949" s="41">
        <f>HEX2DEC(RIGHT(Table13232127[[#This Row],[h1]],8))</f>
        <v>0</v>
      </c>
      <c r="Q949" s="41" t="s">
        <v>75</v>
      </c>
      <c r="R949" s="41">
        <f>HEX2DEC(RIGHT(Table13232127[[#This Row],[h2]],8))</f>
        <v>0</v>
      </c>
    </row>
    <row r="950" spans="1:18">
      <c r="A950" s="15" t="str">
        <f t="shared" si="19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1" t="s">
        <v>75</v>
      </c>
      <c r="P950" s="41">
        <f>HEX2DEC(RIGHT(Table13232127[[#This Row],[h1]],8))</f>
        <v>0</v>
      </c>
      <c r="Q950" s="41" t="s">
        <v>75</v>
      </c>
      <c r="R950" s="41">
        <f>HEX2DEC(RIGHT(Table13232127[[#This Row],[h2]],8))</f>
        <v>0</v>
      </c>
    </row>
    <row r="951" spans="1:18">
      <c r="A951" s="15" t="str">
        <f t="shared" si="19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1" t="s">
        <v>75</v>
      </c>
      <c r="P951" s="41">
        <f>HEX2DEC(RIGHT(Table13232127[[#This Row],[h1]],8))</f>
        <v>0</v>
      </c>
      <c r="Q951" s="41" t="s">
        <v>75</v>
      </c>
      <c r="R951" s="41">
        <f>HEX2DEC(RIGHT(Table13232127[[#This Row],[h2]],8))</f>
        <v>0</v>
      </c>
    </row>
    <row r="952" spans="1:18">
      <c r="A952" s="15" t="str">
        <f t="shared" si="19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1" t="s">
        <v>75</v>
      </c>
      <c r="P952" s="41">
        <f>HEX2DEC(RIGHT(Table13232127[[#This Row],[h1]],8))</f>
        <v>0</v>
      </c>
      <c r="Q952" s="41" t="s">
        <v>75</v>
      </c>
      <c r="R952" s="41">
        <f>HEX2DEC(RIGHT(Table13232127[[#This Row],[h2]],8))</f>
        <v>0</v>
      </c>
    </row>
    <row r="953" spans="1:18">
      <c r="A953" s="15" t="str">
        <f t="shared" si="19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1" t="s">
        <v>75</v>
      </c>
      <c r="P953" s="41">
        <f>HEX2DEC(RIGHT(Table13232127[[#This Row],[h1]],8))</f>
        <v>0</v>
      </c>
      <c r="Q953" s="41" t="s">
        <v>75</v>
      </c>
      <c r="R953" s="41">
        <f>HEX2DEC(RIGHT(Table13232127[[#This Row],[h2]],8))</f>
        <v>0</v>
      </c>
    </row>
    <row r="954" spans="1:18">
      <c r="A954" s="15" t="str">
        <f t="shared" si="19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1" t="s">
        <v>75</v>
      </c>
      <c r="P954" s="41">
        <f>HEX2DEC(RIGHT(Table13232127[[#This Row],[h1]],8))</f>
        <v>0</v>
      </c>
      <c r="Q954" s="41" t="s">
        <v>75</v>
      </c>
      <c r="R954" s="41">
        <f>HEX2DEC(RIGHT(Table13232127[[#This Row],[h2]],8))</f>
        <v>0</v>
      </c>
    </row>
    <row r="955" spans="1:18">
      <c r="A955" s="15" t="str">
        <f t="shared" si="19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1" t="s">
        <v>75</v>
      </c>
      <c r="P955" s="41">
        <f>HEX2DEC(RIGHT(Table13232127[[#This Row],[h1]],8))</f>
        <v>0</v>
      </c>
      <c r="Q955" s="41" t="s">
        <v>75</v>
      </c>
      <c r="R955" s="41">
        <f>HEX2DEC(RIGHT(Table13232127[[#This Row],[h2]],8))</f>
        <v>0</v>
      </c>
    </row>
    <row r="956" spans="1:18">
      <c r="A956" s="15" t="str">
        <f t="shared" si="19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1" t="s">
        <v>75</v>
      </c>
      <c r="P956" s="41">
        <f>HEX2DEC(RIGHT(Table13232127[[#This Row],[h1]],8))</f>
        <v>0</v>
      </c>
      <c r="Q956" s="41" t="s">
        <v>75</v>
      </c>
      <c r="R956" s="41">
        <f>HEX2DEC(RIGHT(Table13232127[[#This Row],[h2]],8))</f>
        <v>0</v>
      </c>
    </row>
    <row r="957" spans="1:18">
      <c r="A957" s="15" t="str">
        <f t="shared" si="19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1" t="s">
        <v>75</v>
      </c>
      <c r="P957" s="41">
        <f>HEX2DEC(RIGHT(Table13232127[[#This Row],[h1]],8))</f>
        <v>0</v>
      </c>
      <c r="Q957" s="41" t="s">
        <v>75</v>
      </c>
      <c r="R957" s="41">
        <f>HEX2DEC(RIGHT(Table13232127[[#This Row],[h2]],8))</f>
        <v>0</v>
      </c>
    </row>
    <row r="958" spans="1:18">
      <c r="A958" s="15" t="str">
        <f t="shared" si="19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1" t="s">
        <v>75</v>
      </c>
      <c r="P958" s="41">
        <f>HEX2DEC(RIGHT(Table13232127[[#This Row],[h1]],8))</f>
        <v>0</v>
      </c>
      <c r="Q958" s="41" t="s">
        <v>75</v>
      </c>
      <c r="R958" s="41">
        <f>HEX2DEC(RIGHT(Table13232127[[#This Row],[h2]],8))</f>
        <v>0</v>
      </c>
    </row>
    <row r="959" spans="1:18">
      <c r="A959" s="15" t="str">
        <f t="shared" si="19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1" t="s">
        <v>75</v>
      </c>
      <c r="P959" s="41">
        <f>HEX2DEC(RIGHT(Table13232127[[#This Row],[h1]],8))</f>
        <v>0</v>
      </c>
      <c r="Q959" s="41" t="s">
        <v>75</v>
      </c>
      <c r="R959" s="41">
        <f>HEX2DEC(RIGHT(Table13232127[[#This Row],[h2]],8))</f>
        <v>0</v>
      </c>
    </row>
    <row r="960" spans="1:18">
      <c r="A960" s="15" t="str">
        <f t="shared" si="19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1" t="s">
        <v>75</v>
      </c>
      <c r="P960" s="41">
        <f>HEX2DEC(RIGHT(Table13232127[[#This Row],[h1]],8))</f>
        <v>0</v>
      </c>
      <c r="Q960" s="41" t="s">
        <v>75</v>
      </c>
      <c r="R960" s="41">
        <f>HEX2DEC(RIGHT(Table13232127[[#This Row],[h2]],8))</f>
        <v>0</v>
      </c>
    </row>
    <row r="961" spans="1:18">
      <c r="A961" s="15" t="str">
        <f t="shared" si="19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1" t="s">
        <v>75</v>
      </c>
      <c r="P961" s="41">
        <f>HEX2DEC(RIGHT(Table13232127[[#This Row],[h1]],8))</f>
        <v>0</v>
      </c>
      <c r="Q961" s="41" t="s">
        <v>75</v>
      </c>
      <c r="R961" s="41">
        <f>HEX2DEC(RIGHT(Table13232127[[#This Row],[h2]],8))</f>
        <v>0</v>
      </c>
    </row>
    <row r="962" spans="1:18">
      <c r="A962" s="15" t="str">
        <f t="shared" si="19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1" t="s">
        <v>75</v>
      </c>
      <c r="P962" s="41">
        <f>HEX2DEC(RIGHT(Table13232127[[#This Row],[h1]],8))</f>
        <v>0</v>
      </c>
      <c r="Q962" s="41" t="s">
        <v>75</v>
      </c>
      <c r="R962" s="41">
        <f>HEX2DEC(RIGHT(Table13232127[[#This Row],[h2]],8))</f>
        <v>0</v>
      </c>
    </row>
    <row r="963" spans="1:18">
      <c r="A963" s="15" t="str">
        <f t="shared" si="19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1" t="s">
        <v>75</v>
      </c>
      <c r="P963" s="41">
        <f>HEX2DEC(RIGHT(Table13232127[[#This Row],[h1]],8))</f>
        <v>0</v>
      </c>
      <c r="Q963" s="41" t="s">
        <v>75</v>
      </c>
      <c r="R963" s="41">
        <f>HEX2DEC(RIGHT(Table13232127[[#This Row],[h2]],8))</f>
        <v>0</v>
      </c>
    </row>
    <row r="964" spans="1:18">
      <c r="A964" s="15" t="str">
        <f t="shared" si="19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1" t="s">
        <v>75</v>
      </c>
      <c r="P964" s="41">
        <f>HEX2DEC(RIGHT(Table13232127[[#This Row],[h1]],8))</f>
        <v>0</v>
      </c>
      <c r="Q964" s="41" t="s">
        <v>75</v>
      </c>
      <c r="R964" s="41">
        <f>HEX2DEC(RIGHT(Table13232127[[#This Row],[h2]],8))</f>
        <v>0</v>
      </c>
    </row>
    <row r="965" spans="1:18">
      <c r="A965" s="15" t="str">
        <f t="shared" si="19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1" t="s">
        <v>75</v>
      </c>
      <c r="P965" s="41">
        <f>HEX2DEC(RIGHT(Table13232127[[#This Row],[h1]],8))</f>
        <v>0</v>
      </c>
      <c r="Q965" s="41" t="s">
        <v>75</v>
      </c>
      <c r="R965" s="41">
        <f>HEX2DEC(RIGHT(Table13232127[[#This Row],[h2]],8))</f>
        <v>0</v>
      </c>
    </row>
    <row r="966" spans="1:18">
      <c r="A966" s="15" t="str">
        <f t="shared" si="19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1" t="s">
        <v>75</v>
      </c>
      <c r="P966" s="41">
        <f>HEX2DEC(RIGHT(Table13232127[[#This Row],[h1]],8))</f>
        <v>0</v>
      </c>
      <c r="Q966" s="41" t="s">
        <v>75</v>
      </c>
      <c r="R966" s="41">
        <f>HEX2DEC(RIGHT(Table13232127[[#This Row],[h2]],8))</f>
        <v>0</v>
      </c>
    </row>
    <row r="967" spans="1:18">
      <c r="A967" s="15" t="str">
        <f t="shared" si="19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1" t="s">
        <v>75</v>
      </c>
      <c r="P967" s="41">
        <f>HEX2DEC(RIGHT(Table13232127[[#This Row],[h1]],8))</f>
        <v>0</v>
      </c>
      <c r="Q967" s="41" t="s">
        <v>75</v>
      </c>
      <c r="R967" s="41">
        <f>HEX2DEC(RIGHT(Table13232127[[#This Row],[h2]],8))</f>
        <v>0</v>
      </c>
    </row>
    <row r="968" spans="1:18">
      <c r="A968" s="15" t="str">
        <f t="shared" si="19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1" t="s">
        <v>75</v>
      </c>
      <c r="P968" s="41">
        <f>HEX2DEC(RIGHT(Table13232127[[#This Row],[h1]],8))</f>
        <v>0</v>
      </c>
      <c r="Q968" s="41" t="s">
        <v>75</v>
      </c>
      <c r="R968" s="41">
        <f>HEX2DEC(RIGHT(Table13232127[[#This Row],[h2]],8))</f>
        <v>0</v>
      </c>
    </row>
    <row r="969" spans="1:18">
      <c r="A969" s="15" t="str">
        <f t="shared" si="19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1" t="s">
        <v>75</v>
      </c>
      <c r="P969" s="41">
        <f>HEX2DEC(RIGHT(Table13232127[[#This Row],[h1]],8))</f>
        <v>0</v>
      </c>
      <c r="Q969" s="41" t="s">
        <v>75</v>
      </c>
      <c r="R969" s="41">
        <f>HEX2DEC(RIGHT(Table13232127[[#This Row],[h2]],8))</f>
        <v>0</v>
      </c>
    </row>
    <row r="970" spans="1:18">
      <c r="A970" s="15" t="str">
        <f t="shared" si="19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1" t="s">
        <v>75</v>
      </c>
      <c r="P970" s="41">
        <f>HEX2DEC(RIGHT(Table13232127[[#This Row],[h1]],8))</f>
        <v>0</v>
      </c>
      <c r="Q970" s="41" t="s">
        <v>75</v>
      </c>
      <c r="R970" s="41">
        <f>HEX2DEC(RIGHT(Table13232127[[#This Row],[h2]],8))</f>
        <v>0</v>
      </c>
    </row>
    <row r="971" spans="1:18">
      <c r="A971" s="15" t="str">
        <f t="shared" ref="A971:A1034" si="20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1" t="s">
        <v>75</v>
      </c>
      <c r="P971" s="41">
        <f>HEX2DEC(RIGHT(Table13232127[[#This Row],[h1]],8))</f>
        <v>0</v>
      </c>
      <c r="Q971" s="41" t="s">
        <v>75</v>
      </c>
      <c r="R971" s="41">
        <f>HEX2DEC(RIGHT(Table13232127[[#This Row],[h2]],8))</f>
        <v>0</v>
      </c>
    </row>
    <row r="972" spans="1:18">
      <c r="A972" s="15" t="str">
        <f t="shared" si="20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1" t="s">
        <v>75</v>
      </c>
      <c r="P972" s="41">
        <f>HEX2DEC(RIGHT(Table13232127[[#This Row],[h1]],8))</f>
        <v>0</v>
      </c>
      <c r="Q972" s="41" t="s">
        <v>75</v>
      </c>
      <c r="R972" s="41">
        <f>HEX2DEC(RIGHT(Table13232127[[#This Row],[h2]],8))</f>
        <v>0</v>
      </c>
    </row>
    <row r="973" spans="1:18">
      <c r="A973" s="15" t="str">
        <f t="shared" si="20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1" t="s">
        <v>75</v>
      </c>
      <c r="P973" s="41">
        <f>HEX2DEC(RIGHT(Table13232127[[#This Row],[h1]],8))</f>
        <v>0</v>
      </c>
      <c r="Q973" s="41" t="s">
        <v>75</v>
      </c>
      <c r="R973" s="41">
        <f>HEX2DEC(RIGHT(Table13232127[[#This Row],[h2]],8))</f>
        <v>0</v>
      </c>
    </row>
    <row r="974" spans="1:18">
      <c r="A974" s="15" t="str">
        <f t="shared" si="20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1" t="s">
        <v>75</v>
      </c>
      <c r="P974" s="41">
        <f>HEX2DEC(RIGHT(Table13232127[[#This Row],[h1]],8))</f>
        <v>0</v>
      </c>
      <c r="Q974" s="41" t="s">
        <v>75</v>
      </c>
      <c r="R974" s="41">
        <f>HEX2DEC(RIGHT(Table13232127[[#This Row],[h2]],8))</f>
        <v>0</v>
      </c>
    </row>
    <row r="975" spans="1:18">
      <c r="A975" s="15" t="str">
        <f t="shared" si="20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1" t="s">
        <v>75</v>
      </c>
      <c r="P975" s="41">
        <f>HEX2DEC(RIGHT(Table13232127[[#This Row],[h1]],8))</f>
        <v>0</v>
      </c>
      <c r="Q975" s="41" t="s">
        <v>75</v>
      </c>
      <c r="R975" s="41">
        <f>HEX2DEC(RIGHT(Table13232127[[#This Row],[h2]],8))</f>
        <v>0</v>
      </c>
    </row>
    <row r="976" spans="1:18">
      <c r="A976" s="15" t="str">
        <f t="shared" si="20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1" t="s">
        <v>75</v>
      </c>
      <c r="P976" s="41">
        <f>HEX2DEC(RIGHT(Table13232127[[#This Row],[h1]],8))</f>
        <v>0</v>
      </c>
      <c r="Q976" s="41" t="s">
        <v>75</v>
      </c>
      <c r="R976" s="41">
        <f>HEX2DEC(RIGHT(Table13232127[[#This Row],[h2]],8))</f>
        <v>0</v>
      </c>
    </row>
    <row r="977" spans="1:18">
      <c r="A977" s="15" t="str">
        <f t="shared" si="20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1" t="s">
        <v>75</v>
      </c>
      <c r="P977" s="41">
        <f>HEX2DEC(RIGHT(Table13232127[[#This Row],[h1]],8))</f>
        <v>0</v>
      </c>
      <c r="Q977" s="41" t="s">
        <v>75</v>
      </c>
      <c r="R977" s="41">
        <f>HEX2DEC(RIGHT(Table13232127[[#This Row],[h2]],8))</f>
        <v>0</v>
      </c>
    </row>
    <row r="978" spans="1:18">
      <c r="A978" s="15" t="str">
        <f t="shared" si="20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1" t="s">
        <v>75</v>
      </c>
      <c r="P978" s="41">
        <f>HEX2DEC(RIGHT(Table13232127[[#This Row],[h1]],8))</f>
        <v>0</v>
      </c>
      <c r="Q978" s="41" t="s">
        <v>75</v>
      </c>
      <c r="R978" s="41">
        <f>HEX2DEC(RIGHT(Table13232127[[#This Row],[h2]],8))</f>
        <v>0</v>
      </c>
    </row>
    <row r="979" spans="1:18">
      <c r="A979" s="15" t="str">
        <f t="shared" si="20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1" t="s">
        <v>75</v>
      </c>
      <c r="P979" s="41">
        <f>HEX2DEC(RIGHT(Table13232127[[#This Row],[h1]],8))</f>
        <v>0</v>
      </c>
      <c r="Q979" s="41" t="s">
        <v>75</v>
      </c>
      <c r="R979" s="41">
        <f>HEX2DEC(RIGHT(Table13232127[[#This Row],[h2]],8))</f>
        <v>0</v>
      </c>
    </row>
    <row r="980" spans="1:18">
      <c r="A980" s="15" t="str">
        <f t="shared" si="20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1" t="s">
        <v>75</v>
      </c>
      <c r="P980" s="41">
        <f>HEX2DEC(RIGHT(Table13232127[[#This Row],[h1]],8))</f>
        <v>0</v>
      </c>
      <c r="Q980" s="41" t="s">
        <v>75</v>
      </c>
      <c r="R980" s="41">
        <f>HEX2DEC(RIGHT(Table13232127[[#This Row],[h2]],8))</f>
        <v>0</v>
      </c>
    </row>
    <row r="981" spans="1:18">
      <c r="A981" s="15" t="str">
        <f t="shared" si="20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1" t="s">
        <v>75</v>
      </c>
      <c r="P981" s="41">
        <f>HEX2DEC(RIGHT(Table13232127[[#This Row],[h1]],8))</f>
        <v>0</v>
      </c>
      <c r="Q981" s="41" t="s">
        <v>75</v>
      </c>
      <c r="R981" s="41">
        <f>HEX2DEC(RIGHT(Table13232127[[#This Row],[h2]],8))</f>
        <v>0</v>
      </c>
    </row>
    <row r="982" spans="1:18">
      <c r="A982" s="15" t="str">
        <f t="shared" si="20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1" t="s">
        <v>75</v>
      </c>
      <c r="P982" s="41">
        <f>HEX2DEC(RIGHT(Table13232127[[#This Row],[h1]],8))</f>
        <v>0</v>
      </c>
      <c r="Q982" s="41" t="s">
        <v>75</v>
      </c>
      <c r="R982" s="41">
        <f>HEX2DEC(RIGHT(Table13232127[[#This Row],[h2]],8))</f>
        <v>0</v>
      </c>
    </row>
    <row r="983" spans="1:18">
      <c r="A983" s="15" t="str">
        <f t="shared" si="20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1" t="s">
        <v>75</v>
      </c>
      <c r="P983" s="41">
        <f>HEX2DEC(RIGHT(Table13232127[[#This Row],[h1]],8))</f>
        <v>0</v>
      </c>
      <c r="Q983" s="41" t="s">
        <v>75</v>
      </c>
      <c r="R983" s="41">
        <f>HEX2DEC(RIGHT(Table13232127[[#This Row],[h2]],8))</f>
        <v>0</v>
      </c>
    </row>
    <row r="984" spans="1:18">
      <c r="A984" s="15" t="str">
        <f t="shared" si="20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1" t="s">
        <v>75</v>
      </c>
      <c r="P984" s="41">
        <f>HEX2DEC(RIGHT(Table13232127[[#This Row],[h1]],8))</f>
        <v>0</v>
      </c>
      <c r="Q984" s="41" t="s">
        <v>75</v>
      </c>
      <c r="R984" s="41">
        <f>HEX2DEC(RIGHT(Table13232127[[#This Row],[h2]],8))</f>
        <v>0</v>
      </c>
    </row>
    <row r="985" spans="1:18">
      <c r="A985" s="15" t="str">
        <f t="shared" si="20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1" t="s">
        <v>75</v>
      </c>
      <c r="P985" s="41">
        <f>HEX2DEC(RIGHT(Table13232127[[#This Row],[h1]],8))</f>
        <v>0</v>
      </c>
      <c r="Q985" s="41" t="s">
        <v>75</v>
      </c>
      <c r="R985" s="41">
        <f>HEX2DEC(RIGHT(Table13232127[[#This Row],[h2]],8))</f>
        <v>0</v>
      </c>
    </row>
    <row r="986" spans="1:18">
      <c r="A986" s="15" t="str">
        <f t="shared" si="20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1" t="s">
        <v>75</v>
      </c>
      <c r="P986" s="41">
        <f>HEX2DEC(RIGHT(Table13232127[[#This Row],[h1]],8))</f>
        <v>0</v>
      </c>
      <c r="Q986" s="41" t="s">
        <v>75</v>
      </c>
      <c r="R986" s="41">
        <f>HEX2DEC(RIGHT(Table13232127[[#This Row],[h2]],8))</f>
        <v>0</v>
      </c>
    </row>
    <row r="987" spans="1:18">
      <c r="A987" s="15" t="str">
        <f t="shared" si="20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1" t="s">
        <v>75</v>
      </c>
      <c r="P987" s="41">
        <f>HEX2DEC(RIGHT(Table13232127[[#This Row],[h1]],8))</f>
        <v>0</v>
      </c>
      <c r="Q987" s="41" t="s">
        <v>75</v>
      </c>
      <c r="R987" s="41">
        <f>HEX2DEC(RIGHT(Table13232127[[#This Row],[h2]],8))</f>
        <v>0</v>
      </c>
    </row>
    <row r="988" spans="1:18">
      <c r="A988" s="15" t="str">
        <f t="shared" si="20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1" t="s">
        <v>75</v>
      </c>
      <c r="P988" s="41">
        <f>HEX2DEC(RIGHT(Table13232127[[#This Row],[h1]],8))</f>
        <v>0</v>
      </c>
      <c r="Q988" s="41" t="s">
        <v>75</v>
      </c>
      <c r="R988" s="41">
        <f>HEX2DEC(RIGHT(Table13232127[[#This Row],[h2]],8))</f>
        <v>0</v>
      </c>
    </row>
    <row r="989" spans="1:18">
      <c r="A989" s="15" t="str">
        <f t="shared" si="20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1" t="s">
        <v>75</v>
      </c>
      <c r="P989" s="41">
        <f>HEX2DEC(RIGHT(Table13232127[[#This Row],[h1]],8))</f>
        <v>0</v>
      </c>
      <c r="Q989" s="41" t="s">
        <v>75</v>
      </c>
      <c r="R989" s="41">
        <f>HEX2DEC(RIGHT(Table13232127[[#This Row],[h2]],8))</f>
        <v>0</v>
      </c>
    </row>
    <row r="990" spans="1:18">
      <c r="A990" s="15" t="str">
        <f t="shared" si="20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1" t="s">
        <v>75</v>
      </c>
      <c r="P990" s="41">
        <f>HEX2DEC(RIGHT(Table13232127[[#This Row],[h1]],8))</f>
        <v>0</v>
      </c>
      <c r="Q990" s="41" t="s">
        <v>75</v>
      </c>
      <c r="R990" s="41">
        <f>HEX2DEC(RIGHT(Table13232127[[#This Row],[h2]],8))</f>
        <v>0</v>
      </c>
    </row>
    <row r="991" spans="1:18">
      <c r="A991" s="15" t="str">
        <f t="shared" si="20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1" t="s">
        <v>75</v>
      </c>
      <c r="P991" s="41">
        <f>HEX2DEC(RIGHT(Table13232127[[#This Row],[h1]],8))</f>
        <v>0</v>
      </c>
      <c r="Q991" s="41" t="s">
        <v>75</v>
      </c>
      <c r="R991" s="41">
        <f>HEX2DEC(RIGHT(Table13232127[[#This Row],[h2]],8))</f>
        <v>0</v>
      </c>
    </row>
    <row r="992" spans="1:18">
      <c r="A992" s="15" t="str">
        <f t="shared" si="20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1" t="s">
        <v>75</v>
      </c>
      <c r="P992" s="41">
        <f>HEX2DEC(RIGHT(Table13232127[[#This Row],[h1]],8))</f>
        <v>0</v>
      </c>
      <c r="Q992" s="41" t="s">
        <v>75</v>
      </c>
      <c r="R992" s="41">
        <f>HEX2DEC(RIGHT(Table13232127[[#This Row],[h2]],8))</f>
        <v>0</v>
      </c>
    </row>
    <row r="993" spans="1:18">
      <c r="A993" s="15" t="str">
        <f t="shared" si="20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1" t="s">
        <v>75</v>
      </c>
      <c r="P993" s="41">
        <f>HEX2DEC(RIGHT(Table13232127[[#This Row],[h1]],8))</f>
        <v>0</v>
      </c>
      <c r="Q993" s="41" t="s">
        <v>75</v>
      </c>
      <c r="R993" s="41">
        <f>HEX2DEC(RIGHT(Table13232127[[#This Row],[h2]],8))</f>
        <v>0</v>
      </c>
    </row>
    <row r="994" spans="1:18">
      <c r="A994" s="15" t="str">
        <f t="shared" si="20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1" t="s">
        <v>75</v>
      </c>
      <c r="P994" s="41">
        <f>HEX2DEC(RIGHT(Table13232127[[#This Row],[h1]],8))</f>
        <v>0</v>
      </c>
      <c r="Q994" s="41" t="s">
        <v>75</v>
      </c>
      <c r="R994" s="41">
        <f>HEX2DEC(RIGHT(Table13232127[[#This Row],[h2]],8))</f>
        <v>0</v>
      </c>
    </row>
    <row r="995" spans="1:18">
      <c r="A995" s="15" t="str">
        <f t="shared" si="20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1" t="s">
        <v>75</v>
      </c>
      <c r="P995" s="41">
        <f>HEX2DEC(RIGHT(Table13232127[[#This Row],[h1]],8))</f>
        <v>0</v>
      </c>
      <c r="Q995" s="41" t="s">
        <v>75</v>
      </c>
      <c r="R995" s="41">
        <f>HEX2DEC(RIGHT(Table13232127[[#This Row],[h2]],8))</f>
        <v>0</v>
      </c>
    </row>
    <row r="996" spans="1:18">
      <c r="A996" s="15" t="str">
        <f t="shared" si="20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1" t="s">
        <v>75</v>
      </c>
      <c r="P996" s="41">
        <f>HEX2DEC(RIGHT(Table13232127[[#This Row],[h1]],8))</f>
        <v>0</v>
      </c>
      <c r="Q996" s="41" t="s">
        <v>75</v>
      </c>
      <c r="R996" s="41">
        <f>HEX2DEC(RIGHT(Table13232127[[#This Row],[h2]],8))</f>
        <v>0</v>
      </c>
    </row>
    <row r="997" spans="1:18">
      <c r="A997" s="15" t="str">
        <f t="shared" si="20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1" t="s">
        <v>75</v>
      </c>
      <c r="P997" s="41">
        <f>HEX2DEC(RIGHT(Table13232127[[#This Row],[h1]],8))</f>
        <v>0</v>
      </c>
      <c r="Q997" s="41" t="s">
        <v>75</v>
      </c>
      <c r="R997" s="41">
        <f>HEX2DEC(RIGHT(Table13232127[[#This Row],[h2]],8))</f>
        <v>0</v>
      </c>
    </row>
    <row r="998" spans="1:18">
      <c r="A998" s="15" t="str">
        <f t="shared" si="20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1" t="s">
        <v>75</v>
      </c>
      <c r="P998" s="41">
        <f>HEX2DEC(RIGHT(Table13232127[[#This Row],[h1]],8))</f>
        <v>0</v>
      </c>
      <c r="Q998" s="41" t="s">
        <v>75</v>
      </c>
      <c r="R998" s="41">
        <f>HEX2DEC(RIGHT(Table13232127[[#This Row],[h2]],8))</f>
        <v>0</v>
      </c>
    </row>
    <row r="999" spans="1:18">
      <c r="A999" s="15" t="str">
        <f t="shared" si="20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1" t="s">
        <v>75</v>
      </c>
      <c r="P999" s="41">
        <f>HEX2DEC(RIGHT(Table13232127[[#This Row],[h1]],8))</f>
        <v>0</v>
      </c>
      <c r="Q999" s="41" t="s">
        <v>75</v>
      </c>
      <c r="R999" s="41">
        <f>HEX2DEC(RIGHT(Table13232127[[#This Row],[h2]],8))</f>
        <v>0</v>
      </c>
    </row>
    <row r="1000" spans="1:18">
      <c r="A1000" s="15" t="str">
        <f t="shared" si="20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1" t="s">
        <v>75</v>
      </c>
      <c r="P1000" s="41">
        <f>HEX2DEC(RIGHT(Table13232127[[#This Row],[h1]],8))</f>
        <v>0</v>
      </c>
      <c r="Q1000" s="41" t="s">
        <v>75</v>
      </c>
      <c r="R1000" s="41">
        <f>HEX2DEC(RIGHT(Table13232127[[#This Row],[h2]],8))</f>
        <v>0</v>
      </c>
    </row>
    <row r="1001" spans="1:18">
      <c r="A1001" s="15" t="str">
        <f t="shared" si="20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1" t="s">
        <v>75</v>
      </c>
      <c r="P1001" s="41">
        <f>HEX2DEC(RIGHT(Table13232127[[#This Row],[h1]],8))</f>
        <v>0</v>
      </c>
      <c r="Q1001" s="41" t="s">
        <v>75</v>
      </c>
      <c r="R1001" s="41">
        <f>HEX2DEC(RIGHT(Table13232127[[#This Row],[h2]],8))</f>
        <v>0</v>
      </c>
    </row>
    <row r="1002" spans="1:18">
      <c r="A1002" s="15" t="str">
        <f t="shared" si="20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1" t="s">
        <v>75</v>
      </c>
      <c r="P1002" s="41">
        <f>HEX2DEC(RIGHT(Table13232127[[#This Row],[h1]],8))</f>
        <v>0</v>
      </c>
      <c r="Q1002" s="41" t="s">
        <v>75</v>
      </c>
      <c r="R1002" s="41">
        <f>HEX2DEC(RIGHT(Table13232127[[#This Row],[h2]],8))</f>
        <v>0</v>
      </c>
    </row>
    <row r="1003" spans="1:18">
      <c r="A1003" s="15" t="str">
        <f t="shared" si="20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1" t="s">
        <v>75</v>
      </c>
      <c r="P1003" s="41">
        <f>HEX2DEC(RIGHT(Table13232127[[#This Row],[h1]],8))</f>
        <v>0</v>
      </c>
      <c r="Q1003" s="41" t="s">
        <v>75</v>
      </c>
      <c r="R1003" s="41">
        <f>HEX2DEC(RIGHT(Table13232127[[#This Row],[h2]],8))</f>
        <v>0</v>
      </c>
    </row>
    <row r="1004" spans="1:18">
      <c r="A1004" s="15" t="str">
        <f t="shared" si="20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1" t="s">
        <v>75</v>
      </c>
      <c r="P1004" s="41">
        <f>HEX2DEC(RIGHT(Table13232127[[#This Row],[h1]],8))</f>
        <v>0</v>
      </c>
      <c r="Q1004" s="41" t="s">
        <v>75</v>
      </c>
      <c r="R1004" s="41">
        <f>HEX2DEC(RIGHT(Table13232127[[#This Row],[h2]],8))</f>
        <v>0</v>
      </c>
    </row>
    <row r="1005" spans="1:18">
      <c r="A1005" s="15" t="str">
        <f t="shared" si="20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1" t="s">
        <v>75</v>
      </c>
      <c r="P1005" s="41">
        <f>HEX2DEC(RIGHT(Table13232127[[#This Row],[h1]],8))</f>
        <v>0</v>
      </c>
      <c r="Q1005" s="41" t="s">
        <v>75</v>
      </c>
      <c r="R1005" s="41">
        <f>HEX2DEC(RIGHT(Table13232127[[#This Row],[h2]],8))</f>
        <v>0</v>
      </c>
    </row>
    <row r="1006" spans="1:18">
      <c r="A1006" s="15" t="str">
        <f t="shared" si="20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1" t="s">
        <v>75</v>
      </c>
      <c r="P1006" s="41">
        <f>HEX2DEC(RIGHT(Table13232127[[#This Row],[h1]],8))</f>
        <v>0</v>
      </c>
      <c r="Q1006" s="41" t="s">
        <v>75</v>
      </c>
      <c r="R1006" s="41">
        <f>HEX2DEC(RIGHT(Table13232127[[#This Row],[h2]],8))</f>
        <v>0</v>
      </c>
    </row>
    <row r="1007" spans="1:18">
      <c r="A1007" s="15" t="str">
        <f t="shared" si="20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1" t="s">
        <v>75</v>
      </c>
      <c r="P1007" s="41">
        <f>HEX2DEC(RIGHT(Table13232127[[#This Row],[h1]],8))</f>
        <v>0</v>
      </c>
      <c r="Q1007" s="41" t="s">
        <v>75</v>
      </c>
      <c r="R1007" s="41">
        <f>HEX2DEC(RIGHT(Table13232127[[#This Row],[h2]],8))</f>
        <v>0</v>
      </c>
    </row>
    <row r="1008" spans="1:18">
      <c r="A1008" s="15" t="str">
        <f t="shared" si="20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1" t="s">
        <v>75</v>
      </c>
      <c r="P1008" s="41">
        <f>HEX2DEC(RIGHT(Table13232127[[#This Row],[h1]],8))</f>
        <v>0</v>
      </c>
      <c r="Q1008" s="41" t="s">
        <v>75</v>
      </c>
      <c r="R1008" s="41">
        <f>HEX2DEC(RIGHT(Table13232127[[#This Row],[h2]],8))</f>
        <v>0</v>
      </c>
    </row>
    <row r="1009" spans="1:18">
      <c r="A1009" s="15" t="str">
        <f t="shared" si="20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1" t="s">
        <v>75</v>
      </c>
      <c r="P1009" s="41">
        <f>HEX2DEC(RIGHT(Table13232127[[#This Row],[h1]],8))</f>
        <v>0</v>
      </c>
      <c r="Q1009" s="41" t="s">
        <v>75</v>
      </c>
      <c r="R1009" s="41">
        <f>HEX2DEC(RIGHT(Table13232127[[#This Row],[h2]],8))</f>
        <v>0</v>
      </c>
    </row>
    <row r="1010" spans="1:18">
      <c r="A1010" s="15" t="str">
        <f t="shared" si="20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1" t="s">
        <v>75</v>
      </c>
      <c r="P1010" s="41">
        <f>HEX2DEC(RIGHT(Table13232127[[#This Row],[h1]],8))</f>
        <v>0</v>
      </c>
      <c r="Q1010" s="41" t="s">
        <v>75</v>
      </c>
      <c r="R1010" s="41">
        <f>HEX2DEC(RIGHT(Table13232127[[#This Row],[h2]],8))</f>
        <v>0</v>
      </c>
    </row>
    <row r="1011" spans="1:18">
      <c r="A1011" s="15" t="str">
        <f t="shared" si="20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1" t="s">
        <v>75</v>
      </c>
      <c r="P1011" s="41">
        <f>HEX2DEC(RIGHT(Table13232127[[#This Row],[h1]],8))</f>
        <v>0</v>
      </c>
      <c r="Q1011" s="41" t="s">
        <v>75</v>
      </c>
      <c r="R1011" s="41">
        <f>HEX2DEC(RIGHT(Table13232127[[#This Row],[h2]],8))</f>
        <v>0</v>
      </c>
    </row>
    <row r="1012" spans="1:18">
      <c r="A1012" s="15" t="str">
        <f t="shared" si="20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1" t="s">
        <v>75</v>
      </c>
      <c r="P1012" s="41">
        <f>HEX2DEC(RIGHT(Table13232127[[#This Row],[h1]],8))</f>
        <v>0</v>
      </c>
      <c r="Q1012" s="41" t="s">
        <v>75</v>
      </c>
      <c r="R1012" s="41">
        <f>HEX2DEC(RIGHT(Table13232127[[#This Row],[h2]],8))</f>
        <v>0</v>
      </c>
    </row>
    <row r="1013" spans="1:18">
      <c r="A1013" s="15" t="str">
        <f t="shared" si="20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1" t="s">
        <v>75</v>
      </c>
      <c r="P1013" s="41">
        <f>HEX2DEC(RIGHT(Table13232127[[#This Row],[h1]],8))</f>
        <v>0</v>
      </c>
      <c r="Q1013" s="41" t="s">
        <v>75</v>
      </c>
      <c r="R1013" s="41">
        <f>HEX2DEC(RIGHT(Table13232127[[#This Row],[h2]],8))</f>
        <v>0</v>
      </c>
    </row>
    <row r="1014" spans="1:18">
      <c r="A1014" s="15" t="str">
        <f t="shared" si="20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1" t="s">
        <v>75</v>
      </c>
      <c r="P1014" s="41">
        <f>HEX2DEC(RIGHT(Table13232127[[#This Row],[h1]],8))</f>
        <v>0</v>
      </c>
      <c r="Q1014" s="41" t="s">
        <v>75</v>
      </c>
      <c r="R1014" s="41">
        <f>HEX2DEC(RIGHT(Table13232127[[#This Row],[h2]],8))</f>
        <v>0</v>
      </c>
    </row>
    <row r="1015" spans="1:18">
      <c r="A1015" s="15" t="str">
        <f t="shared" si="20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1" t="s">
        <v>75</v>
      </c>
      <c r="P1015" s="41">
        <f>HEX2DEC(RIGHT(Table13232127[[#This Row],[h1]],8))</f>
        <v>0</v>
      </c>
      <c r="Q1015" s="41" t="s">
        <v>75</v>
      </c>
      <c r="R1015" s="41">
        <f>HEX2DEC(RIGHT(Table13232127[[#This Row],[h2]],8))</f>
        <v>0</v>
      </c>
    </row>
    <row r="1016" spans="1:18">
      <c r="A1016" s="15" t="str">
        <f t="shared" si="20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1" t="s">
        <v>75</v>
      </c>
      <c r="P1016" s="41">
        <f>HEX2DEC(RIGHT(Table13232127[[#This Row],[h1]],8))</f>
        <v>0</v>
      </c>
      <c r="Q1016" s="41" t="s">
        <v>75</v>
      </c>
      <c r="R1016" s="41">
        <f>HEX2DEC(RIGHT(Table13232127[[#This Row],[h2]],8))</f>
        <v>0</v>
      </c>
    </row>
    <row r="1017" spans="1:18">
      <c r="A1017" s="15" t="str">
        <f t="shared" si="20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1" t="s">
        <v>75</v>
      </c>
      <c r="P1017" s="41">
        <f>HEX2DEC(RIGHT(Table13232127[[#This Row],[h1]],8))</f>
        <v>0</v>
      </c>
      <c r="Q1017" s="41" t="s">
        <v>75</v>
      </c>
      <c r="R1017" s="41">
        <f>HEX2DEC(RIGHT(Table13232127[[#This Row],[h2]],8))</f>
        <v>0</v>
      </c>
    </row>
    <row r="1018" spans="1:18">
      <c r="A1018" s="15" t="str">
        <f t="shared" si="20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1" t="s">
        <v>75</v>
      </c>
      <c r="P1018" s="41">
        <f>HEX2DEC(RIGHT(Table13232127[[#This Row],[h1]],8))</f>
        <v>0</v>
      </c>
      <c r="Q1018" s="41" t="s">
        <v>75</v>
      </c>
      <c r="R1018" s="41">
        <f>HEX2DEC(RIGHT(Table13232127[[#This Row],[h2]],8))</f>
        <v>0</v>
      </c>
    </row>
    <row r="1019" spans="1:18">
      <c r="A1019" s="15" t="str">
        <f t="shared" si="20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1" t="s">
        <v>75</v>
      </c>
      <c r="P1019" s="41">
        <f>HEX2DEC(RIGHT(Table13232127[[#This Row],[h1]],8))</f>
        <v>0</v>
      </c>
      <c r="Q1019" s="41" t="s">
        <v>75</v>
      </c>
      <c r="R1019" s="41">
        <f>HEX2DEC(RIGHT(Table13232127[[#This Row],[h2]],8))</f>
        <v>0</v>
      </c>
    </row>
    <row r="1020" spans="1:18">
      <c r="A1020" s="15" t="str">
        <f t="shared" si="20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1" t="s">
        <v>75</v>
      </c>
      <c r="P1020" s="41">
        <f>HEX2DEC(RIGHT(Table13232127[[#This Row],[h1]],8))</f>
        <v>0</v>
      </c>
      <c r="Q1020" s="41" t="s">
        <v>75</v>
      </c>
      <c r="R1020" s="41">
        <f>HEX2DEC(RIGHT(Table13232127[[#This Row],[h2]],8))</f>
        <v>0</v>
      </c>
    </row>
    <row r="1021" spans="1:18">
      <c r="A1021" s="15" t="str">
        <f t="shared" si="20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1" t="s">
        <v>75</v>
      </c>
      <c r="P1021" s="41">
        <f>HEX2DEC(RIGHT(Table13232127[[#This Row],[h1]],8))</f>
        <v>0</v>
      </c>
      <c r="Q1021" s="41" t="s">
        <v>75</v>
      </c>
      <c r="R1021" s="41">
        <f>HEX2DEC(RIGHT(Table13232127[[#This Row],[h2]],8))</f>
        <v>0</v>
      </c>
    </row>
    <row r="1022" spans="1:18">
      <c r="A1022" s="15" t="str">
        <f t="shared" si="20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1" t="s">
        <v>75</v>
      </c>
      <c r="P1022" s="41">
        <f>HEX2DEC(RIGHT(Table13232127[[#This Row],[h1]],8))</f>
        <v>0</v>
      </c>
      <c r="Q1022" s="41" t="s">
        <v>75</v>
      </c>
      <c r="R1022" s="41">
        <f>HEX2DEC(RIGHT(Table13232127[[#This Row],[h2]],8))</f>
        <v>0</v>
      </c>
    </row>
    <row r="1023" spans="1:18">
      <c r="A1023" s="15" t="str">
        <f t="shared" si="20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1" t="s">
        <v>75</v>
      </c>
      <c r="P1023" s="41">
        <f>HEX2DEC(RIGHT(Table13232127[[#This Row],[h1]],8))</f>
        <v>0</v>
      </c>
      <c r="Q1023" s="41" t="s">
        <v>75</v>
      </c>
      <c r="R1023" s="41">
        <f>HEX2DEC(RIGHT(Table13232127[[#This Row],[h2]],8))</f>
        <v>0</v>
      </c>
    </row>
    <row r="1024" spans="1:18">
      <c r="A1024" s="15" t="str">
        <f t="shared" si="20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1" t="s">
        <v>75</v>
      </c>
      <c r="P1024" s="41">
        <f>HEX2DEC(RIGHT(Table13232127[[#This Row],[h1]],8))</f>
        <v>0</v>
      </c>
      <c r="Q1024" s="41" t="s">
        <v>75</v>
      </c>
      <c r="R1024" s="41">
        <f>HEX2DEC(RIGHT(Table13232127[[#This Row],[h2]],8))</f>
        <v>0</v>
      </c>
    </row>
    <row r="1025" spans="1:18">
      <c r="A1025" s="15" t="str">
        <f t="shared" si="20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1" t="s">
        <v>75</v>
      </c>
      <c r="P1025" s="41">
        <f>HEX2DEC(RIGHT(Table13232127[[#This Row],[h1]],8))</f>
        <v>0</v>
      </c>
      <c r="Q1025" s="41" t="s">
        <v>75</v>
      </c>
      <c r="R1025" s="41">
        <f>HEX2DEC(RIGHT(Table13232127[[#This Row],[h2]],8))</f>
        <v>0</v>
      </c>
    </row>
    <row r="1026" spans="1:18">
      <c r="A1026" s="15" t="str">
        <f t="shared" si="20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1" t="s">
        <v>75</v>
      </c>
      <c r="P1026" s="41">
        <f>HEX2DEC(RIGHT(Table13232127[[#This Row],[h1]],8))</f>
        <v>0</v>
      </c>
      <c r="Q1026" s="41" t="s">
        <v>75</v>
      </c>
      <c r="R1026" s="41">
        <f>HEX2DEC(RIGHT(Table13232127[[#This Row],[h2]],8))</f>
        <v>0</v>
      </c>
    </row>
    <row r="1027" spans="1:18">
      <c r="A1027" s="15" t="str">
        <f t="shared" si="20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1" t="s">
        <v>75</v>
      </c>
      <c r="P1027" s="41">
        <f>HEX2DEC(RIGHT(Table13232127[[#This Row],[h1]],8))</f>
        <v>0</v>
      </c>
      <c r="Q1027" s="41" t="s">
        <v>75</v>
      </c>
      <c r="R1027" s="41">
        <f>HEX2DEC(RIGHT(Table13232127[[#This Row],[h2]],8))</f>
        <v>0</v>
      </c>
    </row>
    <row r="1028" spans="1:18">
      <c r="A1028" s="15" t="str">
        <f t="shared" si="20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1" t="s">
        <v>75</v>
      </c>
      <c r="P1028" s="41">
        <f>HEX2DEC(RIGHT(Table13232127[[#This Row],[h1]],8))</f>
        <v>0</v>
      </c>
      <c r="Q1028" s="41" t="s">
        <v>75</v>
      </c>
      <c r="R1028" s="41">
        <f>HEX2DEC(RIGHT(Table13232127[[#This Row],[h2]],8))</f>
        <v>0</v>
      </c>
    </row>
    <row r="1029" spans="1:18">
      <c r="A1029" s="15" t="str">
        <f t="shared" si="20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1" t="s">
        <v>75</v>
      </c>
      <c r="P1029" s="41">
        <f>HEX2DEC(RIGHT(Table13232127[[#This Row],[h1]],8))</f>
        <v>0</v>
      </c>
      <c r="Q1029" s="41" t="s">
        <v>75</v>
      </c>
      <c r="R1029" s="41">
        <f>HEX2DEC(RIGHT(Table13232127[[#This Row],[h2]],8))</f>
        <v>0</v>
      </c>
    </row>
    <row r="1030" spans="1:18">
      <c r="A1030" s="15" t="str">
        <f t="shared" si="20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1" t="s">
        <v>75</v>
      </c>
      <c r="P1030" s="41">
        <f>HEX2DEC(RIGHT(Table13232127[[#This Row],[h1]],8))</f>
        <v>0</v>
      </c>
      <c r="Q1030" s="41" t="s">
        <v>75</v>
      </c>
      <c r="R1030" s="41">
        <f>HEX2DEC(RIGHT(Table13232127[[#This Row],[h2]],8))</f>
        <v>0</v>
      </c>
    </row>
    <row r="1031" spans="1:18">
      <c r="A1031" s="15" t="str">
        <f t="shared" si="20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1" t="s">
        <v>75</v>
      </c>
      <c r="P1031" s="41">
        <f>HEX2DEC(RIGHT(Table13232127[[#This Row],[h1]],8))</f>
        <v>0</v>
      </c>
      <c r="Q1031" s="41" t="s">
        <v>75</v>
      </c>
      <c r="R1031" s="41">
        <f>HEX2DEC(RIGHT(Table13232127[[#This Row],[h2]],8))</f>
        <v>0</v>
      </c>
    </row>
    <row r="1032" spans="1:18">
      <c r="A1032" s="15" t="str">
        <f t="shared" si="20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1" t="s">
        <v>75</v>
      </c>
      <c r="P1032" s="41">
        <f>HEX2DEC(RIGHT(Table13232127[[#This Row],[h1]],8))</f>
        <v>0</v>
      </c>
      <c r="Q1032" s="41" t="s">
        <v>75</v>
      </c>
      <c r="R1032" s="41">
        <f>HEX2DEC(RIGHT(Table13232127[[#This Row],[h2]],8))</f>
        <v>0</v>
      </c>
    </row>
    <row r="1033" spans="1:18">
      <c r="A1033" s="15" t="str">
        <f t="shared" si="20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1" t="s">
        <v>75</v>
      </c>
      <c r="P1033" s="41">
        <f>HEX2DEC(RIGHT(Table13232127[[#This Row],[h1]],8))</f>
        <v>0</v>
      </c>
      <c r="Q1033" s="41" t="s">
        <v>75</v>
      </c>
      <c r="R1033" s="41">
        <f>HEX2DEC(RIGHT(Table13232127[[#This Row],[h2]],8))</f>
        <v>0</v>
      </c>
    </row>
    <row r="1034" spans="1:18">
      <c r="A1034" s="15" t="str">
        <f t="shared" si="20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1" t="s">
        <v>75</v>
      </c>
      <c r="P1034" s="41">
        <f>HEX2DEC(RIGHT(Table13232127[[#This Row],[h1]],8))</f>
        <v>0</v>
      </c>
      <c r="Q1034" s="41" t="s">
        <v>75</v>
      </c>
      <c r="R1034" s="41">
        <f>HEX2DEC(RIGHT(Table13232127[[#This Row],[h2]],8))</f>
        <v>0</v>
      </c>
    </row>
    <row r="1035" spans="1:18">
      <c r="A1035" s="15" t="str">
        <f t="shared" ref="A1035:A1098" si="21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1" t="s">
        <v>75</v>
      </c>
      <c r="P1035" s="41">
        <f>HEX2DEC(RIGHT(Table13232127[[#This Row],[h1]],8))</f>
        <v>0</v>
      </c>
      <c r="Q1035" s="41" t="s">
        <v>75</v>
      </c>
      <c r="R1035" s="41">
        <f>HEX2DEC(RIGHT(Table13232127[[#This Row],[h2]],8))</f>
        <v>0</v>
      </c>
    </row>
    <row r="1036" spans="1:18">
      <c r="A1036" s="15" t="str">
        <f t="shared" si="21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1" t="s">
        <v>75</v>
      </c>
      <c r="P1036" s="41">
        <f>HEX2DEC(RIGHT(Table13232127[[#This Row],[h1]],8))</f>
        <v>0</v>
      </c>
      <c r="Q1036" s="41" t="s">
        <v>75</v>
      </c>
      <c r="R1036" s="41">
        <f>HEX2DEC(RIGHT(Table13232127[[#This Row],[h2]],8))</f>
        <v>0</v>
      </c>
    </row>
    <row r="1037" spans="1:18">
      <c r="A1037" s="15" t="str">
        <f t="shared" si="21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1" t="s">
        <v>75</v>
      </c>
      <c r="P1037" s="41">
        <f>HEX2DEC(RIGHT(Table13232127[[#This Row],[h1]],8))</f>
        <v>0</v>
      </c>
      <c r="Q1037" s="41" t="s">
        <v>75</v>
      </c>
      <c r="R1037" s="41">
        <f>HEX2DEC(RIGHT(Table13232127[[#This Row],[h2]],8))</f>
        <v>0</v>
      </c>
    </row>
    <row r="1038" spans="1:18">
      <c r="A1038" s="15" t="str">
        <f t="shared" si="21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1" t="s">
        <v>75</v>
      </c>
      <c r="P1038" s="41">
        <f>HEX2DEC(RIGHT(Table13232127[[#This Row],[h1]],8))</f>
        <v>0</v>
      </c>
      <c r="Q1038" s="41" t="s">
        <v>75</v>
      </c>
      <c r="R1038" s="41">
        <f>HEX2DEC(RIGHT(Table13232127[[#This Row],[h2]],8))</f>
        <v>0</v>
      </c>
    </row>
    <row r="1039" spans="1:18">
      <c r="A1039" s="15" t="str">
        <f t="shared" si="21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1" t="s">
        <v>75</v>
      </c>
      <c r="P1039" s="41">
        <f>HEX2DEC(RIGHT(Table13232127[[#This Row],[h1]],8))</f>
        <v>0</v>
      </c>
      <c r="Q1039" s="41" t="s">
        <v>75</v>
      </c>
      <c r="R1039" s="41">
        <f>HEX2DEC(RIGHT(Table13232127[[#This Row],[h2]],8))</f>
        <v>0</v>
      </c>
    </row>
    <row r="1040" spans="1:18">
      <c r="A1040" s="15" t="str">
        <f t="shared" si="21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1" t="s">
        <v>75</v>
      </c>
      <c r="P1040" s="41">
        <f>HEX2DEC(RIGHT(Table13232127[[#This Row],[h1]],8))</f>
        <v>0</v>
      </c>
      <c r="Q1040" s="41" t="s">
        <v>75</v>
      </c>
      <c r="R1040" s="41">
        <f>HEX2DEC(RIGHT(Table13232127[[#This Row],[h2]],8))</f>
        <v>0</v>
      </c>
    </row>
    <row r="1041" spans="1:18">
      <c r="A1041" s="15" t="str">
        <f t="shared" si="21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1" t="s">
        <v>75</v>
      </c>
      <c r="P1041" s="41">
        <f>HEX2DEC(RIGHT(Table13232127[[#This Row],[h1]],8))</f>
        <v>0</v>
      </c>
      <c r="Q1041" s="41" t="s">
        <v>75</v>
      </c>
      <c r="R1041" s="41">
        <f>HEX2DEC(RIGHT(Table13232127[[#This Row],[h2]],8))</f>
        <v>0</v>
      </c>
    </row>
    <row r="1042" spans="1:18">
      <c r="A1042" s="15" t="str">
        <f t="shared" si="21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1" t="s">
        <v>75</v>
      </c>
      <c r="P1042" s="41">
        <f>HEX2DEC(RIGHT(Table13232127[[#This Row],[h1]],8))</f>
        <v>0</v>
      </c>
      <c r="Q1042" s="41" t="s">
        <v>75</v>
      </c>
      <c r="R1042" s="41">
        <f>HEX2DEC(RIGHT(Table13232127[[#This Row],[h2]],8))</f>
        <v>0</v>
      </c>
    </row>
    <row r="1043" spans="1:18">
      <c r="A1043" s="15" t="str">
        <f t="shared" si="21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1" t="s">
        <v>75</v>
      </c>
      <c r="P1043" s="41">
        <f>HEX2DEC(RIGHT(Table13232127[[#This Row],[h1]],8))</f>
        <v>0</v>
      </c>
      <c r="Q1043" s="41" t="s">
        <v>75</v>
      </c>
      <c r="R1043" s="41">
        <f>HEX2DEC(RIGHT(Table13232127[[#This Row],[h2]],8))</f>
        <v>0</v>
      </c>
    </row>
    <row r="1044" spans="1:18">
      <c r="A1044" s="15" t="str">
        <f t="shared" si="21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1" t="s">
        <v>75</v>
      </c>
      <c r="P1044" s="41">
        <f>HEX2DEC(RIGHT(Table13232127[[#This Row],[h1]],8))</f>
        <v>0</v>
      </c>
      <c r="Q1044" s="41" t="s">
        <v>75</v>
      </c>
      <c r="R1044" s="41">
        <f>HEX2DEC(RIGHT(Table13232127[[#This Row],[h2]],8))</f>
        <v>0</v>
      </c>
    </row>
    <row r="1045" spans="1:18">
      <c r="A1045" s="15" t="str">
        <f t="shared" si="21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1" t="s">
        <v>75</v>
      </c>
      <c r="P1045" s="41">
        <f>HEX2DEC(RIGHT(Table13232127[[#This Row],[h1]],8))</f>
        <v>0</v>
      </c>
      <c r="Q1045" s="41" t="s">
        <v>75</v>
      </c>
      <c r="R1045" s="41">
        <f>HEX2DEC(RIGHT(Table13232127[[#This Row],[h2]],8))</f>
        <v>0</v>
      </c>
    </row>
    <row r="1046" spans="1:18">
      <c r="A1046" s="15" t="str">
        <f t="shared" si="21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1" t="s">
        <v>75</v>
      </c>
      <c r="P1046" s="41">
        <f>HEX2DEC(RIGHT(Table13232127[[#This Row],[h1]],8))</f>
        <v>0</v>
      </c>
      <c r="Q1046" s="41" t="s">
        <v>75</v>
      </c>
      <c r="R1046" s="41">
        <f>HEX2DEC(RIGHT(Table13232127[[#This Row],[h2]],8))</f>
        <v>0</v>
      </c>
    </row>
    <row r="1047" spans="1:18">
      <c r="A1047" s="15" t="str">
        <f t="shared" si="21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1" t="s">
        <v>75</v>
      </c>
      <c r="P1047" s="41">
        <f>HEX2DEC(RIGHT(Table13232127[[#This Row],[h1]],8))</f>
        <v>0</v>
      </c>
      <c r="Q1047" s="41" t="s">
        <v>75</v>
      </c>
      <c r="R1047" s="41">
        <f>HEX2DEC(RIGHT(Table13232127[[#This Row],[h2]],8))</f>
        <v>0</v>
      </c>
    </row>
    <row r="1048" spans="1:18">
      <c r="A1048" s="15" t="str">
        <f t="shared" si="21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1" t="s">
        <v>75</v>
      </c>
      <c r="P1048" s="41">
        <f>HEX2DEC(RIGHT(Table13232127[[#This Row],[h1]],8))</f>
        <v>0</v>
      </c>
      <c r="Q1048" s="41" t="s">
        <v>75</v>
      </c>
      <c r="R1048" s="41">
        <f>HEX2DEC(RIGHT(Table13232127[[#This Row],[h2]],8))</f>
        <v>0</v>
      </c>
    </row>
    <row r="1049" spans="1:18">
      <c r="A1049" s="15" t="str">
        <f t="shared" si="21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1" t="s">
        <v>75</v>
      </c>
      <c r="P1049" s="41">
        <f>HEX2DEC(RIGHT(Table13232127[[#This Row],[h1]],8))</f>
        <v>0</v>
      </c>
      <c r="Q1049" s="41" t="s">
        <v>75</v>
      </c>
      <c r="R1049" s="41">
        <f>HEX2DEC(RIGHT(Table13232127[[#This Row],[h2]],8))</f>
        <v>0</v>
      </c>
    </row>
    <row r="1050" spans="1:18">
      <c r="A1050" s="15" t="str">
        <f t="shared" si="21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1" t="s">
        <v>75</v>
      </c>
      <c r="P1050" s="41">
        <f>HEX2DEC(RIGHT(Table13232127[[#This Row],[h1]],8))</f>
        <v>0</v>
      </c>
      <c r="Q1050" s="41" t="s">
        <v>75</v>
      </c>
      <c r="R1050" s="41">
        <f>HEX2DEC(RIGHT(Table13232127[[#This Row],[h2]],8))</f>
        <v>0</v>
      </c>
    </row>
    <row r="1051" spans="1:18">
      <c r="A1051" s="15" t="str">
        <f t="shared" si="21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1" t="s">
        <v>75</v>
      </c>
      <c r="P1051" s="41">
        <f>HEX2DEC(RIGHT(Table13232127[[#This Row],[h1]],8))</f>
        <v>0</v>
      </c>
      <c r="Q1051" s="41" t="s">
        <v>75</v>
      </c>
      <c r="R1051" s="41">
        <f>HEX2DEC(RIGHT(Table13232127[[#This Row],[h2]],8))</f>
        <v>0</v>
      </c>
    </row>
    <row r="1052" spans="1:18">
      <c r="A1052" s="15" t="str">
        <f t="shared" si="21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1" t="s">
        <v>75</v>
      </c>
      <c r="P1052" s="41">
        <f>HEX2DEC(RIGHT(Table13232127[[#This Row],[h1]],8))</f>
        <v>0</v>
      </c>
      <c r="Q1052" s="41" t="s">
        <v>75</v>
      </c>
      <c r="R1052" s="41">
        <f>HEX2DEC(RIGHT(Table13232127[[#This Row],[h2]],8))</f>
        <v>0</v>
      </c>
    </row>
    <row r="1053" spans="1:18">
      <c r="A1053" s="15" t="str">
        <f t="shared" si="21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1" t="s">
        <v>75</v>
      </c>
      <c r="P1053" s="41">
        <f>HEX2DEC(RIGHT(Table13232127[[#This Row],[h1]],8))</f>
        <v>0</v>
      </c>
      <c r="Q1053" s="41" t="s">
        <v>75</v>
      </c>
      <c r="R1053" s="41">
        <f>HEX2DEC(RIGHT(Table13232127[[#This Row],[h2]],8))</f>
        <v>0</v>
      </c>
    </row>
    <row r="1054" spans="1:18">
      <c r="A1054" s="15" t="str">
        <f t="shared" si="21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1" t="s">
        <v>75</v>
      </c>
      <c r="P1054" s="41">
        <f>HEX2DEC(RIGHT(Table13232127[[#This Row],[h1]],8))</f>
        <v>0</v>
      </c>
      <c r="Q1054" s="41" t="s">
        <v>75</v>
      </c>
      <c r="R1054" s="41">
        <f>HEX2DEC(RIGHT(Table13232127[[#This Row],[h2]],8))</f>
        <v>0</v>
      </c>
    </row>
    <row r="1055" spans="1:18">
      <c r="A1055" s="15" t="str">
        <f t="shared" si="21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1" t="s">
        <v>75</v>
      </c>
      <c r="P1055" s="41">
        <f>HEX2DEC(RIGHT(Table13232127[[#This Row],[h1]],8))</f>
        <v>0</v>
      </c>
      <c r="Q1055" s="41" t="s">
        <v>75</v>
      </c>
      <c r="R1055" s="41">
        <f>HEX2DEC(RIGHT(Table13232127[[#This Row],[h2]],8))</f>
        <v>0</v>
      </c>
    </row>
    <row r="1056" spans="1:18">
      <c r="A1056" s="15" t="str">
        <f t="shared" si="21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1" t="s">
        <v>75</v>
      </c>
      <c r="P1056" s="41">
        <f>HEX2DEC(RIGHT(Table13232127[[#This Row],[h1]],8))</f>
        <v>0</v>
      </c>
      <c r="Q1056" s="41" t="s">
        <v>75</v>
      </c>
      <c r="R1056" s="41">
        <f>HEX2DEC(RIGHT(Table13232127[[#This Row],[h2]],8))</f>
        <v>0</v>
      </c>
    </row>
    <row r="1057" spans="1:18">
      <c r="A1057" s="15" t="str">
        <f t="shared" si="21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1" t="s">
        <v>75</v>
      </c>
      <c r="P1057" s="41">
        <f>HEX2DEC(RIGHT(Table13232127[[#This Row],[h1]],8))</f>
        <v>0</v>
      </c>
      <c r="Q1057" s="41" t="s">
        <v>75</v>
      </c>
      <c r="R1057" s="41">
        <f>HEX2DEC(RIGHT(Table13232127[[#This Row],[h2]],8))</f>
        <v>0</v>
      </c>
    </row>
    <row r="1058" spans="1:18">
      <c r="A1058" s="15" t="str">
        <f t="shared" si="21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1" t="s">
        <v>75</v>
      </c>
      <c r="P1058" s="41">
        <f>HEX2DEC(RIGHT(Table13232127[[#This Row],[h1]],8))</f>
        <v>0</v>
      </c>
      <c r="Q1058" s="41" t="s">
        <v>75</v>
      </c>
      <c r="R1058" s="41">
        <f>HEX2DEC(RIGHT(Table13232127[[#This Row],[h2]],8))</f>
        <v>0</v>
      </c>
    </row>
    <row r="1059" spans="1:18">
      <c r="A1059" s="15" t="str">
        <f t="shared" si="21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1" t="s">
        <v>75</v>
      </c>
      <c r="P1059" s="41">
        <f>HEX2DEC(RIGHT(Table13232127[[#This Row],[h1]],8))</f>
        <v>0</v>
      </c>
      <c r="Q1059" s="41" t="s">
        <v>75</v>
      </c>
      <c r="R1059" s="41">
        <f>HEX2DEC(RIGHT(Table13232127[[#This Row],[h2]],8))</f>
        <v>0</v>
      </c>
    </row>
    <row r="1060" spans="1:18">
      <c r="A1060" s="15" t="str">
        <f t="shared" si="21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1" t="s">
        <v>75</v>
      </c>
      <c r="P1060" s="41">
        <f>HEX2DEC(RIGHT(Table13232127[[#This Row],[h1]],8))</f>
        <v>0</v>
      </c>
      <c r="Q1060" s="41" t="s">
        <v>75</v>
      </c>
      <c r="R1060" s="41">
        <f>HEX2DEC(RIGHT(Table13232127[[#This Row],[h2]],8))</f>
        <v>0</v>
      </c>
    </row>
    <row r="1061" spans="1:18">
      <c r="A1061" s="15" t="str">
        <f t="shared" si="21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1" t="s">
        <v>75</v>
      </c>
      <c r="P1061" s="41">
        <f>HEX2DEC(RIGHT(Table13232127[[#This Row],[h1]],8))</f>
        <v>0</v>
      </c>
      <c r="Q1061" s="41" t="s">
        <v>75</v>
      </c>
      <c r="R1061" s="41">
        <f>HEX2DEC(RIGHT(Table13232127[[#This Row],[h2]],8))</f>
        <v>0</v>
      </c>
    </row>
    <row r="1062" spans="1:18">
      <c r="A1062" s="15" t="str">
        <f t="shared" si="21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1" t="s">
        <v>75</v>
      </c>
      <c r="P1062" s="41">
        <f>HEX2DEC(RIGHT(Table13232127[[#This Row],[h1]],8))</f>
        <v>0</v>
      </c>
      <c r="Q1062" s="41" t="s">
        <v>75</v>
      </c>
      <c r="R1062" s="41">
        <f>HEX2DEC(RIGHT(Table13232127[[#This Row],[h2]],8))</f>
        <v>0</v>
      </c>
    </row>
    <row r="1063" spans="1:18">
      <c r="A1063" s="15" t="str">
        <f t="shared" si="21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1" t="s">
        <v>75</v>
      </c>
      <c r="P1063" s="41">
        <f>HEX2DEC(RIGHT(Table13232127[[#This Row],[h1]],8))</f>
        <v>0</v>
      </c>
      <c r="Q1063" s="41" t="s">
        <v>75</v>
      </c>
      <c r="R1063" s="41">
        <f>HEX2DEC(RIGHT(Table13232127[[#This Row],[h2]],8))</f>
        <v>0</v>
      </c>
    </row>
    <row r="1064" spans="1:18">
      <c r="A1064" s="15" t="str">
        <f t="shared" si="21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1" t="s">
        <v>75</v>
      </c>
      <c r="P1064" s="41">
        <f>HEX2DEC(RIGHT(Table13232127[[#This Row],[h1]],8))</f>
        <v>0</v>
      </c>
      <c r="Q1064" s="41" t="s">
        <v>75</v>
      </c>
      <c r="R1064" s="41">
        <f>HEX2DEC(RIGHT(Table13232127[[#This Row],[h2]],8))</f>
        <v>0</v>
      </c>
    </row>
    <row r="1065" spans="1:18">
      <c r="A1065" s="15" t="str">
        <f t="shared" si="21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1" t="s">
        <v>75</v>
      </c>
      <c r="P1065" s="41">
        <f>HEX2DEC(RIGHT(Table13232127[[#This Row],[h1]],8))</f>
        <v>0</v>
      </c>
      <c r="Q1065" s="41" t="s">
        <v>75</v>
      </c>
      <c r="R1065" s="41">
        <f>HEX2DEC(RIGHT(Table13232127[[#This Row],[h2]],8))</f>
        <v>0</v>
      </c>
    </row>
    <row r="1066" spans="1:18">
      <c r="A1066" s="15" t="str">
        <f t="shared" si="21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1" t="s">
        <v>75</v>
      </c>
      <c r="P1066" s="41">
        <f>HEX2DEC(RIGHT(Table13232127[[#This Row],[h1]],8))</f>
        <v>0</v>
      </c>
      <c r="Q1066" s="41" t="s">
        <v>75</v>
      </c>
      <c r="R1066" s="41">
        <f>HEX2DEC(RIGHT(Table13232127[[#This Row],[h2]],8))</f>
        <v>0</v>
      </c>
    </row>
    <row r="1067" spans="1:18">
      <c r="A1067" s="15" t="str">
        <f t="shared" si="21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1" t="s">
        <v>75</v>
      </c>
      <c r="P1067" s="41">
        <f>HEX2DEC(RIGHT(Table13232127[[#This Row],[h1]],8))</f>
        <v>0</v>
      </c>
      <c r="Q1067" s="41" t="s">
        <v>75</v>
      </c>
      <c r="R1067" s="41">
        <f>HEX2DEC(RIGHT(Table13232127[[#This Row],[h2]],8))</f>
        <v>0</v>
      </c>
    </row>
    <row r="1068" spans="1:18">
      <c r="A1068" s="15" t="str">
        <f t="shared" si="21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1" t="s">
        <v>75</v>
      </c>
      <c r="P1068" s="41">
        <f>HEX2DEC(RIGHT(Table13232127[[#This Row],[h1]],8))</f>
        <v>0</v>
      </c>
      <c r="Q1068" s="41" t="s">
        <v>75</v>
      </c>
      <c r="R1068" s="41">
        <f>HEX2DEC(RIGHT(Table13232127[[#This Row],[h2]],8))</f>
        <v>0</v>
      </c>
    </row>
    <row r="1069" spans="1:18">
      <c r="A1069" s="15" t="str">
        <f t="shared" si="21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1" t="s">
        <v>75</v>
      </c>
      <c r="P1069" s="41">
        <f>HEX2DEC(RIGHT(Table13232127[[#This Row],[h1]],8))</f>
        <v>0</v>
      </c>
      <c r="Q1069" s="41" t="s">
        <v>75</v>
      </c>
      <c r="R1069" s="41">
        <f>HEX2DEC(RIGHT(Table13232127[[#This Row],[h2]],8))</f>
        <v>0</v>
      </c>
    </row>
    <row r="1070" spans="1:18">
      <c r="A1070" s="15" t="str">
        <f t="shared" si="21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1" t="s">
        <v>75</v>
      </c>
      <c r="P1070" s="41">
        <f>HEX2DEC(RIGHT(Table13232127[[#This Row],[h1]],8))</f>
        <v>0</v>
      </c>
      <c r="Q1070" s="41" t="s">
        <v>75</v>
      </c>
      <c r="R1070" s="41">
        <f>HEX2DEC(RIGHT(Table13232127[[#This Row],[h2]],8))</f>
        <v>0</v>
      </c>
    </row>
    <row r="1071" spans="1:18">
      <c r="A1071" s="15" t="str">
        <f t="shared" si="21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1" t="s">
        <v>75</v>
      </c>
      <c r="P1071" s="41">
        <f>HEX2DEC(RIGHT(Table13232127[[#This Row],[h1]],8))</f>
        <v>0</v>
      </c>
      <c r="Q1071" s="41" t="s">
        <v>75</v>
      </c>
      <c r="R1071" s="41">
        <f>HEX2DEC(RIGHT(Table13232127[[#This Row],[h2]],8))</f>
        <v>0</v>
      </c>
    </row>
    <row r="1072" spans="1:18">
      <c r="A1072" s="15" t="str">
        <f t="shared" si="21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1" t="s">
        <v>75</v>
      </c>
      <c r="P1072" s="41">
        <f>HEX2DEC(RIGHT(Table13232127[[#This Row],[h1]],8))</f>
        <v>0</v>
      </c>
      <c r="Q1072" s="41" t="s">
        <v>75</v>
      </c>
      <c r="R1072" s="41">
        <f>HEX2DEC(RIGHT(Table13232127[[#This Row],[h2]],8))</f>
        <v>0</v>
      </c>
    </row>
    <row r="1073" spans="1:18">
      <c r="A1073" s="15" t="str">
        <f t="shared" si="21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1" t="s">
        <v>75</v>
      </c>
      <c r="P1073" s="41">
        <f>HEX2DEC(RIGHT(Table13232127[[#This Row],[h1]],8))</f>
        <v>0</v>
      </c>
      <c r="Q1073" s="41" t="s">
        <v>75</v>
      </c>
      <c r="R1073" s="41">
        <f>HEX2DEC(RIGHT(Table13232127[[#This Row],[h2]],8))</f>
        <v>0</v>
      </c>
    </row>
    <row r="1074" spans="1:18">
      <c r="A1074" s="15" t="str">
        <f t="shared" si="21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1" t="s">
        <v>75</v>
      </c>
      <c r="P1074" s="41">
        <f>HEX2DEC(RIGHT(Table13232127[[#This Row],[h1]],8))</f>
        <v>0</v>
      </c>
      <c r="Q1074" s="41" t="s">
        <v>75</v>
      </c>
      <c r="R1074" s="41">
        <f>HEX2DEC(RIGHT(Table13232127[[#This Row],[h2]],8))</f>
        <v>0</v>
      </c>
    </row>
    <row r="1075" spans="1:18">
      <c r="A1075" s="15" t="str">
        <f t="shared" si="21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1" t="s">
        <v>75</v>
      </c>
      <c r="P1075" s="41">
        <f>HEX2DEC(RIGHT(Table13232127[[#This Row],[h1]],8))</f>
        <v>0</v>
      </c>
      <c r="Q1075" s="41" t="s">
        <v>75</v>
      </c>
      <c r="R1075" s="41">
        <f>HEX2DEC(RIGHT(Table13232127[[#This Row],[h2]],8))</f>
        <v>0</v>
      </c>
    </row>
    <row r="1076" spans="1:18">
      <c r="A1076" s="15" t="str">
        <f t="shared" si="21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1" t="s">
        <v>75</v>
      </c>
      <c r="P1076" s="41">
        <f>HEX2DEC(RIGHT(Table13232127[[#This Row],[h1]],8))</f>
        <v>0</v>
      </c>
      <c r="Q1076" s="41" t="s">
        <v>75</v>
      </c>
      <c r="R1076" s="41">
        <f>HEX2DEC(RIGHT(Table13232127[[#This Row],[h2]],8))</f>
        <v>0</v>
      </c>
    </row>
    <row r="1077" spans="1:18">
      <c r="A1077" s="15" t="str">
        <f t="shared" si="21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1" t="s">
        <v>75</v>
      </c>
      <c r="P1077" s="41">
        <f>HEX2DEC(RIGHT(Table13232127[[#This Row],[h1]],8))</f>
        <v>0</v>
      </c>
      <c r="Q1077" s="41" t="s">
        <v>75</v>
      </c>
      <c r="R1077" s="41">
        <f>HEX2DEC(RIGHT(Table13232127[[#This Row],[h2]],8))</f>
        <v>0</v>
      </c>
    </row>
    <row r="1078" spans="1:18">
      <c r="A1078" s="15" t="str">
        <f t="shared" si="21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1" t="s">
        <v>75</v>
      </c>
      <c r="P1078" s="41">
        <f>HEX2DEC(RIGHT(Table13232127[[#This Row],[h1]],8))</f>
        <v>0</v>
      </c>
      <c r="Q1078" s="41" t="s">
        <v>75</v>
      </c>
      <c r="R1078" s="41">
        <f>HEX2DEC(RIGHT(Table13232127[[#This Row],[h2]],8))</f>
        <v>0</v>
      </c>
    </row>
    <row r="1079" spans="1:18">
      <c r="A1079" s="15" t="str">
        <f t="shared" si="21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1" t="s">
        <v>75</v>
      </c>
      <c r="P1079" s="41">
        <f>HEX2DEC(RIGHT(Table13232127[[#This Row],[h1]],8))</f>
        <v>0</v>
      </c>
      <c r="Q1079" s="41" t="s">
        <v>75</v>
      </c>
      <c r="R1079" s="41">
        <f>HEX2DEC(RIGHT(Table13232127[[#This Row],[h2]],8))</f>
        <v>0</v>
      </c>
    </row>
    <row r="1080" spans="1:18">
      <c r="A1080" s="15" t="str">
        <f t="shared" si="21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1" t="s">
        <v>75</v>
      </c>
      <c r="P1080" s="41">
        <f>HEX2DEC(RIGHT(Table13232127[[#This Row],[h1]],8))</f>
        <v>0</v>
      </c>
      <c r="Q1080" s="41" t="s">
        <v>75</v>
      </c>
      <c r="R1080" s="41">
        <f>HEX2DEC(RIGHT(Table13232127[[#This Row],[h2]],8))</f>
        <v>0</v>
      </c>
    </row>
    <row r="1081" spans="1:18">
      <c r="A1081" s="15" t="str">
        <f t="shared" si="21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1" t="s">
        <v>75</v>
      </c>
      <c r="P1081" s="41">
        <f>HEX2DEC(RIGHT(Table13232127[[#This Row],[h1]],8))</f>
        <v>0</v>
      </c>
      <c r="Q1081" s="41" t="s">
        <v>75</v>
      </c>
      <c r="R1081" s="41">
        <f>HEX2DEC(RIGHT(Table13232127[[#This Row],[h2]],8))</f>
        <v>0</v>
      </c>
    </row>
    <row r="1082" spans="1:18">
      <c r="A1082" s="15" t="str">
        <f t="shared" si="21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1" t="s">
        <v>75</v>
      </c>
      <c r="P1082" s="41">
        <f>HEX2DEC(RIGHT(Table13232127[[#This Row],[h1]],8))</f>
        <v>0</v>
      </c>
      <c r="Q1082" s="41" t="s">
        <v>75</v>
      </c>
      <c r="R1082" s="41">
        <f>HEX2DEC(RIGHT(Table13232127[[#This Row],[h2]],8))</f>
        <v>0</v>
      </c>
    </row>
    <row r="1083" spans="1:18">
      <c r="A1083" s="15" t="str">
        <f t="shared" si="21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1" t="s">
        <v>75</v>
      </c>
      <c r="P1083" s="41">
        <f>HEX2DEC(RIGHT(Table13232127[[#This Row],[h1]],8))</f>
        <v>0</v>
      </c>
      <c r="Q1083" s="41" t="s">
        <v>75</v>
      </c>
      <c r="R1083" s="41">
        <f>HEX2DEC(RIGHT(Table13232127[[#This Row],[h2]],8))</f>
        <v>0</v>
      </c>
    </row>
    <row r="1084" spans="1:18">
      <c r="A1084" s="15" t="str">
        <f t="shared" si="21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1" t="s">
        <v>75</v>
      </c>
      <c r="P1084" s="41">
        <f>HEX2DEC(RIGHT(Table13232127[[#This Row],[h1]],8))</f>
        <v>0</v>
      </c>
      <c r="Q1084" s="41" t="s">
        <v>75</v>
      </c>
      <c r="R1084" s="41">
        <f>HEX2DEC(RIGHT(Table13232127[[#This Row],[h2]],8))</f>
        <v>0</v>
      </c>
    </row>
    <row r="1085" spans="1:18">
      <c r="A1085" s="15" t="str">
        <f t="shared" si="21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1" t="s">
        <v>75</v>
      </c>
      <c r="P1085" s="41">
        <f>HEX2DEC(RIGHT(Table13232127[[#This Row],[h1]],8))</f>
        <v>0</v>
      </c>
      <c r="Q1085" s="41" t="s">
        <v>75</v>
      </c>
      <c r="R1085" s="41">
        <f>HEX2DEC(RIGHT(Table13232127[[#This Row],[h2]],8))</f>
        <v>0</v>
      </c>
    </row>
    <row r="1086" spans="1:18">
      <c r="A1086" s="15" t="str">
        <f t="shared" si="21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1" t="s">
        <v>75</v>
      </c>
      <c r="P1086" s="41">
        <f>HEX2DEC(RIGHT(Table13232127[[#This Row],[h1]],8))</f>
        <v>0</v>
      </c>
      <c r="Q1086" s="41" t="s">
        <v>75</v>
      </c>
      <c r="R1086" s="41">
        <f>HEX2DEC(RIGHT(Table13232127[[#This Row],[h2]],8))</f>
        <v>0</v>
      </c>
    </row>
    <row r="1087" spans="1:18">
      <c r="A1087" s="15" t="str">
        <f t="shared" si="21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1" t="s">
        <v>75</v>
      </c>
      <c r="P1087" s="41">
        <f>HEX2DEC(RIGHT(Table13232127[[#This Row],[h1]],8))</f>
        <v>0</v>
      </c>
      <c r="Q1087" s="41" t="s">
        <v>75</v>
      </c>
      <c r="R1087" s="41">
        <f>HEX2DEC(RIGHT(Table13232127[[#This Row],[h2]],8))</f>
        <v>0</v>
      </c>
    </row>
    <row r="1088" spans="1:18">
      <c r="A1088" s="15" t="str">
        <f t="shared" si="21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1" t="s">
        <v>75</v>
      </c>
      <c r="P1088" s="41">
        <f>HEX2DEC(RIGHT(Table13232127[[#This Row],[h1]],8))</f>
        <v>0</v>
      </c>
      <c r="Q1088" s="41" t="s">
        <v>75</v>
      </c>
      <c r="R1088" s="41">
        <f>HEX2DEC(RIGHT(Table13232127[[#This Row],[h2]],8))</f>
        <v>0</v>
      </c>
    </row>
    <row r="1089" spans="1:18">
      <c r="A1089" s="15" t="str">
        <f t="shared" si="21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1" t="s">
        <v>75</v>
      </c>
      <c r="P1089" s="41">
        <f>HEX2DEC(RIGHT(Table13232127[[#This Row],[h1]],8))</f>
        <v>0</v>
      </c>
      <c r="Q1089" s="41" t="s">
        <v>75</v>
      </c>
      <c r="R1089" s="41">
        <f>HEX2DEC(RIGHT(Table13232127[[#This Row],[h2]],8))</f>
        <v>0</v>
      </c>
    </row>
    <row r="1090" spans="1:18">
      <c r="A1090" s="15" t="str">
        <f t="shared" si="21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1" t="s">
        <v>75</v>
      </c>
      <c r="P1090" s="41">
        <f>HEX2DEC(RIGHT(Table13232127[[#This Row],[h1]],8))</f>
        <v>0</v>
      </c>
      <c r="Q1090" s="41" t="s">
        <v>75</v>
      </c>
      <c r="R1090" s="41">
        <f>HEX2DEC(RIGHT(Table13232127[[#This Row],[h2]],8))</f>
        <v>0</v>
      </c>
    </row>
    <row r="1091" spans="1:18">
      <c r="A1091" s="15" t="str">
        <f t="shared" si="21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1" t="s">
        <v>75</v>
      </c>
      <c r="P1091" s="41">
        <f>HEX2DEC(RIGHT(Table13232127[[#This Row],[h1]],8))</f>
        <v>0</v>
      </c>
      <c r="Q1091" s="41" t="s">
        <v>75</v>
      </c>
      <c r="R1091" s="41">
        <f>HEX2DEC(RIGHT(Table13232127[[#This Row],[h2]],8))</f>
        <v>0</v>
      </c>
    </row>
    <row r="1092" spans="1:18">
      <c r="A1092" s="15" t="str">
        <f t="shared" si="21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1" t="s">
        <v>75</v>
      </c>
      <c r="P1092" s="41">
        <f>HEX2DEC(RIGHT(Table13232127[[#This Row],[h1]],8))</f>
        <v>0</v>
      </c>
      <c r="Q1092" s="41" t="s">
        <v>75</v>
      </c>
      <c r="R1092" s="41">
        <f>HEX2DEC(RIGHT(Table13232127[[#This Row],[h2]],8))</f>
        <v>0</v>
      </c>
    </row>
    <row r="1093" spans="1:18">
      <c r="A1093" s="15" t="str">
        <f t="shared" si="21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1" t="s">
        <v>75</v>
      </c>
      <c r="P1093" s="41">
        <f>HEX2DEC(RIGHT(Table13232127[[#This Row],[h1]],8))</f>
        <v>0</v>
      </c>
      <c r="Q1093" s="41" t="s">
        <v>75</v>
      </c>
      <c r="R1093" s="41">
        <f>HEX2DEC(RIGHT(Table13232127[[#This Row],[h2]],8))</f>
        <v>0</v>
      </c>
    </row>
    <row r="1094" spans="1:18">
      <c r="A1094" s="15" t="str">
        <f t="shared" si="21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1" t="s">
        <v>75</v>
      </c>
      <c r="P1094" s="41">
        <f>HEX2DEC(RIGHT(Table13232127[[#This Row],[h1]],8))</f>
        <v>0</v>
      </c>
      <c r="Q1094" s="41" t="s">
        <v>75</v>
      </c>
      <c r="R1094" s="41">
        <f>HEX2DEC(RIGHT(Table13232127[[#This Row],[h2]],8))</f>
        <v>0</v>
      </c>
    </row>
    <row r="1095" spans="1:18">
      <c r="A1095" s="15" t="str">
        <f t="shared" si="21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1" t="s">
        <v>75</v>
      </c>
      <c r="P1095" s="41">
        <f>HEX2DEC(RIGHT(Table13232127[[#This Row],[h1]],8))</f>
        <v>0</v>
      </c>
      <c r="Q1095" s="41" t="s">
        <v>75</v>
      </c>
      <c r="R1095" s="41">
        <f>HEX2DEC(RIGHT(Table13232127[[#This Row],[h2]],8))</f>
        <v>0</v>
      </c>
    </row>
    <row r="1096" spans="1:18">
      <c r="A1096" s="15" t="str">
        <f t="shared" si="21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1" t="s">
        <v>75</v>
      </c>
      <c r="P1096" s="41">
        <f>HEX2DEC(RIGHT(Table13232127[[#This Row],[h1]],8))</f>
        <v>0</v>
      </c>
      <c r="Q1096" s="41" t="s">
        <v>75</v>
      </c>
      <c r="R1096" s="41">
        <f>HEX2DEC(RIGHT(Table13232127[[#This Row],[h2]],8))</f>
        <v>0</v>
      </c>
    </row>
    <row r="1097" spans="1:18">
      <c r="A1097" s="15" t="str">
        <f t="shared" si="21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1" t="s">
        <v>75</v>
      </c>
      <c r="P1097" s="41">
        <f>HEX2DEC(RIGHT(Table13232127[[#This Row],[h1]],8))</f>
        <v>0</v>
      </c>
      <c r="Q1097" s="41" t="s">
        <v>75</v>
      </c>
      <c r="R1097" s="41">
        <f>HEX2DEC(RIGHT(Table13232127[[#This Row],[h2]],8))</f>
        <v>0</v>
      </c>
    </row>
    <row r="1098" spans="1:18">
      <c r="A1098" s="15" t="str">
        <f t="shared" si="21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1" t="s">
        <v>75</v>
      </c>
      <c r="P1098" s="41">
        <f>HEX2DEC(RIGHT(Table13232127[[#This Row],[h1]],8))</f>
        <v>0</v>
      </c>
      <c r="Q1098" s="41" t="s">
        <v>75</v>
      </c>
      <c r="R1098" s="41">
        <f>HEX2DEC(RIGHT(Table13232127[[#This Row],[h2]],8))</f>
        <v>0</v>
      </c>
    </row>
    <row r="1099" spans="1:18">
      <c r="A1099" s="15" t="str">
        <f t="shared" ref="A1099:A1162" si="22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1" t="s">
        <v>75</v>
      </c>
      <c r="P1099" s="41">
        <f>HEX2DEC(RIGHT(Table13232127[[#This Row],[h1]],8))</f>
        <v>0</v>
      </c>
      <c r="Q1099" s="41" t="s">
        <v>75</v>
      </c>
      <c r="R1099" s="41">
        <f>HEX2DEC(RIGHT(Table13232127[[#This Row],[h2]],8))</f>
        <v>0</v>
      </c>
    </row>
    <row r="1100" spans="1:18">
      <c r="A1100" s="15" t="str">
        <f t="shared" si="22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1" t="s">
        <v>75</v>
      </c>
      <c r="P1100" s="41">
        <f>HEX2DEC(RIGHT(Table13232127[[#This Row],[h1]],8))</f>
        <v>0</v>
      </c>
      <c r="Q1100" s="41" t="s">
        <v>75</v>
      </c>
      <c r="R1100" s="41">
        <f>HEX2DEC(RIGHT(Table13232127[[#This Row],[h2]],8))</f>
        <v>0</v>
      </c>
    </row>
    <row r="1101" spans="1:18">
      <c r="A1101" s="15" t="str">
        <f t="shared" si="22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1" t="s">
        <v>75</v>
      </c>
      <c r="P1101" s="41">
        <f>HEX2DEC(RIGHT(Table13232127[[#This Row],[h1]],8))</f>
        <v>0</v>
      </c>
      <c r="Q1101" s="41" t="s">
        <v>75</v>
      </c>
      <c r="R1101" s="41">
        <f>HEX2DEC(RIGHT(Table13232127[[#This Row],[h2]],8))</f>
        <v>0</v>
      </c>
    </row>
    <row r="1102" spans="1:18">
      <c r="A1102" s="15" t="str">
        <f t="shared" si="22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1" t="s">
        <v>75</v>
      </c>
      <c r="P1102" s="41">
        <f>HEX2DEC(RIGHT(Table13232127[[#This Row],[h1]],8))</f>
        <v>0</v>
      </c>
      <c r="Q1102" s="41" t="s">
        <v>75</v>
      </c>
      <c r="R1102" s="41">
        <f>HEX2DEC(RIGHT(Table13232127[[#This Row],[h2]],8))</f>
        <v>0</v>
      </c>
    </row>
    <row r="1103" spans="1:18">
      <c r="A1103" s="15" t="str">
        <f t="shared" si="22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1" t="s">
        <v>75</v>
      </c>
      <c r="P1103" s="41">
        <f>HEX2DEC(RIGHT(Table13232127[[#This Row],[h1]],8))</f>
        <v>0</v>
      </c>
      <c r="Q1103" s="41" t="s">
        <v>75</v>
      </c>
      <c r="R1103" s="41">
        <f>HEX2DEC(RIGHT(Table13232127[[#This Row],[h2]],8))</f>
        <v>0</v>
      </c>
    </row>
    <row r="1104" spans="1:18">
      <c r="A1104" s="15" t="str">
        <f t="shared" si="22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1" t="s">
        <v>75</v>
      </c>
      <c r="P1104" s="41">
        <f>HEX2DEC(RIGHT(Table13232127[[#This Row],[h1]],8))</f>
        <v>0</v>
      </c>
      <c r="Q1104" s="41" t="s">
        <v>75</v>
      </c>
      <c r="R1104" s="41">
        <f>HEX2DEC(RIGHT(Table13232127[[#This Row],[h2]],8))</f>
        <v>0</v>
      </c>
    </row>
    <row r="1105" spans="1:18">
      <c r="A1105" s="15" t="str">
        <f t="shared" si="22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1" t="s">
        <v>75</v>
      </c>
      <c r="P1105" s="41">
        <f>HEX2DEC(RIGHT(Table13232127[[#This Row],[h1]],8))</f>
        <v>0</v>
      </c>
      <c r="Q1105" s="41" t="s">
        <v>75</v>
      </c>
      <c r="R1105" s="41">
        <f>HEX2DEC(RIGHT(Table13232127[[#This Row],[h2]],8))</f>
        <v>0</v>
      </c>
    </row>
    <row r="1106" spans="1:18">
      <c r="A1106" s="15" t="str">
        <f t="shared" si="22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1" t="s">
        <v>75</v>
      </c>
      <c r="P1106" s="41">
        <f>HEX2DEC(RIGHT(Table13232127[[#This Row],[h1]],8))</f>
        <v>0</v>
      </c>
      <c r="Q1106" s="41" t="s">
        <v>75</v>
      </c>
      <c r="R1106" s="41">
        <f>HEX2DEC(RIGHT(Table13232127[[#This Row],[h2]],8))</f>
        <v>0</v>
      </c>
    </row>
    <row r="1107" spans="1:18">
      <c r="A1107" s="15" t="str">
        <f t="shared" si="22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1" t="s">
        <v>75</v>
      </c>
      <c r="P1107" s="41">
        <f>HEX2DEC(RIGHT(Table13232127[[#This Row],[h1]],8))</f>
        <v>0</v>
      </c>
      <c r="Q1107" s="41" t="s">
        <v>75</v>
      </c>
      <c r="R1107" s="41">
        <f>HEX2DEC(RIGHT(Table13232127[[#This Row],[h2]],8))</f>
        <v>0</v>
      </c>
    </row>
    <row r="1108" spans="1:18">
      <c r="A1108" s="15" t="str">
        <f t="shared" si="22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1" t="s">
        <v>75</v>
      </c>
      <c r="P1108" s="41">
        <f>HEX2DEC(RIGHT(Table13232127[[#This Row],[h1]],8))</f>
        <v>0</v>
      </c>
      <c r="Q1108" s="41" t="s">
        <v>75</v>
      </c>
      <c r="R1108" s="41">
        <f>HEX2DEC(RIGHT(Table13232127[[#This Row],[h2]],8))</f>
        <v>0</v>
      </c>
    </row>
    <row r="1109" spans="1:18">
      <c r="A1109" s="15" t="str">
        <f t="shared" si="22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1" t="s">
        <v>75</v>
      </c>
      <c r="P1109" s="41">
        <f>HEX2DEC(RIGHT(Table13232127[[#This Row],[h1]],8))</f>
        <v>0</v>
      </c>
      <c r="Q1109" s="41" t="s">
        <v>75</v>
      </c>
      <c r="R1109" s="41">
        <f>HEX2DEC(RIGHT(Table13232127[[#This Row],[h2]],8))</f>
        <v>0</v>
      </c>
    </row>
    <row r="1110" spans="1:18">
      <c r="A1110" s="15" t="str">
        <f t="shared" si="22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1" t="s">
        <v>75</v>
      </c>
      <c r="P1110" s="41">
        <f>HEX2DEC(RIGHT(Table13232127[[#This Row],[h1]],8))</f>
        <v>0</v>
      </c>
      <c r="Q1110" s="41" t="s">
        <v>75</v>
      </c>
      <c r="R1110" s="41">
        <f>HEX2DEC(RIGHT(Table13232127[[#This Row],[h2]],8))</f>
        <v>0</v>
      </c>
    </row>
    <row r="1111" spans="1:18">
      <c r="A1111" s="15" t="str">
        <f t="shared" si="22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1" t="s">
        <v>75</v>
      </c>
      <c r="P1111" s="41">
        <f>HEX2DEC(RIGHT(Table13232127[[#This Row],[h1]],8))</f>
        <v>0</v>
      </c>
      <c r="Q1111" s="41" t="s">
        <v>75</v>
      </c>
      <c r="R1111" s="41">
        <f>HEX2DEC(RIGHT(Table13232127[[#This Row],[h2]],8))</f>
        <v>0</v>
      </c>
    </row>
    <row r="1112" spans="1:18">
      <c r="A1112" s="15" t="str">
        <f t="shared" si="22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1" t="s">
        <v>75</v>
      </c>
      <c r="P1112" s="41">
        <f>HEX2DEC(RIGHT(Table13232127[[#This Row],[h1]],8))</f>
        <v>0</v>
      </c>
      <c r="Q1112" s="41" t="s">
        <v>75</v>
      </c>
      <c r="R1112" s="41">
        <f>HEX2DEC(RIGHT(Table13232127[[#This Row],[h2]],8))</f>
        <v>0</v>
      </c>
    </row>
    <row r="1113" spans="1:18">
      <c r="A1113" s="15" t="str">
        <f t="shared" si="22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1" t="s">
        <v>75</v>
      </c>
      <c r="P1113" s="41">
        <f>HEX2DEC(RIGHT(Table13232127[[#This Row],[h1]],8))</f>
        <v>0</v>
      </c>
      <c r="Q1113" s="41" t="s">
        <v>75</v>
      </c>
      <c r="R1113" s="41">
        <f>HEX2DEC(RIGHT(Table13232127[[#This Row],[h2]],8))</f>
        <v>0</v>
      </c>
    </row>
    <row r="1114" spans="1:18">
      <c r="A1114" s="15" t="str">
        <f t="shared" si="22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1" t="s">
        <v>75</v>
      </c>
      <c r="P1114" s="41">
        <f>HEX2DEC(RIGHT(Table13232127[[#This Row],[h1]],8))</f>
        <v>0</v>
      </c>
      <c r="Q1114" s="41" t="s">
        <v>75</v>
      </c>
      <c r="R1114" s="41">
        <f>HEX2DEC(RIGHT(Table13232127[[#This Row],[h2]],8))</f>
        <v>0</v>
      </c>
    </row>
    <row r="1115" spans="1:18">
      <c r="A1115" s="15" t="str">
        <f t="shared" si="22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1" t="s">
        <v>75</v>
      </c>
      <c r="P1115" s="41">
        <f>HEX2DEC(RIGHT(Table13232127[[#This Row],[h1]],8))</f>
        <v>0</v>
      </c>
      <c r="Q1115" s="41" t="s">
        <v>75</v>
      </c>
      <c r="R1115" s="41">
        <f>HEX2DEC(RIGHT(Table13232127[[#This Row],[h2]],8))</f>
        <v>0</v>
      </c>
    </row>
    <row r="1116" spans="1:18">
      <c r="A1116" s="15" t="str">
        <f t="shared" si="22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1" t="s">
        <v>75</v>
      </c>
      <c r="P1116" s="41">
        <f>HEX2DEC(RIGHT(Table13232127[[#This Row],[h1]],8))</f>
        <v>0</v>
      </c>
      <c r="Q1116" s="41" t="s">
        <v>75</v>
      </c>
      <c r="R1116" s="41">
        <f>HEX2DEC(RIGHT(Table13232127[[#This Row],[h2]],8))</f>
        <v>0</v>
      </c>
    </row>
    <row r="1117" spans="1:18">
      <c r="A1117" s="15" t="str">
        <f t="shared" si="22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1" t="s">
        <v>75</v>
      </c>
      <c r="P1117" s="41">
        <f>HEX2DEC(RIGHT(Table13232127[[#This Row],[h1]],8))</f>
        <v>0</v>
      </c>
      <c r="Q1117" s="41" t="s">
        <v>75</v>
      </c>
      <c r="R1117" s="41">
        <f>HEX2DEC(RIGHT(Table13232127[[#This Row],[h2]],8))</f>
        <v>0</v>
      </c>
    </row>
    <row r="1118" spans="1:18">
      <c r="A1118" s="15" t="str">
        <f t="shared" si="22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1" t="s">
        <v>75</v>
      </c>
      <c r="P1118" s="41">
        <f>HEX2DEC(RIGHT(Table13232127[[#This Row],[h1]],8))</f>
        <v>0</v>
      </c>
      <c r="Q1118" s="41" t="s">
        <v>75</v>
      </c>
      <c r="R1118" s="41">
        <f>HEX2DEC(RIGHT(Table13232127[[#This Row],[h2]],8))</f>
        <v>0</v>
      </c>
    </row>
    <row r="1119" spans="1:18">
      <c r="A1119" s="15" t="str">
        <f t="shared" si="22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1" t="s">
        <v>75</v>
      </c>
      <c r="P1119" s="41">
        <f>HEX2DEC(RIGHT(Table13232127[[#This Row],[h1]],8))</f>
        <v>0</v>
      </c>
      <c r="Q1119" s="41" t="s">
        <v>75</v>
      </c>
      <c r="R1119" s="41">
        <f>HEX2DEC(RIGHT(Table13232127[[#This Row],[h2]],8))</f>
        <v>0</v>
      </c>
    </row>
    <row r="1120" spans="1:18">
      <c r="A1120" s="15" t="str">
        <f t="shared" si="22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1" t="s">
        <v>75</v>
      </c>
      <c r="P1120" s="41">
        <f>HEX2DEC(RIGHT(Table13232127[[#This Row],[h1]],8))</f>
        <v>0</v>
      </c>
      <c r="Q1120" s="41" t="s">
        <v>75</v>
      </c>
      <c r="R1120" s="41">
        <f>HEX2DEC(RIGHT(Table13232127[[#This Row],[h2]],8))</f>
        <v>0</v>
      </c>
    </row>
    <row r="1121" spans="1:18">
      <c r="A1121" s="15" t="str">
        <f t="shared" si="22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1" t="s">
        <v>75</v>
      </c>
      <c r="P1121" s="41">
        <f>HEX2DEC(RIGHT(Table13232127[[#This Row],[h1]],8))</f>
        <v>0</v>
      </c>
      <c r="Q1121" s="41" t="s">
        <v>75</v>
      </c>
      <c r="R1121" s="41">
        <f>HEX2DEC(RIGHT(Table13232127[[#This Row],[h2]],8))</f>
        <v>0</v>
      </c>
    </row>
    <row r="1122" spans="1:18">
      <c r="A1122" s="15" t="str">
        <f t="shared" si="22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1" t="s">
        <v>75</v>
      </c>
      <c r="P1122" s="41">
        <f>HEX2DEC(RIGHT(Table13232127[[#This Row],[h1]],8))</f>
        <v>0</v>
      </c>
      <c r="Q1122" s="41" t="s">
        <v>75</v>
      </c>
      <c r="R1122" s="41">
        <f>HEX2DEC(RIGHT(Table13232127[[#This Row],[h2]],8))</f>
        <v>0</v>
      </c>
    </row>
    <row r="1123" spans="1:18">
      <c r="A1123" s="15" t="str">
        <f t="shared" si="22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1" t="s">
        <v>75</v>
      </c>
      <c r="P1123" s="41">
        <f>HEX2DEC(RIGHT(Table13232127[[#This Row],[h1]],8))</f>
        <v>0</v>
      </c>
      <c r="Q1123" s="41" t="s">
        <v>75</v>
      </c>
      <c r="R1123" s="41">
        <f>HEX2DEC(RIGHT(Table13232127[[#This Row],[h2]],8))</f>
        <v>0</v>
      </c>
    </row>
    <row r="1124" spans="1:18">
      <c r="A1124" s="15" t="str">
        <f t="shared" si="22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1" t="s">
        <v>75</v>
      </c>
      <c r="P1124" s="41">
        <f>HEX2DEC(RIGHT(Table13232127[[#This Row],[h1]],8))</f>
        <v>0</v>
      </c>
      <c r="Q1124" s="41" t="s">
        <v>75</v>
      </c>
      <c r="R1124" s="41">
        <f>HEX2DEC(RIGHT(Table13232127[[#This Row],[h2]],8))</f>
        <v>0</v>
      </c>
    </row>
    <row r="1125" spans="1:18">
      <c r="A1125" s="15" t="str">
        <f t="shared" si="22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1" t="s">
        <v>75</v>
      </c>
      <c r="P1125" s="41">
        <f>HEX2DEC(RIGHT(Table13232127[[#This Row],[h1]],8))</f>
        <v>0</v>
      </c>
      <c r="Q1125" s="41" t="s">
        <v>75</v>
      </c>
      <c r="R1125" s="41">
        <f>HEX2DEC(RIGHT(Table13232127[[#This Row],[h2]],8))</f>
        <v>0</v>
      </c>
    </row>
    <row r="1126" spans="1:18">
      <c r="A1126" s="15" t="str">
        <f t="shared" si="22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1" t="s">
        <v>75</v>
      </c>
      <c r="P1126" s="41">
        <f>HEX2DEC(RIGHT(Table13232127[[#This Row],[h1]],8))</f>
        <v>0</v>
      </c>
      <c r="Q1126" s="41" t="s">
        <v>75</v>
      </c>
      <c r="R1126" s="41">
        <f>HEX2DEC(RIGHT(Table13232127[[#This Row],[h2]],8))</f>
        <v>0</v>
      </c>
    </row>
    <row r="1127" spans="1:18">
      <c r="A1127" s="15" t="str">
        <f t="shared" si="22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1" t="s">
        <v>75</v>
      </c>
      <c r="P1127" s="41">
        <f>HEX2DEC(RIGHT(Table13232127[[#This Row],[h1]],8))</f>
        <v>0</v>
      </c>
      <c r="Q1127" s="41" t="s">
        <v>75</v>
      </c>
      <c r="R1127" s="41">
        <f>HEX2DEC(RIGHT(Table13232127[[#This Row],[h2]],8))</f>
        <v>0</v>
      </c>
    </row>
    <row r="1128" spans="1:18">
      <c r="A1128" s="15" t="str">
        <f t="shared" si="22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1" t="s">
        <v>75</v>
      </c>
      <c r="P1128" s="41">
        <f>HEX2DEC(RIGHT(Table13232127[[#This Row],[h1]],8))</f>
        <v>0</v>
      </c>
      <c r="Q1128" s="41" t="s">
        <v>75</v>
      </c>
      <c r="R1128" s="41">
        <f>HEX2DEC(RIGHT(Table13232127[[#This Row],[h2]],8))</f>
        <v>0</v>
      </c>
    </row>
    <row r="1129" spans="1:18">
      <c r="A1129" s="15" t="str">
        <f t="shared" si="22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1" t="s">
        <v>75</v>
      </c>
      <c r="P1129" s="41">
        <f>HEX2DEC(RIGHT(Table13232127[[#This Row],[h1]],8))</f>
        <v>0</v>
      </c>
      <c r="Q1129" s="41" t="s">
        <v>75</v>
      </c>
      <c r="R1129" s="41">
        <f>HEX2DEC(RIGHT(Table13232127[[#This Row],[h2]],8))</f>
        <v>0</v>
      </c>
    </row>
    <row r="1130" spans="1:18">
      <c r="A1130" s="15" t="str">
        <f t="shared" si="22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1" t="s">
        <v>75</v>
      </c>
      <c r="P1130" s="41">
        <f>HEX2DEC(RIGHT(Table13232127[[#This Row],[h1]],8))</f>
        <v>0</v>
      </c>
      <c r="Q1130" s="41" t="s">
        <v>75</v>
      </c>
      <c r="R1130" s="41">
        <f>HEX2DEC(RIGHT(Table13232127[[#This Row],[h2]],8))</f>
        <v>0</v>
      </c>
    </row>
    <row r="1131" spans="1:18">
      <c r="A1131" s="15" t="str">
        <f t="shared" si="22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1" t="s">
        <v>75</v>
      </c>
      <c r="P1131" s="41">
        <f>HEX2DEC(RIGHT(Table13232127[[#This Row],[h1]],8))</f>
        <v>0</v>
      </c>
      <c r="Q1131" s="41" t="s">
        <v>75</v>
      </c>
      <c r="R1131" s="41">
        <f>HEX2DEC(RIGHT(Table13232127[[#This Row],[h2]],8))</f>
        <v>0</v>
      </c>
    </row>
    <row r="1132" spans="1:18">
      <c r="A1132" s="15" t="str">
        <f t="shared" si="22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1" t="s">
        <v>75</v>
      </c>
      <c r="P1132" s="41">
        <f>HEX2DEC(RIGHT(Table13232127[[#This Row],[h1]],8))</f>
        <v>0</v>
      </c>
      <c r="Q1132" s="41" t="s">
        <v>75</v>
      </c>
      <c r="R1132" s="41">
        <f>HEX2DEC(RIGHT(Table13232127[[#This Row],[h2]],8))</f>
        <v>0</v>
      </c>
    </row>
    <row r="1133" spans="1:18">
      <c r="A1133" s="15" t="str">
        <f t="shared" si="22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1" t="s">
        <v>75</v>
      </c>
      <c r="P1133" s="41">
        <f>HEX2DEC(RIGHT(Table13232127[[#This Row],[h1]],8))</f>
        <v>0</v>
      </c>
      <c r="Q1133" s="41" t="s">
        <v>75</v>
      </c>
      <c r="R1133" s="41">
        <f>HEX2DEC(RIGHT(Table13232127[[#This Row],[h2]],8))</f>
        <v>0</v>
      </c>
    </row>
    <row r="1134" spans="1:18">
      <c r="A1134" s="15" t="str">
        <f t="shared" si="22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1" t="s">
        <v>75</v>
      </c>
      <c r="P1134" s="41">
        <f>HEX2DEC(RIGHT(Table13232127[[#This Row],[h1]],8))</f>
        <v>0</v>
      </c>
      <c r="Q1134" s="41" t="s">
        <v>75</v>
      </c>
      <c r="R1134" s="41">
        <f>HEX2DEC(RIGHT(Table13232127[[#This Row],[h2]],8))</f>
        <v>0</v>
      </c>
    </row>
    <row r="1135" spans="1:18">
      <c r="A1135" s="15" t="str">
        <f t="shared" si="22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1" t="s">
        <v>75</v>
      </c>
      <c r="P1135" s="41">
        <f>HEX2DEC(RIGHT(Table13232127[[#This Row],[h1]],8))</f>
        <v>0</v>
      </c>
      <c r="Q1135" s="41" t="s">
        <v>75</v>
      </c>
      <c r="R1135" s="41">
        <f>HEX2DEC(RIGHT(Table13232127[[#This Row],[h2]],8))</f>
        <v>0</v>
      </c>
    </row>
    <row r="1136" spans="1:18">
      <c r="A1136" s="15" t="str">
        <f t="shared" si="22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1" t="s">
        <v>75</v>
      </c>
      <c r="P1136" s="41">
        <f>HEX2DEC(RIGHT(Table13232127[[#This Row],[h1]],8))</f>
        <v>0</v>
      </c>
      <c r="Q1136" s="41" t="s">
        <v>75</v>
      </c>
      <c r="R1136" s="41">
        <f>HEX2DEC(RIGHT(Table13232127[[#This Row],[h2]],8))</f>
        <v>0</v>
      </c>
    </row>
    <row r="1137" spans="1:18">
      <c r="A1137" s="15" t="str">
        <f t="shared" si="22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1" t="s">
        <v>75</v>
      </c>
      <c r="P1137" s="41">
        <f>HEX2DEC(RIGHT(Table13232127[[#This Row],[h1]],8))</f>
        <v>0</v>
      </c>
      <c r="Q1137" s="41" t="s">
        <v>75</v>
      </c>
      <c r="R1137" s="41">
        <f>HEX2DEC(RIGHT(Table13232127[[#This Row],[h2]],8))</f>
        <v>0</v>
      </c>
    </row>
    <row r="1138" spans="1:18">
      <c r="A1138" s="15" t="str">
        <f t="shared" si="22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1" t="s">
        <v>75</v>
      </c>
      <c r="P1138" s="41">
        <f>HEX2DEC(RIGHT(Table13232127[[#This Row],[h1]],8))</f>
        <v>0</v>
      </c>
      <c r="Q1138" s="41" t="s">
        <v>75</v>
      </c>
      <c r="R1138" s="41">
        <f>HEX2DEC(RIGHT(Table13232127[[#This Row],[h2]],8))</f>
        <v>0</v>
      </c>
    </row>
    <row r="1139" spans="1:18">
      <c r="A1139" s="15" t="str">
        <f t="shared" si="22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1" t="s">
        <v>75</v>
      </c>
      <c r="P1139" s="41">
        <f>HEX2DEC(RIGHT(Table13232127[[#This Row],[h1]],8))</f>
        <v>0</v>
      </c>
      <c r="Q1139" s="41" t="s">
        <v>75</v>
      </c>
      <c r="R1139" s="41">
        <f>HEX2DEC(RIGHT(Table13232127[[#This Row],[h2]],8))</f>
        <v>0</v>
      </c>
    </row>
    <row r="1140" spans="1:18">
      <c r="A1140" s="15" t="str">
        <f t="shared" si="22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1" t="s">
        <v>75</v>
      </c>
      <c r="P1140" s="41">
        <f>HEX2DEC(RIGHT(Table13232127[[#This Row],[h1]],8))</f>
        <v>0</v>
      </c>
      <c r="Q1140" s="41" t="s">
        <v>75</v>
      </c>
      <c r="R1140" s="41">
        <f>HEX2DEC(RIGHT(Table13232127[[#This Row],[h2]],8))</f>
        <v>0</v>
      </c>
    </row>
    <row r="1141" spans="1:18">
      <c r="A1141" s="15" t="str">
        <f t="shared" si="22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1" t="s">
        <v>75</v>
      </c>
      <c r="P1141" s="41">
        <f>HEX2DEC(RIGHT(Table13232127[[#This Row],[h1]],8))</f>
        <v>0</v>
      </c>
      <c r="Q1141" s="41" t="s">
        <v>75</v>
      </c>
      <c r="R1141" s="41">
        <f>HEX2DEC(RIGHT(Table13232127[[#This Row],[h2]],8))</f>
        <v>0</v>
      </c>
    </row>
    <row r="1142" spans="1:18">
      <c r="A1142" s="15" t="str">
        <f t="shared" si="22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1" t="s">
        <v>75</v>
      </c>
      <c r="P1142" s="41">
        <f>HEX2DEC(RIGHT(Table13232127[[#This Row],[h1]],8))</f>
        <v>0</v>
      </c>
      <c r="Q1142" s="41" t="s">
        <v>75</v>
      </c>
      <c r="R1142" s="41">
        <f>HEX2DEC(RIGHT(Table13232127[[#This Row],[h2]],8))</f>
        <v>0</v>
      </c>
    </row>
    <row r="1143" spans="1:18">
      <c r="A1143" s="15" t="str">
        <f t="shared" si="22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1" t="s">
        <v>75</v>
      </c>
      <c r="P1143" s="41">
        <f>HEX2DEC(RIGHT(Table13232127[[#This Row],[h1]],8))</f>
        <v>0</v>
      </c>
      <c r="Q1143" s="41" t="s">
        <v>75</v>
      </c>
      <c r="R1143" s="41">
        <f>HEX2DEC(RIGHT(Table13232127[[#This Row],[h2]],8))</f>
        <v>0</v>
      </c>
    </row>
    <row r="1144" spans="1:18">
      <c r="A1144" s="15" t="str">
        <f t="shared" si="22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1" t="s">
        <v>75</v>
      </c>
      <c r="P1144" s="41">
        <f>HEX2DEC(RIGHT(Table13232127[[#This Row],[h1]],8))</f>
        <v>0</v>
      </c>
      <c r="Q1144" s="41" t="s">
        <v>75</v>
      </c>
      <c r="R1144" s="41">
        <f>HEX2DEC(RIGHT(Table13232127[[#This Row],[h2]],8))</f>
        <v>0</v>
      </c>
    </row>
    <row r="1145" spans="1:18">
      <c r="A1145" s="15" t="str">
        <f t="shared" si="22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1" t="s">
        <v>75</v>
      </c>
      <c r="P1145" s="41">
        <f>HEX2DEC(RIGHT(Table13232127[[#This Row],[h1]],8))</f>
        <v>0</v>
      </c>
      <c r="Q1145" s="41" t="s">
        <v>75</v>
      </c>
      <c r="R1145" s="41">
        <f>HEX2DEC(RIGHT(Table13232127[[#This Row],[h2]],8))</f>
        <v>0</v>
      </c>
    </row>
    <row r="1146" spans="1:18">
      <c r="A1146" s="15" t="str">
        <f t="shared" si="22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1" t="s">
        <v>75</v>
      </c>
      <c r="P1146" s="41">
        <f>HEX2DEC(RIGHT(Table13232127[[#This Row],[h1]],8))</f>
        <v>0</v>
      </c>
      <c r="Q1146" s="41" t="s">
        <v>75</v>
      </c>
      <c r="R1146" s="41">
        <f>HEX2DEC(RIGHT(Table13232127[[#This Row],[h2]],8))</f>
        <v>0</v>
      </c>
    </row>
    <row r="1147" spans="1:18">
      <c r="A1147" s="15" t="str">
        <f t="shared" si="22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1" t="s">
        <v>75</v>
      </c>
      <c r="P1147" s="41">
        <f>HEX2DEC(RIGHT(Table13232127[[#This Row],[h1]],8))</f>
        <v>0</v>
      </c>
      <c r="Q1147" s="41" t="s">
        <v>75</v>
      </c>
      <c r="R1147" s="41">
        <f>HEX2DEC(RIGHT(Table13232127[[#This Row],[h2]],8))</f>
        <v>0</v>
      </c>
    </row>
    <row r="1148" spans="1:18">
      <c r="A1148" s="15" t="str">
        <f t="shared" si="22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1" t="s">
        <v>75</v>
      </c>
      <c r="P1148" s="41">
        <f>HEX2DEC(RIGHT(Table13232127[[#This Row],[h1]],8))</f>
        <v>0</v>
      </c>
      <c r="Q1148" s="41" t="s">
        <v>75</v>
      </c>
      <c r="R1148" s="41">
        <f>HEX2DEC(RIGHT(Table13232127[[#This Row],[h2]],8))</f>
        <v>0</v>
      </c>
    </row>
    <row r="1149" spans="1:18">
      <c r="A1149" s="15" t="str">
        <f t="shared" si="22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1" t="s">
        <v>75</v>
      </c>
      <c r="P1149" s="41">
        <f>HEX2DEC(RIGHT(Table13232127[[#This Row],[h1]],8))</f>
        <v>0</v>
      </c>
      <c r="Q1149" s="41" t="s">
        <v>75</v>
      </c>
      <c r="R1149" s="41">
        <f>HEX2DEC(RIGHT(Table13232127[[#This Row],[h2]],8))</f>
        <v>0</v>
      </c>
    </row>
    <row r="1150" spans="1:18">
      <c r="A1150" s="15" t="str">
        <f t="shared" si="22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1" t="s">
        <v>75</v>
      </c>
      <c r="P1150" s="41">
        <f>HEX2DEC(RIGHT(Table13232127[[#This Row],[h1]],8))</f>
        <v>0</v>
      </c>
      <c r="Q1150" s="41" t="s">
        <v>75</v>
      </c>
      <c r="R1150" s="41">
        <f>HEX2DEC(RIGHT(Table13232127[[#This Row],[h2]],8))</f>
        <v>0</v>
      </c>
    </row>
    <row r="1151" spans="1:18">
      <c r="A1151" s="15" t="str">
        <f t="shared" si="22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1" t="s">
        <v>75</v>
      </c>
      <c r="P1151" s="41">
        <f>HEX2DEC(RIGHT(Table13232127[[#This Row],[h1]],8))</f>
        <v>0</v>
      </c>
      <c r="Q1151" s="41" t="s">
        <v>75</v>
      </c>
      <c r="R1151" s="41">
        <f>HEX2DEC(RIGHT(Table13232127[[#This Row],[h2]],8))</f>
        <v>0</v>
      </c>
    </row>
    <row r="1152" spans="1:18">
      <c r="A1152" s="15" t="str">
        <f t="shared" si="22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1" t="s">
        <v>75</v>
      </c>
      <c r="P1152" s="41">
        <f>HEX2DEC(RIGHT(Table13232127[[#This Row],[h1]],8))</f>
        <v>0</v>
      </c>
      <c r="Q1152" s="41" t="s">
        <v>75</v>
      </c>
      <c r="R1152" s="41">
        <f>HEX2DEC(RIGHT(Table13232127[[#This Row],[h2]],8))</f>
        <v>0</v>
      </c>
    </row>
    <row r="1153" spans="1:18">
      <c r="A1153" s="15" t="str">
        <f t="shared" si="22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1" t="s">
        <v>75</v>
      </c>
      <c r="P1153" s="41">
        <f>HEX2DEC(RIGHT(Table13232127[[#This Row],[h1]],8))</f>
        <v>0</v>
      </c>
      <c r="Q1153" s="41" t="s">
        <v>75</v>
      </c>
      <c r="R1153" s="41">
        <f>HEX2DEC(RIGHT(Table13232127[[#This Row],[h2]],8))</f>
        <v>0</v>
      </c>
    </row>
    <row r="1154" spans="1:18">
      <c r="A1154" s="15" t="str">
        <f t="shared" si="22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1" t="s">
        <v>75</v>
      </c>
      <c r="P1154" s="41">
        <f>HEX2DEC(RIGHT(Table13232127[[#This Row],[h1]],8))</f>
        <v>0</v>
      </c>
      <c r="Q1154" s="41" t="s">
        <v>75</v>
      </c>
      <c r="R1154" s="41">
        <f>HEX2DEC(RIGHT(Table13232127[[#This Row],[h2]],8))</f>
        <v>0</v>
      </c>
    </row>
    <row r="1155" spans="1:18">
      <c r="A1155" s="15" t="str">
        <f t="shared" si="22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1" t="s">
        <v>75</v>
      </c>
      <c r="P1155" s="41">
        <f>HEX2DEC(RIGHT(Table13232127[[#This Row],[h1]],8))</f>
        <v>0</v>
      </c>
      <c r="Q1155" s="41" t="s">
        <v>75</v>
      </c>
      <c r="R1155" s="41">
        <f>HEX2DEC(RIGHT(Table13232127[[#This Row],[h2]],8))</f>
        <v>0</v>
      </c>
    </row>
    <row r="1156" spans="1:18">
      <c r="A1156" s="15" t="str">
        <f t="shared" si="22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1" t="s">
        <v>75</v>
      </c>
      <c r="P1156" s="41">
        <f>HEX2DEC(RIGHT(Table13232127[[#This Row],[h1]],8))</f>
        <v>0</v>
      </c>
      <c r="Q1156" s="41" t="s">
        <v>75</v>
      </c>
      <c r="R1156" s="41">
        <f>HEX2DEC(RIGHT(Table13232127[[#This Row],[h2]],8))</f>
        <v>0</v>
      </c>
    </row>
    <row r="1157" spans="1:18">
      <c r="A1157" s="15" t="str">
        <f t="shared" si="22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1" t="s">
        <v>75</v>
      </c>
      <c r="P1157" s="41">
        <f>HEX2DEC(RIGHT(Table13232127[[#This Row],[h1]],8))</f>
        <v>0</v>
      </c>
      <c r="Q1157" s="41" t="s">
        <v>75</v>
      </c>
      <c r="R1157" s="41">
        <f>HEX2DEC(RIGHT(Table13232127[[#This Row],[h2]],8))</f>
        <v>0</v>
      </c>
    </row>
    <row r="1158" spans="1:18">
      <c r="A1158" s="15" t="str">
        <f t="shared" si="22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1" t="s">
        <v>75</v>
      </c>
      <c r="P1158" s="41">
        <f>HEX2DEC(RIGHT(Table13232127[[#This Row],[h1]],8))</f>
        <v>0</v>
      </c>
      <c r="Q1158" s="41" t="s">
        <v>75</v>
      </c>
      <c r="R1158" s="41">
        <f>HEX2DEC(RIGHT(Table13232127[[#This Row],[h2]],8))</f>
        <v>0</v>
      </c>
    </row>
    <row r="1159" spans="1:18">
      <c r="A1159" s="15" t="str">
        <f t="shared" si="22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1" t="s">
        <v>75</v>
      </c>
      <c r="P1159" s="41">
        <f>HEX2DEC(RIGHT(Table13232127[[#This Row],[h1]],8))</f>
        <v>0</v>
      </c>
      <c r="Q1159" s="41" t="s">
        <v>75</v>
      </c>
      <c r="R1159" s="41">
        <f>HEX2DEC(RIGHT(Table13232127[[#This Row],[h2]],8))</f>
        <v>0</v>
      </c>
    </row>
    <row r="1160" spans="1:18">
      <c r="A1160" s="15" t="str">
        <f t="shared" si="22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1" t="s">
        <v>75</v>
      </c>
      <c r="P1160" s="41">
        <f>HEX2DEC(RIGHT(Table13232127[[#This Row],[h1]],8))</f>
        <v>0</v>
      </c>
      <c r="Q1160" s="41" t="s">
        <v>75</v>
      </c>
      <c r="R1160" s="41">
        <f>HEX2DEC(RIGHT(Table13232127[[#This Row],[h2]],8))</f>
        <v>0</v>
      </c>
    </row>
    <row r="1161" spans="1:18">
      <c r="A1161" s="15" t="str">
        <f t="shared" si="22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1" t="s">
        <v>75</v>
      </c>
      <c r="P1161" s="41">
        <f>HEX2DEC(RIGHT(Table13232127[[#This Row],[h1]],8))</f>
        <v>0</v>
      </c>
      <c r="Q1161" s="41" t="s">
        <v>75</v>
      </c>
      <c r="R1161" s="41">
        <f>HEX2DEC(RIGHT(Table13232127[[#This Row],[h2]],8))</f>
        <v>0</v>
      </c>
    </row>
    <row r="1162" spans="1:18">
      <c r="A1162" s="15" t="str">
        <f t="shared" si="22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1" t="s">
        <v>75</v>
      </c>
      <c r="P1162" s="41">
        <f>HEX2DEC(RIGHT(Table13232127[[#This Row],[h1]],8))</f>
        <v>0</v>
      </c>
      <c r="Q1162" s="41" t="s">
        <v>75</v>
      </c>
      <c r="R1162" s="41">
        <f>HEX2DEC(RIGHT(Table13232127[[#This Row],[h2]],8))</f>
        <v>0</v>
      </c>
    </row>
    <row r="1163" spans="1:18">
      <c r="A1163" s="15" t="str">
        <f t="shared" ref="A1163:A1226" si="23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1" t="s">
        <v>75</v>
      </c>
      <c r="P1163" s="41">
        <f>HEX2DEC(RIGHT(Table13232127[[#This Row],[h1]],8))</f>
        <v>0</v>
      </c>
      <c r="Q1163" s="41" t="s">
        <v>75</v>
      </c>
      <c r="R1163" s="41">
        <f>HEX2DEC(RIGHT(Table13232127[[#This Row],[h2]],8))</f>
        <v>0</v>
      </c>
    </row>
    <row r="1164" spans="1:18">
      <c r="A1164" s="15" t="str">
        <f t="shared" si="23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1" t="s">
        <v>75</v>
      </c>
      <c r="P1164" s="41">
        <f>HEX2DEC(RIGHT(Table13232127[[#This Row],[h1]],8))</f>
        <v>0</v>
      </c>
      <c r="Q1164" s="41" t="s">
        <v>75</v>
      </c>
      <c r="R1164" s="41">
        <f>HEX2DEC(RIGHT(Table13232127[[#This Row],[h2]],8))</f>
        <v>0</v>
      </c>
    </row>
    <row r="1165" spans="1:18">
      <c r="A1165" s="15" t="str">
        <f t="shared" si="23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1" t="s">
        <v>75</v>
      </c>
      <c r="P1165" s="41">
        <f>HEX2DEC(RIGHT(Table13232127[[#This Row],[h1]],8))</f>
        <v>0</v>
      </c>
      <c r="Q1165" s="41" t="s">
        <v>75</v>
      </c>
      <c r="R1165" s="41">
        <f>HEX2DEC(RIGHT(Table13232127[[#This Row],[h2]],8))</f>
        <v>0</v>
      </c>
    </row>
    <row r="1166" spans="1:18">
      <c r="A1166" s="15" t="str">
        <f t="shared" si="23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1" t="s">
        <v>75</v>
      </c>
      <c r="P1166" s="41">
        <f>HEX2DEC(RIGHT(Table13232127[[#This Row],[h1]],8))</f>
        <v>0</v>
      </c>
      <c r="Q1166" s="41" t="s">
        <v>75</v>
      </c>
      <c r="R1166" s="41">
        <f>HEX2DEC(RIGHT(Table13232127[[#This Row],[h2]],8))</f>
        <v>0</v>
      </c>
    </row>
    <row r="1167" spans="1:18">
      <c r="A1167" s="15" t="str">
        <f t="shared" si="23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1" t="s">
        <v>75</v>
      </c>
      <c r="P1167" s="41">
        <f>HEX2DEC(RIGHT(Table13232127[[#This Row],[h1]],8))</f>
        <v>0</v>
      </c>
      <c r="Q1167" s="41" t="s">
        <v>75</v>
      </c>
      <c r="R1167" s="41">
        <f>HEX2DEC(RIGHT(Table13232127[[#This Row],[h2]],8))</f>
        <v>0</v>
      </c>
    </row>
    <row r="1168" spans="1:18">
      <c r="A1168" s="15" t="str">
        <f t="shared" si="23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1" t="s">
        <v>75</v>
      </c>
      <c r="P1168" s="41">
        <f>HEX2DEC(RIGHT(Table13232127[[#This Row],[h1]],8))</f>
        <v>0</v>
      </c>
      <c r="Q1168" s="41" t="s">
        <v>75</v>
      </c>
      <c r="R1168" s="41">
        <f>HEX2DEC(RIGHT(Table13232127[[#This Row],[h2]],8))</f>
        <v>0</v>
      </c>
    </row>
    <row r="1169" spans="1:18">
      <c r="A1169" s="15" t="str">
        <f t="shared" si="23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1" t="s">
        <v>75</v>
      </c>
      <c r="P1169" s="41">
        <f>HEX2DEC(RIGHT(Table13232127[[#This Row],[h1]],8))</f>
        <v>0</v>
      </c>
      <c r="Q1169" s="41" t="s">
        <v>75</v>
      </c>
      <c r="R1169" s="41">
        <f>HEX2DEC(RIGHT(Table13232127[[#This Row],[h2]],8))</f>
        <v>0</v>
      </c>
    </row>
    <row r="1170" spans="1:18">
      <c r="A1170" s="15" t="str">
        <f t="shared" si="23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1" t="s">
        <v>75</v>
      </c>
      <c r="P1170" s="41">
        <f>HEX2DEC(RIGHT(Table13232127[[#This Row],[h1]],8))</f>
        <v>0</v>
      </c>
      <c r="Q1170" s="41" t="s">
        <v>75</v>
      </c>
      <c r="R1170" s="41">
        <f>HEX2DEC(RIGHT(Table13232127[[#This Row],[h2]],8))</f>
        <v>0</v>
      </c>
    </row>
    <row r="1171" spans="1:18">
      <c r="A1171" s="15" t="str">
        <f t="shared" si="23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1" t="s">
        <v>75</v>
      </c>
      <c r="P1171" s="41">
        <f>HEX2DEC(RIGHT(Table13232127[[#This Row],[h1]],8))</f>
        <v>0</v>
      </c>
      <c r="Q1171" s="41" t="s">
        <v>75</v>
      </c>
      <c r="R1171" s="41">
        <f>HEX2DEC(RIGHT(Table13232127[[#This Row],[h2]],8))</f>
        <v>0</v>
      </c>
    </row>
    <row r="1172" spans="1:18">
      <c r="A1172" s="15" t="str">
        <f t="shared" si="23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1" t="s">
        <v>75</v>
      </c>
      <c r="P1172" s="41">
        <f>HEX2DEC(RIGHT(Table13232127[[#This Row],[h1]],8))</f>
        <v>0</v>
      </c>
      <c r="Q1172" s="41" t="s">
        <v>75</v>
      </c>
      <c r="R1172" s="41">
        <f>HEX2DEC(RIGHT(Table13232127[[#This Row],[h2]],8))</f>
        <v>0</v>
      </c>
    </row>
    <row r="1173" spans="1:18">
      <c r="A1173" s="15" t="str">
        <f t="shared" si="23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1" t="s">
        <v>75</v>
      </c>
      <c r="P1173" s="41">
        <f>HEX2DEC(RIGHT(Table13232127[[#This Row],[h1]],8))</f>
        <v>0</v>
      </c>
      <c r="Q1173" s="41" t="s">
        <v>75</v>
      </c>
      <c r="R1173" s="41">
        <f>HEX2DEC(RIGHT(Table13232127[[#This Row],[h2]],8))</f>
        <v>0</v>
      </c>
    </row>
    <row r="1174" spans="1:18">
      <c r="A1174" s="15" t="str">
        <f t="shared" si="23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1" t="s">
        <v>75</v>
      </c>
      <c r="P1174" s="41">
        <f>HEX2DEC(RIGHT(Table13232127[[#This Row],[h1]],8))</f>
        <v>0</v>
      </c>
      <c r="Q1174" s="41" t="s">
        <v>75</v>
      </c>
      <c r="R1174" s="41">
        <f>HEX2DEC(RIGHT(Table13232127[[#This Row],[h2]],8))</f>
        <v>0</v>
      </c>
    </row>
    <row r="1175" spans="1:18">
      <c r="A1175" s="15" t="str">
        <f t="shared" si="23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1" t="s">
        <v>75</v>
      </c>
      <c r="P1175" s="41">
        <f>HEX2DEC(RIGHT(Table13232127[[#This Row],[h1]],8))</f>
        <v>0</v>
      </c>
      <c r="Q1175" s="41" t="s">
        <v>75</v>
      </c>
      <c r="R1175" s="41">
        <f>HEX2DEC(RIGHT(Table13232127[[#This Row],[h2]],8))</f>
        <v>0</v>
      </c>
    </row>
    <row r="1176" spans="1:18">
      <c r="A1176" s="15" t="str">
        <f t="shared" si="23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1" t="s">
        <v>75</v>
      </c>
      <c r="P1176" s="41">
        <f>HEX2DEC(RIGHT(Table13232127[[#This Row],[h1]],8))</f>
        <v>0</v>
      </c>
      <c r="Q1176" s="41" t="s">
        <v>75</v>
      </c>
      <c r="R1176" s="41">
        <f>HEX2DEC(RIGHT(Table13232127[[#This Row],[h2]],8))</f>
        <v>0</v>
      </c>
    </row>
    <row r="1177" spans="1:18">
      <c r="A1177" s="15" t="str">
        <f t="shared" si="23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1" t="s">
        <v>75</v>
      </c>
      <c r="P1177" s="41">
        <f>HEX2DEC(RIGHT(Table13232127[[#This Row],[h1]],8))</f>
        <v>0</v>
      </c>
      <c r="Q1177" s="41" t="s">
        <v>75</v>
      </c>
      <c r="R1177" s="41">
        <f>HEX2DEC(RIGHT(Table13232127[[#This Row],[h2]],8))</f>
        <v>0</v>
      </c>
    </row>
    <row r="1178" spans="1:18">
      <c r="A1178" s="15" t="str">
        <f t="shared" si="23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1" t="s">
        <v>75</v>
      </c>
      <c r="P1178" s="41">
        <f>HEX2DEC(RIGHT(Table13232127[[#This Row],[h1]],8))</f>
        <v>0</v>
      </c>
      <c r="Q1178" s="41" t="s">
        <v>75</v>
      </c>
      <c r="R1178" s="41">
        <f>HEX2DEC(RIGHT(Table13232127[[#This Row],[h2]],8))</f>
        <v>0</v>
      </c>
    </row>
    <row r="1179" spans="1:18">
      <c r="A1179" s="15" t="str">
        <f t="shared" si="23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1" t="s">
        <v>75</v>
      </c>
      <c r="P1179" s="41">
        <f>HEX2DEC(RIGHT(Table13232127[[#This Row],[h1]],8))</f>
        <v>0</v>
      </c>
      <c r="Q1179" s="41" t="s">
        <v>75</v>
      </c>
      <c r="R1179" s="41">
        <f>HEX2DEC(RIGHT(Table13232127[[#This Row],[h2]],8))</f>
        <v>0</v>
      </c>
    </row>
    <row r="1180" spans="1:18">
      <c r="A1180" s="15" t="str">
        <f t="shared" si="23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1" t="s">
        <v>75</v>
      </c>
      <c r="P1180" s="41">
        <f>HEX2DEC(RIGHT(Table13232127[[#This Row],[h1]],8))</f>
        <v>0</v>
      </c>
      <c r="Q1180" s="41" t="s">
        <v>75</v>
      </c>
      <c r="R1180" s="41">
        <f>HEX2DEC(RIGHT(Table13232127[[#This Row],[h2]],8))</f>
        <v>0</v>
      </c>
    </row>
    <row r="1181" spans="1:18">
      <c r="A1181" s="15" t="str">
        <f t="shared" si="23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1" t="s">
        <v>75</v>
      </c>
      <c r="P1181" s="41">
        <f>HEX2DEC(RIGHT(Table13232127[[#This Row],[h1]],8))</f>
        <v>0</v>
      </c>
      <c r="Q1181" s="41" t="s">
        <v>75</v>
      </c>
      <c r="R1181" s="41">
        <f>HEX2DEC(RIGHT(Table13232127[[#This Row],[h2]],8))</f>
        <v>0</v>
      </c>
    </row>
    <row r="1182" spans="1:18">
      <c r="A1182" s="15" t="str">
        <f t="shared" si="23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1" t="s">
        <v>75</v>
      </c>
      <c r="P1182" s="41">
        <f>HEX2DEC(RIGHT(Table13232127[[#This Row],[h1]],8))</f>
        <v>0</v>
      </c>
      <c r="Q1182" s="41" t="s">
        <v>75</v>
      </c>
      <c r="R1182" s="41">
        <f>HEX2DEC(RIGHT(Table13232127[[#This Row],[h2]],8))</f>
        <v>0</v>
      </c>
    </row>
    <row r="1183" spans="1:18">
      <c r="A1183" s="15" t="str">
        <f t="shared" si="23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1" t="s">
        <v>75</v>
      </c>
      <c r="P1183" s="41">
        <f>HEX2DEC(RIGHT(Table13232127[[#This Row],[h1]],8))</f>
        <v>0</v>
      </c>
      <c r="Q1183" s="41" t="s">
        <v>75</v>
      </c>
      <c r="R1183" s="41">
        <f>HEX2DEC(RIGHT(Table13232127[[#This Row],[h2]],8))</f>
        <v>0</v>
      </c>
    </row>
    <row r="1184" spans="1:18">
      <c r="A1184" s="15" t="str">
        <f t="shared" si="23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1" t="s">
        <v>75</v>
      </c>
      <c r="P1184" s="41">
        <f>HEX2DEC(RIGHT(Table13232127[[#This Row],[h1]],8))</f>
        <v>0</v>
      </c>
      <c r="Q1184" s="41" t="s">
        <v>75</v>
      </c>
      <c r="R1184" s="41">
        <f>HEX2DEC(RIGHT(Table13232127[[#This Row],[h2]],8))</f>
        <v>0</v>
      </c>
    </row>
    <row r="1185" spans="1:18">
      <c r="A1185" s="15" t="str">
        <f t="shared" si="23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1" t="s">
        <v>75</v>
      </c>
      <c r="P1185" s="41">
        <f>HEX2DEC(RIGHT(Table13232127[[#This Row],[h1]],8))</f>
        <v>0</v>
      </c>
      <c r="Q1185" s="41" t="s">
        <v>75</v>
      </c>
      <c r="R1185" s="41">
        <f>HEX2DEC(RIGHT(Table13232127[[#This Row],[h2]],8))</f>
        <v>0</v>
      </c>
    </row>
    <row r="1186" spans="1:18">
      <c r="A1186" s="15" t="str">
        <f t="shared" si="23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1" t="s">
        <v>75</v>
      </c>
      <c r="P1186" s="41">
        <f>HEX2DEC(RIGHT(Table13232127[[#This Row],[h1]],8))</f>
        <v>0</v>
      </c>
      <c r="Q1186" s="41" t="s">
        <v>75</v>
      </c>
      <c r="R1186" s="41">
        <f>HEX2DEC(RIGHT(Table13232127[[#This Row],[h2]],8))</f>
        <v>0</v>
      </c>
    </row>
    <row r="1187" spans="1:18">
      <c r="A1187" s="15" t="str">
        <f t="shared" si="23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1" t="s">
        <v>75</v>
      </c>
      <c r="P1187" s="41">
        <f>HEX2DEC(RIGHT(Table13232127[[#This Row],[h1]],8))</f>
        <v>0</v>
      </c>
      <c r="Q1187" s="41" t="s">
        <v>75</v>
      </c>
      <c r="R1187" s="41">
        <f>HEX2DEC(RIGHT(Table13232127[[#This Row],[h2]],8))</f>
        <v>0</v>
      </c>
    </row>
    <row r="1188" spans="1:18">
      <c r="A1188" s="15" t="str">
        <f t="shared" si="23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1" t="s">
        <v>75</v>
      </c>
      <c r="P1188" s="41">
        <f>HEX2DEC(RIGHT(Table13232127[[#This Row],[h1]],8))</f>
        <v>0</v>
      </c>
      <c r="Q1188" s="41" t="s">
        <v>75</v>
      </c>
      <c r="R1188" s="41">
        <f>HEX2DEC(RIGHT(Table13232127[[#This Row],[h2]],8))</f>
        <v>0</v>
      </c>
    </row>
    <row r="1189" spans="1:18">
      <c r="A1189" s="15" t="str">
        <f t="shared" si="23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1" t="s">
        <v>75</v>
      </c>
      <c r="P1189" s="41">
        <f>HEX2DEC(RIGHT(Table13232127[[#This Row],[h1]],8))</f>
        <v>0</v>
      </c>
      <c r="Q1189" s="41" t="s">
        <v>75</v>
      </c>
      <c r="R1189" s="41">
        <f>HEX2DEC(RIGHT(Table13232127[[#This Row],[h2]],8))</f>
        <v>0</v>
      </c>
    </row>
    <row r="1190" spans="1:18">
      <c r="A1190" s="15" t="str">
        <f t="shared" si="23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1" t="s">
        <v>75</v>
      </c>
      <c r="P1190" s="41">
        <f>HEX2DEC(RIGHT(Table13232127[[#This Row],[h1]],8))</f>
        <v>0</v>
      </c>
      <c r="Q1190" s="41" t="s">
        <v>75</v>
      </c>
      <c r="R1190" s="41">
        <f>HEX2DEC(RIGHT(Table13232127[[#This Row],[h2]],8))</f>
        <v>0</v>
      </c>
    </row>
    <row r="1191" spans="1:18">
      <c r="A1191" s="15" t="str">
        <f t="shared" si="23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1" t="s">
        <v>75</v>
      </c>
      <c r="P1191" s="41">
        <f>HEX2DEC(RIGHT(Table13232127[[#This Row],[h1]],8))</f>
        <v>0</v>
      </c>
      <c r="Q1191" s="41" t="s">
        <v>75</v>
      </c>
      <c r="R1191" s="41">
        <f>HEX2DEC(RIGHT(Table13232127[[#This Row],[h2]],8))</f>
        <v>0</v>
      </c>
    </row>
    <row r="1192" spans="1:18">
      <c r="A1192" s="15" t="str">
        <f t="shared" si="23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1" t="s">
        <v>75</v>
      </c>
      <c r="P1192" s="41">
        <f>HEX2DEC(RIGHT(Table13232127[[#This Row],[h1]],8))</f>
        <v>0</v>
      </c>
      <c r="Q1192" s="41" t="s">
        <v>75</v>
      </c>
      <c r="R1192" s="41">
        <f>HEX2DEC(RIGHT(Table13232127[[#This Row],[h2]],8))</f>
        <v>0</v>
      </c>
    </row>
    <row r="1193" spans="1:18">
      <c r="A1193" s="15" t="str">
        <f t="shared" si="23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1" t="s">
        <v>75</v>
      </c>
      <c r="P1193" s="41">
        <f>HEX2DEC(RIGHT(Table13232127[[#This Row],[h1]],8))</f>
        <v>0</v>
      </c>
      <c r="Q1193" s="41" t="s">
        <v>75</v>
      </c>
      <c r="R1193" s="41">
        <f>HEX2DEC(RIGHT(Table13232127[[#This Row],[h2]],8))</f>
        <v>0</v>
      </c>
    </row>
    <row r="1194" spans="1:18">
      <c r="A1194" s="15" t="str">
        <f t="shared" si="23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1" t="s">
        <v>75</v>
      </c>
      <c r="P1194" s="41">
        <f>HEX2DEC(RIGHT(Table13232127[[#This Row],[h1]],8))</f>
        <v>0</v>
      </c>
      <c r="Q1194" s="41" t="s">
        <v>75</v>
      </c>
      <c r="R1194" s="41">
        <f>HEX2DEC(RIGHT(Table13232127[[#This Row],[h2]],8))</f>
        <v>0</v>
      </c>
    </row>
    <row r="1195" spans="1:18">
      <c r="A1195" s="15" t="str">
        <f t="shared" si="23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1" t="s">
        <v>75</v>
      </c>
      <c r="P1195" s="41">
        <f>HEX2DEC(RIGHT(Table13232127[[#This Row],[h1]],8))</f>
        <v>0</v>
      </c>
      <c r="Q1195" s="41" t="s">
        <v>75</v>
      </c>
      <c r="R1195" s="41">
        <f>HEX2DEC(RIGHT(Table13232127[[#This Row],[h2]],8))</f>
        <v>0</v>
      </c>
    </row>
    <row r="1196" spans="1:18">
      <c r="A1196" s="15" t="str">
        <f t="shared" si="23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1" t="s">
        <v>75</v>
      </c>
      <c r="P1196" s="41">
        <f>HEX2DEC(RIGHT(Table13232127[[#This Row],[h1]],8))</f>
        <v>0</v>
      </c>
      <c r="Q1196" s="41" t="s">
        <v>75</v>
      </c>
      <c r="R1196" s="41">
        <f>HEX2DEC(RIGHT(Table13232127[[#This Row],[h2]],8))</f>
        <v>0</v>
      </c>
    </row>
    <row r="1197" spans="1:18">
      <c r="A1197" s="15" t="str">
        <f t="shared" si="23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1" t="s">
        <v>75</v>
      </c>
      <c r="P1197" s="41">
        <f>HEX2DEC(RIGHT(Table13232127[[#This Row],[h1]],8))</f>
        <v>0</v>
      </c>
      <c r="Q1197" s="41" t="s">
        <v>75</v>
      </c>
      <c r="R1197" s="41">
        <f>HEX2DEC(RIGHT(Table13232127[[#This Row],[h2]],8))</f>
        <v>0</v>
      </c>
    </row>
    <row r="1198" spans="1:18">
      <c r="A1198" s="15" t="str">
        <f t="shared" si="23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1" t="s">
        <v>75</v>
      </c>
      <c r="P1198" s="41">
        <f>HEX2DEC(RIGHT(Table13232127[[#This Row],[h1]],8))</f>
        <v>0</v>
      </c>
      <c r="Q1198" s="41" t="s">
        <v>75</v>
      </c>
      <c r="R1198" s="41">
        <f>HEX2DEC(RIGHT(Table13232127[[#This Row],[h2]],8))</f>
        <v>0</v>
      </c>
    </row>
    <row r="1199" spans="1:18">
      <c r="A1199" s="15" t="str">
        <f t="shared" si="23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1" t="s">
        <v>75</v>
      </c>
      <c r="P1199" s="41">
        <f>HEX2DEC(RIGHT(Table13232127[[#This Row],[h1]],8))</f>
        <v>0</v>
      </c>
      <c r="Q1199" s="41" t="s">
        <v>75</v>
      </c>
      <c r="R1199" s="41">
        <f>HEX2DEC(RIGHT(Table13232127[[#This Row],[h2]],8))</f>
        <v>0</v>
      </c>
    </row>
    <row r="1200" spans="1:18">
      <c r="A1200" s="15" t="str">
        <f t="shared" si="23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1" t="s">
        <v>75</v>
      </c>
      <c r="P1200" s="41">
        <f>HEX2DEC(RIGHT(Table13232127[[#This Row],[h1]],8))</f>
        <v>0</v>
      </c>
      <c r="Q1200" s="41" t="s">
        <v>75</v>
      </c>
      <c r="R1200" s="41">
        <f>HEX2DEC(RIGHT(Table13232127[[#This Row],[h2]],8))</f>
        <v>0</v>
      </c>
    </row>
    <row r="1201" spans="1:18">
      <c r="A1201" s="15" t="str">
        <f t="shared" si="23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1" t="s">
        <v>75</v>
      </c>
      <c r="P1201" s="41">
        <f>HEX2DEC(RIGHT(Table13232127[[#This Row],[h1]],8))</f>
        <v>0</v>
      </c>
      <c r="Q1201" s="41" t="s">
        <v>75</v>
      </c>
      <c r="R1201" s="41">
        <f>HEX2DEC(RIGHT(Table13232127[[#This Row],[h2]],8))</f>
        <v>0</v>
      </c>
    </row>
    <row r="1202" spans="1:18">
      <c r="A1202" s="15" t="str">
        <f t="shared" si="23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1" t="s">
        <v>75</v>
      </c>
      <c r="P1202" s="41">
        <f>HEX2DEC(RIGHT(Table13232127[[#This Row],[h1]],8))</f>
        <v>0</v>
      </c>
      <c r="Q1202" s="41" t="s">
        <v>75</v>
      </c>
      <c r="R1202" s="41">
        <f>HEX2DEC(RIGHT(Table13232127[[#This Row],[h2]],8))</f>
        <v>0</v>
      </c>
    </row>
    <row r="1203" spans="1:18">
      <c r="A1203" s="15" t="str">
        <f t="shared" si="23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1" t="s">
        <v>75</v>
      </c>
      <c r="P1203" s="41">
        <f>HEX2DEC(RIGHT(Table13232127[[#This Row],[h1]],8))</f>
        <v>0</v>
      </c>
      <c r="Q1203" s="41" t="s">
        <v>75</v>
      </c>
      <c r="R1203" s="41">
        <f>HEX2DEC(RIGHT(Table13232127[[#This Row],[h2]],8))</f>
        <v>0</v>
      </c>
    </row>
    <row r="1204" spans="1:18">
      <c r="A1204" s="15" t="str">
        <f t="shared" si="23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1" t="s">
        <v>75</v>
      </c>
      <c r="P1204" s="41">
        <f>HEX2DEC(RIGHT(Table13232127[[#This Row],[h1]],8))</f>
        <v>0</v>
      </c>
      <c r="Q1204" s="41" t="s">
        <v>75</v>
      </c>
      <c r="R1204" s="41">
        <f>HEX2DEC(RIGHT(Table13232127[[#This Row],[h2]],8))</f>
        <v>0</v>
      </c>
    </row>
    <row r="1205" spans="1:18">
      <c r="A1205" s="15" t="str">
        <f t="shared" si="23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1" t="s">
        <v>75</v>
      </c>
      <c r="P1205" s="41">
        <f>HEX2DEC(RIGHT(Table13232127[[#This Row],[h1]],8))</f>
        <v>0</v>
      </c>
      <c r="Q1205" s="41" t="s">
        <v>75</v>
      </c>
      <c r="R1205" s="41">
        <f>HEX2DEC(RIGHT(Table13232127[[#This Row],[h2]],8))</f>
        <v>0</v>
      </c>
    </row>
    <row r="1206" spans="1:18">
      <c r="A1206" s="15" t="str">
        <f t="shared" si="23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1" t="s">
        <v>75</v>
      </c>
      <c r="P1206" s="41">
        <f>HEX2DEC(RIGHT(Table13232127[[#This Row],[h1]],8))</f>
        <v>0</v>
      </c>
      <c r="Q1206" s="41" t="s">
        <v>75</v>
      </c>
      <c r="R1206" s="41">
        <f>HEX2DEC(RIGHT(Table13232127[[#This Row],[h2]],8))</f>
        <v>0</v>
      </c>
    </row>
    <row r="1207" spans="1:18">
      <c r="A1207" s="15" t="str">
        <f t="shared" si="23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1" t="s">
        <v>75</v>
      </c>
      <c r="P1207" s="41">
        <f>HEX2DEC(RIGHT(Table13232127[[#This Row],[h1]],8))</f>
        <v>0</v>
      </c>
      <c r="Q1207" s="41" t="s">
        <v>75</v>
      </c>
      <c r="R1207" s="41">
        <f>HEX2DEC(RIGHT(Table13232127[[#This Row],[h2]],8))</f>
        <v>0</v>
      </c>
    </row>
    <row r="1208" spans="1:18">
      <c r="A1208" s="15" t="str">
        <f t="shared" si="23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1" t="s">
        <v>75</v>
      </c>
      <c r="P1208" s="41">
        <f>HEX2DEC(RIGHT(Table13232127[[#This Row],[h1]],8))</f>
        <v>0</v>
      </c>
      <c r="Q1208" s="41" t="s">
        <v>75</v>
      </c>
      <c r="R1208" s="41">
        <f>HEX2DEC(RIGHT(Table13232127[[#This Row],[h2]],8))</f>
        <v>0</v>
      </c>
    </row>
    <row r="1209" spans="1:18">
      <c r="A1209" s="15" t="str">
        <f t="shared" si="23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1" t="s">
        <v>75</v>
      </c>
      <c r="P1209" s="41">
        <f>HEX2DEC(RIGHT(Table13232127[[#This Row],[h1]],8))</f>
        <v>0</v>
      </c>
      <c r="Q1209" s="41" t="s">
        <v>75</v>
      </c>
      <c r="R1209" s="41">
        <f>HEX2DEC(RIGHT(Table13232127[[#This Row],[h2]],8))</f>
        <v>0</v>
      </c>
    </row>
    <row r="1210" spans="1:18">
      <c r="A1210" s="15" t="str">
        <f t="shared" si="23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1" t="s">
        <v>75</v>
      </c>
      <c r="P1210" s="41">
        <f>HEX2DEC(RIGHT(Table13232127[[#This Row],[h1]],8))</f>
        <v>0</v>
      </c>
      <c r="Q1210" s="41" t="s">
        <v>75</v>
      </c>
      <c r="R1210" s="41">
        <f>HEX2DEC(RIGHT(Table13232127[[#This Row],[h2]],8))</f>
        <v>0</v>
      </c>
    </row>
    <row r="1211" spans="1:18">
      <c r="A1211" s="15" t="str">
        <f t="shared" si="23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1" t="s">
        <v>75</v>
      </c>
      <c r="P1211" s="41">
        <f>HEX2DEC(RIGHT(Table13232127[[#This Row],[h1]],8))</f>
        <v>0</v>
      </c>
      <c r="Q1211" s="41" t="s">
        <v>75</v>
      </c>
      <c r="R1211" s="41">
        <f>HEX2DEC(RIGHT(Table13232127[[#This Row],[h2]],8))</f>
        <v>0</v>
      </c>
    </row>
    <row r="1212" spans="1:18">
      <c r="A1212" s="15" t="str">
        <f t="shared" si="23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1" t="s">
        <v>75</v>
      </c>
      <c r="P1212" s="41">
        <f>HEX2DEC(RIGHT(Table13232127[[#This Row],[h1]],8))</f>
        <v>0</v>
      </c>
      <c r="Q1212" s="41" t="s">
        <v>75</v>
      </c>
      <c r="R1212" s="41">
        <f>HEX2DEC(RIGHT(Table13232127[[#This Row],[h2]],8))</f>
        <v>0</v>
      </c>
    </row>
    <row r="1213" spans="1:18">
      <c r="A1213" s="15" t="str">
        <f t="shared" si="23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1" t="s">
        <v>75</v>
      </c>
      <c r="P1213" s="41">
        <f>HEX2DEC(RIGHT(Table13232127[[#This Row],[h1]],8))</f>
        <v>0</v>
      </c>
      <c r="Q1213" s="41" t="s">
        <v>75</v>
      </c>
      <c r="R1213" s="41">
        <f>HEX2DEC(RIGHT(Table13232127[[#This Row],[h2]],8))</f>
        <v>0</v>
      </c>
    </row>
    <row r="1214" spans="1:18">
      <c r="A1214" s="15" t="str">
        <f t="shared" si="23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1" t="s">
        <v>75</v>
      </c>
      <c r="P1214" s="41">
        <f>HEX2DEC(RIGHT(Table13232127[[#This Row],[h1]],8))</f>
        <v>0</v>
      </c>
      <c r="Q1214" s="41" t="s">
        <v>75</v>
      </c>
      <c r="R1214" s="41">
        <f>HEX2DEC(RIGHT(Table13232127[[#This Row],[h2]],8))</f>
        <v>0</v>
      </c>
    </row>
    <row r="1215" spans="1:18">
      <c r="A1215" s="15" t="str">
        <f t="shared" si="23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1" t="s">
        <v>75</v>
      </c>
      <c r="P1215" s="41">
        <f>HEX2DEC(RIGHT(Table13232127[[#This Row],[h1]],8))</f>
        <v>0</v>
      </c>
      <c r="Q1215" s="41" t="s">
        <v>75</v>
      </c>
      <c r="R1215" s="41">
        <f>HEX2DEC(RIGHT(Table13232127[[#This Row],[h2]],8))</f>
        <v>0</v>
      </c>
    </row>
    <row r="1216" spans="1:18">
      <c r="A1216" s="15" t="str">
        <f t="shared" si="23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1" t="s">
        <v>75</v>
      </c>
      <c r="P1216" s="41">
        <f>HEX2DEC(RIGHT(Table13232127[[#This Row],[h1]],8))</f>
        <v>0</v>
      </c>
      <c r="Q1216" s="41" t="s">
        <v>75</v>
      </c>
      <c r="R1216" s="41">
        <f>HEX2DEC(RIGHT(Table13232127[[#This Row],[h2]],8))</f>
        <v>0</v>
      </c>
    </row>
    <row r="1217" spans="1:18">
      <c r="A1217" s="15" t="str">
        <f t="shared" si="23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1" t="s">
        <v>75</v>
      </c>
      <c r="P1217" s="41">
        <f>HEX2DEC(RIGHT(Table13232127[[#This Row],[h1]],8))</f>
        <v>0</v>
      </c>
      <c r="Q1217" s="41" t="s">
        <v>75</v>
      </c>
      <c r="R1217" s="41">
        <f>HEX2DEC(RIGHT(Table13232127[[#This Row],[h2]],8))</f>
        <v>0</v>
      </c>
    </row>
    <row r="1218" spans="1:18">
      <c r="A1218" s="15" t="str">
        <f t="shared" si="23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1" t="s">
        <v>75</v>
      </c>
      <c r="P1218" s="41">
        <f>HEX2DEC(RIGHT(Table13232127[[#This Row],[h1]],8))</f>
        <v>0</v>
      </c>
      <c r="Q1218" s="41" t="s">
        <v>75</v>
      </c>
      <c r="R1218" s="41">
        <f>HEX2DEC(RIGHT(Table13232127[[#This Row],[h2]],8))</f>
        <v>0</v>
      </c>
    </row>
    <row r="1219" spans="1:18">
      <c r="A1219" s="15" t="str">
        <f t="shared" si="23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1" t="s">
        <v>75</v>
      </c>
      <c r="P1219" s="41">
        <f>HEX2DEC(RIGHT(Table13232127[[#This Row],[h1]],8))</f>
        <v>0</v>
      </c>
      <c r="Q1219" s="41" t="s">
        <v>75</v>
      </c>
      <c r="R1219" s="41">
        <f>HEX2DEC(RIGHT(Table13232127[[#This Row],[h2]],8))</f>
        <v>0</v>
      </c>
    </row>
    <row r="1220" spans="1:18">
      <c r="A1220" s="15" t="str">
        <f t="shared" si="23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1" t="s">
        <v>75</v>
      </c>
      <c r="P1220" s="41">
        <f>HEX2DEC(RIGHT(Table13232127[[#This Row],[h1]],8))</f>
        <v>0</v>
      </c>
      <c r="Q1220" s="41" t="s">
        <v>75</v>
      </c>
      <c r="R1220" s="41">
        <f>HEX2DEC(RIGHT(Table13232127[[#This Row],[h2]],8))</f>
        <v>0</v>
      </c>
    </row>
    <row r="1221" spans="1:18">
      <c r="A1221" s="15" t="str">
        <f t="shared" si="23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1" t="s">
        <v>75</v>
      </c>
      <c r="P1221" s="41">
        <f>HEX2DEC(RIGHT(Table13232127[[#This Row],[h1]],8))</f>
        <v>0</v>
      </c>
      <c r="Q1221" s="41" t="s">
        <v>75</v>
      </c>
      <c r="R1221" s="41">
        <f>HEX2DEC(RIGHT(Table13232127[[#This Row],[h2]],8))</f>
        <v>0</v>
      </c>
    </row>
    <row r="1222" spans="1:18">
      <c r="A1222" s="15" t="str">
        <f t="shared" si="23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1" t="s">
        <v>75</v>
      </c>
      <c r="P1222" s="41">
        <f>HEX2DEC(RIGHT(Table13232127[[#This Row],[h1]],8))</f>
        <v>0</v>
      </c>
      <c r="Q1222" s="41" t="s">
        <v>75</v>
      </c>
      <c r="R1222" s="41">
        <f>HEX2DEC(RIGHT(Table13232127[[#This Row],[h2]],8))</f>
        <v>0</v>
      </c>
    </row>
    <row r="1223" spans="1:18">
      <c r="A1223" s="15" t="str">
        <f t="shared" si="23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1" t="s">
        <v>75</v>
      </c>
      <c r="P1223" s="41">
        <f>HEX2DEC(RIGHT(Table13232127[[#This Row],[h1]],8))</f>
        <v>0</v>
      </c>
      <c r="Q1223" s="41" t="s">
        <v>75</v>
      </c>
      <c r="R1223" s="41">
        <f>HEX2DEC(RIGHT(Table13232127[[#This Row],[h2]],8))</f>
        <v>0</v>
      </c>
    </row>
    <row r="1224" spans="1:18">
      <c r="A1224" s="15" t="str">
        <f t="shared" si="23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1" t="s">
        <v>75</v>
      </c>
      <c r="P1224" s="41">
        <f>HEX2DEC(RIGHT(Table13232127[[#This Row],[h1]],8))</f>
        <v>0</v>
      </c>
      <c r="Q1224" s="41" t="s">
        <v>75</v>
      </c>
      <c r="R1224" s="41">
        <f>HEX2DEC(RIGHT(Table13232127[[#This Row],[h2]],8))</f>
        <v>0</v>
      </c>
    </row>
    <row r="1225" spans="1:18">
      <c r="A1225" s="15" t="str">
        <f t="shared" si="23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1" t="s">
        <v>75</v>
      </c>
      <c r="P1225" s="41">
        <f>HEX2DEC(RIGHT(Table13232127[[#This Row],[h1]],8))</f>
        <v>0</v>
      </c>
      <c r="Q1225" s="41" t="s">
        <v>75</v>
      </c>
      <c r="R1225" s="41">
        <f>HEX2DEC(RIGHT(Table13232127[[#This Row],[h2]],8))</f>
        <v>0</v>
      </c>
    </row>
    <row r="1226" spans="1:18">
      <c r="A1226" s="15" t="str">
        <f t="shared" si="23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1" t="s">
        <v>75</v>
      </c>
      <c r="P1226" s="41">
        <f>HEX2DEC(RIGHT(Table13232127[[#This Row],[h1]],8))</f>
        <v>0</v>
      </c>
      <c r="Q1226" s="41" t="s">
        <v>75</v>
      </c>
      <c r="R1226" s="41">
        <f>HEX2DEC(RIGHT(Table13232127[[#This Row],[h2]],8))</f>
        <v>0</v>
      </c>
    </row>
    <row r="1227" spans="1:18">
      <c r="A1227" s="15" t="str">
        <f t="shared" ref="A1227:A1290" si="24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1" t="s">
        <v>75</v>
      </c>
      <c r="P1227" s="41">
        <f>HEX2DEC(RIGHT(Table13232127[[#This Row],[h1]],8))</f>
        <v>0</v>
      </c>
      <c r="Q1227" s="41" t="s">
        <v>75</v>
      </c>
      <c r="R1227" s="41">
        <f>HEX2DEC(RIGHT(Table13232127[[#This Row],[h2]],8))</f>
        <v>0</v>
      </c>
    </row>
    <row r="1228" spans="1:18">
      <c r="A1228" s="15" t="str">
        <f t="shared" si="24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1" t="s">
        <v>75</v>
      </c>
      <c r="P1228" s="41">
        <f>HEX2DEC(RIGHT(Table13232127[[#This Row],[h1]],8))</f>
        <v>0</v>
      </c>
      <c r="Q1228" s="41" t="s">
        <v>75</v>
      </c>
      <c r="R1228" s="41">
        <f>HEX2DEC(RIGHT(Table13232127[[#This Row],[h2]],8))</f>
        <v>0</v>
      </c>
    </row>
    <row r="1229" spans="1:18">
      <c r="A1229" s="15" t="str">
        <f t="shared" si="24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1" t="s">
        <v>75</v>
      </c>
      <c r="P1229" s="41">
        <f>HEX2DEC(RIGHT(Table13232127[[#This Row],[h1]],8))</f>
        <v>0</v>
      </c>
      <c r="Q1229" s="41" t="s">
        <v>75</v>
      </c>
      <c r="R1229" s="41">
        <f>HEX2DEC(RIGHT(Table13232127[[#This Row],[h2]],8))</f>
        <v>0</v>
      </c>
    </row>
    <row r="1230" spans="1:18">
      <c r="A1230" s="15" t="str">
        <f t="shared" si="24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1" t="s">
        <v>75</v>
      </c>
      <c r="P1230" s="41">
        <f>HEX2DEC(RIGHT(Table13232127[[#This Row],[h1]],8))</f>
        <v>0</v>
      </c>
      <c r="Q1230" s="41" t="s">
        <v>75</v>
      </c>
      <c r="R1230" s="41">
        <f>HEX2DEC(RIGHT(Table13232127[[#This Row],[h2]],8))</f>
        <v>0</v>
      </c>
    </row>
    <row r="1231" spans="1:18">
      <c r="A1231" s="15" t="str">
        <f t="shared" si="24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1" t="s">
        <v>75</v>
      </c>
      <c r="P1231" s="41">
        <f>HEX2DEC(RIGHT(Table13232127[[#This Row],[h1]],8))</f>
        <v>0</v>
      </c>
      <c r="Q1231" s="41" t="s">
        <v>75</v>
      </c>
      <c r="R1231" s="41">
        <f>HEX2DEC(RIGHT(Table13232127[[#This Row],[h2]],8))</f>
        <v>0</v>
      </c>
    </row>
    <row r="1232" spans="1:18">
      <c r="A1232" s="15" t="str">
        <f t="shared" si="24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1" t="s">
        <v>75</v>
      </c>
      <c r="P1232" s="41">
        <f>HEX2DEC(RIGHT(Table13232127[[#This Row],[h1]],8))</f>
        <v>0</v>
      </c>
      <c r="Q1232" s="41" t="s">
        <v>75</v>
      </c>
      <c r="R1232" s="41">
        <f>HEX2DEC(RIGHT(Table13232127[[#This Row],[h2]],8))</f>
        <v>0</v>
      </c>
    </row>
    <row r="1233" spans="1:18">
      <c r="A1233" s="15" t="str">
        <f t="shared" si="24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1" t="s">
        <v>75</v>
      </c>
      <c r="P1233" s="41">
        <f>HEX2DEC(RIGHT(Table13232127[[#This Row],[h1]],8))</f>
        <v>0</v>
      </c>
      <c r="Q1233" s="41" t="s">
        <v>75</v>
      </c>
      <c r="R1233" s="41">
        <f>HEX2DEC(RIGHT(Table13232127[[#This Row],[h2]],8))</f>
        <v>0</v>
      </c>
    </row>
    <row r="1234" spans="1:18">
      <c r="A1234" s="15" t="str">
        <f t="shared" si="24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1" t="s">
        <v>75</v>
      </c>
      <c r="P1234" s="41">
        <f>HEX2DEC(RIGHT(Table13232127[[#This Row],[h1]],8))</f>
        <v>0</v>
      </c>
      <c r="Q1234" s="41" t="s">
        <v>75</v>
      </c>
      <c r="R1234" s="41">
        <f>HEX2DEC(RIGHT(Table13232127[[#This Row],[h2]],8))</f>
        <v>0</v>
      </c>
    </row>
    <row r="1235" spans="1:18">
      <c r="A1235" s="15" t="str">
        <f t="shared" si="24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1" t="s">
        <v>75</v>
      </c>
      <c r="P1235" s="41">
        <f>HEX2DEC(RIGHT(Table13232127[[#This Row],[h1]],8))</f>
        <v>0</v>
      </c>
      <c r="Q1235" s="41" t="s">
        <v>75</v>
      </c>
      <c r="R1235" s="41">
        <f>HEX2DEC(RIGHT(Table13232127[[#This Row],[h2]],8))</f>
        <v>0</v>
      </c>
    </row>
    <row r="1236" spans="1:18">
      <c r="A1236" s="15" t="str">
        <f t="shared" si="24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1" t="s">
        <v>75</v>
      </c>
      <c r="P1236" s="41">
        <f>HEX2DEC(RIGHT(Table13232127[[#This Row],[h1]],8))</f>
        <v>0</v>
      </c>
      <c r="Q1236" s="41" t="s">
        <v>75</v>
      </c>
      <c r="R1236" s="41">
        <f>HEX2DEC(RIGHT(Table13232127[[#This Row],[h2]],8))</f>
        <v>0</v>
      </c>
    </row>
    <row r="1237" spans="1:18">
      <c r="A1237" s="15" t="str">
        <f t="shared" si="24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1" t="s">
        <v>75</v>
      </c>
      <c r="P1237" s="41">
        <f>HEX2DEC(RIGHT(Table13232127[[#This Row],[h1]],8))</f>
        <v>0</v>
      </c>
      <c r="Q1237" s="41" t="s">
        <v>75</v>
      </c>
      <c r="R1237" s="41">
        <f>HEX2DEC(RIGHT(Table13232127[[#This Row],[h2]],8))</f>
        <v>0</v>
      </c>
    </row>
    <row r="1238" spans="1:18">
      <c r="A1238" s="15" t="str">
        <f t="shared" si="24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1" t="s">
        <v>75</v>
      </c>
      <c r="P1238" s="41">
        <f>HEX2DEC(RIGHT(Table13232127[[#This Row],[h1]],8))</f>
        <v>0</v>
      </c>
      <c r="Q1238" s="41" t="s">
        <v>75</v>
      </c>
      <c r="R1238" s="41">
        <f>HEX2DEC(RIGHT(Table13232127[[#This Row],[h2]],8))</f>
        <v>0</v>
      </c>
    </row>
    <row r="1239" spans="1:18">
      <c r="A1239" s="15" t="str">
        <f t="shared" si="24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1" t="s">
        <v>75</v>
      </c>
      <c r="P1239" s="41">
        <f>HEX2DEC(RIGHT(Table13232127[[#This Row],[h1]],8))</f>
        <v>0</v>
      </c>
      <c r="Q1239" s="41" t="s">
        <v>75</v>
      </c>
      <c r="R1239" s="41">
        <f>HEX2DEC(RIGHT(Table13232127[[#This Row],[h2]],8))</f>
        <v>0</v>
      </c>
    </row>
    <row r="1240" spans="1:18">
      <c r="A1240" s="15" t="str">
        <f t="shared" si="24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1" t="s">
        <v>75</v>
      </c>
      <c r="P1240" s="41">
        <f>HEX2DEC(RIGHT(Table13232127[[#This Row],[h1]],8))</f>
        <v>0</v>
      </c>
      <c r="Q1240" s="41" t="s">
        <v>75</v>
      </c>
      <c r="R1240" s="41">
        <f>HEX2DEC(RIGHT(Table13232127[[#This Row],[h2]],8))</f>
        <v>0</v>
      </c>
    </row>
    <row r="1241" spans="1:18">
      <c r="A1241" s="15" t="str">
        <f t="shared" si="24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1" t="s">
        <v>75</v>
      </c>
      <c r="P1241" s="41">
        <f>HEX2DEC(RIGHT(Table13232127[[#This Row],[h1]],8))</f>
        <v>0</v>
      </c>
      <c r="Q1241" s="41" t="s">
        <v>75</v>
      </c>
      <c r="R1241" s="41">
        <f>HEX2DEC(RIGHT(Table13232127[[#This Row],[h2]],8))</f>
        <v>0</v>
      </c>
    </row>
    <row r="1242" spans="1:18">
      <c r="A1242" s="15" t="str">
        <f t="shared" si="24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1" t="s">
        <v>75</v>
      </c>
      <c r="P1242" s="41">
        <f>HEX2DEC(RIGHT(Table13232127[[#This Row],[h1]],8))</f>
        <v>0</v>
      </c>
      <c r="Q1242" s="41" t="s">
        <v>75</v>
      </c>
      <c r="R1242" s="41">
        <f>HEX2DEC(RIGHT(Table13232127[[#This Row],[h2]],8))</f>
        <v>0</v>
      </c>
    </row>
    <row r="1243" spans="1:18">
      <c r="A1243" s="15" t="str">
        <f t="shared" si="24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1" t="s">
        <v>75</v>
      </c>
      <c r="P1243" s="41">
        <f>HEX2DEC(RIGHT(Table13232127[[#This Row],[h1]],8))</f>
        <v>0</v>
      </c>
      <c r="Q1243" s="41" t="s">
        <v>75</v>
      </c>
      <c r="R1243" s="41">
        <f>HEX2DEC(RIGHT(Table13232127[[#This Row],[h2]],8))</f>
        <v>0</v>
      </c>
    </row>
    <row r="1244" spans="1:18">
      <c r="A1244" s="15" t="str">
        <f t="shared" si="24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1" t="s">
        <v>75</v>
      </c>
      <c r="P1244" s="41">
        <f>HEX2DEC(RIGHT(Table13232127[[#This Row],[h1]],8))</f>
        <v>0</v>
      </c>
      <c r="Q1244" s="41" t="s">
        <v>75</v>
      </c>
      <c r="R1244" s="41">
        <f>HEX2DEC(RIGHT(Table13232127[[#This Row],[h2]],8))</f>
        <v>0</v>
      </c>
    </row>
    <row r="1245" spans="1:18">
      <c r="A1245" s="15" t="str">
        <f t="shared" si="24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1" t="s">
        <v>75</v>
      </c>
      <c r="P1245" s="41">
        <f>HEX2DEC(RIGHT(Table13232127[[#This Row],[h1]],8))</f>
        <v>0</v>
      </c>
      <c r="Q1245" s="41" t="s">
        <v>75</v>
      </c>
      <c r="R1245" s="41">
        <f>HEX2DEC(RIGHT(Table13232127[[#This Row],[h2]],8))</f>
        <v>0</v>
      </c>
    </row>
    <row r="1246" spans="1:18">
      <c r="A1246" s="15" t="str">
        <f t="shared" si="24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1" t="s">
        <v>75</v>
      </c>
      <c r="P1246" s="41">
        <f>HEX2DEC(RIGHT(Table13232127[[#This Row],[h1]],8))</f>
        <v>0</v>
      </c>
      <c r="Q1246" s="41" t="s">
        <v>75</v>
      </c>
      <c r="R1246" s="41">
        <f>HEX2DEC(RIGHT(Table13232127[[#This Row],[h2]],8))</f>
        <v>0</v>
      </c>
    </row>
    <row r="1247" spans="1:18">
      <c r="A1247" s="15" t="str">
        <f t="shared" si="24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1" t="s">
        <v>75</v>
      </c>
      <c r="P1247" s="41">
        <f>HEX2DEC(RIGHT(Table13232127[[#This Row],[h1]],8))</f>
        <v>0</v>
      </c>
      <c r="Q1247" s="41" t="s">
        <v>75</v>
      </c>
      <c r="R1247" s="41">
        <f>HEX2DEC(RIGHT(Table13232127[[#This Row],[h2]],8))</f>
        <v>0</v>
      </c>
    </row>
    <row r="1248" spans="1:18">
      <c r="A1248" s="15" t="str">
        <f t="shared" si="24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1" t="s">
        <v>75</v>
      </c>
      <c r="P1248" s="41">
        <f>HEX2DEC(RIGHT(Table13232127[[#This Row],[h1]],8))</f>
        <v>0</v>
      </c>
      <c r="Q1248" s="41" t="s">
        <v>75</v>
      </c>
      <c r="R1248" s="41">
        <f>HEX2DEC(RIGHT(Table13232127[[#This Row],[h2]],8))</f>
        <v>0</v>
      </c>
    </row>
    <row r="1249" spans="1:18">
      <c r="A1249" s="15" t="str">
        <f t="shared" si="24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1" t="s">
        <v>75</v>
      </c>
      <c r="P1249" s="41">
        <f>HEX2DEC(RIGHT(Table13232127[[#This Row],[h1]],8))</f>
        <v>0</v>
      </c>
      <c r="Q1249" s="41" t="s">
        <v>75</v>
      </c>
      <c r="R1249" s="41">
        <f>HEX2DEC(RIGHT(Table13232127[[#This Row],[h2]],8))</f>
        <v>0</v>
      </c>
    </row>
    <row r="1250" spans="1:18">
      <c r="A1250" s="15" t="str">
        <f t="shared" si="24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1" t="s">
        <v>75</v>
      </c>
      <c r="P1250" s="41">
        <f>HEX2DEC(RIGHT(Table13232127[[#This Row],[h1]],8))</f>
        <v>0</v>
      </c>
      <c r="Q1250" s="41" t="s">
        <v>75</v>
      </c>
      <c r="R1250" s="41">
        <f>HEX2DEC(RIGHT(Table13232127[[#This Row],[h2]],8))</f>
        <v>0</v>
      </c>
    </row>
    <row r="1251" spans="1:18">
      <c r="A1251" s="15" t="str">
        <f t="shared" si="24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1" t="s">
        <v>75</v>
      </c>
      <c r="P1251" s="41">
        <f>HEX2DEC(RIGHT(Table13232127[[#This Row],[h1]],8))</f>
        <v>0</v>
      </c>
      <c r="Q1251" s="41" t="s">
        <v>75</v>
      </c>
      <c r="R1251" s="41">
        <f>HEX2DEC(RIGHT(Table13232127[[#This Row],[h2]],8))</f>
        <v>0</v>
      </c>
    </row>
    <row r="1252" spans="1:18">
      <c r="A1252" s="15" t="str">
        <f t="shared" si="24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1" t="s">
        <v>75</v>
      </c>
      <c r="P1252" s="41">
        <f>HEX2DEC(RIGHT(Table13232127[[#This Row],[h1]],8))</f>
        <v>0</v>
      </c>
      <c r="Q1252" s="41" t="s">
        <v>75</v>
      </c>
      <c r="R1252" s="41">
        <f>HEX2DEC(RIGHT(Table13232127[[#This Row],[h2]],8))</f>
        <v>0</v>
      </c>
    </row>
    <row r="1253" spans="1:18">
      <c r="A1253" s="15" t="str">
        <f t="shared" si="24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1" t="s">
        <v>75</v>
      </c>
      <c r="P1253" s="41">
        <f>HEX2DEC(RIGHT(Table13232127[[#This Row],[h1]],8))</f>
        <v>0</v>
      </c>
      <c r="Q1253" s="41" t="s">
        <v>75</v>
      </c>
      <c r="R1253" s="41">
        <f>HEX2DEC(RIGHT(Table13232127[[#This Row],[h2]],8))</f>
        <v>0</v>
      </c>
    </row>
    <row r="1254" spans="1:18">
      <c r="A1254" s="15" t="str">
        <f t="shared" si="24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1" t="s">
        <v>75</v>
      </c>
      <c r="P1254" s="41">
        <f>HEX2DEC(RIGHT(Table13232127[[#This Row],[h1]],8))</f>
        <v>0</v>
      </c>
      <c r="Q1254" s="41" t="s">
        <v>75</v>
      </c>
      <c r="R1254" s="41">
        <f>HEX2DEC(RIGHT(Table13232127[[#This Row],[h2]],8))</f>
        <v>0</v>
      </c>
    </row>
    <row r="1255" spans="1:18">
      <c r="A1255" s="15" t="str">
        <f t="shared" si="24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1" t="s">
        <v>75</v>
      </c>
      <c r="P1255" s="41">
        <f>HEX2DEC(RIGHT(Table13232127[[#This Row],[h1]],8))</f>
        <v>0</v>
      </c>
      <c r="Q1255" s="41" t="s">
        <v>75</v>
      </c>
      <c r="R1255" s="41">
        <f>HEX2DEC(RIGHT(Table13232127[[#This Row],[h2]],8))</f>
        <v>0</v>
      </c>
    </row>
    <row r="1256" spans="1:18">
      <c r="A1256" s="15" t="str">
        <f t="shared" si="24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1" t="s">
        <v>75</v>
      </c>
      <c r="P1256" s="41">
        <f>HEX2DEC(RIGHT(Table13232127[[#This Row],[h1]],8))</f>
        <v>0</v>
      </c>
      <c r="Q1256" s="41" t="s">
        <v>75</v>
      </c>
      <c r="R1256" s="41">
        <f>HEX2DEC(RIGHT(Table13232127[[#This Row],[h2]],8))</f>
        <v>0</v>
      </c>
    </row>
    <row r="1257" spans="1:18">
      <c r="A1257" s="15" t="str">
        <f t="shared" si="24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1" t="s">
        <v>75</v>
      </c>
      <c r="P1257" s="41">
        <f>HEX2DEC(RIGHT(Table13232127[[#This Row],[h1]],8))</f>
        <v>0</v>
      </c>
      <c r="Q1257" s="41" t="s">
        <v>75</v>
      </c>
      <c r="R1257" s="41">
        <f>HEX2DEC(RIGHT(Table13232127[[#This Row],[h2]],8))</f>
        <v>0</v>
      </c>
    </row>
    <row r="1258" spans="1:18">
      <c r="A1258" s="15" t="str">
        <f t="shared" si="24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1" t="s">
        <v>75</v>
      </c>
      <c r="P1258" s="41">
        <f>HEX2DEC(RIGHT(Table13232127[[#This Row],[h1]],8))</f>
        <v>0</v>
      </c>
      <c r="Q1258" s="41" t="s">
        <v>75</v>
      </c>
      <c r="R1258" s="41">
        <f>HEX2DEC(RIGHT(Table13232127[[#This Row],[h2]],8))</f>
        <v>0</v>
      </c>
    </row>
    <row r="1259" spans="1:18">
      <c r="A1259" s="15" t="str">
        <f t="shared" si="24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1" t="s">
        <v>75</v>
      </c>
      <c r="P1259" s="41">
        <f>HEX2DEC(RIGHT(Table13232127[[#This Row],[h1]],8))</f>
        <v>0</v>
      </c>
      <c r="Q1259" s="41" t="s">
        <v>75</v>
      </c>
      <c r="R1259" s="41">
        <f>HEX2DEC(RIGHT(Table13232127[[#This Row],[h2]],8))</f>
        <v>0</v>
      </c>
    </row>
    <row r="1260" spans="1:18">
      <c r="A1260" s="15" t="str">
        <f t="shared" si="24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1" t="s">
        <v>75</v>
      </c>
      <c r="P1260" s="41">
        <f>HEX2DEC(RIGHT(Table13232127[[#This Row],[h1]],8))</f>
        <v>0</v>
      </c>
      <c r="Q1260" s="41" t="s">
        <v>75</v>
      </c>
      <c r="R1260" s="41">
        <f>HEX2DEC(RIGHT(Table13232127[[#This Row],[h2]],8))</f>
        <v>0</v>
      </c>
    </row>
    <row r="1261" spans="1:18">
      <c r="A1261" s="15" t="str">
        <f t="shared" si="24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1" t="s">
        <v>75</v>
      </c>
      <c r="P1261" s="41">
        <f>HEX2DEC(RIGHT(Table13232127[[#This Row],[h1]],8))</f>
        <v>0</v>
      </c>
      <c r="Q1261" s="41" t="s">
        <v>75</v>
      </c>
      <c r="R1261" s="41">
        <f>HEX2DEC(RIGHT(Table13232127[[#This Row],[h2]],8))</f>
        <v>0</v>
      </c>
    </row>
    <row r="1262" spans="1:18">
      <c r="A1262" s="15" t="str">
        <f t="shared" si="24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1" t="s">
        <v>75</v>
      </c>
      <c r="P1262" s="41">
        <f>HEX2DEC(RIGHT(Table13232127[[#This Row],[h1]],8))</f>
        <v>0</v>
      </c>
      <c r="Q1262" s="41" t="s">
        <v>75</v>
      </c>
      <c r="R1262" s="41">
        <f>HEX2DEC(RIGHT(Table13232127[[#This Row],[h2]],8))</f>
        <v>0</v>
      </c>
    </row>
    <row r="1263" spans="1:18">
      <c r="A1263" s="15" t="str">
        <f t="shared" si="24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1" t="s">
        <v>75</v>
      </c>
      <c r="P1263" s="41">
        <f>HEX2DEC(RIGHT(Table13232127[[#This Row],[h1]],8))</f>
        <v>0</v>
      </c>
      <c r="Q1263" s="41" t="s">
        <v>75</v>
      </c>
      <c r="R1263" s="41">
        <f>HEX2DEC(RIGHT(Table13232127[[#This Row],[h2]],8))</f>
        <v>0</v>
      </c>
    </row>
    <row r="1264" spans="1:18">
      <c r="A1264" s="15" t="str">
        <f t="shared" si="24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1" t="s">
        <v>75</v>
      </c>
      <c r="P1264" s="41">
        <f>HEX2DEC(RIGHT(Table13232127[[#This Row],[h1]],8))</f>
        <v>0</v>
      </c>
      <c r="Q1264" s="41" t="s">
        <v>75</v>
      </c>
      <c r="R1264" s="41">
        <f>HEX2DEC(RIGHT(Table13232127[[#This Row],[h2]],8))</f>
        <v>0</v>
      </c>
    </row>
    <row r="1265" spans="1:18">
      <c r="A1265" s="15" t="str">
        <f t="shared" si="24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1" t="s">
        <v>75</v>
      </c>
      <c r="P1265" s="41">
        <f>HEX2DEC(RIGHT(Table13232127[[#This Row],[h1]],8))</f>
        <v>0</v>
      </c>
      <c r="Q1265" s="41" t="s">
        <v>75</v>
      </c>
      <c r="R1265" s="41">
        <f>HEX2DEC(RIGHT(Table13232127[[#This Row],[h2]],8))</f>
        <v>0</v>
      </c>
    </row>
    <row r="1266" spans="1:18">
      <c r="A1266" s="15" t="str">
        <f t="shared" si="24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1" t="s">
        <v>75</v>
      </c>
      <c r="P1266" s="41">
        <f>HEX2DEC(RIGHT(Table13232127[[#This Row],[h1]],8))</f>
        <v>0</v>
      </c>
      <c r="Q1266" s="41" t="s">
        <v>75</v>
      </c>
      <c r="R1266" s="41">
        <f>HEX2DEC(RIGHT(Table13232127[[#This Row],[h2]],8))</f>
        <v>0</v>
      </c>
    </row>
    <row r="1267" spans="1:18">
      <c r="A1267" s="15" t="str">
        <f t="shared" si="24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1" t="s">
        <v>75</v>
      </c>
      <c r="P1267" s="41">
        <f>HEX2DEC(RIGHT(Table13232127[[#This Row],[h1]],8))</f>
        <v>0</v>
      </c>
      <c r="Q1267" s="41" t="s">
        <v>75</v>
      </c>
      <c r="R1267" s="41">
        <f>HEX2DEC(RIGHT(Table13232127[[#This Row],[h2]],8))</f>
        <v>0</v>
      </c>
    </row>
    <row r="1268" spans="1:18">
      <c r="A1268" s="15" t="str">
        <f t="shared" si="24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1" t="s">
        <v>75</v>
      </c>
      <c r="P1268" s="41">
        <f>HEX2DEC(RIGHT(Table13232127[[#This Row],[h1]],8))</f>
        <v>0</v>
      </c>
      <c r="Q1268" s="41" t="s">
        <v>75</v>
      </c>
      <c r="R1268" s="41">
        <f>HEX2DEC(RIGHT(Table13232127[[#This Row],[h2]],8))</f>
        <v>0</v>
      </c>
    </row>
    <row r="1269" spans="1:18">
      <c r="A1269" s="15" t="str">
        <f t="shared" si="24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1" t="s">
        <v>75</v>
      </c>
      <c r="P1269" s="41">
        <f>HEX2DEC(RIGHT(Table13232127[[#This Row],[h1]],8))</f>
        <v>0</v>
      </c>
      <c r="Q1269" s="41" t="s">
        <v>75</v>
      </c>
      <c r="R1269" s="41">
        <f>HEX2DEC(RIGHT(Table13232127[[#This Row],[h2]],8))</f>
        <v>0</v>
      </c>
    </row>
    <row r="1270" spans="1:18">
      <c r="A1270" s="15" t="str">
        <f t="shared" si="24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1" t="s">
        <v>75</v>
      </c>
      <c r="P1270" s="41">
        <f>HEX2DEC(RIGHT(Table13232127[[#This Row],[h1]],8))</f>
        <v>0</v>
      </c>
      <c r="Q1270" s="41" t="s">
        <v>75</v>
      </c>
      <c r="R1270" s="41">
        <f>HEX2DEC(RIGHT(Table13232127[[#This Row],[h2]],8))</f>
        <v>0</v>
      </c>
    </row>
    <row r="1271" spans="1:18">
      <c r="A1271" s="15" t="str">
        <f t="shared" si="24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1" t="s">
        <v>75</v>
      </c>
      <c r="P1271" s="41">
        <f>HEX2DEC(RIGHT(Table13232127[[#This Row],[h1]],8))</f>
        <v>0</v>
      </c>
      <c r="Q1271" s="41" t="s">
        <v>75</v>
      </c>
      <c r="R1271" s="41">
        <f>HEX2DEC(RIGHT(Table13232127[[#This Row],[h2]],8))</f>
        <v>0</v>
      </c>
    </row>
    <row r="1272" spans="1:18">
      <c r="A1272" s="15" t="str">
        <f t="shared" si="24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1" t="s">
        <v>75</v>
      </c>
      <c r="P1272" s="41">
        <f>HEX2DEC(RIGHT(Table13232127[[#This Row],[h1]],8))</f>
        <v>0</v>
      </c>
      <c r="Q1272" s="41" t="s">
        <v>75</v>
      </c>
      <c r="R1272" s="41">
        <f>HEX2DEC(RIGHT(Table13232127[[#This Row],[h2]],8))</f>
        <v>0</v>
      </c>
    </row>
    <row r="1273" spans="1:18">
      <c r="A1273" s="15" t="str">
        <f t="shared" si="24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1" t="s">
        <v>75</v>
      </c>
      <c r="P1273" s="41">
        <f>HEX2DEC(RIGHT(Table13232127[[#This Row],[h1]],8))</f>
        <v>0</v>
      </c>
      <c r="Q1273" s="41" t="s">
        <v>75</v>
      </c>
      <c r="R1273" s="41">
        <f>HEX2DEC(RIGHT(Table13232127[[#This Row],[h2]],8))</f>
        <v>0</v>
      </c>
    </row>
    <row r="1274" spans="1:18">
      <c r="A1274" s="15" t="str">
        <f t="shared" si="24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1" t="s">
        <v>75</v>
      </c>
      <c r="P1274" s="41">
        <f>HEX2DEC(RIGHT(Table13232127[[#This Row],[h1]],8))</f>
        <v>0</v>
      </c>
      <c r="Q1274" s="41" t="s">
        <v>75</v>
      </c>
      <c r="R1274" s="41">
        <f>HEX2DEC(RIGHT(Table13232127[[#This Row],[h2]],8))</f>
        <v>0</v>
      </c>
    </row>
    <row r="1275" spans="1:18">
      <c r="A1275" s="15" t="str">
        <f t="shared" si="24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1" t="s">
        <v>75</v>
      </c>
      <c r="P1275" s="41">
        <f>HEX2DEC(RIGHT(Table13232127[[#This Row],[h1]],8))</f>
        <v>0</v>
      </c>
      <c r="Q1275" s="41" t="s">
        <v>75</v>
      </c>
      <c r="R1275" s="41">
        <f>HEX2DEC(RIGHT(Table13232127[[#This Row],[h2]],8))</f>
        <v>0</v>
      </c>
    </row>
    <row r="1276" spans="1:18">
      <c r="A1276" s="15" t="str">
        <f t="shared" si="24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1" t="s">
        <v>75</v>
      </c>
      <c r="P1276" s="41">
        <f>HEX2DEC(RIGHT(Table13232127[[#This Row],[h1]],8))</f>
        <v>0</v>
      </c>
      <c r="Q1276" s="41" t="s">
        <v>75</v>
      </c>
      <c r="R1276" s="41">
        <f>HEX2DEC(RIGHT(Table13232127[[#This Row],[h2]],8))</f>
        <v>0</v>
      </c>
    </row>
    <row r="1277" spans="1:18">
      <c r="A1277" s="15" t="str">
        <f t="shared" si="24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1" t="s">
        <v>75</v>
      </c>
      <c r="P1277" s="41">
        <f>HEX2DEC(RIGHT(Table13232127[[#This Row],[h1]],8))</f>
        <v>0</v>
      </c>
      <c r="Q1277" s="41" t="s">
        <v>75</v>
      </c>
      <c r="R1277" s="41">
        <f>HEX2DEC(RIGHT(Table13232127[[#This Row],[h2]],8))</f>
        <v>0</v>
      </c>
    </row>
    <row r="1278" spans="1:18">
      <c r="A1278" s="15" t="str">
        <f t="shared" si="24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1" t="s">
        <v>75</v>
      </c>
      <c r="P1278" s="41">
        <f>HEX2DEC(RIGHT(Table13232127[[#This Row],[h1]],8))</f>
        <v>0</v>
      </c>
      <c r="Q1278" s="41" t="s">
        <v>75</v>
      </c>
      <c r="R1278" s="41">
        <f>HEX2DEC(RIGHT(Table13232127[[#This Row],[h2]],8))</f>
        <v>0</v>
      </c>
    </row>
    <row r="1279" spans="1:18">
      <c r="A1279" s="15" t="str">
        <f t="shared" si="24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1" t="s">
        <v>75</v>
      </c>
      <c r="P1279" s="41">
        <f>HEX2DEC(RIGHT(Table13232127[[#This Row],[h1]],8))</f>
        <v>0</v>
      </c>
      <c r="Q1279" s="41" t="s">
        <v>75</v>
      </c>
      <c r="R1279" s="41">
        <f>HEX2DEC(RIGHT(Table13232127[[#This Row],[h2]],8))</f>
        <v>0</v>
      </c>
    </row>
    <row r="1280" spans="1:18">
      <c r="A1280" s="15" t="str">
        <f t="shared" si="24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1" t="s">
        <v>75</v>
      </c>
      <c r="P1280" s="41">
        <f>HEX2DEC(RIGHT(Table13232127[[#This Row],[h1]],8))</f>
        <v>0</v>
      </c>
      <c r="Q1280" s="41" t="s">
        <v>75</v>
      </c>
      <c r="R1280" s="41">
        <f>HEX2DEC(RIGHT(Table13232127[[#This Row],[h2]],8))</f>
        <v>0</v>
      </c>
    </row>
    <row r="1281" spans="1:18">
      <c r="A1281" s="15" t="str">
        <f t="shared" si="24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1" t="s">
        <v>75</v>
      </c>
      <c r="P1281" s="41">
        <f>HEX2DEC(RIGHT(Table13232127[[#This Row],[h1]],8))</f>
        <v>0</v>
      </c>
      <c r="Q1281" s="41" t="s">
        <v>75</v>
      </c>
      <c r="R1281" s="41">
        <f>HEX2DEC(RIGHT(Table13232127[[#This Row],[h2]],8))</f>
        <v>0</v>
      </c>
    </row>
    <row r="1282" spans="1:18">
      <c r="A1282" s="15" t="str">
        <f t="shared" si="24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1" t="s">
        <v>75</v>
      </c>
      <c r="P1282" s="41">
        <f>HEX2DEC(RIGHT(Table13232127[[#This Row],[h1]],8))</f>
        <v>0</v>
      </c>
      <c r="Q1282" s="41" t="s">
        <v>75</v>
      </c>
      <c r="R1282" s="41">
        <f>HEX2DEC(RIGHT(Table13232127[[#This Row],[h2]],8))</f>
        <v>0</v>
      </c>
    </row>
    <row r="1283" spans="1:18">
      <c r="A1283" s="15" t="str">
        <f t="shared" si="24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1" t="s">
        <v>75</v>
      </c>
      <c r="P1283" s="41">
        <f>HEX2DEC(RIGHT(Table13232127[[#This Row],[h1]],8))</f>
        <v>0</v>
      </c>
      <c r="Q1283" s="41" t="s">
        <v>75</v>
      </c>
      <c r="R1283" s="41">
        <f>HEX2DEC(RIGHT(Table13232127[[#This Row],[h2]],8))</f>
        <v>0</v>
      </c>
    </row>
    <row r="1284" spans="1:18">
      <c r="A1284" s="15" t="str">
        <f t="shared" si="24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1" t="s">
        <v>75</v>
      </c>
      <c r="P1284" s="41">
        <f>HEX2DEC(RIGHT(Table13232127[[#This Row],[h1]],8))</f>
        <v>0</v>
      </c>
      <c r="Q1284" s="41" t="s">
        <v>75</v>
      </c>
      <c r="R1284" s="41">
        <f>HEX2DEC(RIGHT(Table13232127[[#This Row],[h2]],8))</f>
        <v>0</v>
      </c>
    </row>
    <row r="1285" spans="1:18">
      <c r="A1285" s="15" t="str">
        <f t="shared" si="24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1" t="s">
        <v>75</v>
      </c>
      <c r="P1285" s="41">
        <f>HEX2DEC(RIGHT(Table13232127[[#This Row],[h1]],8))</f>
        <v>0</v>
      </c>
      <c r="Q1285" s="41" t="s">
        <v>75</v>
      </c>
      <c r="R1285" s="41">
        <f>HEX2DEC(RIGHT(Table13232127[[#This Row],[h2]],8))</f>
        <v>0</v>
      </c>
    </row>
    <row r="1286" spans="1:18">
      <c r="A1286" s="15" t="str">
        <f t="shared" si="24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1" t="s">
        <v>75</v>
      </c>
      <c r="P1286" s="41">
        <f>HEX2DEC(RIGHT(Table13232127[[#This Row],[h1]],8))</f>
        <v>0</v>
      </c>
      <c r="Q1286" s="41" t="s">
        <v>75</v>
      </c>
      <c r="R1286" s="41">
        <f>HEX2DEC(RIGHT(Table13232127[[#This Row],[h2]],8))</f>
        <v>0</v>
      </c>
    </row>
    <row r="1287" spans="1:18">
      <c r="A1287" s="15" t="str">
        <f t="shared" si="24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1" t="s">
        <v>75</v>
      </c>
      <c r="P1287" s="41">
        <f>HEX2DEC(RIGHT(Table13232127[[#This Row],[h1]],8))</f>
        <v>0</v>
      </c>
      <c r="Q1287" s="41" t="s">
        <v>75</v>
      </c>
      <c r="R1287" s="41">
        <f>HEX2DEC(RIGHT(Table13232127[[#This Row],[h2]],8))</f>
        <v>0</v>
      </c>
    </row>
    <row r="1288" spans="1:18">
      <c r="A1288" s="15" t="str">
        <f t="shared" si="24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1" t="s">
        <v>75</v>
      </c>
      <c r="P1288" s="41">
        <f>HEX2DEC(RIGHT(Table13232127[[#This Row],[h1]],8))</f>
        <v>0</v>
      </c>
      <c r="Q1288" s="41" t="s">
        <v>75</v>
      </c>
      <c r="R1288" s="41">
        <f>HEX2DEC(RIGHT(Table13232127[[#This Row],[h2]],8))</f>
        <v>0</v>
      </c>
    </row>
    <row r="1289" spans="1:18">
      <c r="A1289" s="15" t="str">
        <f t="shared" si="24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1" t="s">
        <v>75</v>
      </c>
      <c r="P1289" s="41">
        <f>HEX2DEC(RIGHT(Table13232127[[#This Row],[h1]],8))</f>
        <v>0</v>
      </c>
      <c r="Q1289" s="41" t="s">
        <v>75</v>
      </c>
      <c r="R1289" s="41">
        <f>HEX2DEC(RIGHT(Table13232127[[#This Row],[h2]],8))</f>
        <v>0</v>
      </c>
    </row>
    <row r="1290" spans="1:18">
      <c r="A1290" s="15" t="str">
        <f t="shared" si="24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1" t="s">
        <v>75</v>
      </c>
      <c r="P1290" s="41">
        <f>HEX2DEC(RIGHT(Table13232127[[#This Row],[h1]],8))</f>
        <v>0</v>
      </c>
      <c r="Q1290" s="41" t="s">
        <v>75</v>
      </c>
      <c r="R1290" s="41">
        <f>HEX2DEC(RIGHT(Table13232127[[#This Row],[h2]],8))</f>
        <v>0</v>
      </c>
    </row>
    <row r="1291" spans="1:18">
      <c r="A1291" s="15" t="str">
        <f t="shared" ref="A1291:A1354" si="25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1" t="s">
        <v>75</v>
      </c>
      <c r="P1291" s="41">
        <f>HEX2DEC(RIGHT(Table13232127[[#This Row],[h1]],8))</f>
        <v>0</v>
      </c>
      <c r="Q1291" s="41" t="s">
        <v>75</v>
      </c>
      <c r="R1291" s="41">
        <f>HEX2DEC(RIGHT(Table13232127[[#This Row],[h2]],8))</f>
        <v>0</v>
      </c>
    </row>
    <row r="1292" spans="1:18">
      <c r="A1292" s="15" t="str">
        <f t="shared" si="25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1" t="s">
        <v>75</v>
      </c>
      <c r="P1292" s="41">
        <f>HEX2DEC(RIGHT(Table13232127[[#This Row],[h1]],8))</f>
        <v>0</v>
      </c>
      <c r="Q1292" s="41" t="s">
        <v>75</v>
      </c>
      <c r="R1292" s="41">
        <f>HEX2DEC(RIGHT(Table13232127[[#This Row],[h2]],8))</f>
        <v>0</v>
      </c>
    </row>
    <row r="1293" spans="1:18">
      <c r="A1293" s="15" t="str">
        <f t="shared" si="25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1" t="s">
        <v>75</v>
      </c>
      <c r="P1293" s="41">
        <f>HEX2DEC(RIGHT(Table13232127[[#This Row],[h1]],8))</f>
        <v>0</v>
      </c>
      <c r="Q1293" s="41" t="s">
        <v>75</v>
      </c>
      <c r="R1293" s="41">
        <f>HEX2DEC(RIGHT(Table13232127[[#This Row],[h2]],8))</f>
        <v>0</v>
      </c>
    </row>
    <row r="1294" spans="1:18">
      <c r="A1294" s="15" t="str">
        <f t="shared" si="25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1" t="s">
        <v>75</v>
      </c>
      <c r="P1294" s="41">
        <f>HEX2DEC(RIGHT(Table13232127[[#This Row],[h1]],8))</f>
        <v>0</v>
      </c>
      <c r="Q1294" s="41" t="s">
        <v>75</v>
      </c>
      <c r="R1294" s="41">
        <f>HEX2DEC(RIGHT(Table13232127[[#This Row],[h2]],8))</f>
        <v>0</v>
      </c>
    </row>
    <row r="1295" spans="1:18">
      <c r="A1295" s="15" t="str">
        <f t="shared" si="25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1" t="s">
        <v>75</v>
      </c>
      <c r="P1295" s="41">
        <f>HEX2DEC(RIGHT(Table13232127[[#This Row],[h1]],8))</f>
        <v>0</v>
      </c>
      <c r="Q1295" s="41" t="s">
        <v>75</v>
      </c>
      <c r="R1295" s="41">
        <f>HEX2DEC(RIGHT(Table13232127[[#This Row],[h2]],8))</f>
        <v>0</v>
      </c>
    </row>
    <row r="1296" spans="1:18">
      <c r="A1296" s="15" t="str">
        <f t="shared" si="25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1" t="s">
        <v>75</v>
      </c>
      <c r="P1296" s="41">
        <f>HEX2DEC(RIGHT(Table13232127[[#This Row],[h1]],8))</f>
        <v>0</v>
      </c>
      <c r="Q1296" s="41" t="s">
        <v>75</v>
      </c>
      <c r="R1296" s="41">
        <f>HEX2DEC(RIGHT(Table13232127[[#This Row],[h2]],8))</f>
        <v>0</v>
      </c>
    </row>
    <row r="1297" spans="1:18">
      <c r="A1297" s="15" t="str">
        <f t="shared" si="25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1" t="s">
        <v>75</v>
      </c>
      <c r="P1297" s="41">
        <f>HEX2DEC(RIGHT(Table13232127[[#This Row],[h1]],8))</f>
        <v>0</v>
      </c>
      <c r="Q1297" s="41" t="s">
        <v>75</v>
      </c>
      <c r="R1297" s="41">
        <f>HEX2DEC(RIGHT(Table13232127[[#This Row],[h2]],8))</f>
        <v>0</v>
      </c>
    </row>
    <row r="1298" spans="1:18">
      <c r="A1298" s="15" t="str">
        <f t="shared" si="25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1" t="s">
        <v>75</v>
      </c>
      <c r="P1298" s="41">
        <f>HEX2DEC(RIGHT(Table13232127[[#This Row],[h1]],8))</f>
        <v>0</v>
      </c>
      <c r="Q1298" s="41" t="s">
        <v>75</v>
      </c>
      <c r="R1298" s="41">
        <f>HEX2DEC(RIGHT(Table13232127[[#This Row],[h2]],8))</f>
        <v>0</v>
      </c>
    </row>
    <row r="1299" spans="1:18">
      <c r="A1299" s="15" t="str">
        <f t="shared" si="25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1" t="s">
        <v>75</v>
      </c>
      <c r="P1299" s="41">
        <f>HEX2DEC(RIGHT(Table13232127[[#This Row],[h1]],8))</f>
        <v>0</v>
      </c>
      <c r="Q1299" s="41" t="s">
        <v>75</v>
      </c>
      <c r="R1299" s="41">
        <f>HEX2DEC(RIGHT(Table13232127[[#This Row],[h2]],8))</f>
        <v>0</v>
      </c>
    </row>
    <row r="1300" spans="1:18">
      <c r="A1300" s="15" t="str">
        <f t="shared" si="25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1" t="s">
        <v>75</v>
      </c>
      <c r="P1300" s="41">
        <f>HEX2DEC(RIGHT(Table13232127[[#This Row],[h1]],8))</f>
        <v>0</v>
      </c>
      <c r="Q1300" s="41" t="s">
        <v>75</v>
      </c>
      <c r="R1300" s="41">
        <f>HEX2DEC(RIGHT(Table13232127[[#This Row],[h2]],8))</f>
        <v>0</v>
      </c>
    </row>
    <row r="1301" spans="1:18">
      <c r="A1301" s="15" t="str">
        <f t="shared" si="25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1" t="s">
        <v>75</v>
      </c>
      <c r="P1301" s="41">
        <f>HEX2DEC(RIGHT(Table13232127[[#This Row],[h1]],8))</f>
        <v>0</v>
      </c>
      <c r="Q1301" s="41" t="s">
        <v>75</v>
      </c>
      <c r="R1301" s="41">
        <f>HEX2DEC(RIGHT(Table13232127[[#This Row],[h2]],8))</f>
        <v>0</v>
      </c>
    </row>
    <row r="1302" spans="1:18">
      <c r="A1302" s="15" t="str">
        <f t="shared" si="25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1" t="s">
        <v>75</v>
      </c>
      <c r="P1302" s="41">
        <f>HEX2DEC(RIGHT(Table13232127[[#This Row],[h1]],8))</f>
        <v>0</v>
      </c>
      <c r="Q1302" s="41" t="s">
        <v>75</v>
      </c>
      <c r="R1302" s="41">
        <f>HEX2DEC(RIGHT(Table13232127[[#This Row],[h2]],8))</f>
        <v>0</v>
      </c>
    </row>
    <row r="1303" spans="1:18">
      <c r="A1303" s="15" t="str">
        <f t="shared" si="25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1" t="s">
        <v>75</v>
      </c>
      <c r="P1303" s="41">
        <f>HEX2DEC(RIGHT(Table13232127[[#This Row],[h1]],8))</f>
        <v>0</v>
      </c>
      <c r="Q1303" s="41" t="s">
        <v>75</v>
      </c>
      <c r="R1303" s="41">
        <f>HEX2DEC(RIGHT(Table13232127[[#This Row],[h2]],8))</f>
        <v>0</v>
      </c>
    </row>
    <row r="1304" spans="1:18">
      <c r="A1304" s="15" t="str">
        <f t="shared" si="25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1" t="s">
        <v>75</v>
      </c>
      <c r="P1304" s="41">
        <f>HEX2DEC(RIGHT(Table13232127[[#This Row],[h1]],8))</f>
        <v>0</v>
      </c>
      <c r="Q1304" s="41" t="s">
        <v>75</v>
      </c>
      <c r="R1304" s="41">
        <f>HEX2DEC(RIGHT(Table13232127[[#This Row],[h2]],8))</f>
        <v>0</v>
      </c>
    </row>
    <row r="1305" spans="1:18">
      <c r="A1305" s="15" t="str">
        <f t="shared" si="25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1" t="s">
        <v>75</v>
      </c>
      <c r="P1305" s="41">
        <f>HEX2DEC(RIGHT(Table13232127[[#This Row],[h1]],8))</f>
        <v>0</v>
      </c>
      <c r="Q1305" s="41" t="s">
        <v>75</v>
      </c>
      <c r="R1305" s="41">
        <f>HEX2DEC(RIGHT(Table13232127[[#This Row],[h2]],8))</f>
        <v>0</v>
      </c>
    </row>
    <row r="1306" spans="1:18">
      <c r="A1306" s="15" t="str">
        <f t="shared" si="25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1" t="s">
        <v>75</v>
      </c>
      <c r="P1306" s="41">
        <f>HEX2DEC(RIGHT(Table13232127[[#This Row],[h1]],8))</f>
        <v>0</v>
      </c>
      <c r="Q1306" s="41" t="s">
        <v>75</v>
      </c>
      <c r="R1306" s="41">
        <f>HEX2DEC(RIGHT(Table13232127[[#This Row],[h2]],8))</f>
        <v>0</v>
      </c>
    </row>
    <row r="1307" spans="1:18">
      <c r="A1307" s="15" t="str">
        <f t="shared" si="25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1" t="s">
        <v>75</v>
      </c>
      <c r="P1307" s="41">
        <f>HEX2DEC(RIGHT(Table13232127[[#This Row],[h1]],8))</f>
        <v>0</v>
      </c>
      <c r="Q1307" s="41" t="s">
        <v>75</v>
      </c>
      <c r="R1307" s="41">
        <f>HEX2DEC(RIGHT(Table13232127[[#This Row],[h2]],8))</f>
        <v>0</v>
      </c>
    </row>
    <row r="1308" spans="1:18">
      <c r="A1308" s="15" t="str">
        <f t="shared" si="25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1" t="s">
        <v>75</v>
      </c>
      <c r="P1308" s="41">
        <f>HEX2DEC(RIGHT(Table13232127[[#This Row],[h1]],8))</f>
        <v>0</v>
      </c>
      <c r="Q1308" s="41" t="s">
        <v>75</v>
      </c>
      <c r="R1308" s="41">
        <f>HEX2DEC(RIGHT(Table13232127[[#This Row],[h2]],8))</f>
        <v>0</v>
      </c>
    </row>
    <row r="1309" spans="1:18">
      <c r="A1309" s="15" t="str">
        <f t="shared" si="25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1" t="s">
        <v>75</v>
      </c>
      <c r="P1309" s="41">
        <f>HEX2DEC(RIGHT(Table13232127[[#This Row],[h1]],8))</f>
        <v>0</v>
      </c>
      <c r="Q1309" s="41" t="s">
        <v>75</v>
      </c>
      <c r="R1309" s="41">
        <f>HEX2DEC(RIGHT(Table13232127[[#This Row],[h2]],8))</f>
        <v>0</v>
      </c>
    </row>
    <row r="1310" spans="1:18">
      <c r="A1310" s="15" t="str">
        <f t="shared" si="25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1" t="s">
        <v>75</v>
      </c>
      <c r="P1310" s="41">
        <f>HEX2DEC(RIGHT(Table13232127[[#This Row],[h1]],8))</f>
        <v>0</v>
      </c>
      <c r="Q1310" s="41" t="s">
        <v>75</v>
      </c>
      <c r="R1310" s="41">
        <f>HEX2DEC(RIGHT(Table13232127[[#This Row],[h2]],8))</f>
        <v>0</v>
      </c>
    </row>
    <row r="1311" spans="1:18">
      <c r="A1311" s="15" t="str">
        <f t="shared" si="25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1" t="s">
        <v>75</v>
      </c>
      <c r="P1311" s="41">
        <f>HEX2DEC(RIGHT(Table13232127[[#This Row],[h1]],8))</f>
        <v>0</v>
      </c>
      <c r="Q1311" s="41" t="s">
        <v>75</v>
      </c>
      <c r="R1311" s="41">
        <f>HEX2DEC(RIGHT(Table13232127[[#This Row],[h2]],8))</f>
        <v>0</v>
      </c>
    </row>
    <row r="1312" spans="1:18">
      <c r="A1312" s="15" t="str">
        <f t="shared" si="25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1" t="s">
        <v>75</v>
      </c>
      <c r="P1312" s="41">
        <f>HEX2DEC(RIGHT(Table13232127[[#This Row],[h1]],8))</f>
        <v>0</v>
      </c>
      <c r="Q1312" s="41" t="s">
        <v>75</v>
      </c>
      <c r="R1312" s="41">
        <f>HEX2DEC(RIGHT(Table13232127[[#This Row],[h2]],8))</f>
        <v>0</v>
      </c>
    </row>
    <row r="1313" spans="1:18">
      <c r="A1313" s="15" t="str">
        <f t="shared" si="25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1" t="s">
        <v>75</v>
      </c>
      <c r="P1313" s="41">
        <f>HEX2DEC(RIGHT(Table13232127[[#This Row],[h1]],8))</f>
        <v>0</v>
      </c>
      <c r="Q1313" s="41" t="s">
        <v>75</v>
      </c>
      <c r="R1313" s="41">
        <f>HEX2DEC(RIGHT(Table13232127[[#This Row],[h2]],8))</f>
        <v>0</v>
      </c>
    </row>
    <row r="1314" spans="1:18">
      <c r="A1314" s="15" t="str">
        <f t="shared" si="25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1" t="s">
        <v>75</v>
      </c>
      <c r="P1314" s="41">
        <f>HEX2DEC(RIGHT(Table13232127[[#This Row],[h1]],8))</f>
        <v>0</v>
      </c>
      <c r="Q1314" s="41" t="s">
        <v>75</v>
      </c>
      <c r="R1314" s="41">
        <f>HEX2DEC(RIGHT(Table13232127[[#This Row],[h2]],8))</f>
        <v>0</v>
      </c>
    </row>
    <row r="1315" spans="1:18">
      <c r="A1315" s="15" t="str">
        <f t="shared" si="25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1" t="s">
        <v>75</v>
      </c>
      <c r="P1315" s="41">
        <f>HEX2DEC(RIGHT(Table13232127[[#This Row],[h1]],8))</f>
        <v>0</v>
      </c>
      <c r="Q1315" s="41" t="s">
        <v>75</v>
      </c>
      <c r="R1315" s="41">
        <f>HEX2DEC(RIGHT(Table13232127[[#This Row],[h2]],8))</f>
        <v>0</v>
      </c>
    </row>
    <row r="1316" spans="1:18">
      <c r="A1316" s="15" t="str">
        <f t="shared" si="25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1" t="s">
        <v>75</v>
      </c>
      <c r="P1316" s="41">
        <f>HEX2DEC(RIGHT(Table13232127[[#This Row],[h1]],8))</f>
        <v>0</v>
      </c>
      <c r="Q1316" s="41" t="s">
        <v>75</v>
      </c>
      <c r="R1316" s="41">
        <f>HEX2DEC(RIGHT(Table13232127[[#This Row],[h2]],8))</f>
        <v>0</v>
      </c>
    </row>
    <row r="1317" spans="1:18">
      <c r="A1317" s="15" t="str">
        <f t="shared" si="25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1" t="s">
        <v>75</v>
      </c>
      <c r="P1317" s="41">
        <f>HEX2DEC(RIGHT(Table13232127[[#This Row],[h1]],8))</f>
        <v>0</v>
      </c>
      <c r="Q1317" s="41" t="s">
        <v>75</v>
      </c>
      <c r="R1317" s="41">
        <f>HEX2DEC(RIGHT(Table13232127[[#This Row],[h2]],8))</f>
        <v>0</v>
      </c>
    </row>
    <row r="1318" spans="1:18">
      <c r="A1318" s="15" t="str">
        <f t="shared" si="25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1" t="s">
        <v>75</v>
      </c>
      <c r="P1318" s="41">
        <f>HEX2DEC(RIGHT(Table13232127[[#This Row],[h1]],8))</f>
        <v>0</v>
      </c>
      <c r="Q1318" s="41" t="s">
        <v>75</v>
      </c>
      <c r="R1318" s="41">
        <f>HEX2DEC(RIGHT(Table13232127[[#This Row],[h2]],8))</f>
        <v>0</v>
      </c>
    </row>
    <row r="1319" spans="1:18">
      <c r="A1319" s="15" t="str">
        <f t="shared" si="25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1" t="s">
        <v>75</v>
      </c>
      <c r="P1319" s="41">
        <f>HEX2DEC(RIGHT(Table13232127[[#This Row],[h1]],8))</f>
        <v>0</v>
      </c>
      <c r="Q1319" s="41" t="s">
        <v>75</v>
      </c>
      <c r="R1319" s="41">
        <f>HEX2DEC(RIGHT(Table13232127[[#This Row],[h2]],8))</f>
        <v>0</v>
      </c>
    </row>
    <row r="1320" spans="1:18">
      <c r="A1320" s="15" t="str">
        <f t="shared" si="25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1" t="s">
        <v>75</v>
      </c>
      <c r="P1320" s="41">
        <f>HEX2DEC(RIGHT(Table13232127[[#This Row],[h1]],8))</f>
        <v>0</v>
      </c>
      <c r="Q1320" s="41" t="s">
        <v>75</v>
      </c>
      <c r="R1320" s="41">
        <f>HEX2DEC(RIGHT(Table13232127[[#This Row],[h2]],8))</f>
        <v>0</v>
      </c>
    </row>
    <row r="1321" spans="1:18">
      <c r="A1321" s="15" t="str">
        <f t="shared" si="25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1" t="s">
        <v>75</v>
      </c>
      <c r="P1321" s="41">
        <f>HEX2DEC(RIGHT(Table13232127[[#This Row],[h1]],8))</f>
        <v>0</v>
      </c>
      <c r="Q1321" s="41" t="s">
        <v>75</v>
      </c>
      <c r="R1321" s="41">
        <f>HEX2DEC(RIGHT(Table13232127[[#This Row],[h2]],8))</f>
        <v>0</v>
      </c>
    </row>
    <row r="1322" spans="1:18">
      <c r="A1322" s="15" t="str">
        <f t="shared" si="25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1" t="s">
        <v>75</v>
      </c>
      <c r="P1322" s="41">
        <f>HEX2DEC(RIGHT(Table13232127[[#This Row],[h1]],8))</f>
        <v>0</v>
      </c>
      <c r="Q1322" s="41" t="s">
        <v>75</v>
      </c>
      <c r="R1322" s="41">
        <f>HEX2DEC(RIGHT(Table13232127[[#This Row],[h2]],8))</f>
        <v>0</v>
      </c>
    </row>
    <row r="1323" spans="1:18">
      <c r="A1323" s="15" t="str">
        <f t="shared" si="25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1" t="s">
        <v>75</v>
      </c>
      <c r="P1323" s="41">
        <f>HEX2DEC(RIGHT(Table13232127[[#This Row],[h1]],8))</f>
        <v>0</v>
      </c>
      <c r="Q1323" s="41" t="s">
        <v>75</v>
      </c>
      <c r="R1323" s="41">
        <f>HEX2DEC(RIGHT(Table13232127[[#This Row],[h2]],8))</f>
        <v>0</v>
      </c>
    </row>
    <row r="1324" spans="1:18">
      <c r="A1324" s="15" t="str">
        <f t="shared" si="25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1" t="s">
        <v>75</v>
      </c>
      <c r="P1324" s="41">
        <f>HEX2DEC(RIGHT(Table13232127[[#This Row],[h1]],8))</f>
        <v>0</v>
      </c>
      <c r="Q1324" s="41" t="s">
        <v>75</v>
      </c>
      <c r="R1324" s="41">
        <f>HEX2DEC(RIGHT(Table13232127[[#This Row],[h2]],8))</f>
        <v>0</v>
      </c>
    </row>
    <row r="1325" spans="1:18">
      <c r="A1325" s="15" t="str">
        <f t="shared" si="25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1" t="s">
        <v>75</v>
      </c>
      <c r="P1325" s="41">
        <f>HEX2DEC(RIGHT(Table13232127[[#This Row],[h1]],8))</f>
        <v>0</v>
      </c>
      <c r="Q1325" s="41" t="s">
        <v>75</v>
      </c>
      <c r="R1325" s="41">
        <f>HEX2DEC(RIGHT(Table13232127[[#This Row],[h2]],8))</f>
        <v>0</v>
      </c>
    </row>
    <row r="1326" spans="1:18">
      <c r="A1326" s="15" t="str">
        <f t="shared" si="25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1" t="s">
        <v>75</v>
      </c>
      <c r="P1326" s="41">
        <f>HEX2DEC(RIGHT(Table13232127[[#This Row],[h1]],8))</f>
        <v>0</v>
      </c>
      <c r="Q1326" s="41" t="s">
        <v>75</v>
      </c>
      <c r="R1326" s="41">
        <f>HEX2DEC(RIGHT(Table13232127[[#This Row],[h2]],8))</f>
        <v>0</v>
      </c>
    </row>
    <row r="1327" spans="1:18">
      <c r="A1327" s="15" t="str">
        <f t="shared" si="25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1" t="s">
        <v>75</v>
      </c>
      <c r="P1327" s="41">
        <f>HEX2DEC(RIGHT(Table13232127[[#This Row],[h1]],8))</f>
        <v>0</v>
      </c>
      <c r="Q1327" s="41" t="s">
        <v>75</v>
      </c>
      <c r="R1327" s="41">
        <f>HEX2DEC(RIGHT(Table13232127[[#This Row],[h2]],8))</f>
        <v>0</v>
      </c>
    </row>
    <row r="1328" spans="1:18">
      <c r="A1328" s="15" t="str">
        <f t="shared" si="25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1" t="s">
        <v>75</v>
      </c>
      <c r="P1328" s="41">
        <f>HEX2DEC(RIGHT(Table13232127[[#This Row],[h1]],8))</f>
        <v>0</v>
      </c>
      <c r="Q1328" s="41" t="s">
        <v>75</v>
      </c>
      <c r="R1328" s="41">
        <f>HEX2DEC(RIGHT(Table13232127[[#This Row],[h2]],8))</f>
        <v>0</v>
      </c>
    </row>
    <row r="1329" spans="1:18">
      <c r="A1329" s="15" t="str">
        <f t="shared" si="25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1" t="s">
        <v>75</v>
      </c>
      <c r="P1329" s="41">
        <f>HEX2DEC(RIGHT(Table13232127[[#This Row],[h1]],8))</f>
        <v>0</v>
      </c>
      <c r="Q1329" s="41" t="s">
        <v>75</v>
      </c>
      <c r="R1329" s="41">
        <f>HEX2DEC(RIGHT(Table13232127[[#This Row],[h2]],8))</f>
        <v>0</v>
      </c>
    </row>
    <row r="1330" spans="1:18">
      <c r="A1330" s="15" t="str">
        <f t="shared" si="25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1" t="s">
        <v>75</v>
      </c>
      <c r="P1330" s="41">
        <f>HEX2DEC(RIGHT(Table13232127[[#This Row],[h1]],8))</f>
        <v>0</v>
      </c>
      <c r="Q1330" s="41" t="s">
        <v>75</v>
      </c>
      <c r="R1330" s="41">
        <f>HEX2DEC(RIGHT(Table13232127[[#This Row],[h2]],8))</f>
        <v>0</v>
      </c>
    </row>
    <row r="1331" spans="1:18">
      <c r="A1331" s="15" t="str">
        <f t="shared" si="25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1" t="s">
        <v>75</v>
      </c>
      <c r="P1331" s="41">
        <f>HEX2DEC(RIGHT(Table13232127[[#This Row],[h1]],8))</f>
        <v>0</v>
      </c>
      <c r="Q1331" s="41" t="s">
        <v>75</v>
      </c>
      <c r="R1331" s="41">
        <f>HEX2DEC(RIGHT(Table13232127[[#This Row],[h2]],8))</f>
        <v>0</v>
      </c>
    </row>
    <row r="1332" spans="1:18">
      <c r="A1332" s="15" t="str">
        <f t="shared" si="25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1" t="s">
        <v>75</v>
      </c>
      <c r="P1332" s="41">
        <f>HEX2DEC(RIGHT(Table13232127[[#This Row],[h1]],8))</f>
        <v>0</v>
      </c>
      <c r="Q1332" s="41" t="s">
        <v>75</v>
      </c>
      <c r="R1332" s="41">
        <f>HEX2DEC(RIGHT(Table13232127[[#This Row],[h2]],8))</f>
        <v>0</v>
      </c>
    </row>
    <row r="1333" spans="1:18">
      <c r="A1333" s="15" t="str">
        <f t="shared" si="25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1" t="s">
        <v>75</v>
      </c>
      <c r="P1333" s="41">
        <f>HEX2DEC(RIGHT(Table13232127[[#This Row],[h1]],8))</f>
        <v>0</v>
      </c>
      <c r="Q1333" s="41" t="s">
        <v>75</v>
      </c>
      <c r="R1333" s="41">
        <f>HEX2DEC(RIGHT(Table13232127[[#This Row],[h2]],8))</f>
        <v>0</v>
      </c>
    </row>
    <row r="1334" spans="1:18">
      <c r="A1334" s="15" t="str">
        <f t="shared" si="25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1" t="s">
        <v>75</v>
      </c>
      <c r="P1334" s="41">
        <f>HEX2DEC(RIGHT(Table13232127[[#This Row],[h1]],8))</f>
        <v>0</v>
      </c>
      <c r="Q1334" s="41" t="s">
        <v>75</v>
      </c>
      <c r="R1334" s="41">
        <f>HEX2DEC(RIGHT(Table13232127[[#This Row],[h2]],8))</f>
        <v>0</v>
      </c>
    </row>
    <row r="1335" spans="1:18">
      <c r="A1335" s="15" t="str">
        <f t="shared" si="25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1" t="s">
        <v>75</v>
      </c>
      <c r="P1335" s="41">
        <f>HEX2DEC(RIGHT(Table13232127[[#This Row],[h1]],8))</f>
        <v>0</v>
      </c>
      <c r="Q1335" s="41" t="s">
        <v>75</v>
      </c>
      <c r="R1335" s="41">
        <f>HEX2DEC(RIGHT(Table13232127[[#This Row],[h2]],8))</f>
        <v>0</v>
      </c>
    </row>
    <row r="1336" spans="1:18">
      <c r="A1336" s="15" t="str">
        <f t="shared" si="25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1" t="s">
        <v>75</v>
      </c>
      <c r="P1336" s="41">
        <f>HEX2DEC(RIGHT(Table13232127[[#This Row],[h1]],8))</f>
        <v>0</v>
      </c>
      <c r="Q1336" s="41" t="s">
        <v>75</v>
      </c>
      <c r="R1336" s="41">
        <f>HEX2DEC(RIGHT(Table13232127[[#This Row],[h2]],8))</f>
        <v>0</v>
      </c>
    </row>
    <row r="1337" spans="1:18">
      <c r="A1337" s="15" t="str">
        <f t="shared" si="25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1" t="s">
        <v>75</v>
      </c>
      <c r="P1337" s="41">
        <f>HEX2DEC(RIGHT(Table13232127[[#This Row],[h1]],8))</f>
        <v>0</v>
      </c>
      <c r="Q1337" s="41" t="s">
        <v>75</v>
      </c>
      <c r="R1337" s="41">
        <f>HEX2DEC(RIGHT(Table13232127[[#This Row],[h2]],8))</f>
        <v>0</v>
      </c>
    </row>
    <row r="1338" spans="1:18">
      <c r="A1338" s="15" t="str">
        <f t="shared" si="25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1" t="s">
        <v>75</v>
      </c>
      <c r="P1338" s="41">
        <f>HEX2DEC(RIGHT(Table13232127[[#This Row],[h1]],8))</f>
        <v>0</v>
      </c>
      <c r="Q1338" s="41" t="s">
        <v>75</v>
      </c>
      <c r="R1338" s="41">
        <f>HEX2DEC(RIGHT(Table13232127[[#This Row],[h2]],8))</f>
        <v>0</v>
      </c>
    </row>
    <row r="1339" spans="1:18">
      <c r="A1339" s="15" t="str">
        <f t="shared" si="25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1" t="s">
        <v>75</v>
      </c>
      <c r="P1339" s="41">
        <f>HEX2DEC(RIGHT(Table13232127[[#This Row],[h1]],8))</f>
        <v>0</v>
      </c>
      <c r="Q1339" s="41" t="s">
        <v>75</v>
      </c>
      <c r="R1339" s="41">
        <f>HEX2DEC(RIGHT(Table13232127[[#This Row],[h2]],8))</f>
        <v>0</v>
      </c>
    </row>
    <row r="1340" spans="1:18">
      <c r="A1340" s="15" t="str">
        <f t="shared" si="25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1" t="s">
        <v>75</v>
      </c>
      <c r="P1340" s="41">
        <f>HEX2DEC(RIGHT(Table13232127[[#This Row],[h1]],8))</f>
        <v>0</v>
      </c>
      <c r="Q1340" s="41" t="s">
        <v>75</v>
      </c>
      <c r="R1340" s="41">
        <f>HEX2DEC(RIGHT(Table13232127[[#This Row],[h2]],8))</f>
        <v>0</v>
      </c>
    </row>
    <row r="1341" spans="1:18">
      <c r="A1341" s="15" t="str">
        <f t="shared" si="25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1" t="s">
        <v>75</v>
      </c>
      <c r="P1341" s="41">
        <f>HEX2DEC(RIGHT(Table13232127[[#This Row],[h1]],8))</f>
        <v>0</v>
      </c>
      <c r="Q1341" s="41" t="s">
        <v>75</v>
      </c>
      <c r="R1341" s="41">
        <f>HEX2DEC(RIGHT(Table13232127[[#This Row],[h2]],8))</f>
        <v>0</v>
      </c>
    </row>
    <row r="1342" spans="1:18">
      <c r="A1342" s="15" t="str">
        <f t="shared" si="25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1" t="s">
        <v>75</v>
      </c>
      <c r="P1342" s="41">
        <f>HEX2DEC(RIGHT(Table13232127[[#This Row],[h1]],8))</f>
        <v>0</v>
      </c>
      <c r="Q1342" s="41" t="s">
        <v>75</v>
      </c>
      <c r="R1342" s="41">
        <f>HEX2DEC(RIGHT(Table13232127[[#This Row],[h2]],8))</f>
        <v>0</v>
      </c>
    </row>
    <row r="1343" spans="1:18">
      <c r="A1343" s="15" t="str">
        <f t="shared" si="25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1" t="s">
        <v>75</v>
      </c>
      <c r="P1343" s="41">
        <f>HEX2DEC(RIGHT(Table13232127[[#This Row],[h1]],8))</f>
        <v>0</v>
      </c>
      <c r="Q1343" s="41" t="s">
        <v>75</v>
      </c>
      <c r="R1343" s="41">
        <f>HEX2DEC(RIGHT(Table13232127[[#This Row],[h2]],8))</f>
        <v>0</v>
      </c>
    </row>
    <row r="1344" spans="1:18">
      <c r="A1344" s="15" t="str">
        <f t="shared" si="25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1" t="s">
        <v>75</v>
      </c>
      <c r="P1344" s="41">
        <f>HEX2DEC(RIGHT(Table13232127[[#This Row],[h1]],8))</f>
        <v>0</v>
      </c>
      <c r="Q1344" s="41" t="s">
        <v>75</v>
      </c>
      <c r="R1344" s="41">
        <f>HEX2DEC(RIGHT(Table13232127[[#This Row],[h2]],8))</f>
        <v>0</v>
      </c>
    </row>
    <row r="1345" spans="1:18">
      <c r="A1345" s="15" t="str">
        <f t="shared" si="25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1" t="s">
        <v>75</v>
      </c>
      <c r="P1345" s="41">
        <f>HEX2DEC(RIGHT(Table13232127[[#This Row],[h1]],8))</f>
        <v>0</v>
      </c>
      <c r="Q1345" s="41" t="s">
        <v>75</v>
      </c>
      <c r="R1345" s="41">
        <f>HEX2DEC(RIGHT(Table13232127[[#This Row],[h2]],8))</f>
        <v>0</v>
      </c>
    </row>
    <row r="1346" spans="1:18">
      <c r="A1346" s="15" t="str">
        <f t="shared" si="25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1" t="s">
        <v>75</v>
      </c>
      <c r="P1346" s="41">
        <f>HEX2DEC(RIGHT(Table13232127[[#This Row],[h1]],8))</f>
        <v>0</v>
      </c>
      <c r="Q1346" s="41" t="s">
        <v>75</v>
      </c>
      <c r="R1346" s="41">
        <f>HEX2DEC(RIGHT(Table13232127[[#This Row],[h2]],8))</f>
        <v>0</v>
      </c>
    </row>
    <row r="1347" spans="1:18">
      <c r="A1347" s="15" t="str">
        <f t="shared" si="25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1" t="s">
        <v>75</v>
      </c>
      <c r="P1347" s="41">
        <f>HEX2DEC(RIGHT(Table13232127[[#This Row],[h1]],8))</f>
        <v>0</v>
      </c>
      <c r="Q1347" s="41" t="s">
        <v>75</v>
      </c>
      <c r="R1347" s="41">
        <f>HEX2DEC(RIGHT(Table13232127[[#This Row],[h2]],8))</f>
        <v>0</v>
      </c>
    </row>
    <row r="1348" spans="1:18">
      <c r="A1348" s="15" t="str">
        <f t="shared" si="25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1" t="s">
        <v>75</v>
      </c>
      <c r="P1348" s="41">
        <f>HEX2DEC(RIGHT(Table13232127[[#This Row],[h1]],8))</f>
        <v>0</v>
      </c>
      <c r="Q1348" s="41" t="s">
        <v>75</v>
      </c>
      <c r="R1348" s="41">
        <f>HEX2DEC(RIGHT(Table13232127[[#This Row],[h2]],8))</f>
        <v>0</v>
      </c>
    </row>
    <row r="1349" spans="1:18">
      <c r="A1349" s="15" t="str">
        <f t="shared" si="25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1" t="s">
        <v>75</v>
      </c>
      <c r="P1349" s="41">
        <f>HEX2DEC(RIGHT(Table13232127[[#This Row],[h1]],8))</f>
        <v>0</v>
      </c>
      <c r="Q1349" s="41" t="s">
        <v>75</v>
      </c>
      <c r="R1349" s="41">
        <f>HEX2DEC(RIGHT(Table13232127[[#This Row],[h2]],8))</f>
        <v>0</v>
      </c>
    </row>
    <row r="1350" spans="1:18">
      <c r="A1350" s="15" t="str">
        <f t="shared" si="25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1" t="s">
        <v>75</v>
      </c>
      <c r="P1350" s="41">
        <f>HEX2DEC(RIGHT(Table13232127[[#This Row],[h1]],8))</f>
        <v>0</v>
      </c>
      <c r="Q1350" s="41" t="s">
        <v>75</v>
      </c>
      <c r="R1350" s="41">
        <f>HEX2DEC(RIGHT(Table13232127[[#This Row],[h2]],8))</f>
        <v>0</v>
      </c>
    </row>
    <row r="1351" spans="1:18">
      <c r="A1351" s="15" t="str">
        <f t="shared" si="25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1" t="s">
        <v>75</v>
      </c>
      <c r="P1351" s="41">
        <f>HEX2DEC(RIGHT(Table13232127[[#This Row],[h1]],8))</f>
        <v>0</v>
      </c>
      <c r="Q1351" s="41" t="s">
        <v>75</v>
      </c>
      <c r="R1351" s="41">
        <f>HEX2DEC(RIGHT(Table13232127[[#This Row],[h2]],8))</f>
        <v>0</v>
      </c>
    </row>
    <row r="1352" spans="1:18">
      <c r="A1352" s="15" t="str">
        <f t="shared" si="25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1" t="s">
        <v>75</v>
      </c>
      <c r="P1352" s="41">
        <f>HEX2DEC(RIGHT(Table13232127[[#This Row],[h1]],8))</f>
        <v>0</v>
      </c>
      <c r="Q1352" s="41" t="s">
        <v>75</v>
      </c>
      <c r="R1352" s="41">
        <f>HEX2DEC(RIGHT(Table13232127[[#This Row],[h2]],8))</f>
        <v>0</v>
      </c>
    </row>
    <row r="1353" spans="1:18">
      <c r="A1353" s="15" t="str">
        <f t="shared" si="25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1" t="s">
        <v>75</v>
      </c>
      <c r="P1353" s="41">
        <f>HEX2DEC(RIGHT(Table13232127[[#This Row],[h1]],8))</f>
        <v>0</v>
      </c>
      <c r="Q1353" s="41" t="s">
        <v>75</v>
      </c>
      <c r="R1353" s="41">
        <f>HEX2DEC(RIGHT(Table13232127[[#This Row],[h2]],8))</f>
        <v>0</v>
      </c>
    </row>
    <row r="1354" spans="1:18">
      <c r="A1354" s="15" t="str">
        <f t="shared" si="25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1" t="s">
        <v>75</v>
      </c>
      <c r="P1354" s="41">
        <f>HEX2DEC(RIGHT(Table13232127[[#This Row],[h1]],8))</f>
        <v>0</v>
      </c>
      <c r="Q1354" s="41" t="s">
        <v>75</v>
      </c>
      <c r="R1354" s="41">
        <f>HEX2DEC(RIGHT(Table13232127[[#This Row],[h2]],8))</f>
        <v>0</v>
      </c>
    </row>
    <row r="1355" spans="1:18">
      <c r="A1355" s="15" t="str">
        <f t="shared" ref="A1355:A1418" si="26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1" t="s">
        <v>75</v>
      </c>
      <c r="P1355" s="41">
        <f>HEX2DEC(RIGHT(Table13232127[[#This Row],[h1]],8))</f>
        <v>0</v>
      </c>
      <c r="Q1355" s="41" t="s">
        <v>75</v>
      </c>
      <c r="R1355" s="41">
        <f>HEX2DEC(RIGHT(Table13232127[[#This Row],[h2]],8))</f>
        <v>0</v>
      </c>
    </row>
    <row r="1356" spans="1:18">
      <c r="A1356" s="15" t="str">
        <f t="shared" si="26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1" t="s">
        <v>75</v>
      </c>
      <c r="P1356" s="41">
        <f>HEX2DEC(RIGHT(Table13232127[[#This Row],[h1]],8))</f>
        <v>0</v>
      </c>
      <c r="Q1356" s="41" t="s">
        <v>75</v>
      </c>
      <c r="R1356" s="41">
        <f>HEX2DEC(RIGHT(Table13232127[[#This Row],[h2]],8))</f>
        <v>0</v>
      </c>
    </row>
    <row r="1357" spans="1:18">
      <c r="A1357" s="15" t="str">
        <f t="shared" si="26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1" t="s">
        <v>75</v>
      </c>
      <c r="P1357" s="41">
        <f>HEX2DEC(RIGHT(Table13232127[[#This Row],[h1]],8))</f>
        <v>0</v>
      </c>
      <c r="Q1357" s="41" t="s">
        <v>75</v>
      </c>
      <c r="R1357" s="41">
        <f>HEX2DEC(RIGHT(Table13232127[[#This Row],[h2]],8))</f>
        <v>0</v>
      </c>
    </row>
    <row r="1358" spans="1:18">
      <c r="A1358" s="15" t="str">
        <f t="shared" si="26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1" t="s">
        <v>75</v>
      </c>
      <c r="P1358" s="41">
        <f>HEX2DEC(RIGHT(Table13232127[[#This Row],[h1]],8))</f>
        <v>0</v>
      </c>
      <c r="Q1358" s="41" t="s">
        <v>75</v>
      </c>
      <c r="R1358" s="41">
        <f>HEX2DEC(RIGHT(Table13232127[[#This Row],[h2]],8))</f>
        <v>0</v>
      </c>
    </row>
    <row r="1359" spans="1:18">
      <c r="A1359" s="15" t="str">
        <f t="shared" si="26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1" t="s">
        <v>75</v>
      </c>
      <c r="P1359" s="41">
        <f>HEX2DEC(RIGHT(Table13232127[[#This Row],[h1]],8))</f>
        <v>0</v>
      </c>
      <c r="Q1359" s="41" t="s">
        <v>75</v>
      </c>
      <c r="R1359" s="41">
        <f>HEX2DEC(RIGHT(Table13232127[[#This Row],[h2]],8))</f>
        <v>0</v>
      </c>
    </row>
    <row r="1360" spans="1:18">
      <c r="A1360" s="15" t="str">
        <f t="shared" si="26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1" t="s">
        <v>75</v>
      </c>
      <c r="P1360" s="41">
        <f>HEX2DEC(RIGHT(Table13232127[[#This Row],[h1]],8))</f>
        <v>0</v>
      </c>
      <c r="Q1360" s="41" t="s">
        <v>75</v>
      </c>
      <c r="R1360" s="41">
        <f>HEX2DEC(RIGHT(Table13232127[[#This Row],[h2]],8))</f>
        <v>0</v>
      </c>
    </row>
    <row r="1361" spans="1:18">
      <c r="A1361" s="15" t="str">
        <f t="shared" si="26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1" t="s">
        <v>75</v>
      </c>
      <c r="P1361" s="41">
        <f>HEX2DEC(RIGHT(Table13232127[[#This Row],[h1]],8))</f>
        <v>0</v>
      </c>
      <c r="Q1361" s="41" t="s">
        <v>75</v>
      </c>
      <c r="R1361" s="41">
        <f>HEX2DEC(RIGHT(Table13232127[[#This Row],[h2]],8))</f>
        <v>0</v>
      </c>
    </row>
    <row r="1362" spans="1:18">
      <c r="A1362" s="15" t="str">
        <f t="shared" si="26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1" t="s">
        <v>75</v>
      </c>
      <c r="P1362" s="41">
        <f>HEX2DEC(RIGHT(Table13232127[[#This Row],[h1]],8))</f>
        <v>0</v>
      </c>
      <c r="Q1362" s="41" t="s">
        <v>75</v>
      </c>
      <c r="R1362" s="41">
        <f>HEX2DEC(RIGHT(Table13232127[[#This Row],[h2]],8))</f>
        <v>0</v>
      </c>
    </row>
    <row r="1363" spans="1:18">
      <c r="A1363" s="15" t="str">
        <f t="shared" si="26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1" t="s">
        <v>75</v>
      </c>
      <c r="P1363" s="41">
        <f>HEX2DEC(RIGHT(Table13232127[[#This Row],[h1]],8))</f>
        <v>0</v>
      </c>
      <c r="Q1363" s="41" t="s">
        <v>75</v>
      </c>
      <c r="R1363" s="41">
        <f>HEX2DEC(RIGHT(Table13232127[[#This Row],[h2]],8))</f>
        <v>0</v>
      </c>
    </row>
    <row r="1364" spans="1:18">
      <c r="A1364" s="15" t="str">
        <f t="shared" si="26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1" t="s">
        <v>75</v>
      </c>
      <c r="P1364" s="41">
        <f>HEX2DEC(RIGHT(Table13232127[[#This Row],[h1]],8))</f>
        <v>0</v>
      </c>
      <c r="Q1364" s="41" t="s">
        <v>75</v>
      </c>
      <c r="R1364" s="41">
        <f>HEX2DEC(RIGHT(Table13232127[[#This Row],[h2]],8))</f>
        <v>0</v>
      </c>
    </row>
    <row r="1365" spans="1:18">
      <c r="A1365" s="15" t="str">
        <f t="shared" si="26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1" t="s">
        <v>75</v>
      </c>
      <c r="P1365" s="41">
        <f>HEX2DEC(RIGHT(Table13232127[[#This Row],[h1]],8))</f>
        <v>0</v>
      </c>
      <c r="Q1365" s="41" t="s">
        <v>75</v>
      </c>
      <c r="R1365" s="41">
        <f>HEX2DEC(RIGHT(Table13232127[[#This Row],[h2]],8))</f>
        <v>0</v>
      </c>
    </row>
    <row r="1366" spans="1:18">
      <c r="A1366" s="15" t="str">
        <f t="shared" si="26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1" t="s">
        <v>75</v>
      </c>
      <c r="P1366" s="41">
        <f>HEX2DEC(RIGHT(Table13232127[[#This Row],[h1]],8))</f>
        <v>0</v>
      </c>
      <c r="Q1366" s="41" t="s">
        <v>75</v>
      </c>
      <c r="R1366" s="41">
        <f>HEX2DEC(RIGHT(Table13232127[[#This Row],[h2]],8))</f>
        <v>0</v>
      </c>
    </row>
    <row r="1367" spans="1:18">
      <c r="A1367" s="15" t="str">
        <f t="shared" si="26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1" t="s">
        <v>75</v>
      </c>
      <c r="P1367" s="41">
        <f>HEX2DEC(RIGHT(Table13232127[[#This Row],[h1]],8))</f>
        <v>0</v>
      </c>
      <c r="Q1367" s="41" t="s">
        <v>75</v>
      </c>
      <c r="R1367" s="41">
        <f>HEX2DEC(RIGHT(Table13232127[[#This Row],[h2]],8))</f>
        <v>0</v>
      </c>
    </row>
    <row r="1368" spans="1:18">
      <c r="A1368" s="15" t="str">
        <f t="shared" si="26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1" t="s">
        <v>75</v>
      </c>
      <c r="P1368" s="41">
        <f>HEX2DEC(RIGHT(Table13232127[[#This Row],[h1]],8))</f>
        <v>0</v>
      </c>
      <c r="Q1368" s="41" t="s">
        <v>75</v>
      </c>
      <c r="R1368" s="41">
        <f>HEX2DEC(RIGHT(Table13232127[[#This Row],[h2]],8))</f>
        <v>0</v>
      </c>
    </row>
    <row r="1369" spans="1:18">
      <c r="A1369" s="15" t="str">
        <f t="shared" si="26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1" t="s">
        <v>75</v>
      </c>
      <c r="P1369" s="41">
        <f>HEX2DEC(RIGHT(Table13232127[[#This Row],[h1]],8))</f>
        <v>0</v>
      </c>
      <c r="Q1369" s="41" t="s">
        <v>75</v>
      </c>
      <c r="R1369" s="41">
        <f>HEX2DEC(RIGHT(Table13232127[[#This Row],[h2]],8))</f>
        <v>0</v>
      </c>
    </row>
    <row r="1370" spans="1:18">
      <c r="A1370" s="15" t="str">
        <f t="shared" si="26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1" t="s">
        <v>75</v>
      </c>
      <c r="P1370" s="41">
        <f>HEX2DEC(RIGHT(Table13232127[[#This Row],[h1]],8))</f>
        <v>0</v>
      </c>
      <c r="Q1370" s="41" t="s">
        <v>75</v>
      </c>
      <c r="R1370" s="41">
        <f>HEX2DEC(RIGHT(Table13232127[[#This Row],[h2]],8))</f>
        <v>0</v>
      </c>
    </row>
    <row r="1371" spans="1:18">
      <c r="A1371" s="15" t="str">
        <f t="shared" si="26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1" t="s">
        <v>75</v>
      </c>
      <c r="P1371" s="41">
        <f>HEX2DEC(RIGHT(Table13232127[[#This Row],[h1]],8))</f>
        <v>0</v>
      </c>
      <c r="Q1371" s="41" t="s">
        <v>75</v>
      </c>
      <c r="R1371" s="41">
        <f>HEX2DEC(RIGHT(Table13232127[[#This Row],[h2]],8))</f>
        <v>0</v>
      </c>
    </row>
    <row r="1372" spans="1:18">
      <c r="A1372" s="15" t="str">
        <f t="shared" si="26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1" t="s">
        <v>75</v>
      </c>
      <c r="P1372" s="41">
        <f>HEX2DEC(RIGHT(Table13232127[[#This Row],[h1]],8))</f>
        <v>0</v>
      </c>
      <c r="Q1372" s="41" t="s">
        <v>75</v>
      </c>
      <c r="R1372" s="41">
        <f>HEX2DEC(RIGHT(Table13232127[[#This Row],[h2]],8))</f>
        <v>0</v>
      </c>
    </row>
    <row r="1373" spans="1:18">
      <c r="A1373" s="15" t="str">
        <f t="shared" si="26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1" t="s">
        <v>75</v>
      </c>
      <c r="P1373" s="41">
        <f>HEX2DEC(RIGHT(Table13232127[[#This Row],[h1]],8))</f>
        <v>0</v>
      </c>
      <c r="Q1373" s="41" t="s">
        <v>75</v>
      </c>
      <c r="R1373" s="41">
        <f>HEX2DEC(RIGHT(Table13232127[[#This Row],[h2]],8))</f>
        <v>0</v>
      </c>
    </row>
    <row r="1374" spans="1:18">
      <c r="A1374" s="15" t="str">
        <f t="shared" si="26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1" t="s">
        <v>75</v>
      </c>
      <c r="P1374" s="41">
        <f>HEX2DEC(RIGHT(Table13232127[[#This Row],[h1]],8))</f>
        <v>0</v>
      </c>
      <c r="Q1374" s="41" t="s">
        <v>75</v>
      </c>
      <c r="R1374" s="41">
        <f>HEX2DEC(RIGHT(Table13232127[[#This Row],[h2]],8))</f>
        <v>0</v>
      </c>
    </row>
    <row r="1375" spans="1:18">
      <c r="A1375" s="15" t="str">
        <f t="shared" si="26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1" t="s">
        <v>75</v>
      </c>
      <c r="P1375" s="41">
        <f>HEX2DEC(RIGHT(Table13232127[[#This Row],[h1]],8))</f>
        <v>0</v>
      </c>
      <c r="Q1375" s="41" t="s">
        <v>75</v>
      </c>
      <c r="R1375" s="41">
        <f>HEX2DEC(RIGHT(Table13232127[[#This Row],[h2]],8))</f>
        <v>0</v>
      </c>
    </row>
    <row r="1376" spans="1:18">
      <c r="A1376" s="15" t="str">
        <f t="shared" si="26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1" t="s">
        <v>75</v>
      </c>
      <c r="P1376" s="41">
        <f>HEX2DEC(RIGHT(Table13232127[[#This Row],[h1]],8))</f>
        <v>0</v>
      </c>
      <c r="Q1376" s="41" t="s">
        <v>75</v>
      </c>
      <c r="R1376" s="41">
        <f>HEX2DEC(RIGHT(Table13232127[[#This Row],[h2]],8))</f>
        <v>0</v>
      </c>
    </row>
    <row r="1377" spans="1:18">
      <c r="A1377" s="15" t="str">
        <f t="shared" si="26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1" t="s">
        <v>75</v>
      </c>
      <c r="P1377" s="41">
        <f>HEX2DEC(RIGHT(Table13232127[[#This Row],[h1]],8))</f>
        <v>0</v>
      </c>
      <c r="Q1377" s="41" t="s">
        <v>75</v>
      </c>
      <c r="R1377" s="41">
        <f>HEX2DEC(RIGHT(Table13232127[[#This Row],[h2]],8))</f>
        <v>0</v>
      </c>
    </row>
    <row r="1378" spans="1:18">
      <c r="A1378" s="15" t="str">
        <f t="shared" si="26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1" t="s">
        <v>75</v>
      </c>
      <c r="P1378" s="41">
        <f>HEX2DEC(RIGHT(Table13232127[[#This Row],[h1]],8))</f>
        <v>0</v>
      </c>
      <c r="Q1378" s="41" t="s">
        <v>75</v>
      </c>
      <c r="R1378" s="41">
        <f>HEX2DEC(RIGHT(Table13232127[[#This Row],[h2]],8))</f>
        <v>0</v>
      </c>
    </row>
    <row r="1379" spans="1:18">
      <c r="A1379" s="15" t="str">
        <f t="shared" si="26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1" t="s">
        <v>75</v>
      </c>
      <c r="P1379" s="41">
        <f>HEX2DEC(RIGHT(Table13232127[[#This Row],[h1]],8))</f>
        <v>0</v>
      </c>
      <c r="Q1379" s="41" t="s">
        <v>75</v>
      </c>
      <c r="R1379" s="41">
        <f>HEX2DEC(RIGHT(Table13232127[[#This Row],[h2]],8))</f>
        <v>0</v>
      </c>
    </row>
    <row r="1380" spans="1:18">
      <c r="A1380" s="15" t="str">
        <f t="shared" si="26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1" t="s">
        <v>75</v>
      </c>
      <c r="P1380" s="41">
        <f>HEX2DEC(RIGHT(Table13232127[[#This Row],[h1]],8))</f>
        <v>0</v>
      </c>
      <c r="Q1380" s="41" t="s">
        <v>75</v>
      </c>
      <c r="R1380" s="41">
        <f>HEX2DEC(RIGHT(Table13232127[[#This Row],[h2]],8))</f>
        <v>0</v>
      </c>
    </row>
    <row r="1381" spans="1:18">
      <c r="A1381" s="15" t="str">
        <f t="shared" si="26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1" t="s">
        <v>75</v>
      </c>
      <c r="P1381" s="41">
        <f>HEX2DEC(RIGHT(Table13232127[[#This Row],[h1]],8))</f>
        <v>0</v>
      </c>
      <c r="Q1381" s="41" t="s">
        <v>75</v>
      </c>
      <c r="R1381" s="41">
        <f>HEX2DEC(RIGHT(Table13232127[[#This Row],[h2]],8))</f>
        <v>0</v>
      </c>
    </row>
    <row r="1382" spans="1:18">
      <c r="A1382" s="15" t="str">
        <f t="shared" si="26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1" t="s">
        <v>75</v>
      </c>
      <c r="P1382" s="41">
        <f>HEX2DEC(RIGHT(Table13232127[[#This Row],[h1]],8))</f>
        <v>0</v>
      </c>
      <c r="Q1382" s="41" t="s">
        <v>75</v>
      </c>
      <c r="R1382" s="41">
        <f>HEX2DEC(RIGHT(Table13232127[[#This Row],[h2]],8))</f>
        <v>0</v>
      </c>
    </row>
    <row r="1383" spans="1:18">
      <c r="A1383" s="15" t="str">
        <f t="shared" si="26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1" t="s">
        <v>75</v>
      </c>
      <c r="P1383" s="41">
        <f>HEX2DEC(RIGHT(Table13232127[[#This Row],[h1]],8))</f>
        <v>0</v>
      </c>
      <c r="Q1383" s="41" t="s">
        <v>75</v>
      </c>
      <c r="R1383" s="41">
        <f>HEX2DEC(RIGHT(Table13232127[[#This Row],[h2]],8))</f>
        <v>0</v>
      </c>
    </row>
    <row r="1384" spans="1:18">
      <c r="A1384" s="15" t="str">
        <f t="shared" si="26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1" t="s">
        <v>75</v>
      </c>
      <c r="P1384" s="41">
        <f>HEX2DEC(RIGHT(Table13232127[[#This Row],[h1]],8))</f>
        <v>0</v>
      </c>
      <c r="Q1384" s="41" t="s">
        <v>75</v>
      </c>
      <c r="R1384" s="41">
        <f>HEX2DEC(RIGHT(Table13232127[[#This Row],[h2]],8))</f>
        <v>0</v>
      </c>
    </row>
    <row r="1385" spans="1:18">
      <c r="A1385" s="15" t="str">
        <f t="shared" si="26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1" t="s">
        <v>75</v>
      </c>
      <c r="P1385" s="41">
        <f>HEX2DEC(RIGHT(Table13232127[[#This Row],[h1]],8))</f>
        <v>0</v>
      </c>
      <c r="Q1385" s="41" t="s">
        <v>75</v>
      </c>
      <c r="R1385" s="41">
        <f>HEX2DEC(RIGHT(Table13232127[[#This Row],[h2]],8))</f>
        <v>0</v>
      </c>
    </row>
    <row r="1386" spans="1:18">
      <c r="A1386" s="15" t="str">
        <f t="shared" si="26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1" t="s">
        <v>75</v>
      </c>
      <c r="P1386" s="41">
        <f>HEX2DEC(RIGHT(Table13232127[[#This Row],[h1]],8))</f>
        <v>0</v>
      </c>
      <c r="Q1386" s="41" t="s">
        <v>75</v>
      </c>
      <c r="R1386" s="41">
        <f>HEX2DEC(RIGHT(Table13232127[[#This Row],[h2]],8))</f>
        <v>0</v>
      </c>
    </row>
    <row r="1387" spans="1:18">
      <c r="A1387" s="15" t="str">
        <f t="shared" si="26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1" t="s">
        <v>75</v>
      </c>
      <c r="P1387" s="41">
        <f>HEX2DEC(RIGHT(Table13232127[[#This Row],[h1]],8))</f>
        <v>0</v>
      </c>
      <c r="Q1387" s="41" t="s">
        <v>75</v>
      </c>
      <c r="R1387" s="41">
        <f>HEX2DEC(RIGHT(Table13232127[[#This Row],[h2]],8))</f>
        <v>0</v>
      </c>
    </row>
    <row r="1388" spans="1:18">
      <c r="A1388" s="15" t="str">
        <f t="shared" si="26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1" t="s">
        <v>75</v>
      </c>
      <c r="P1388" s="41">
        <f>HEX2DEC(RIGHT(Table13232127[[#This Row],[h1]],8))</f>
        <v>0</v>
      </c>
      <c r="Q1388" s="41" t="s">
        <v>75</v>
      </c>
      <c r="R1388" s="41">
        <f>HEX2DEC(RIGHT(Table13232127[[#This Row],[h2]],8))</f>
        <v>0</v>
      </c>
    </row>
    <row r="1389" spans="1:18">
      <c r="A1389" s="15" t="str">
        <f t="shared" si="26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1" t="s">
        <v>75</v>
      </c>
      <c r="P1389" s="41">
        <f>HEX2DEC(RIGHT(Table13232127[[#This Row],[h1]],8))</f>
        <v>0</v>
      </c>
      <c r="Q1389" s="41" t="s">
        <v>75</v>
      </c>
      <c r="R1389" s="41">
        <f>HEX2DEC(RIGHT(Table13232127[[#This Row],[h2]],8))</f>
        <v>0</v>
      </c>
    </row>
    <row r="1390" spans="1:18">
      <c r="A1390" s="15" t="str">
        <f t="shared" si="26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1" t="s">
        <v>75</v>
      </c>
      <c r="P1390" s="41">
        <f>HEX2DEC(RIGHT(Table13232127[[#This Row],[h1]],8))</f>
        <v>0</v>
      </c>
      <c r="Q1390" s="41" t="s">
        <v>75</v>
      </c>
      <c r="R1390" s="41">
        <f>HEX2DEC(RIGHT(Table13232127[[#This Row],[h2]],8))</f>
        <v>0</v>
      </c>
    </row>
    <row r="1391" spans="1:18">
      <c r="A1391" s="15" t="str">
        <f t="shared" si="26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1" t="s">
        <v>75</v>
      </c>
      <c r="P1391" s="41">
        <f>HEX2DEC(RIGHT(Table13232127[[#This Row],[h1]],8))</f>
        <v>0</v>
      </c>
      <c r="Q1391" s="41" t="s">
        <v>75</v>
      </c>
      <c r="R1391" s="41">
        <f>HEX2DEC(RIGHT(Table13232127[[#This Row],[h2]],8))</f>
        <v>0</v>
      </c>
    </row>
    <row r="1392" spans="1:18">
      <c r="A1392" s="15" t="str">
        <f t="shared" si="26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1" t="s">
        <v>75</v>
      </c>
      <c r="P1392" s="41">
        <f>HEX2DEC(RIGHT(Table13232127[[#This Row],[h1]],8))</f>
        <v>0</v>
      </c>
      <c r="Q1392" s="41" t="s">
        <v>75</v>
      </c>
      <c r="R1392" s="41">
        <f>HEX2DEC(RIGHT(Table13232127[[#This Row],[h2]],8))</f>
        <v>0</v>
      </c>
    </row>
    <row r="1393" spans="1:18">
      <c r="A1393" s="15" t="str">
        <f t="shared" si="26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1" t="s">
        <v>75</v>
      </c>
      <c r="P1393" s="41">
        <f>HEX2DEC(RIGHT(Table13232127[[#This Row],[h1]],8))</f>
        <v>0</v>
      </c>
      <c r="Q1393" s="41" t="s">
        <v>75</v>
      </c>
      <c r="R1393" s="41">
        <f>HEX2DEC(RIGHT(Table13232127[[#This Row],[h2]],8))</f>
        <v>0</v>
      </c>
    </row>
    <row r="1394" spans="1:18">
      <c r="A1394" s="15" t="str">
        <f t="shared" si="26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1" t="s">
        <v>75</v>
      </c>
      <c r="P1394" s="41">
        <f>HEX2DEC(RIGHT(Table13232127[[#This Row],[h1]],8))</f>
        <v>0</v>
      </c>
      <c r="Q1394" s="41" t="s">
        <v>75</v>
      </c>
      <c r="R1394" s="41">
        <f>HEX2DEC(RIGHT(Table13232127[[#This Row],[h2]],8))</f>
        <v>0</v>
      </c>
    </row>
    <row r="1395" spans="1:18">
      <c r="A1395" s="15" t="str">
        <f t="shared" si="26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1" t="s">
        <v>75</v>
      </c>
      <c r="P1395" s="41">
        <f>HEX2DEC(RIGHT(Table13232127[[#This Row],[h1]],8))</f>
        <v>0</v>
      </c>
      <c r="Q1395" s="41" t="s">
        <v>75</v>
      </c>
      <c r="R1395" s="41">
        <f>HEX2DEC(RIGHT(Table13232127[[#This Row],[h2]],8))</f>
        <v>0</v>
      </c>
    </row>
    <row r="1396" spans="1:18">
      <c r="A1396" s="15" t="str">
        <f t="shared" si="26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1" t="s">
        <v>75</v>
      </c>
      <c r="P1396" s="41">
        <f>HEX2DEC(RIGHT(Table13232127[[#This Row],[h1]],8))</f>
        <v>0</v>
      </c>
      <c r="Q1396" s="41" t="s">
        <v>75</v>
      </c>
      <c r="R1396" s="41">
        <f>HEX2DEC(RIGHT(Table13232127[[#This Row],[h2]],8))</f>
        <v>0</v>
      </c>
    </row>
    <row r="1397" spans="1:18">
      <c r="A1397" s="15" t="str">
        <f t="shared" si="26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1" t="s">
        <v>75</v>
      </c>
      <c r="P1397" s="41">
        <f>HEX2DEC(RIGHT(Table13232127[[#This Row],[h1]],8))</f>
        <v>0</v>
      </c>
      <c r="Q1397" s="41" t="s">
        <v>75</v>
      </c>
      <c r="R1397" s="41">
        <f>HEX2DEC(RIGHT(Table13232127[[#This Row],[h2]],8))</f>
        <v>0</v>
      </c>
    </row>
    <row r="1398" spans="1:18">
      <c r="A1398" s="15" t="str">
        <f t="shared" si="26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1" t="s">
        <v>75</v>
      </c>
      <c r="P1398" s="41">
        <f>HEX2DEC(RIGHT(Table13232127[[#This Row],[h1]],8))</f>
        <v>0</v>
      </c>
      <c r="Q1398" s="41" t="s">
        <v>75</v>
      </c>
      <c r="R1398" s="41">
        <f>HEX2DEC(RIGHT(Table13232127[[#This Row],[h2]],8))</f>
        <v>0</v>
      </c>
    </row>
    <row r="1399" spans="1:18">
      <c r="A1399" s="15" t="str">
        <f t="shared" si="26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1" t="s">
        <v>75</v>
      </c>
      <c r="P1399" s="41">
        <f>HEX2DEC(RIGHT(Table13232127[[#This Row],[h1]],8))</f>
        <v>0</v>
      </c>
      <c r="Q1399" s="41" t="s">
        <v>75</v>
      </c>
      <c r="R1399" s="41">
        <f>HEX2DEC(RIGHT(Table13232127[[#This Row],[h2]],8))</f>
        <v>0</v>
      </c>
    </row>
    <row r="1400" spans="1:18">
      <c r="A1400" s="15" t="str">
        <f t="shared" si="26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1" t="s">
        <v>75</v>
      </c>
      <c r="P1400" s="41">
        <f>HEX2DEC(RIGHT(Table13232127[[#This Row],[h1]],8))</f>
        <v>0</v>
      </c>
      <c r="Q1400" s="41" t="s">
        <v>75</v>
      </c>
      <c r="R1400" s="41">
        <f>HEX2DEC(RIGHT(Table13232127[[#This Row],[h2]],8))</f>
        <v>0</v>
      </c>
    </row>
    <row r="1401" spans="1:18">
      <c r="A1401" s="15" t="str">
        <f t="shared" si="26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1" t="s">
        <v>75</v>
      </c>
      <c r="P1401" s="41">
        <f>HEX2DEC(RIGHT(Table13232127[[#This Row],[h1]],8))</f>
        <v>0</v>
      </c>
      <c r="Q1401" s="41" t="s">
        <v>75</v>
      </c>
      <c r="R1401" s="41">
        <f>HEX2DEC(RIGHT(Table13232127[[#This Row],[h2]],8))</f>
        <v>0</v>
      </c>
    </row>
    <row r="1402" spans="1:18">
      <c r="A1402" s="15" t="str">
        <f t="shared" si="26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1" t="s">
        <v>75</v>
      </c>
      <c r="P1402" s="41">
        <f>HEX2DEC(RIGHT(Table13232127[[#This Row],[h1]],8))</f>
        <v>0</v>
      </c>
      <c r="Q1402" s="41" t="s">
        <v>75</v>
      </c>
      <c r="R1402" s="41">
        <f>HEX2DEC(RIGHT(Table13232127[[#This Row],[h2]],8))</f>
        <v>0</v>
      </c>
    </row>
    <row r="1403" spans="1:18">
      <c r="A1403" s="15" t="str">
        <f t="shared" si="26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1" t="s">
        <v>75</v>
      </c>
      <c r="P1403" s="41">
        <f>HEX2DEC(RIGHT(Table13232127[[#This Row],[h1]],8))</f>
        <v>0</v>
      </c>
      <c r="Q1403" s="41" t="s">
        <v>75</v>
      </c>
      <c r="R1403" s="41">
        <f>HEX2DEC(RIGHT(Table13232127[[#This Row],[h2]],8))</f>
        <v>0</v>
      </c>
    </row>
    <row r="1404" spans="1:18">
      <c r="A1404" s="15" t="str">
        <f t="shared" si="26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1" t="s">
        <v>75</v>
      </c>
      <c r="P1404" s="41">
        <f>HEX2DEC(RIGHT(Table13232127[[#This Row],[h1]],8))</f>
        <v>0</v>
      </c>
      <c r="Q1404" s="41" t="s">
        <v>75</v>
      </c>
      <c r="R1404" s="41">
        <f>HEX2DEC(RIGHT(Table13232127[[#This Row],[h2]],8))</f>
        <v>0</v>
      </c>
    </row>
    <row r="1405" spans="1:18">
      <c r="A1405" s="15" t="str">
        <f t="shared" si="26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1" t="s">
        <v>75</v>
      </c>
      <c r="P1405" s="41">
        <f>HEX2DEC(RIGHT(Table13232127[[#This Row],[h1]],8))</f>
        <v>0</v>
      </c>
      <c r="Q1405" s="41" t="s">
        <v>75</v>
      </c>
      <c r="R1405" s="41">
        <f>HEX2DEC(RIGHT(Table13232127[[#This Row],[h2]],8))</f>
        <v>0</v>
      </c>
    </row>
    <row r="1406" spans="1:18">
      <c r="A1406" s="15" t="str">
        <f t="shared" si="26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1" t="s">
        <v>75</v>
      </c>
      <c r="P1406" s="41">
        <f>HEX2DEC(RIGHT(Table13232127[[#This Row],[h1]],8))</f>
        <v>0</v>
      </c>
      <c r="Q1406" s="41" t="s">
        <v>75</v>
      </c>
      <c r="R1406" s="41">
        <f>HEX2DEC(RIGHT(Table13232127[[#This Row],[h2]],8))</f>
        <v>0</v>
      </c>
    </row>
    <row r="1407" spans="1:18">
      <c r="A1407" s="15" t="str">
        <f t="shared" si="26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1" t="s">
        <v>75</v>
      </c>
      <c r="P1407" s="41">
        <f>HEX2DEC(RIGHT(Table13232127[[#This Row],[h1]],8))</f>
        <v>0</v>
      </c>
      <c r="Q1407" s="41" t="s">
        <v>75</v>
      </c>
      <c r="R1407" s="41">
        <f>HEX2DEC(RIGHT(Table13232127[[#This Row],[h2]],8))</f>
        <v>0</v>
      </c>
    </row>
    <row r="1408" spans="1:18">
      <c r="A1408" s="15" t="str">
        <f t="shared" si="26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1" t="s">
        <v>75</v>
      </c>
      <c r="P1408" s="41">
        <f>HEX2DEC(RIGHT(Table13232127[[#This Row],[h1]],8))</f>
        <v>0</v>
      </c>
      <c r="Q1408" s="41" t="s">
        <v>75</v>
      </c>
      <c r="R1408" s="41">
        <f>HEX2DEC(RIGHT(Table13232127[[#This Row],[h2]],8))</f>
        <v>0</v>
      </c>
    </row>
    <row r="1409" spans="1:18">
      <c r="A1409" s="15" t="str">
        <f t="shared" si="26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1" t="s">
        <v>75</v>
      </c>
      <c r="P1409" s="41">
        <f>HEX2DEC(RIGHT(Table13232127[[#This Row],[h1]],8))</f>
        <v>0</v>
      </c>
      <c r="Q1409" s="41" t="s">
        <v>75</v>
      </c>
      <c r="R1409" s="41">
        <f>HEX2DEC(RIGHT(Table13232127[[#This Row],[h2]],8))</f>
        <v>0</v>
      </c>
    </row>
    <row r="1410" spans="1:18">
      <c r="A1410" s="15" t="str">
        <f t="shared" si="26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1" t="s">
        <v>75</v>
      </c>
      <c r="P1410" s="41">
        <f>HEX2DEC(RIGHT(Table13232127[[#This Row],[h1]],8))</f>
        <v>0</v>
      </c>
      <c r="Q1410" s="41" t="s">
        <v>75</v>
      </c>
      <c r="R1410" s="41">
        <f>HEX2DEC(RIGHT(Table13232127[[#This Row],[h2]],8))</f>
        <v>0</v>
      </c>
    </row>
    <row r="1411" spans="1:18">
      <c r="A1411" s="15" t="str">
        <f t="shared" si="26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1" t="s">
        <v>75</v>
      </c>
      <c r="P1411" s="41">
        <f>HEX2DEC(RIGHT(Table13232127[[#This Row],[h1]],8))</f>
        <v>0</v>
      </c>
      <c r="Q1411" s="41" t="s">
        <v>75</v>
      </c>
      <c r="R1411" s="41">
        <f>HEX2DEC(RIGHT(Table13232127[[#This Row],[h2]],8))</f>
        <v>0</v>
      </c>
    </row>
    <row r="1412" spans="1:18">
      <c r="A1412" s="15" t="str">
        <f t="shared" si="26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1" t="s">
        <v>75</v>
      </c>
      <c r="P1412" s="41">
        <f>HEX2DEC(RIGHT(Table13232127[[#This Row],[h1]],8))</f>
        <v>0</v>
      </c>
      <c r="Q1412" s="41" t="s">
        <v>75</v>
      </c>
      <c r="R1412" s="41">
        <f>HEX2DEC(RIGHT(Table13232127[[#This Row],[h2]],8))</f>
        <v>0</v>
      </c>
    </row>
    <row r="1413" spans="1:18">
      <c r="A1413" s="15" t="str">
        <f t="shared" si="26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1" t="s">
        <v>75</v>
      </c>
      <c r="P1413" s="41">
        <f>HEX2DEC(RIGHT(Table13232127[[#This Row],[h1]],8))</f>
        <v>0</v>
      </c>
      <c r="Q1413" s="41" t="s">
        <v>75</v>
      </c>
      <c r="R1413" s="41">
        <f>HEX2DEC(RIGHT(Table13232127[[#This Row],[h2]],8))</f>
        <v>0</v>
      </c>
    </row>
    <row r="1414" spans="1:18">
      <c r="A1414" s="15" t="str">
        <f t="shared" si="26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1" t="s">
        <v>75</v>
      </c>
      <c r="P1414" s="41">
        <f>HEX2DEC(RIGHT(Table13232127[[#This Row],[h1]],8))</f>
        <v>0</v>
      </c>
      <c r="Q1414" s="41" t="s">
        <v>75</v>
      </c>
      <c r="R1414" s="41">
        <f>HEX2DEC(RIGHT(Table13232127[[#This Row],[h2]],8))</f>
        <v>0</v>
      </c>
    </row>
    <row r="1415" spans="1:18">
      <c r="A1415" s="15" t="str">
        <f t="shared" si="26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1" t="s">
        <v>75</v>
      </c>
      <c r="P1415" s="41">
        <f>HEX2DEC(RIGHT(Table13232127[[#This Row],[h1]],8))</f>
        <v>0</v>
      </c>
      <c r="Q1415" s="41" t="s">
        <v>75</v>
      </c>
      <c r="R1415" s="41">
        <f>HEX2DEC(RIGHT(Table13232127[[#This Row],[h2]],8))</f>
        <v>0</v>
      </c>
    </row>
    <row r="1416" spans="1:18">
      <c r="A1416" s="15" t="str">
        <f t="shared" si="26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1" t="s">
        <v>75</v>
      </c>
      <c r="P1416" s="41">
        <f>HEX2DEC(RIGHT(Table13232127[[#This Row],[h1]],8))</f>
        <v>0</v>
      </c>
      <c r="Q1416" s="41" t="s">
        <v>75</v>
      </c>
      <c r="R1416" s="41">
        <f>HEX2DEC(RIGHT(Table13232127[[#This Row],[h2]],8))</f>
        <v>0</v>
      </c>
    </row>
    <row r="1417" spans="1:18">
      <c r="A1417" s="15" t="str">
        <f t="shared" si="26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1" t="s">
        <v>75</v>
      </c>
      <c r="P1417" s="41">
        <f>HEX2DEC(RIGHT(Table13232127[[#This Row],[h1]],8))</f>
        <v>0</v>
      </c>
      <c r="Q1417" s="41" t="s">
        <v>75</v>
      </c>
      <c r="R1417" s="41">
        <f>HEX2DEC(RIGHT(Table13232127[[#This Row],[h2]],8))</f>
        <v>0</v>
      </c>
    </row>
    <row r="1418" spans="1:18">
      <c r="A1418" s="15" t="str">
        <f t="shared" si="26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1" t="s">
        <v>75</v>
      </c>
      <c r="P1418" s="41">
        <f>HEX2DEC(RIGHT(Table13232127[[#This Row],[h1]],8))</f>
        <v>0</v>
      </c>
      <c r="Q1418" s="41" t="s">
        <v>75</v>
      </c>
      <c r="R1418" s="41">
        <f>HEX2DEC(RIGHT(Table13232127[[#This Row],[h2]],8))</f>
        <v>0</v>
      </c>
    </row>
    <row r="1419" spans="1:18">
      <c r="A1419" s="15" t="str">
        <f t="shared" ref="A1419:A1482" si="27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1" t="s">
        <v>75</v>
      </c>
      <c r="P1419" s="41">
        <f>HEX2DEC(RIGHT(Table13232127[[#This Row],[h1]],8))</f>
        <v>0</v>
      </c>
      <c r="Q1419" s="41" t="s">
        <v>75</v>
      </c>
      <c r="R1419" s="41">
        <f>HEX2DEC(RIGHT(Table13232127[[#This Row],[h2]],8))</f>
        <v>0</v>
      </c>
    </row>
    <row r="1420" spans="1:18">
      <c r="A1420" s="15" t="str">
        <f t="shared" si="27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1" t="s">
        <v>75</v>
      </c>
      <c r="P1420" s="41">
        <f>HEX2DEC(RIGHT(Table13232127[[#This Row],[h1]],8))</f>
        <v>0</v>
      </c>
      <c r="Q1420" s="41" t="s">
        <v>75</v>
      </c>
      <c r="R1420" s="41">
        <f>HEX2DEC(RIGHT(Table13232127[[#This Row],[h2]],8))</f>
        <v>0</v>
      </c>
    </row>
    <row r="1421" spans="1:18">
      <c r="A1421" s="15" t="str">
        <f t="shared" si="27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1" t="s">
        <v>75</v>
      </c>
      <c r="P1421" s="41">
        <f>HEX2DEC(RIGHT(Table13232127[[#This Row],[h1]],8))</f>
        <v>0</v>
      </c>
      <c r="Q1421" s="41" t="s">
        <v>75</v>
      </c>
      <c r="R1421" s="41">
        <f>HEX2DEC(RIGHT(Table13232127[[#This Row],[h2]],8))</f>
        <v>0</v>
      </c>
    </row>
    <row r="1422" spans="1:18">
      <c r="A1422" s="15" t="str">
        <f t="shared" si="27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1" t="s">
        <v>75</v>
      </c>
      <c r="P1422" s="41">
        <f>HEX2DEC(RIGHT(Table13232127[[#This Row],[h1]],8))</f>
        <v>0</v>
      </c>
      <c r="Q1422" s="41" t="s">
        <v>75</v>
      </c>
      <c r="R1422" s="41">
        <f>HEX2DEC(RIGHT(Table13232127[[#This Row],[h2]],8))</f>
        <v>0</v>
      </c>
    </row>
    <row r="1423" spans="1:18">
      <c r="A1423" s="15" t="str">
        <f t="shared" si="27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1" t="s">
        <v>75</v>
      </c>
      <c r="P1423" s="41">
        <f>HEX2DEC(RIGHT(Table13232127[[#This Row],[h1]],8))</f>
        <v>0</v>
      </c>
      <c r="Q1423" s="41" t="s">
        <v>75</v>
      </c>
      <c r="R1423" s="41">
        <f>HEX2DEC(RIGHT(Table13232127[[#This Row],[h2]],8))</f>
        <v>0</v>
      </c>
    </row>
    <row r="1424" spans="1:18">
      <c r="A1424" s="15" t="str">
        <f t="shared" si="27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1" t="s">
        <v>75</v>
      </c>
      <c r="P1424" s="41">
        <f>HEX2DEC(RIGHT(Table13232127[[#This Row],[h1]],8))</f>
        <v>0</v>
      </c>
      <c r="Q1424" s="41" t="s">
        <v>75</v>
      </c>
      <c r="R1424" s="41">
        <f>HEX2DEC(RIGHT(Table13232127[[#This Row],[h2]],8))</f>
        <v>0</v>
      </c>
    </row>
    <row r="1425" spans="1:18">
      <c r="A1425" s="15" t="str">
        <f t="shared" si="27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1" t="s">
        <v>75</v>
      </c>
      <c r="P1425" s="41">
        <f>HEX2DEC(RIGHT(Table13232127[[#This Row],[h1]],8))</f>
        <v>0</v>
      </c>
      <c r="Q1425" s="41" t="s">
        <v>75</v>
      </c>
      <c r="R1425" s="41">
        <f>HEX2DEC(RIGHT(Table13232127[[#This Row],[h2]],8))</f>
        <v>0</v>
      </c>
    </row>
    <row r="1426" spans="1:18">
      <c r="A1426" s="15" t="str">
        <f t="shared" si="27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1" t="s">
        <v>75</v>
      </c>
      <c r="P1426" s="41">
        <f>HEX2DEC(RIGHT(Table13232127[[#This Row],[h1]],8))</f>
        <v>0</v>
      </c>
      <c r="Q1426" s="41" t="s">
        <v>75</v>
      </c>
      <c r="R1426" s="41">
        <f>HEX2DEC(RIGHT(Table13232127[[#This Row],[h2]],8))</f>
        <v>0</v>
      </c>
    </row>
    <row r="1427" spans="1:18">
      <c r="A1427" s="15" t="str">
        <f t="shared" si="27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1" t="s">
        <v>75</v>
      </c>
      <c r="P1427" s="41">
        <f>HEX2DEC(RIGHT(Table13232127[[#This Row],[h1]],8))</f>
        <v>0</v>
      </c>
      <c r="Q1427" s="41" t="s">
        <v>75</v>
      </c>
      <c r="R1427" s="41">
        <f>HEX2DEC(RIGHT(Table13232127[[#This Row],[h2]],8))</f>
        <v>0</v>
      </c>
    </row>
    <row r="1428" spans="1:18">
      <c r="A1428" s="15" t="str">
        <f t="shared" si="27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1" t="s">
        <v>75</v>
      </c>
      <c r="P1428" s="41">
        <f>HEX2DEC(RIGHT(Table13232127[[#This Row],[h1]],8))</f>
        <v>0</v>
      </c>
      <c r="Q1428" s="41" t="s">
        <v>75</v>
      </c>
      <c r="R1428" s="41">
        <f>HEX2DEC(RIGHT(Table13232127[[#This Row],[h2]],8))</f>
        <v>0</v>
      </c>
    </row>
    <row r="1429" spans="1:18">
      <c r="A1429" s="15" t="str">
        <f t="shared" si="27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1" t="s">
        <v>75</v>
      </c>
      <c r="P1429" s="41">
        <f>HEX2DEC(RIGHT(Table13232127[[#This Row],[h1]],8))</f>
        <v>0</v>
      </c>
      <c r="Q1429" s="41" t="s">
        <v>75</v>
      </c>
      <c r="R1429" s="41">
        <f>HEX2DEC(RIGHT(Table13232127[[#This Row],[h2]],8))</f>
        <v>0</v>
      </c>
    </row>
    <row r="1430" spans="1:18">
      <c r="A1430" s="15" t="str">
        <f t="shared" si="27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1" t="s">
        <v>75</v>
      </c>
      <c r="P1430" s="41">
        <f>HEX2DEC(RIGHT(Table13232127[[#This Row],[h1]],8))</f>
        <v>0</v>
      </c>
      <c r="Q1430" s="41" t="s">
        <v>75</v>
      </c>
      <c r="R1430" s="41">
        <f>HEX2DEC(RIGHT(Table13232127[[#This Row],[h2]],8))</f>
        <v>0</v>
      </c>
    </row>
    <row r="1431" spans="1:18">
      <c r="A1431" s="15" t="str">
        <f t="shared" si="27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1" t="s">
        <v>75</v>
      </c>
      <c r="P1431" s="41">
        <f>HEX2DEC(RIGHT(Table13232127[[#This Row],[h1]],8))</f>
        <v>0</v>
      </c>
      <c r="Q1431" s="41" t="s">
        <v>75</v>
      </c>
      <c r="R1431" s="41">
        <f>HEX2DEC(RIGHT(Table13232127[[#This Row],[h2]],8))</f>
        <v>0</v>
      </c>
    </row>
    <row r="1432" spans="1:18">
      <c r="A1432" s="15" t="str">
        <f t="shared" si="27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1" t="s">
        <v>75</v>
      </c>
      <c r="P1432" s="41">
        <f>HEX2DEC(RIGHT(Table13232127[[#This Row],[h1]],8))</f>
        <v>0</v>
      </c>
      <c r="Q1432" s="41" t="s">
        <v>75</v>
      </c>
      <c r="R1432" s="41">
        <f>HEX2DEC(RIGHT(Table13232127[[#This Row],[h2]],8))</f>
        <v>0</v>
      </c>
    </row>
    <row r="1433" spans="1:18">
      <c r="A1433" s="15" t="str">
        <f t="shared" si="27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1" t="s">
        <v>75</v>
      </c>
      <c r="P1433" s="41">
        <f>HEX2DEC(RIGHT(Table13232127[[#This Row],[h1]],8))</f>
        <v>0</v>
      </c>
      <c r="Q1433" s="41" t="s">
        <v>75</v>
      </c>
      <c r="R1433" s="41">
        <f>HEX2DEC(RIGHT(Table13232127[[#This Row],[h2]],8))</f>
        <v>0</v>
      </c>
    </row>
    <row r="1434" spans="1:18">
      <c r="A1434" s="15" t="str">
        <f t="shared" si="27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1" t="s">
        <v>75</v>
      </c>
      <c r="P1434" s="41">
        <f>HEX2DEC(RIGHT(Table13232127[[#This Row],[h1]],8))</f>
        <v>0</v>
      </c>
      <c r="Q1434" s="41" t="s">
        <v>75</v>
      </c>
      <c r="R1434" s="41">
        <f>HEX2DEC(RIGHT(Table13232127[[#This Row],[h2]],8))</f>
        <v>0</v>
      </c>
    </row>
    <row r="1435" spans="1:18">
      <c r="A1435" s="15" t="str">
        <f t="shared" si="27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1" t="s">
        <v>75</v>
      </c>
      <c r="P1435" s="41">
        <f>HEX2DEC(RIGHT(Table13232127[[#This Row],[h1]],8))</f>
        <v>0</v>
      </c>
      <c r="Q1435" s="41" t="s">
        <v>75</v>
      </c>
      <c r="R1435" s="41">
        <f>HEX2DEC(RIGHT(Table13232127[[#This Row],[h2]],8))</f>
        <v>0</v>
      </c>
    </row>
    <row r="1436" spans="1:18">
      <c r="A1436" s="15" t="str">
        <f t="shared" si="27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1" t="s">
        <v>75</v>
      </c>
      <c r="P1436" s="41">
        <f>HEX2DEC(RIGHT(Table13232127[[#This Row],[h1]],8))</f>
        <v>0</v>
      </c>
      <c r="Q1436" s="41" t="s">
        <v>75</v>
      </c>
      <c r="R1436" s="41">
        <f>HEX2DEC(RIGHT(Table13232127[[#This Row],[h2]],8))</f>
        <v>0</v>
      </c>
    </row>
    <row r="1437" spans="1:18">
      <c r="A1437" s="15" t="str">
        <f t="shared" si="27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1" t="s">
        <v>75</v>
      </c>
      <c r="P1437" s="41">
        <f>HEX2DEC(RIGHT(Table13232127[[#This Row],[h1]],8))</f>
        <v>0</v>
      </c>
      <c r="Q1437" s="41" t="s">
        <v>75</v>
      </c>
      <c r="R1437" s="41">
        <f>HEX2DEC(RIGHT(Table13232127[[#This Row],[h2]],8))</f>
        <v>0</v>
      </c>
    </row>
    <row r="1438" spans="1:18">
      <c r="A1438" s="15" t="str">
        <f t="shared" si="27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1" t="s">
        <v>75</v>
      </c>
      <c r="P1438" s="41">
        <f>HEX2DEC(RIGHT(Table13232127[[#This Row],[h1]],8))</f>
        <v>0</v>
      </c>
      <c r="Q1438" s="41" t="s">
        <v>75</v>
      </c>
      <c r="R1438" s="41">
        <f>HEX2DEC(RIGHT(Table13232127[[#This Row],[h2]],8))</f>
        <v>0</v>
      </c>
    </row>
    <row r="1439" spans="1:18">
      <c r="A1439" s="15" t="str">
        <f t="shared" si="27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1" t="s">
        <v>75</v>
      </c>
      <c r="P1439" s="41">
        <f>HEX2DEC(RIGHT(Table13232127[[#This Row],[h1]],8))</f>
        <v>0</v>
      </c>
      <c r="Q1439" s="41" t="s">
        <v>75</v>
      </c>
      <c r="R1439" s="41">
        <f>HEX2DEC(RIGHT(Table13232127[[#This Row],[h2]],8))</f>
        <v>0</v>
      </c>
    </row>
    <row r="1440" spans="1:18">
      <c r="A1440" s="15" t="str">
        <f t="shared" si="27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1" t="s">
        <v>75</v>
      </c>
      <c r="P1440" s="41">
        <f>HEX2DEC(RIGHT(Table13232127[[#This Row],[h1]],8))</f>
        <v>0</v>
      </c>
      <c r="Q1440" s="41" t="s">
        <v>75</v>
      </c>
      <c r="R1440" s="41">
        <f>HEX2DEC(RIGHT(Table13232127[[#This Row],[h2]],8))</f>
        <v>0</v>
      </c>
    </row>
    <row r="1441" spans="1:18">
      <c r="A1441" s="15" t="str">
        <f t="shared" si="27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1" t="s">
        <v>75</v>
      </c>
      <c r="P1441" s="41">
        <f>HEX2DEC(RIGHT(Table13232127[[#This Row],[h1]],8))</f>
        <v>0</v>
      </c>
      <c r="Q1441" s="41" t="s">
        <v>75</v>
      </c>
      <c r="R1441" s="41">
        <f>HEX2DEC(RIGHT(Table13232127[[#This Row],[h2]],8))</f>
        <v>0</v>
      </c>
    </row>
    <row r="1442" spans="1:18">
      <c r="A1442" s="15" t="str">
        <f t="shared" si="27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1" t="s">
        <v>75</v>
      </c>
      <c r="P1442" s="41">
        <f>HEX2DEC(RIGHT(Table13232127[[#This Row],[h1]],8))</f>
        <v>0</v>
      </c>
      <c r="Q1442" s="41" t="s">
        <v>75</v>
      </c>
      <c r="R1442" s="41">
        <f>HEX2DEC(RIGHT(Table13232127[[#This Row],[h2]],8))</f>
        <v>0</v>
      </c>
    </row>
    <row r="1443" spans="1:18">
      <c r="A1443" s="15" t="str">
        <f t="shared" si="27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1" t="s">
        <v>75</v>
      </c>
      <c r="P1443" s="41">
        <f>HEX2DEC(RIGHT(Table13232127[[#This Row],[h1]],8))</f>
        <v>0</v>
      </c>
      <c r="Q1443" s="41" t="s">
        <v>75</v>
      </c>
      <c r="R1443" s="41">
        <f>HEX2DEC(RIGHT(Table13232127[[#This Row],[h2]],8))</f>
        <v>0</v>
      </c>
    </row>
    <row r="1444" spans="1:18">
      <c r="A1444" s="15" t="str">
        <f t="shared" si="27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1" t="s">
        <v>75</v>
      </c>
      <c r="P1444" s="41">
        <f>HEX2DEC(RIGHT(Table13232127[[#This Row],[h1]],8))</f>
        <v>0</v>
      </c>
      <c r="Q1444" s="41" t="s">
        <v>75</v>
      </c>
      <c r="R1444" s="41">
        <f>HEX2DEC(RIGHT(Table13232127[[#This Row],[h2]],8))</f>
        <v>0</v>
      </c>
    </row>
    <row r="1445" spans="1:18">
      <c r="A1445" s="15" t="str">
        <f t="shared" si="27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1" t="s">
        <v>75</v>
      </c>
      <c r="P1445" s="41">
        <f>HEX2DEC(RIGHT(Table13232127[[#This Row],[h1]],8))</f>
        <v>0</v>
      </c>
      <c r="Q1445" s="41" t="s">
        <v>75</v>
      </c>
      <c r="R1445" s="41">
        <f>HEX2DEC(RIGHT(Table13232127[[#This Row],[h2]],8))</f>
        <v>0</v>
      </c>
    </row>
    <row r="1446" spans="1:18">
      <c r="A1446" s="15" t="str">
        <f t="shared" si="27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1" t="s">
        <v>75</v>
      </c>
      <c r="P1446" s="41">
        <f>HEX2DEC(RIGHT(Table13232127[[#This Row],[h1]],8))</f>
        <v>0</v>
      </c>
      <c r="Q1446" s="41" t="s">
        <v>75</v>
      </c>
      <c r="R1446" s="41">
        <f>HEX2DEC(RIGHT(Table13232127[[#This Row],[h2]],8))</f>
        <v>0</v>
      </c>
    </row>
    <row r="1447" spans="1:18">
      <c r="A1447" s="15" t="str">
        <f t="shared" si="27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1" t="s">
        <v>75</v>
      </c>
      <c r="P1447" s="41">
        <f>HEX2DEC(RIGHT(Table13232127[[#This Row],[h1]],8))</f>
        <v>0</v>
      </c>
      <c r="Q1447" s="41" t="s">
        <v>75</v>
      </c>
      <c r="R1447" s="41">
        <f>HEX2DEC(RIGHT(Table13232127[[#This Row],[h2]],8))</f>
        <v>0</v>
      </c>
    </row>
    <row r="1448" spans="1:18">
      <c r="A1448" s="15" t="str">
        <f t="shared" si="27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1" t="s">
        <v>75</v>
      </c>
      <c r="P1448" s="41">
        <f>HEX2DEC(RIGHT(Table13232127[[#This Row],[h1]],8))</f>
        <v>0</v>
      </c>
      <c r="Q1448" s="41" t="s">
        <v>75</v>
      </c>
      <c r="R1448" s="41">
        <f>HEX2DEC(RIGHT(Table13232127[[#This Row],[h2]],8))</f>
        <v>0</v>
      </c>
    </row>
    <row r="1449" spans="1:18">
      <c r="A1449" s="15" t="str">
        <f t="shared" si="27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1" t="s">
        <v>75</v>
      </c>
      <c r="P1449" s="41">
        <f>HEX2DEC(RIGHT(Table13232127[[#This Row],[h1]],8))</f>
        <v>0</v>
      </c>
      <c r="Q1449" s="41" t="s">
        <v>75</v>
      </c>
      <c r="R1449" s="41">
        <f>HEX2DEC(RIGHT(Table13232127[[#This Row],[h2]],8))</f>
        <v>0</v>
      </c>
    </row>
    <row r="1450" spans="1:18">
      <c r="A1450" s="15" t="str">
        <f t="shared" si="27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1" t="s">
        <v>75</v>
      </c>
      <c r="P1450" s="41">
        <f>HEX2DEC(RIGHT(Table13232127[[#This Row],[h1]],8))</f>
        <v>0</v>
      </c>
      <c r="Q1450" s="41" t="s">
        <v>75</v>
      </c>
      <c r="R1450" s="41">
        <f>HEX2DEC(RIGHT(Table13232127[[#This Row],[h2]],8))</f>
        <v>0</v>
      </c>
    </row>
    <row r="1451" spans="1:18">
      <c r="A1451" s="15" t="str">
        <f t="shared" si="27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1" t="s">
        <v>75</v>
      </c>
      <c r="P1451" s="41">
        <f>HEX2DEC(RIGHT(Table13232127[[#This Row],[h1]],8))</f>
        <v>0</v>
      </c>
      <c r="Q1451" s="41" t="s">
        <v>75</v>
      </c>
      <c r="R1451" s="41">
        <f>HEX2DEC(RIGHT(Table13232127[[#This Row],[h2]],8))</f>
        <v>0</v>
      </c>
    </row>
    <row r="1452" spans="1:18">
      <c r="A1452" s="15" t="str">
        <f t="shared" si="27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1" t="s">
        <v>75</v>
      </c>
      <c r="P1452" s="41">
        <f>HEX2DEC(RIGHT(Table13232127[[#This Row],[h1]],8))</f>
        <v>0</v>
      </c>
      <c r="Q1452" s="41" t="s">
        <v>75</v>
      </c>
      <c r="R1452" s="41">
        <f>HEX2DEC(RIGHT(Table13232127[[#This Row],[h2]],8))</f>
        <v>0</v>
      </c>
    </row>
    <row r="1453" spans="1:18">
      <c r="A1453" s="15" t="str">
        <f t="shared" si="27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1" t="s">
        <v>75</v>
      </c>
      <c r="P1453" s="41">
        <f>HEX2DEC(RIGHT(Table13232127[[#This Row],[h1]],8))</f>
        <v>0</v>
      </c>
      <c r="Q1453" s="41" t="s">
        <v>75</v>
      </c>
      <c r="R1453" s="41">
        <f>HEX2DEC(RIGHT(Table13232127[[#This Row],[h2]],8))</f>
        <v>0</v>
      </c>
    </row>
    <row r="1454" spans="1:18">
      <c r="A1454" s="15" t="str">
        <f t="shared" si="27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1" t="s">
        <v>75</v>
      </c>
      <c r="P1454" s="41">
        <f>HEX2DEC(RIGHT(Table13232127[[#This Row],[h1]],8))</f>
        <v>0</v>
      </c>
      <c r="Q1454" s="41" t="s">
        <v>75</v>
      </c>
      <c r="R1454" s="41">
        <f>HEX2DEC(RIGHT(Table13232127[[#This Row],[h2]],8))</f>
        <v>0</v>
      </c>
    </row>
    <row r="1455" spans="1:18">
      <c r="A1455" s="15" t="str">
        <f t="shared" si="27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1" t="s">
        <v>75</v>
      </c>
      <c r="P1455" s="41">
        <f>HEX2DEC(RIGHT(Table13232127[[#This Row],[h1]],8))</f>
        <v>0</v>
      </c>
      <c r="Q1455" s="41" t="s">
        <v>75</v>
      </c>
      <c r="R1455" s="41">
        <f>HEX2DEC(RIGHT(Table13232127[[#This Row],[h2]],8))</f>
        <v>0</v>
      </c>
    </row>
    <row r="1456" spans="1:18">
      <c r="A1456" s="15" t="str">
        <f t="shared" si="27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1" t="s">
        <v>75</v>
      </c>
      <c r="P1456" s="41">
        <f>HEX2DEC(RIGHT(Table13232127[[#This Row],[h1]],8))</f>
        <v>0</v>
      </c>
      <c r="Q1456" s="41" t="s">
        <v>75</v>
      </c>
      <c r="R1456" s="41">
        <f>HEX2DEC(RIGHT(Table13232127[[#This Row],[h2]],8))</f>
        <v>0</v>
      </c>
    </row>
    <row r="1457" spans="1:18">
      <c r="A1457" s="15" t="str">
        <f t="shared" si="27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1" t="s">
        <v>75</v>
      </c>
      <c r="P1457" s="41">
        <f>HEX2DEC(RIGHT(Table13232127[[#This Row],[h1]],8))</f>
        <v>0</v>
      </c>
      <c r="Q1457" s="41" t="s">
        <v>75</v>
      </c>
      <c r="R1457" s="41">
        <f>HEX2DEC(RIGHT(Table13232127[[#This Row],[h2]],8))</f>
        <v>0</v>
      </c>
    </row>
    <row r="1458" spans="1:18">
      <c r="A1458" s="15" t="str">
        <f t="shared" si="27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1" t="s">
        <v>75</v>
      </c>
      <c r="P1458" s="41">
        <f>HEX2DEC(RIGHT(Table13232127[[#This Row],[h1]],8))</f>
        <v>0</v>
      </c>
      <c r="Q1458" s="41" t="s">
        <v>75</v>
      </c>
      <c r="R1458" s="41">
        <f>HEX2DEC(RIGHT(Table13232127[[#This Row],[h2]],8))</f>
        <v>0</v>
      </c>
    </row>
    <row r="1459" spans="1:18">
      <c r="A1459" s="15" t="str">
        <f t="shared" si="27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1" t="s">
        <v>75</v>
      </c>
      <c r="P1459" s="41">
        <f>HEX2DEC(RIGHT(Table13232127[[#This Row],[h1]],8))</f>
        <v>0</v>
      </c>
      <c r="Q1459" s="41" t="s">
        <v>75</v>
      </c>
      <c r="R1459" s="41">
        <f>HEX2DEC(RIGHT(Table13232127[[#This Row],[h2]],8))</f>
        <v>0</v>
      </c>
    </row>
    <row r="1460" spans="1:18">
      <c r="A1460" s="15" t="str">
        <f t="shared" si="27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1" t="s">
        <v>75</v>
      </c>
      <c r="P1460" s="41">
        <f>HEX2DEC(RIGHT(Table13232127[[#This Row],[h1]],8))</f>
        <v>0</v>
      </c>
      <c r="Q1460" s="41" t="s">
        <v>75</v>
      </c>
      <c r="R1460" s="41">
        <f>HEX2DEC(RIGHT(Table13232127[[#This Row],[h2]],8))</f>
        <v>0</v>
      </c>
    </row>
    <row r="1461" spans="1:18">
      <c r="A1461" s="15" t="str">
        <f t="shared" si="27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1" t="s">
        <v>75</v>
      </c>
      <c r="P1461" s="41">
        <f>HEX2DEC(RIGHT(Table13232127[[#This Row],[h1]],8))</f>
        <v>0</v>
      </c>
      <c r="Q1461" s="41" t="s">
        <v>75</v>
      </c>
      <c r="R1461" s="41">
        <f>HEX2DEC(RIGHT(Table13232127[[#This Row],[h2]],8))</f>
        <v>0</v>
      </c>
    </row>
    <row r="1462" spans="1:18">
      <c r="A1462" s="15" t="str">
        <f t="shared" si="27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1" t="s">
        <v>75</v>
      </c>
      <c r="P1462" s="41">
        <f>HEX2DEC(RIGHT(Table13232127[[#This Row],[h1]],8))</f>
        <v>0</v>
      </c>
      <c r="Q1462" s="41" t="s">
        <v>75</v>
      </c>
      <c r="R1462" s="41">
        <f>HEX2DEC(RIGHT(Table13232127[[#This Row],[h2]],8))</f>
        <v>0</v>
      </c>
    </row>
    <row r="1463" spans="1:18">
      <c r="A1463" s="15" t="str">
        <f t="shared" si="27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1" t="s">
        <v>75</v>
      </c>
      <c r="P1463" s="41">
        <f>HEX2DEC(RIGHT(Table13232127[[#This Row],[h1]],8))</f>
        <v>0</v>
      </c>
      <c r="Q1463" s="41" t="s">
        <v>75</v>
      </c>
      <c r="R1463" s="41">
        <f>HEX2DEC(RIGHT(Table13232127[[#This Row],[h2]],8))</f>
        <v>0</v>
      </c>
    </row>
    <row r="1464" spans="1:18">
      <c r="A1464" s="15" t="str">
        <f t="shared" si="27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1" t="s">
        <v>75</v>
      </c>
      <c r="P1464" s="41">
        <f>HEX2DEC(RIGHT(Table13232127[[#This Row],[h1]],8))</f>
        <v>0</v>
      </c>
      <c r="Q1464" s="41" t="s">
        <v>75</v>
      </c>
      <c r="R1464" s="41">
        <f>HEX2DEC(RIGHT(Table13232127[[#This Row],[h2]],8))</f>
        <v>0</v>
      </c>
    </row>
    <row r="1465" spans="1:18">
      <c r="A1465" s="15" t="str">
        <f t="shared" si="27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1" t="s">
        <v>75</v>
      </c>
      <c r="P1465" s="41">
        <f>HEX2DEC(RIGHT(Table13232127[[#This Row],[h1]],8))</f>
        <v>0</v>
      </c>
      <c r="Q1465" s="41" t="s">
        <v>75</v>
      </c>
      <c r="R1465" s="41">
        <f>HEX2DEC(RIGHT(Table13232127[[#This Row],[h2]],8))</f>
        <v>0</v>
      </c>
    </row>
    <row r="1466" spans="1:18">
      <c r="A1466" s="15" t="str">
        <f t="shared" si="27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1" t="s">
        <v>75</v>
      </c>
      <c r="P1466" s="41">
        <f>HEX2DEC(RIGHT(Table13232127[[#This Row],[h1]],8))</f>
        <v>0</v>
      </c>
      <c r="Q1466" s="41" t="s">
        <v>75</v>
      </c>
      <c r="R1466" s="41">
        <f>HEX2DEC(RIGHT(Table13232127[[#This Row],[h2]],8))</f>
        <v>0</v>
      </c>
    </row>
    <row r="1467" spans="1:18">
      <c r="A1467" s="15" t="str">
        <f t="shared" si="27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1" t="s">
        <v>75</v>
      </c>
      <c r="P1467" s="41">
        <f>HEX2DEC(RIGHT(Table13232127[[#This Row],[h1]],8))</f>
        <v>0</v>
      </c>
      <c r="Q1467" s="41" t="s">
        <v>75</v>
      </c>
      <c r="R1467" s="41">
        <f>HEX2DEC(RIGHT(Table13232127[[#This Row],[h2]],8))</f>
        <v>0</v>
      </c>
    </row>
    <row r="1468" spans="1:18">
      <c r="A1468" s="15" t="str">
        <f t="shared" si="27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1" t="s">
        <v>75</v>
      </c>
      <c r="P1468" s="41">
        <f>HEX2DEC(RIGHT(Table13232127[[#This Row],[h1]],8))</f>
        <v>0</v>
      </c>
      <c r="Q1468" s="41" t="s">
        <v>75</v>
      </c>
      <c r="R1468" s="41">
        <f>HEX2DEC(RIGHT(Table13232127[[#This Row],[h2]],8))</f>
        <v>0</v>
      </c>
    </row>
    <row r="1469" spans="1:18">
      <c r="A1469" s="15" t="str">
        <f t="shared" si="27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1" t="s">
        <v>75</v>
      </c>
      <c r="P1469" s="41">
        <f>HEX2DEC(RIGHT(Table13232127[[#This Row],[h1]],8))</f>
        <v>0</v>
      </c>
      <c r="Q1469" s="41" t="s">
        <v>75</v>
      </c>
      <c r="R1469" s="41">
        <f>HEX2DEC(RIGHT(Table13232127[[#This Row],[h2]],8))</f>
        <v>0</v>
      </c>
    </row>
    <row r="1470" spans="1:18">
      <c r="A1470" s="15" t="str">
        <f t="shared" si="27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1" t="s">
        <v>75</v>
      </c>
      <c r="P1470" s="41">
        <f>HEX2DEC(RIGHT(Table13232127[[#This Row],[h1]],8))</f>
        <v>0</v>
      </c>
      <c r="Q1470" s="41" t="s">
        <v>75</v>
      </c>
      <c r="R1470" s="41">
        <f>HEX2DEC(RIGHT(Table13232127[[#This Row],[h2]],8))</f>
        <v>0</v>
      </c>
    </row>
    <row r="1471" spans="1:18">
      <c r="A1471" s="15" t="str">
        <f t="shared" si="27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1" t="s">
        <v>75</v>
      </c>
      <c r="P1471" s="41">
        <f>HEX2DEC(RIGHT(Table13232127[[#This Row],[h1]],8))</f>
        <v>0</v>
      </c>
      <c r="Q1471" s="41" t="s">
        <v>75</v>
      </c>
      <c r="R1471" s="41">
        <f>HEX2DEC(RIGHT(Table13232127[[#This Row],[h2]],8))</f>
        <v>0</v>
      </c>
    </row>
    <row r="1472" spans="1:18">
      <c r="A1472" s="15" t="str">
        <f t="shared" si="27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1" t="s">
        <v>75</v>
      </c>
      <c r="P1472" s="41">
        <f>HEX2DEC(RIGHT(Table13232127[[#This Row],[h1]],8))</f>
        <v>0</v>
      </c>
      <c r="Q1472" s="41" t="s">
        <v>75</v>
      </c>
      <c r="R1472" s="41">
        <f>HEX2DEC(RIGHT(Table13232127[[#This Row],[h2]],8))</f>
        <v>0</v>
      </c>
    </row>
    <row r="1473" spans="1:18">
      <c r="A1473" s="15" t="str">
        <f t="shared" si="27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1" t="s">
        <v>75</v>
      </c>
      <c r="P1473" s="41">
        <f>HEX2DEC(RIGHT(Table13232127[[#This Row],[h1]],8))</f>
        <v>0</v>
      </c>
      <c r="Q1473" s="41" t="s">
        <v>75</v>
      </c>
      <c r="R1473" s="41">
        <f>HEX2DEC(RIGHT(Table13232127[[#This Row],[h2]],8))</f>
        <v>0</v>
      </c>
    </row>
    <row r="1474" spans="1:18">
      <c r="A1474" s="15" t="str">
        <f t="shared" si="27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1" t="s">
        <v>75</v>
      </c>
      <c r="P1474" s="41">
        <f>HEX2DEC(RIGHT(Table13232127[[#This Row],[h1]],8))</f>
        <v>0</v>
      </c>
      <c r="Q1474" s="41" t="s">
        <v>75</v>
      </c>
      <c r="R1474" s="41">
        <f>HEX2DEC(RIGHT(Table13232127[[#This Row],[h2]],8))</f>
        <v>0</v>
      </c>
    </row>
    <row r="1475" spans="1:18">
      <c r="A1475" s="15" t="str">
        <f t="shared" si="27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1" t="s">
        <v>75</v>
      </c>
      <c r="P1475" s="41">
        <f>HEX2DEC(RIGHT(Table13232127[[#This Row],[h1]],8))</f>
        <v>0</v>
      </c>
      <c r="Q1475" s="41" t="s">
        <v>75</v>
      </c>
      <c r="R1475" s="41">
        <f>HEX2DEC(RIGHT(Table13232127[[#This Row],[h2]],8))</f>
        <v>0</v>
      </c>
    </row>
    <row r="1476" spans="1:18">
      <c r="A1476" s="15" t="str">
        <f t="shared" si="27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1" t="s">
        <v>75</v>
      </c>
      <c r="P1476" s="41">
        <f>HEX2DEC(RIGHT(Table13232127[[#This Row],[h1]],8))</f>
        <v>0</v>
      </c>
      <c r="Q1476" s="41" t="s">
        <v>75</v>
      </c>
      <c r="R1476" s="41">
        <f>HEX2DEC(RIGHT(Table13232127[[#This Row],[h2]],8))</f>
        <v>0</v>
      </c>
    </row>
    <row r="1477" spans="1:18">
      <c r="A1477" s="15" t="str">
        <f t="shared" si="27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1" t="s">
        <v>75</v>
      </c>
      <c r="P1477" s="41">
        <f>HEX2DEC(RIGHT(Table13232127[[#This Row],[h1]],8))</f>
        <v>0</v>
      </c>
      <c r="Q1477" s="41" t="s">
        <v>75</v>
      </c>
      <c r="R1477" s="41">
        <f>HEX2DEC(RIGHT(Table13232127[[#This Row],[h2]],8))</f>
        <v>0</v>
      </c>
    </row>
    <row r="1478" spans="1:18">
      <c r="A1478" s="15" t="str">
        <f t="shared" si="27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1" t="s">
        <v>75</v>
      </c>
      <c r="P1478" s="41">
        <f>HEX2DEC(RIGHT(Table13232127[[#This Row],[h1]],8))</f>
        <v>0</v>
      </c>
      <c r="Q1478" s="41" t="s">
        <v>75</v>
      </c>
      <c r="R1478" s="41">
        <f>HEX2DEC(RIGHT(Table13232127[[#This Row],[h2]],8))</f>
        <v>0</v>
      </c>
    </row>
    <row r="1479" spans="1:18">
      <c r="A1479" s="15" t="str">
        <f t="shared" si="27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1" t="s">
        <v>75</v>
      </c>
      <c r="P1479" s="41">
        <f>HEX2DEC(RIGHT(Table13232127[[#This Row],[h1]],8))</f>
        <v>0</v>
      </c>
      <c r="Q1479" s="41" t="s">
        <v>75</v>
      </c>
      <c r="R1479" s="41">
        <f>HEX2DEC(RIGHT(Table13232127[[#This Row],[h2]],8))</f>
        <v>0</v>
      </c>
    </row>
    <row r="1480" spans="1:18">
      <c r="A1480" s="15" t="str">
        <f t="shared" si="27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1" t="s">
        <v>75</v>
      </c>
      <c r="P1480" s="41">
        <f>HEX2DEC(RIGHT(Table13232127[[#This Row],[h1]],8))</f>
        <v>0</v>
      </c>
      <c r="Q1480" s="41" t="s">
        <v>75</v>
      </c>
      <c r="R1480" s="41">
        <f>HEX2DEC(RIGHT(Table13232127[[#This Row],[h2]],8))</f>
        <v>0</v>
      </c>
    </row>
    <row r="1481" spans="1:18">
      <c r="A1481" s="15" t="str">
        <f t="shared" si="27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1" t="s">
        <v>75</v>
      </c>
      <c r="P1481" s="41">
        <f>HEX2DEC(RIGHT(Table13232127[[#This Row],[h1]],8))</f>
        <v>0</v>
      </c>
      <c r="Q1481" s="41" t="s">
        <v>75</v>
      </c>
      <c r="R1481" s="41">
        <f>HEX2DEC(RIGHT(Table13232127[[#This Row],[h2]],8))</f>
        <v>0</v>
      </c>
    </row>
    <row r="1482" spans="1:18">
      <c r="A1482" s="15" t="str">
        <f t="shared" si="27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1" t="s">
        <v>75</v>
      </c>
      <c r="P1482" s="41">
        <f>HEX2DEC(RIGHT(Table13232127[[#This Row],[h1]],8))</f>
        <v>0</v>
      </c>
      <c r="Q1482" s="41" t="s">
        <v>75</v>
      </c>
      <c r="R1482" s="41">
        <f>HEX2DEC(RIGHT(Table13232127[[#This Row],[h2]],8))</f>
        <v>0</v>
      </c>
    </row>
    <row r="1483" spans="1:18">
      <c r="A1483" s="15" t="str">
        <f t="shared" ref="A1483:A1546" si="28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1" t="s">
        <v>75</v>
      </c>
      <c r="P1483" s="41">
        <f>HEX2DEC(RIGHT(Table13232127[[#This Row],[h1]],8))</f>
        <v>0</v>
      </c>
      <c r="Q1483" s="41" t="s">
        <v>75</v>
      </c>
      <c r="R1483" s="41">
        <f>HEX2DEC(RIGHT(Table13232127[[#This Row],[h2]],8))</f>
        <v>0</v>
      </c>
    </row>
    <row r="1484" spans="1:18">
      <c r="A1484" s="15" t="str">
        <f t="shared" si="28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1" t="s">
        <v>75</v>
      </c>
      <c r="P1484" s="41">
        <f>HEX2DEC(RIGHT(Table13232127[[#This Row],[h1]],8))</f>
        <v>0</v>
      </c>
      <c r="Q1484" s="41" t="s">
        <v>75</v>
      </c>
      <c r="R1484" s="41">
        <f>HEX2DEC(RIGHT(Table13232127[[#This Row],[h2]],8))</f>
        <v>0</v>
      </c>
    </row>
    <row r="1485" spans="1:18">
      <c r="A1485" s="15" t="str">
        <f t="shared" si="28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1" t="s">
        <v>75</v>
      </c>
      <c r="P1485" s="41">
        <f>HEX2DEC(RIGHT(Table13232127[[#This Row],[h1]],8))</f>
        <v>0</v>
      </c>
      <c r="Q1485" s="41" t="s">
        <v>75</v>
      </c>
      <c r="R1485" s="41">
        <f>HEX2DEC(RIGHT(Table13232127[[#This Row],[h2]],8))</f>
        <v>0</v>
      </c>
    </row>
    <row r="1486" spans="1:18">
      <c r="A1486" s="15" t="str">
        <f t="shared" si="28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1" t="s">
        <v>75</v>
      </c>
      <c r="P1486" s="41">
        <f>HEX2DEC(RIGHT(Table13232127[[#This Row],[h1]],8))</f>
        <v>0</v>
      </c>
      <c r="Q1486" s="41" t="s">
        <v>75</v>
      </c>
      <c r="R1486" s="41">
        <f>HEX2DEC(RIGHT(Table13232127[[#This Row],[h2]],8))</f>
        <v>0</v>
      </c>
    </row>
    <row r="1487" spans="1:18">
      <c r="A1487" s="15" t="str">
        <f t="shared" si="28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1" t="s">
        <v>75</v>
      </c>
      <c r="P1487" s="41">
        <f>HEX2DEC(RIGHT(Table13232127[[#This Row],[h1]],8))</f>
        <v>0</v>
      </c>
      <c r="Q1487" s="41" t="s">
        <v>75</v>
      </c>
      <c r="R1487" s="41">
        <f>HEX2DEC(RIGHT(Table13232127[[#This Row],[h2]],8))</f>
        <v>0</v>
      </c>
    </row>
    <row r="1488" spans="1:18">
      <c r="A1488" s="15" t="str">
        <f t="shared" si="28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1" t="s">
        <v>75</v>
      </c>
      <c r="P1488" s="41">
        <f>HEX2DEC(RIGHT(Table13232127[[#This Row],[h1]],8))</f>
        <v>0</v>
      </c>
      <c r="Q1488" s="41" t="s">
        <v>75</v>
      </c>
      <c r="R1488" s="41">
        <f>HEX2DEC(RIGHT(Table13232127[[#This Row],[h2]],8))</f>
        <v>0</v>
      </c>
    </row>
    <row r="1489" spans="1:18">
      <c r="A1489" s="15" t="str">
        <f t="shared" si="28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1" t="s">
        <v>75</v>
      </c>
      <c r="P1489" s="41">
        <f>HEX2DEC(RIGHT(Table13232127[[#This Row],[h1]],8))</f>
        <v>0</v>
      </c>
      <c r="Q1489" s="41" t="s">
        <v>75</v>
      </c>
      <c r="R1489" s="41">
        <f>HEX2DEC(RIGHT(Table13232127[[#This Row],[h2]],8))</f>
        <v>0</v>
      </c>
    </row>
    <row r="1490" spans="1:18">
      <c r="A1490" s="15" t="str">
        <f t="shared" si="28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1" t="s">
        <v>75</v>
      </c>
      <c r="P1490" s="41">
        <f>HEX2DEC(RIGHT(Table13232127[[#This Row],[h1]],8))</f>
        <v>0</v>
      </c>
      <c r="Q1490" s="41" t="s">
        <v>75</v>
      </c>
      <c r="R1490" s="41">
        <f>HEX2DEC(RIGHT(Table13232127[[#This Row],[h2]],8))</f>
        <v>0</v>
      </c>
    </row>
    <row r="1491" spans="1:18">
      <c r="A1491" s="15" t="str">
        <f t="shared" si="28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1" t="s">
        <v>75</v>
      </c>
      <c r="P1491" s="41">
        <f>HEX2DEC(RIGHT(Table13232127[[#This Row],[h1]],8))</f>
        <v>0</v>
      </c>
      <c r="Q1491" s="41" t="s">
        <v>75</v>
      </c>
      <c r="R1491" s="41">
        <f>HEX2DEC(RIGHT(Table13232127[[#This Row],[h2]],8))</f>
        <v>0</v>
      </c>
    </row>
    <row r="1492" spans="1:18">
      <c r="A1492" s="15" t="str">
        <f t="shared" si="28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1" t="s">
        <v>75</v>
      </c>
      <c r="P1492" s="41">
        <f>HEX2DEC(RIGHT(Table13232127[[#This Row],[h1]],8))</f>
        <v>0</v>
      </c>
      <c r="Q1492" s="41" t="s">
        <v>75</v>
      </c>
      <c r="R1492" s="41">
        <f>HEX2DEC(RIGHT(Table13232127[[#This Row],[h2]],8))</f>
        <v>0</v>
      </c>
    </row>
    <row r="1493" spans="1:18">
      <c r="A1493" s="15" t="str">
        <f t="shared" si="28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1" t="s">
        <v>75</v>
      </c>
      <c r="P1493" s="41">
        <f>HEX2DEC(RIGHT(Table13232127[[#This Row],[h1]],8))</f>
        <v>0</v>
      </c>
      <c r="Q1493" s="41" t="s">
        <v>75</v>
      </c>
      <c r="R1493" s="41">
        <f>HEX2DEC(RIGHT(Table13232127[[#This Row],[h2]],8))</f>
        <v>0</v>
      </c>
    </row>
    <row r="1494" spans="1:18">
      <c r="A1494" s="15" t="str">
        <f t="shared" si="28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1" t="s">
        <v>75</v>
      </c>
      <c r="P1494" s="41">
        <f>HEX2DEC(RIGHT(Table13232127[[#This Row],[h1]],8))</f>
        <v>0</v>
      </c>
      <c r="Q1494" s="41" t="s">
        <v>75</v>
      </c>
      <c r="R1494" s="41">
        <f>HEX2DEC(RIGHT(Table13232127[[#This Row],[h2]],8))</f>
        <v>0</v>
      </c>
    </row>
    <row r="1495" spans="1:18">
      <c r="A1495" s="15" t="str">
        <f t="shared" si="28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1" t="s">
        <v>75</v>
      </c>
      <c r="P1495" s="41">
        <f>HEX2DEC(RIGHT(Table13232127[[#This Row],[h1]],8))</f>
        <v>0</v>
      </c>
      <c r="Q1495" s="41" t="s">
        <v>75</v>
      </c>
      <c r="R1495" s="41">
        <f>HEX2DEC(RIGHT(Table13232127[[#This Row],[h2]],8))</f>
        <v>0</v>
      </c>
    </row>
    <row r="1496" spans="1:18">
      <c r="A1496" s="15" t="str">
        <f t="shared" si="28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1" t="s">
        <v>75</v>
      </c>
      <c r="P1496" s="41">
        <f>HEX2DEC(RIGHT(Table13232127[[#This Row],[h1]],8))</f>
        <v>0</v>
      </c>
      <c r="Q1496" s="41" t="s">
        <v>75</v>
      </c>
      <c r="R1496" s="41">
        <f>HEX2DEC(RIGHT(Table13232127[[#This Row],[h2]],8))</f>
        <v>0</v>
      </c>
    </row>
    <row r="1497" spans="1:18">
      <c r="A1497" s="15" t="str">
        <f t="shared" si="28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1" t="s">
        <v>75</v>
      </c>
      <c r="P1497" s="41">
        <f>HEX2DEC(RIGHT(Table13232127[[#This Row],[h1]],8))</f>
        <v>0</v>
      </c>
      <c r="Q1497" s="41" t="s">
        <v>75</v>
      </c>
      <c r="R1497" s="41">
        <f>HEX2DEC(RIGHT(Table13232127[[#This Row],[h2]],8))</f>
        <v>0</v>
      </c>
    </row>
    <row r="1498" spans="1:18">
      <c r="A1498" s="15" t="str">
        <f t="shared" si="28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1" t="s">
        <v>75</v>
      </c>
      <c r="P1498" s="41">
        <f>HEX2DEC(RIGHT(Table13232127[[#This Row],[h1]],8))</f>
        <v>0</v>
      </c>
      <c r="Q1498" s="41" t="s">
        <v>75</v>
      </c>
      <c r="R1498" s="41">
        <f>HEX2DEC(RIGHT(Table13232127[[#This Row],[h2]],8))</f>
        <v>0</v>
      </c>
    </row>
    <row r="1499" spans="1:18">
      <c r="A1499" s="15" t="str">
        <f t="shared" si="28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1" t="s">
        <v>75</v>
      </c>
      <c r="P1499" s="41">
        <f>HEX2DEC(RIGHT(Table13232127[[#This Row],[h1]],8))</f>
        <v>0</v>
      </c>
      <c r="Q1499" s="41" t="s">
        <v>75</v>
      </c>
      <c r="R1499" s="41">
        <f>HEX2DEC(RIGHT(Table13232127[[#This Row],[h2]],8))</f>
        <v>0</v>
      </c>
    </row>
    <row r="1500" spans="1:18">
      <c r="A1500" s="15" t="str">
        <f t="shared" si="28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1" t="s">
        <v>75</v>
      </c>
      <c r="P1500" s="41">
        <f>HEX2DEC(RIGHT(Table13232127[[#This Row],[h1]],8))</f>
        <v>0</v>
      </c>
      <c r="Q1500" s="41" t="s">
        <v>75</v>
      </c>
      <c r="R1500" s="41">
        <f>HEX2DEC(RIGHT(Table13232127[[#This Row],[h2]],8))</f>
        <v>0</v>
      </c>
    </row>
    <row r="1501" spans="1:18">
      <c r="A1501" s="15" t="str">
        <f t="shared" si="28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1" t="s">
        <v>75</v>
      </c>
      <c r="P1501" s="41">
        <f>HEX2DEC(RIGHT(Table13232127[[#This Row],[h1]],8))</f>
        <v>0</v>
      </c>
      <c r="Q1501" s="41" t="s">
        <v>75</v>
      </c>
      <c r="R1501" s="41">
        <f>HEX2DEC(RIGHT(Table13232127[[#This Row],[h2]],8))</f>
        <v>0</v>
      </c>
    </row>
    <row r="1502" spans="1:18">
      <c r="A1502" s="15" t="str">
        <f t="shared" si="28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1" t="s">
        <v>75</v>
      </c>
      <c r="P1502" s="41">
        <f>HEX2DEC(RIGHT(Table13232127[[#This Row],[h1]],8))</f>
        <v>0</v>
      </c>
      <c r="Q1502" s="41" t="s">
        <v>75</v>
      </c>
      <c r="R1502" s="41">
        <f>HEX2DEC(RIGHT(Table13232127[[#This Row],[h2]],8))</f>
        <v>0</v>
      </c>
    </row>
    <row r="1503" spans="1:18">
      <c r="A1503" s="15" t="str">
        <f t="shared" si="28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1" t="s">
        <v>75</v>
      </c>
      <c r="P1503" s="41">
        <f>HEX2DEC(RIGHT(Table13232127[[#This Row],[h1]],8))</f>
        <v>0</v>
      </c>
      <c r="Q1503" s="41" t="s">
        <v>75</v>
      </c>
      <c r="R1503" s="41">
        <f>HEX2DEC(RIGHT(Table13232127[[#This Row],[h2]],8))</f>
        <v>0</v>
      </c>
    </row>
    <row r="1504" spans="1:18">
      <c r="A1504" s="15" t="str">
        <f t="shared" si="28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1" t="s">
        <v>75</v>
      </c>
      <c r="P1504" s="41">
        <f>HEX2DEC(RIGHT(Table13232127[[#This Row],[h1]],8))</f>
        <v>0</v>
      </c>
      <c r="Q1504" s="41" t="s">
        <v>75</v>
      </c>
      <c r="R1504" s="41">
        <f>HEX2DEC(RIGHT(Table13232127[[#This Row],[h2]],8))</f>
        <v>0</v>
      </c>
    </row>
    <row r="1505" spans="1:18">
      <c r="A1505" s="15" t="str">
        <f t="shared" si="28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1" t="s">
        <v>75</v>
      </c>
      <c r="P1505" s="41">
        <f>HEX2DEC(RIGHT(Table13232127[[#This Row],[h1]],8))</f>
        <v>0</v>
      </c>
      <c r="Q1505" s="41" t="s">
        <v>75</v>
      </c>
      <c r="R1505" s="41">
        <f>HEX2DEC(RIGHT(Table13232127[[#This Row],[h2]],8))</f>
        <v>0</v>
      </c>
    </row>
    <row r="1506" spans="1:18">
      <c r="A1506" s="15" t="str">
        <f t="shared" si="28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1" t="s">
        <v>75</v>
      </c>
      <c r="P1506" s="41">
        <f>HEX2DEC(RIGHT(Table13232127[[#This Row],[h1]],8))</f>
        <v>0</v>
      </c>
      <c r="Q1506" s="41" t="s">
        <v>75</v>
      </c>
      <c r="R1506" s="41">
        <f>HEX2DEC(RIGHT(Table13232127[[#This Row],[h2]],8))</f>
        <v>0</v>
      </c>
    </row>
    <row r="1507" spans="1:18">
      <c r="A1507" s="15" t="str">
        <f t="shared" si="28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1" t="s">
        <v>75</v>
      </c>
      <c r="P1507" s="41">
        <f>HEX2DEC(RIGHT(Table13232127[[#This Row],[h1]],8))</f>
        <v>0</v>
      </c>
      <c r="Q1507" s="41" t="s">
        <v>75</v>
      </c>
      <c r="R1507" s="41">
        <f>HEX2DEC(RIGHT(Table13232127[[#This Row],[h2]],8))</f>
        <v>0</v>
      </c>
    </row>
    <row r="1508" spans="1:18">
      <c r="A1508" s="15" t="str">
        <f t="shared" si="28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1" t="s">
        <v>75</v>
      </c>
      <c r="P1508" s="41">
        <f>HEX2DEC(RIGHT(Table13232127[[#This Row],[h1]],8))</f>
        <v>0</v>
      </c>
      <c r="Q1508" s="41" t="s">
        <v>75</v>
      </c>
      <c r="R1508" s="41">
        <f>HEX2DEC(RIGHT(Table13232127[[#This Row],[h2]],8))</f>
        <v>0</v>
      </c>
    </row>
    <row r="1509" spans="1:18">
      <c r="A1509" s="15" t="str">
        <f t="shared" si="28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1" t="s">
        <v>75</v>
      </c>
      <c r="P1509" s="41">
        <f>HEX2DEC(RIGHT(Table13232127[[#This Row],[h1]],8))</f>
        <v>0</v>
      </c>
      <c r="Q1509" s="41" t="s">
        <v>75</v>
      </c>
      <c r="R1509" s="41">
        <f>HEX2DEC(RIGHT(Table13232127[[#This Row],[h2]],8))</f>
        <v>0</v>
      </c>
    </row>
    <row r="1510" spans="1:18">
      <c r="A1510" s="15" t="str">
        <f t="shared" si="28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1" t="s">
        <v>75</v>
      </c>
      <c r="P1510" s="41">
        <f>HEX2DEC(RIGHT(Table13232127[[#This Row],[h1]],8))</f>
        <v>0</v>
      </c>
      <c r="Q1510" s="41" t="s">
        <v>75</v>
      </c>
      <c r="R1510" s="41">
        <f>HEX2DEC(RIGHT(Table13232127[[#This Row],[h2]],8))</f>
        <v>0</v>
      </c>
    </row>
    <row r="1511" spans="1:18">
      <c r="A1511" s="15" t="str">
        <f t="shared" si="28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1" t="s">
        <v>75</v>
      </c>
      <c r="P1511" s="41">
        <f>HEX2DEC(RIGHT(Table13232127[[#This Row],[h1]],8))</f>
        <v>0</v>
      </c>
      <c r="Q1511" s="41" t="s">
        <v>75</v>
      </c>
      <c r="R1511" s="41">
        <f>HEX2DEC(RIGHT(Table13232127[[#This Row],[h2]],8))</f>
        <v>0</v>
      </c>
    </row>
    <row r="1512" spans="1:18">
      <c r="A1512" s="15" t="str">
        <f t="shared" si="28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1" t="s">
        <v>75</v>
      </c>
      <c r="P1512" s="41">
        <f>HEX2DEC(RIGHT(Table13232127[[#This Row],[h1]],8))</f>
        <v>0</v>
      </c>
      <c r="Q1512" s="41" t="s">
        <v>75</v>
      </c>
      <c r="R1512" s="41">
        <f>HEX2DEC(RIGHT(Table13232127[[#This Row],[h2]],8))</f>
        <v>0</v>
      </c>
    </row>
    <row r="1513" spans="1:18">
      <c r="A1513" s="15" t="str">
        <f t="shared" si="28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1" t="s">
        <v>75</v>
      </c>
      <c r="P1513" s="41">
        <f>HEX2DEC(RIGHT(Table13232127[[#This Row],[h1]],8))</f>
        <v>0</v>
      </c>
      <c r="Q1513" s="41" t="s">
        <v>75</v>
      </c>
      <c r="R1513" s="41">
        <f>HEX2DEC(RIGHT(Table13232127[[#This Row],[h2]],8))</f>
        <v>0</v>
      </c>
    </row>
    <row r="1514" spans="1:18">
      <c r="A1514" s="15" t="str">
        <f t="shared" si="28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1" t="s">
        <v>75</v>
      </c>
      <c r="P1514" s="41">
        <f>HEX2DEC(RIGHT(Table13232127[[#This Row],[h1]],8))</f>
        <v>0</v>
      </c>
      <c r="Q1514" s="41" t="s">
        <v>75</v>
      </c>
      <c r="R1514" s="41">
        <f>HEX2DEC(RIGHT(Table13232127[[#This Row],[h2]],8))</f>
        <v>0</v>
      </c>
    </row>
    <row r="1515" spans="1:18">
      <c r="A1515" s="15" t="str">
        <f t="shared" si="28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1" t="s">
        <v>75</v>
      </c>
      <c r="P1515" s="41">
        <f>HEX2DEC(RIGHT(Table13232127[[#This Row],[h1]],8))</f>
        <v>0</v>
      </c>
      <c r="Q1515" s="41" t="s">
        <v>75</v>
      </c>
      <c r="R1515" s="41">
        <f>HEX2DEC(RIGHT(Table13232127[[#This Row],[h2]],8))</f>
        <v>0</v>
      </c>
    </row>
    <row r="1516" spans="1:18">
      <c r="A1516" s="15" t="str">
        <f t="shared" si="28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1" t="s">
        <v>75</v>
      </c>
      <c r="P1516" s="41">
        <f>HEX2DEC(RIGHT(Table13232127[[#This Row],[h1]],8))</f>
        <v>0</v>
      </c>
      <c r="Q1516" s="41" t="s">
        <v>75</v>
      </c>
      <c r="R1516" s="41">
        <f>HEX2DEC(RIGHT(Table13232127[[#This Row],[h2]],8))</f>
        <v>0</v>
      </c>
    </row>
    <row r="1517" spans="1:18">
      <c r="A1517" s="15" t="str">
        <f t="shared" si="28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1" t="s">
        <v>75</v>
      </c>
      <c r="P1517" s="41">
        <f>HEX2DEC(RIGHT(Table13232127[[#This Row],[h1]],8))</f>
        <v>0</v>
      </c>
      <c r="Q1517" s="41" t="s">
        <v>75</v>
      </c>
      <c r="R1517" s="41">
        <f>HEX2DEC(RIGHT(Table13232127[[#This Row],[h2]],8))</f>
        <v>0</v>
      </c>
    </row>
    <row r="1518" spans="1:18">
      <c r="A1518" s="15" t="str">
        <f t="shared" si="28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1" t="s">
        <v>75</v>
      </c>
      <c r="P1518" s="41">
        <f>HEX2DEC(RIGHT(Table13232127[[#This Row],[h1]],8))</f>
        <v>0</v>
      </c>
      <c r="Q1518" s="41" t="s">
        <v>75</v>
      </c>
      <c r="R1518" s="41">
        <f>HEX2DEC(RIGHT(Table13232127[[#This Row],[h2]],8))</f>
        <v>0</v>
      </c>
    </row>
    <row r="1519" spans="1:18">
      <c r="A1519" s="15" t="str">
        <f t="shared" si="28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1" t="s">
        <v>75</v>
      </c>
      <c r="P1519" s="41">
        <f>HEX2DEC(RIGHT(Table13232127[[#This Row],[h1]],8))</f>
        <v>0</v>
      </c>
      <c r="Q1519" s="41" t="s">
        <v>75</v>
      </c>
      <c r="R1519" s="41">
        <f>HEX2DEC(RIGHT(Table13232127[[#This Row],[h2]],8))</f>
        <v>0</v>
      </c>
    </row>
    <row r="1520" spans="1:18">
      <c r="A1520" s="15" t="str">
        <f t="shared" si="28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1" t="s">
        <v>75</v>
      </c>
      <c r="P1520" s="41">
        <f>HEX2DEC(RIGHT(Table13232127[[#This Row],[h1]],8))</f>
        <v>0</v>
      </c>
      <c r="Q1520" s="41" t="s">
        <v>75</v>
      </c>
      <c r="R1520" s="41">
        <f>HEX2DEC(RIGHT(Table13232127[[#This Row],[h2]],8))</f>
        <v>0</v>
      </c>
    </row>
    <row r="1521" spans="1:18">
      <c r="A1521" s="15" t="str">
        <f t="shared" si="28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1" t="s">
        <v>75</v>
      </c>
      <c r="P1521" s="41">
        <f>HEX2DEC(RIGHT(Table13232127[[#This Row],[h1]],8))</f>
        <v>0</v>
      </c>
      <c r="Q1521" s="41" t="s">
        <v>75</v>
      </c>
      <c r="R1521" s="41">
        <f>HEX2DEC(RIGHT(Table13232127[[#This Row],[h2]],8))</f>
        <v>0</v>
      </c>
    </row>
    <row r="1522" spans="1:18">
      <c r="A1522" s="15" t="str">
        <f t="shared" si="28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1" t="s">
        <v>75</v>
      </c>
      <c r="P1522" s="41">
        <f>HEX2DEC(RIGHT(Table13232127[[#This Row],[h1]],8))</f>
        <v>0</v>
      </c>
      <c r="Q1522" s="41" t="s">
        <v>75</v>
      </c>
      <c r="R1522" s="41">
        <f>HEX2DEC(RIGHT(Table13232127[[#This Row],[h2]],8))</f>
        <v>0</v>
      </c>
    </row>
    <row r="1523" spans="1:18">
      <c r="A1523" s="15" t="str">
        <f t="shared" si="28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1" t="s">
        <v>75</v>
      </c>
      <c r="P1523" s="41">
        <f>HEX2DEC(RIGHT(Table13232127[[#This Row],[h1]],8))</f>
        <v>0</v>
      </c>
      <c r="Q1523" s="41" t="s">
        <v>75</v>
      </c>
      <c r="R1523" s="41">
        <f>HEX2DEC(RIGHT(Table13232127[[#This Row],[h2]],8))</f>
        <v>0</v>
      </c>
    </row>
    <row r="1524" spans="1:18">
      <c r="A1524" s="15" t="str">
        <f t="shared" si="28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1" t="s">
        <v>75</v>
      </c>
      <c r="P1524" s="41">
        <f>HEX2DEC(RIGHT(Table13232127[[#This Row],[h1]],8))</f>
        <v>0</v>
      </c>
      <c r="Q1524" s="41" t="s">
        <v>75</v>
      </c>
      <c r="R1524" s="41">
        <f>HEX2DEC(RIGHT(Table13232127[[#This Row],[h2]],8))</f>
        <v>0</v>
      </c>
    </row>
    <row r="1525" spans="1:18">
      <c r="A1525" s="15" t="str">
        <f t="shared" si="28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1" t="s">
        <v>75</v>
      </c>
      <c r="P1525" s="41">
        <f>HEX2DEC(RIGHT(Table13232127[[#This Row],[h1]],8))</f>
        <v>0</v>
      </c>
      <c r="Q1525" s="41" t="s">
        <v>75</v>
      </c>
      <c r="R1525" s="41">
        <f>HEX2DEC(RIGHT(Table13232127[[#This Row],[h2]],8))</f>
        <v>0</v>
      </c>
    </row>
    <row r="1526" spans="1:18">
      <c r="A1526" s="15" t="str">
        <f t="shared" si="28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1" t="s">
        <v>75</v>
      </c>
      <c r="P1526" s="41">
        <f>HEX2DEC(RIGHT(Table13232127[[#This Row],[h1]],8))</f>
        <v>0</v>
      </c>
      <c r="Q1526" s="41" t="s">
        <v>75</v>
      </c>
      <c r="R1526" s="41">
        <f>HEX2DEC(RIGHT(Table13232127[[#This Row],[h2]],8))</f>
        <v>0</v>
      </c>
    </row>
    <row r="1527" spans="1:18">
      <c r="A1527" s="15" t="str">
        <f t="shared" si="28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1" t="s">
        <v>75</v>
      </c>
      <c r="P1527" s="41">
        <f>HEX2DEC(RIGHT(Table13232127[[#This Row],[h1]],8))</f>
        <v>0</v>
      </c>
      <c r="Q1527" s="41" t="s">
        <v>75</v>
      </c>
      <c r="R1527" s="41">
        <f>HEX2DEC(RIGHT(Table13232127[[#This Row],[h2]],8))</f>
        <v>0</v>
      </c>
    </row>
    <row r="1528" spans="1:18">
      <c r="A1528" s="15" t="str">
        <f t="shared" si="28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1" t="s">
        <v>75</v>
      </c>
      <c r="P1528" s="41">
        <f>HEX2DEC(RIGHT(Table13232127[[#This Row],[h1]],8))</f>
        <v>0</v>
      </c>
      <c r="Q1528" s="41" t="s">
        <v>75</v>
      </c>
      <c r="R1528" s="41">
        <f>HEX2DEC(RIGHT(Table13232127[[#This Row],[h2]],8))</f>
        <v>0</v>
      </c>
    </row>
    <row r="1529" spans="1:18">
      <c r="A1529" s="15" t="str">
        <f t="shared" si="28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1" t="s">
        <v>75</v>
      </c>
      <c r="P1529" s="41">
        <f>HEX2DEC(RIGHT(Table13232127[[#This Row],[h1]],8))</f>
        <v>0</v>
      </c>
      <c r="Q1529" s="41" t="s">
        <v>75</v>
      </c>
      <c r="R1529" s="41">
        <f>HEX2DEC(RIGHT(Table13232127[[#This Row],[h2]],8))</f>
        <v>0</v>
      </c>
    </row>
    <row r="1530" spans="1:18">
      <c r="A1530" s="15" t="str">
        <f t="shared" si="28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1" t="s">
        <v>75</v>
      </c>
      <c r="P1530" s="41">
        <f>HEX2DEC(RIGHT(Table13232127[[#This Row],[h1]],8))</f>
        <v>0</v>
      </c>
      <c r="Q1530" s="41" t="s">
        <v>75</v>
      </c>
      <c r="R1530" s="41">
        <f>HEX2DEC(RIGHT(Table13232127[[#This Row],[h2]],8))</f>
        <v>0</v>
      </c>
    </row>
    <row r="1531" spans="1:18">
      <c r="A1531" s="15" t="str">
        <f t="shared" si="28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1" t="s">
        <v>75</v>
      </c>
      <c r="P1531" s="41">
        <f>HEX2DEC(RIGHT(Table13232127[[#This Row],[h1]],8))</f>
        <v>0</v>
      </c>
      <c r="Q1531" s="41" t="s">
        <v>75</v>
      </c>
      <c r="R1531" s="41">
        <f>HEX2DEC(RIGHT(Table13232127[[#This Row],[h2]],8))</f>
        <v>0</v>
      </c>
    </row>
    <row r="1532" spans="1:18">
      <c r="A1532" s="15" t="str">
        <f t="shared" si="28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1" t="s">
        <v>75</v>
      </c>
      <c r="P1532" s="41">
        <f>HEX2DEC(RIGHT(Table13232127[[#This Row],[h1]],8))</f>
        <v>0</v>
      </c>
      <c r="Q1532" s="41" t="s">
        <v>75</v>
      </c>
      <c r="R1532" s="41">
        <f>HEX2DEC(RIGHT(Table13232127[[#This Row],[h2]],8))</f>
        <v>0</v>
      </c>
    </row>
    <row r="1533" spans="1:18">
      <c r="A1533" s="15" t="str">
        <f t="shared" si="28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1" t="s">
        <v>75</v>
      </c>
      <c r="P1533" s="41">
        <f>HEX2DEC(RIGHT(Table13232127[[#This Row],[h1]],8))</f>
        <v>0</v>
      </c>
      <c r="Q1533" s="41" t="s">
        <v>75</v>
      </c>
      <c r="R1533" s="41">
        <f>HEX2DEC(RIGHT(Table13232127[[#This Row],[h2]],8))</f>
        <v>0</v>
      </c>
    </row>
    <row r="1534" spans="1:18">
      <c r="A1534" s="15" t="str">
        <f t="shared" si="28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1" t="s">
        <v>75</v>
      </c>
      <c r="P1534" s="41">
        <f>HEX2DEC(RIGHT(Table13232127[[#This Row],[h1]],8))</f>
        <v>0</v>
      </c>
      <c r="Q1534" s="41" t="s">
        <v>75</v>
      </c>
      <c r="R1534" s="41">
        <f>HEX2DEC(RIGHT(Table13232127[[#This Row],[h2]],8))</f>
        <v>0</v>
      </c>
    </row>
    <row r="1535" spans="1:18">
      <c r="A1535" s="15" t="str">
        <f t="shared" si="28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1" t="s">
        <v>75</v>
      </c>
      <c r="P1535" s="41">
        <f>HEX2DEC(RIGHT(Table13232127[[#This Row],[h1]],8))</f>
        <v>0</v>
      </c>
      <c r="Q1535" s="41" t="s">
        <v>75</v>
      </c>
      <c r="R1535" s="41">
        <f>HEX2DEC(RIGHT(Table13232127[[#This Row],[h2]],8))</f>
        <v>0</v>
      </c>
    </row>
    <row r="1536" spans="1:18">
      <c r="A1536" s="15" t="str">
        <f t="shared" si="28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1" t="s">
        <v>75</v>
      </c>
      <c r="P1536" s="41">
        <f>HEX2DEC(RIGHT(Table13232127[[#This Row],[h1]],8))</f>
        <v>0</v>
      </c>
      <c r="Q1536" s="41" t="s">
        <v>75</v>
      </c>
      <c r="R1536" s="41">
        <f>HEX2DEC(RIGHT(Table13232127[[#This Row],[h2]],8))</f>
        <v>0</v>
      </c>
    </row>
    <row r="1537" spans="1:18">
      <c r="A1537" s="15" t="str">
        <f t="shared" si="28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1" t="s">
        <v>75</v>
      </c>
      <c r="P1537" s="41">
        <f>HEX2DEC(RIGHT(Table13232127[[#This Row],[h1]],8))</f>
        <v>0</v>
      </c>
      <c r="Q1537" s="41" t="s">
        <v>75</v>
      </c>
      <c r="R1537" s="41">
        <f>HEX2DEC(RIGHT(Table13232127[[#This Row],[h2]],8))</f>
        <v>0</v>
      </c>
    </row>
    <row r="1538" spans="1:18">
      <c r="A1538" s="15" t="str">
        <f t="shared" si="28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1" t="s">
        <v>75</v>
      </c>
      <c r="P1538" s="41">
        <f>HEX2DEC(RIGHT(Table13232127[[#This Row],[h1]],8))</f>
        <v>0</v>
      </c>
      <c r="Q1538" s="41" t="s">
        <v>75</v>
      </c>
      <c r="R1538" s="41">
        <f>HEX2DEC(RIGHT(Table13232127[[#This Row],[h2]],8))</f>
        <v>0</v>
      </c>
    </row>
    <row r="1539" spans="1:18">
      <c r="A1539" s="15" t="str">
        <f t="shared" si="28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1" t="s">
        <v>75</v>
      </c>
      <c r="P1539" s="41">
        <f>HEX2DEC(RIGHT(Table13232127[[#This Row],[h1]],8))</f>
        <v>0</v>
      </c>
      <c r="Q1539" s="41" t="s">
        <v>75</v>
      </c>
      <c r="R1539" s="41">
        <f>HEX2DEC(RIGHT(Table13232127[[#This Row],[h2]],8))</f>
        <v>0</v>
      </c>
    </row>
    <row r="1540" spans="1:18">
      <c r="A1540" s="15" t="str">
        <f t="shared" si="28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1" t="s">
        <v>75</v>
      </c>
      <c r="P1540" s="41">
        <f>HEX2DEC(RIGHT(Table13232127[[#This Row],[h1]],8))</f>
        <v>0</v>
      </c>
      <c r="Q1540" s="41" t="s">
        <v>75</v>
      </c>
      <c r="R1540" s="41">
        <f>HEX2DEC(RIGHT(Table13232127[[#This Row],[h2]],8))</f>
        <v>0</v>
      </c>
    </row>
    <row r="1541" spans="1:18">
      <c r="A1541" s="15" t="str">
        <f t="shared" si="28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1" t="s">
        <v>75</v>
      </c>
      <c r="P1541" s="41">
        <f>HEX2DEC(RIGHT(Table13232127[[#This Row],[h1]],8))</f>
        <v>0</v>
      </c>
      <c r="Q1541" s="41" t="s">
        <v>75</v>
      </c>
      <c r="R1541" s="41">
        <f>HEX2DEC(RIGHT(Table13232127[[#This Row],[h2]],8))</f>
        <v>0</v>
      </c>
    </row>
    <row r="1542" spans="1:18">
      <c r="A1542" s="15" t="str">
        <f t="shared" si="28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1" t="s">
        <v>75</v>
      </c>
      <c r="P1542" s="41">
        <f>HEX2DEC(RIGHT(Table13232127[[#This Row],[h1]],8))</f>
        <v>0</v>
      </c>
      <c r="Q1542" s="41" t="s">
        <v>75</v>
      </c>
      <c r="R1542" s="41">
        <f>HEX2DEC(RIGHT(Table13232127[[#This Row],[h2]],8))</f>
        <v>0</v>
      </c>
    </row>
    <row r="1543" spans="1:18">
      <c r="A1543" s="15" t="str">
        <f t="shared" si="28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1" t="s">
        <v>75</v>
      </c>
      <c r="P1543" s="41">
        <f>HEX2DEC(RIGHT(Table13232127[[#This Row],[h1]],8))</f>
        <v>0</v>
      </c>
      <c r="Q1543" s="41" t="s">
        <v>75</v>
      </c>
      <c r="R1543" s="41">
        <f>HEX2DEC(RIGHT(Table13232127[[#This Row],[h2]],8))</f>
        <v>0</v>
      </c>
    </row>
    <row r="1544" spans="1:18">
      <c r="A1544" s="15" t="str">
        <f t="shared" si="28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1" t="s">
        <v>75</v>
      </c>
      <c r="P1544" s="41">
        <f>HEX2DEC(RIGHT(Table13232127[[#This Row],[h1]],8))</f>
        <v>0</v>
      </c>
      <c r="Q1544" s="41" t="s">
        <v>75</v>
      </c>
      <c r="R1544" s="41">
        <f>HEX2DEC(RIGHT(Table13232127[[#This Row],[h2]],8))</f>
        <v>0</v>
      </c>
    </row>
    <row r="1545" spans="1:18">
      <c r="A1545" s="15" t="str">
        <f t="shared" si="28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1" t="s">
        <v>75</v>
      </c>
      <c r="P1545" s="41">
        <f>HEX2DEC(RIGHT(Table13232127[[#This Row],[h1]],8))</f>
        <v>0</v>
      </c>
      <c r="Q1545" s="41" t="s">
        <v>75</v>
      </c>
      <c r="R1545" s="41">
        <f>HEX2DEC(RIGHT(Table13232127[[#This Row],[h2]],8))</f>
        <v>0</v>
      </c>
    </row>
    <row r="1546" spans="1:18">
      <c r="A1546" s="15" t="str">
        <f t="shared" si="28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1" t="s">
        <v>75</v>
      </c>
      <c r="P1546" s="41">
        <f>HEX2DEC(RIGHT(Table13232127[[#This Row],[h1]],8))</f>
        <v>0</v>
      </c>
      <c r="Q1546" s="41" t="s">
        <v>75</v>
      </c>
      <c r="R1546" s="41">
        <f>HEX2DEC(RIGHT(Table13232127[[#This Row],[h2]],8))</f>
        <v>0</v>
      </c>
    </row>
    <row r="1547" spans="1:18">
      <c r="A1547" s="15" t="str">
        <f t="shared" ref="A1547:A1610" si="29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1" t="s">
        <v>75</v>
      </c>
      <c r="P1547" s="41">
        <f>HEX2DEC(RIGHT(Table13232127[[#This Row],[h1]],8))</f>
        <v>0</v>
      </c>
      <c r="Q1547" s="41" t="s">
        <v>75</v>
      </c>
      <c r="R1547" s="41">
        <f>HEX2DEC(RIGHT(Table13232127[[#This Row],[h2]],8))</f>
        <v>0</v>
      </c>
    </row>
    <row r="1548" spans="1:18">
      <c r="A1548" s="15" t="str">
        <f t="shared" si="29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1" t="s">
        <v>75</v>
      </c>
      <c r="P1548" s="41">
        <f>HEX2DEC(RIGHT(Table13232127[[#This Row],[h1]],8))</f>
        <v>0</v>
      </c>
      <c r="Q1548" s="41" t="s">
        <v>75</v>
      </c>
      <c r="R1548" s="41">
        <f>HEX2DEC(RIGHT(Table13232127[[#This Row],[h2]],8))</f>
        <v>0</v>
      </c>
    </row>
    <row r="1549" spans="1:18">
      <c r="A1549" s="15" t="str">
        <f t="shared" si="29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1" t="s">
        <v>75</v>
      </c>
      <c r="P1549" s="41">
        <f>HEX2DEC(RIGHT(Table13232127[[#This Row],[h1]],8))</f>
        <v>0</v>
      </c>
      <c r="Q1549" s="41" t="s">
        <v>75</v>
      </c>
      <c r="R1549" s="41">
        <f>HEX2DEC(RIGHT(Table13232127[[#This Row],[h2]],8))</f>
        <v>0</v>
      </c>
    </row>
    <row r="1550" spans="1:18">
      <c r="A1550" s="15" t="str">
        <f t="shared" si="29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1" t="s">
        <v>75</v>
      </c>
      <c r="P1550" s="41">
        <f>HEX2DEC(RIGHT(Table13232127[[#This Row],[h1]],8))</f>
        <v>0</v>
      </c>
      <c r="Q1550" s="41" t="s">
        <v>75</v>
      </c>
      <c r="R1550" s="41">
        <f>HEX2DEC(RIGHT(Table13232127[[#This Row],[h2]],8))</f>
        <v>0</v>
      </c>
    </row>
    <row r="1551" spans="1:18">
      <c r="A1551" s="15" t="str">
        <f t="shared" si="29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1" t="s">
        <v>75</v>
      </c>
      <c r="P1551" s="41">
        <f>HEX2DEC(RIGHT(Table13232127[[#This Row],[h1]],8))</f>
        <v>0</v>
      </c>
      <c r="Q1551" s="41" t="s">
        <v>75</v>
      </c>
      <c r="R1551" s="41">
        <f>HEX2DEC(RIGHT(Table13232127[[#This Row],[h2]],8))</f>
        <v>0</v>
      </c>
    </row>
    <row r="1552" spans="1:18">
      <c r="A1552" s="15" t="str">
        <f t="shared" si="29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1" t="s">
        <v>75</v>
      </c>
      <c r="P1552" s="41">
        <f>HEX2DEC(RIGHT(Table13232127[[#This Row],[h1]],8))</f>
        <v>0</v>
      </c>
      <c r="Q1552" s="41" t="s">
        <v>75</v>
      </c>
      <c r="R1552" s="41">
        <f>HEX2DEC(RIGHT(Table13232127[[#This Row],[h2]],8))</f>
        <v>0</v>
      </c>
    </row>
    <row r="1553" spans="1:18">
      <c r="A1553" s="15" t="str">
        <f t="shared" si="29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1" t="s">
        <v>75</v>
      </c>
      <c r="P1553" s="41">
        <f>HEX2DEC(RIGHT(Table13232127[[#This Row],[h1]],8))</f>
        <v>0</v>
      </c>
      <c r="Q1553" s="41" t="s">
        <v>75</v>
      </c>
      <c r="R1553" s="41">
        <f>HEX2DEC(RIGHT(Table13232127[[#This Row],[h2]],8))</f>
        <v>0</v>
      </c>
    </row>
    <row r="1554" spans="1:18">
      <c r="A1554" s="15" t="str">
        <f t="shared" si="29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1" t="s">
        <v>75</v>
      </c>
      <c r="P1554" s="41">
        <f>HEX2DEC(RIGHT(Table13232127[[#This Row],[h1]],8))</f>
        <v>0</v>
      </c>
      <c r="Q1554" s="41" t="s">
        <v>75</v>
      </c>
      <c r="R1554" s="41">
        <f>HEX2DEC(RIGHT(Table13232127[[#This Row],[h2]],8))</f>
        <v>0</v>
      </c>
    </row>
    <row r="1555" spans="1:18">
      <c r="A1555" s="15" t="str">
        <f t="shared" si="29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1" t="s">
        <v>75</v>
      </c>
      <c r="P1555" s="41">
        <f>HEX2DEC(RIGHT(Table13232127[[#This Row],[h1]],8))</f>
        <v>0</v>
      </c>
      <c r="Q1555" s="41" t="s">
        <v>75</v>
      </c>
      <c r="R1555" s="41">
        <f>HEX2DEC(RIGHT(Table13232127[[#This Row],[h2]],8))</f>
        <v>0</v>
      </c>
    </row>
    <row r="1556" spans="1:18">
      <c r="A1556" s="15" t="str">
        <f t="shared" si="29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1" t="s">
        <v>75</v>
      </c>
      <c r="P1556" s="41">
        <f>HEX2DEC(RIGHT(Table13232127[[#This Row],[h1]],8))</f>
        <v>0</v>
      </c>
      <c r="Q1556" s="41" t="s">
        <v>75</v>
      </c>
      <c r="R1556" s="41">
        <f>HEX2DEC(RIGHT(Table13232127[[#This Row],[h2]],8))</f>
        <v>0</v>
      </c>
    </row>
    <row r="1557" spans="1:18">
      <c r="A1557" s="15" t="str">
        <f t="shared" si="29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1" t="s">
        <v>75</v>
      </c>
      <c r="P1557" s="41">
        <f>HEX2DEC(RIGHT(Table13232127[[#This Row],[h1]],8))</f>
        <v>0</v>
      </c>
      <c r="Q1557" s="41" t="s">
        <v>75</v>
      </c>
      <c r="R1557" s="41">
        <f>HEX2DEC(RIGHT(Table13232127[[#This Row],[h2]],8))</f>
        <v>0</v>
      </c>
    </row>
    <row r="1558" spans="1:18">
      <c r="A1558" s="15" t="str">
        <f t="shared" si="29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1" t="s">
        <v>75</v>
      </c>
      <c r="P1558" s="41">
        <f>HEX2DEC(RIGHT(Table13232127[[#This Row],[h1]],8))</f>
        <v>0</v>
      </c>
      <c r="Q1558" s="41" t="s">
        <v>75</v>
      </c>
      <c r="R1558" s="41">
        <f>HEX2DEC(RIGHT(Table13232127[[#This Row],[h2]],8))</f>
        <v>0</v>
      </c>
    </row>
    <row r="1559" spans="1:18">
      <c r="A1559" s="15" t="str">
        <f t="shared" si="29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1" t="s">
        <v>75</v>
      </c>
      <c r="P1559" s="41">
        <f>HEX2DEC(RIGHT(Table13232127[[#This Row],[h1]],8))</f>
        <v>0</v>
      </c>
      <c r="Q1559" s="41" t="s">
        <v>75</v>
      </c>
      <c r="R1559" s="41">
        <f>HEX2DEC(RIGHT(Table13232127[[#This Row],[h2]],8))</f>
        <v>0</v>
      </c>
    </row>
    <row r="1560" spans="1:18">
      <c r="A1560" s="15" t="str">
        <f t="shared" si="29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1" t="s">
        <v>75</v>
      </c>
      <c r="P1560" s="41">
        <f>HEX2DEC(RIGHT(Table13232127[[#This Row],[h1]],8))</f>
        <v>0</v>
      </c>
      <c r="Q1560" s="41" t="s">
        <v>75</v>
      </c>
      <c r="R1560" s="41">
        <f>HEX2DEC(RIGHT(Table13232127[[#This Row],[h2]],8))</f>
        <v>0</v>
      </c>
    </row>
    <row r="1561" spans="1:18">
      <c r="A1561" s="15" t="str">
        <f t="shared" si="29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1" t="s">
        <v>75</v>
      </c>
      <c r="P1561" s="41">
        <f>HEX2DEC(RIGHT(Table13232127[[#This Row],[h1]],8))</f>
        <v>0</v>
      </c>
      <c r="Q1561" s="41" t="s">
        <v>75</v>
      </c>
      <c r="R1561" s="41">
        <f>HEX2DEC(RIGHT(Table13232127[[#This Row],[h2]],8))</f>
        <v>0</v>
      </c>
    </row>
    <row r="1562" spans="1:18">
      <c r="A1562" s="15" t="str">
        <f t="shared" si="29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1" t="s">
        <v>75</v>
      </c>
      <c r="P1562" s="41">
        <f>HEX2DEC(RIGHT(Table13232127[[#This Row],[h1]],8))</f>
        <v>0</v>
      </c>
      <c r="Q1562" s="41" t="s">
        <v>75</v>
      </c>
      <c r="R1562" s="41">
        <f>HEX2DEC(RIGHT(Table13232127[[#This Row],[h2]],8))</f>
        <v>0</v>
      </c>
    </row>
    <row r="1563" spans="1:18">
      <c r="A1563" s="15" t="str">
        <f t="shared" si="29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1" t="s">
        <v>75</v>
      </c>
      <c r="P1563" s="41">
        <f>HEX2DEC(RIGHT(Table13232127[[#This Row],[h1]],8))</f>
        <v>0</v>
      </c>
      <c r="Q1563" s="41" t="s">
        <v>75</v>
      </c>
      <c r="R1563" s="41">
        <f>HEX2DEC(RIGHT(Table13232127[[#This Row],[h2]],8))</f>
        <v>0</v>
      </c>
    </row>
    <row r="1564" spans="1:18">
      <c r="A1564" s="15" t="str">
        <f t="shared" si="29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1" t="s">
        <v>75</v>
      </c>
      <c r="P1564" s="41">
        <f>HEX2DEC(RIGHT(Table13232127[[#This Row],[h1]],8))</f>
        <v>0</v>
      </c>
      <c r="Q1564" s="41" t="s">
        <v>75</v>
      </c>
      <c r="R1564" s="41">
        <f>HEX2DEC(RIGHT(Table13232127[[#This Row],[h2]],8))</f>
        <v>0</v>
      </c>
    </row>
    <row r="1565" spans="1:18">
      <c r="A1565" s="15" t="str">
        <f t="shared" si="29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1" t="s">
        <v>75</v>
      </c>
      <c r="P1565" s="41">
        <f>HEX2DEC(RIGHT(Table13232127[[#This Row],[h1]],8))</f>
        <v>0</v>
      </c>
      <c r="Q1565" s="41" t="s">
        <v>75</v>
      </c>
      <c r="R1565" s="41">
        <f>HEX2DEC(RIGHT(Table13232127[[#This Row],[h2]],8))</f>
        <v>0</v>
      </c>
    </row>
    <row r="1566" spans="1:18">
      <c r="A1566" s="15" t="str">
        <f t="shared" si="29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1" t="s">
        <v>75</v>
      </c>
      <c r="P1566" s="41">
        <f>HEX2DEC(RIGHT(Table13232127[[#This Row],[h1]],8))</f>
        <v>0</v>
      </c>
      <c r="Q1566" s="41" t="s">
        <v>75</v>
      </c>
      <c r="R1566" s="41">
        <f>HEX2DEC(RIGHT(Table13232127[[#This Row],[h2]],8))</f>
        <v>0</v>
      </c>
    </row>
    <row r="1567" spans="1:18">
      <c r="A1567" s="15" t="str">
        <f t="shared" si="29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1" t="s">
        <v>75</v>
      </c>
      <c r="P1567" s="41">
        <f>HEX2DEC(RIGHT(Table13232127[[#This Row],[h1]],8))</f>
        <v>0</v>
      </c>
      <c r="Q1567" s="41" t="s">
        <v>75</v>
      </c>
      <c r="R1567" s="41">
        <f>HEX2DEC(RIGHT(Table13232127[[#This Row],[h2]],8))</f>
        <v>0</v>
      </c>
    </row>
    <row r="1568" spans="1:18">
      <c r="A1568" s="15" t="str">
        <f t="shared" si="29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1" t="s">
        <v>75</v>
      </c>
      <c r="P1568" s="41">
        <f>HEX2DEC(RIGHT(Table13232127[[#This Row],[h1]],8))</f>
        <v>0</v>
      </c>
      <c r="Q1568" s="41" t="s">
        <v>75</v>
      </c>
      <c r="R1568" s="41">
        <f>HEX2DEC(RIGHT(Table13232127[[#This Row],[h2]],8))</f>
        <v>0</v>
      </c>
    </row>
    <row r="1569" spans="1:18">
      <c r="A1569" s="15" t="str">
        <f t="shared" si="29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1" t="s">
        <v>75</v>
      </c>
      <c r="P1569" s="41">
        <f>HEX2DEC(RIGHT(Table13232127[[#This Row],[h1]],8))</f>
        <v>0</v>
      </c>
      <c r="Q1569" s="41" t="s">
        <v>75</v>
      </c>
      <c r="R1569" s="41">
        <f>HEX2DEC(RIGHT(Table13232127[[#This Row],[h2]],8))</f>
        <v>0</v>
      </c>
    </row>
    <row r="1570" spans="1:18">
      <c r="A1570" s="15" t="str">
        <f t="shared" si="29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1" t="s">
        <v>75</v>
      </c>
      <c r="P1570" s="41">
        <f>HEX2DEC(RIGHT(Table13232127[[#This Row],[h1]],8))</f>
        <v>0</v>
      </c>
      <c r="Q1570" s="41" t="s">
        <v>75</v>
      </c>
      <c r="R1570" s="41">
        <f>HEX2DEC(RIGHT(Table13232127[[#This Row],[h2]],8))</f>
        <v>0</v>
      </c>
    </row>
    <row r="1571" spans="1:18">
      <c r="A1571" s="15" t="str">
        <f t="shared" si="29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1" t="s">
        <v>75</v>
      </c>
      <c r="P1571" s="41">
        <f>HEX2DEC(RIGHT(Table13232127[[#This Row],[h1]],8))</f>
        <v>0</v>
      </c>
      <c r="Q1571" s="41" t="s">
        <v>75</v>
      </c>
      <c r="R1571" s="41">
        <f>HEX2DEC(RIGHT(Table13232127[[#This Row],[h2]],8))</f>
        <v>0</v>
      </c>
    </row>
    <row r="1572" spans="1:18">
      <c r="A1572" s="15" t="str">
        <f t="shared" si="29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1" t="s">
        <v>75</v>
      </c>
      <c r="P1572" s="41">
        <f>HEX2DEC(RIGHT(Table13232127[[#This Row],[h1]],8))</f>
        <v>0</v>
      </c>
      <c r="Q1572" s="41" t="s">
        <v>75</v>
      </c>
      <c r="R1572" s="41">
        <f>HEX2DEC(RIGHT(Table13232127[[#This Row],[h2]],8))</f>
        <v>0</v>
      </c>
    </row>
    <row r="1573" spans="1:18">
      <c r="A1573" s="15" t="str">
        <f t="shared" si="29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1" t="s">
        <v>75</v>
      </c>
      <c r="P1573" s="41">
        <f>HEX2DEC(RIGHT(Table13232127[[#This Row],[h1]],8))</f>
        <v>0</v>
      </c>
      <c r="Q1573" s="41" t="s">
        <v>75</v>
      </c>
      <c r="R1573" s="41">
        <f>HEX2DEC(RIGHT(Table13232127[[#This Row],[h2]],8))</f>
        <v>0</v>
      </c>
    </row>
    <row r="1574" spans="1:18">
      <c r="A1574" s="15" t="str">
        <f t="shared" si="29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1" t="s">
        <v>75</v>
      </c>
      <c r="P1574" s="41">
        <f>HEX2DEC(RIGHT(Table13232127[[#This Row],[h1]],8))</f>
        <v>0</v>
      </c>
      <c r="Q1574" s="41" t="s">
        <v>75</v>
      </c>
      <c r="R1574" s="41">
        <f>HEX2DEC(RIGHT(Table13232127[[#This Row],[h2]],8))</f>
        <v>0</v>
      </c>
    </row>
    <row r="1575" spans="1:18">
      <c r="A1575" s="15" t="str">
        <f t="shared" si="29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1" t="s">
        <v>75</v>
      </c>
      <c r="P1575" s="41">
        <f>HEX2DEC(RIGHT(Table13232127[[#This Row],[h1]],8))</f>
        <v>0</v>
      </c>
      <c r="Q1575" s="41" t="s">
        <v>75</v>
      </c>
      <c r="R1575" s="41">
        <f>HEX2DEC(RIGHT(Table13232127[[#This Row],[h2]],8))</f>
        <v>0</v>
      </c>
    </row>
    <row r="1576" spans="1:18">
      <c r="A1576" s="15" t="str">
        <f t="shared" si="29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1" t="s">
        <v>75</v>
      </c>
      <c r="P1576" s="41">
        <f>HEX2DEC(RIGHT(Table13232127[[#This Row],[h1]],8))</f>
        <v>0</v>
      </c>
      <c r="Q1576" s="41" t="s">
        <v>75</v>
      </c>
      <c r="R1576" s="41">
        <f>HEX2DEC(RIGHT(Table13232127[[#This Row],[h2]],8))</f>
        <v>0</v>
      </c>
    </row>
    <row r="1577" spans="1:18">
      <c r="A1577" s="15" t="str">
        <f t="shared" si="29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1" t="s">
        <v>75</v>
      </c>
      <c r="P1577" s="41">
        <f>HEX2DEC(RIGHT(Table13232127[[#This Row],[h1]],8))</f>
        <v>0</v>
      </c>
      <c r="Q1577" s="41" t="s">
        <v>75</v>
      </c>
      <c r="R1577" s="41">
        <f>HEX2DEC(RIGHT(Table13232127[[#This Row],[h2]],8))</f>
        <v>0</v>
      </c>
    </row>
    <row r="1578" spans="1:18">
      <c r="A1578" s="15" t="str">
        <f t="shared" si="29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1" t="s">
        <v>75</v>
      </c>
      <c r="P1578" s="41">
        <f>HEX2DEC(RIGHT(Table13232127[[#This Row],[h1]],8))</f>
        <v>0</v>
      </c>
      <c r="Q1578" s="41" t="s">
        <v>75</v>
      </c>
      <c r="R1578" s="41">
        <f>HEX2DEC(RIGHT(Table13232127[[#This Row],[h2]],8))</f>
        <v>0</v>
      </c>
    </row>
    <row r="1579" spans="1:18">
      <c r="A1579" s="15" t="str">
        <f t="shared" si="29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1" t="s">
        <v>75</v>
      </c>
      <c r="P1579" s="41">
        <f>HEX2DEC(RIGHT(Table13232127[[#This Row],[h1]],8))</f>
        <v>0</v>
      </c>
      <c r="Q1579" s="41" t="s">
        <v>75</v>
      </c>
      <c r="R1579" s="41">
        <f>HEX2DEC(RIGHT(Table13232127[[#This Row],[h2]],8))</f>
        <v>0</v>
      </c>
    </row>
    <row r="1580" spans="1:18">
      <c r="A1580" s="15" t="str">
        <f t="shared" si="29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1" t="s">
        <v>75</v>
      </c>
      <c r="P1580" s="41">
        <f>HEX2DEC(RIGHT(Table13232127[[#This Row],[h1]],8))</f>
        <v>0</v>
      </c>
      <c r="Q1580" s="41" t="s">
        <v>75</v>
      </c>
      <c r="R1580" s="41">
        <f>HEX2DEC(RIGHT(Table13232127[[#This Row],[h2]],8))</f>
        <v>0</v>
      </c>
    </row>
    <row r="1581" spans="1:18">
      <c r="A1581" s="15" t="str">
        <f t="shared" si="29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1" t="s">
        <v>75</v>
      </c>
      <c r="P1581" s="41">
        <f>HEX2DEC(RIGHT(Table13232127[[#This Row],[h1]],8))</f>
        <v>0</v>
      </c>
      <c r="Q1581" s="41" t="s">
        <v>75</v>
      </c>
      <c r="R1581" s="41">
        <f>HEX2DEC(RIGHT(Table13232127[[#This Row],[h2]],8))</f>
        <v>0</v>
      </c>
    </row>
    <row r="1582" spans="1:18">
      <c r="A1582" s="15" t="str">
        <f t="shared" si="29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1" t="s">
        <v>75</v>
      </c>
      <c r="P1582" s="41">
        <f>HEX2DEC(RIGHT(Table13232127[[#This Row],[h1]],8))</f>
        <v>0</v>
      </c>
      <c r="Q1582" s="41" t="s">
        <v>75</v>
      </c>
      <c r="R1582" s="41">
        <f>HEX2DEC(RIGHT(Table13232127[[#This Row],[h2]],8))</f>
        <v>0</v>
      </c>
    </row>
    <row r="1583" spans="1:18">
      <c r="A1583" s="15" t="str">
        <f t="shared" si="29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1" t="s">
        <v>75</v>
      </c>
      <c r="P1583" s="41">
        <f>HEX2DEC(RIGHT(Table13232127[[#This Row],[h1]],8))</f>
        <v>0</v>
      </c>
      <c r="Q1583" s="41" t="s">
        <v>75</v>
      </c>
      <c r="R1583" s="41">
        <f>HEX2DEC(RIGHT(Table13232127[[#This Row],[h2]],8))</f>
        <v>0</v>
      </c>
    </row>
    <row r="1584" spans="1:18">
      <c r="A1584" s="15" t="str">
        <f t="shared" si="29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1" t="s">
        <v>75</v>
      </c>
      <c r="P1584" s="41">
        <f>HEX2DEC(RIGHT(Table13232127[[#This Row],[h1]],8))</f>
        <v>0</v>
      </c>
      <c r="Q1584" s="41" t="s">
        <v>75</v>
      </c>
      <c r="R1584" s="41">
        <f>HEX2DEC(RIGHT(Table13232127[[#This Row],[h2]],8))</f>
        <v>0</v>
      </c>
    </row>
    <row r="1585" spans="1:18">
      <c r="A1585" s="15" t="str">
        <f t="shared" si="29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1" t="s">
        <v>75</v>
      </c>
      <c r="P1585" s="41">
        <f>HEX2DEC(RIGHT(Table13232127[[#This Row],[h1]],8))</f>
        <v>0</v>
      </c>
      <c r="Q1585" s="41" t="s">
        <v>75</v>
      </c>
      <c r="R1585" s="41">
        <f>HEX2DEC(RIGHT(Table13232127[[#This Row],[h2]],8))</f>
        <v>0</v>
      </c>
    </row>
    <row r="1586" spans="1:18">
      <c r="A1586" s="15" t="str">
        <f t="shared" si="29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1" t="s">
        <v>75</v>
      </c>
      <c r="P1586" s="41">
        <f>HEX2DEC(RIGHT(Table13232127[[#This Row],[h1]],8))</f>
        <v>0</v>
      </c>
      <c r="Q1586" s="41" t="s">
        <v>75</v>
      </c>
      <c r="R1586" s="41">
        <f>HEX2DEC(RIGHT(Table13232127[[#This Row],[h2]],8))</f>
        <v>0</v>
      </c>
    </row>
    <row r="1587" spans="1:18">
      <c r="A1587" s="15" t="str">
        <f t="shared" si="29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1" t="s">
        <v>75</v>
      </c>
      <c r="P1587" s="41">
        <f>HEX2DEC(RIGHT(Table13232127[[#This Row],[h1]],8))</f>
        <v>0</v>
      </c>
      <c r="Q1587" s="41" t="s">
        <v>75</v>
      </c>
      <c r="R1587" s="41">
        <f>HEX2DEC(RIGHT(Table13232127[[#This Row],[h2]],8))</f>
        <v>0</v>
      </c>
    </row>
    <row r="1588" spans="1:18">
      <c r="A1588" s="15" t="str">
        <f t="shared" si="29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1" t="s">
        <v>75</v>
      </c>
      <c r="P1588" s="41">
        <f>HEX2DEC(RIGHT(Table13232127[[#This Row],[h1]],8))</f>
        <v>0</v>
      </c>
      <c r="Q1588" s="41" t="s">
        <v>75</v>
      </c>
      <c r="R1588" s="41">
        <f>HEX2DEC(RIGHT(Table13232127[[#This Row],[h2]],8))</f>
        <v>0</v>
      </c>
    </row>
    <row r="1589" spans="1:18">
      <c r="A1589" s="15" t="str">
        <f t="shared" si="29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1" t="s">
        <v>75</v>
      </c>
      <c r="P1589" s="41">
        <f>HEX2DEC(RIGHT(Table13232127[[#This Row],[h1]],8))</f>
        <v>0</v>
      </c>
      <c r="Q1589" s="41" t="s">
        <v>75</v>
      </c>
      <c r="R1589" s="41">
        <f>HEX2DEC(RIGHT(Table13232127[[#This Row],[h2]],8))</f>
        <v>0</v>
      </c>
    </row>
    <row r="1590" spans="1:18">
      <c r="A1590" s="15" t="str">
        <f t="shared" si="29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1" t="s">
        <v>75</v>
      </c>
      <c r="P1590" s="41">
        <f>HEX2DEC(RIGHT(Table13232127[[#This Row],[h1]],8))</f>
        <v>0</v>
      </c>
      <c r="Q1590" s="41" t="s">
        <v>75</v>
      </c>
      <c r="R1590" s="41">
        <f>HEX2DEC(RIGHT(Table13232127[[#This Row],[h2]],8))</f>
        <v>0</v>
      </c>
    </row>
    <row r="1591" spans="1:18">
      <c r="A1591" s="15" t="str">
        <f t="shared" si="29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1" t="s">
        <v>75</v>
      </c>
      <c r="P1591" s="41">
        <f>HEX2DEC(RIGHT(Table13232127[[#This Row],[h1]],8))</f>
        <v>0</v>
      </c>
      <c r="Q1591" s="41" t="s">
        <v>75</v>
      </c>
      <c r="R1591" s="41">
        <f>HEX2DEC(RIGHT(Table13232127[[#This Row],[h2]],8))</f>
        <v>0</v>
      </c>
    </row>
    <row r="1592" spans="1:18">
      <c r="A1592" s="15" t="str">
        <f t="shared" si="29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1" t="s">
        <v>75</v>
      </c>
      <c r="P1592" s="41">
        <f>HEX2DEC(RIGHT(Table13232127[[#This Row],[h1]],8))</f>
        <v>0</v>
      </c>
      <c r="Q1592" s="41" t="s">
        <v>75</v>
      </c>
      <c r="R1592" s="41">
        <f>HEX2DEC(RIGHT(Table13232127[[#This Row],[h2]],8))</f>
        <v>0</v>
      </c>
    </row>
    <row r="1593" spans="1:18">
      <c r="A1593" s="15" t="str">
        <f t="shared" si="29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1" t="s">
        <v>75</v>
      </c>
      <c r="P1593" s="41">
        <f>HEX2DEC(RIGHT(Table13232127[[#This Row],[h1]],8))</f>
        <v>0</v>
      </c>
      <c r="Q1593" s="41" t="s">
        <v>75</v>
      </c>
      <c r="R1593" s="41">
        <f>HEX2DEC(RIGHT(Table13232127[[#This Row],[h2]],8))</f>
        <v>0</v>
      </c>
    </row>
    <row r="1594" spans="1:18">
      <c r="A1594" s="15" t="str">
        <f t="shared" si="29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1" t="s">
        <v>75</v>
      </c>
      <c r="P1594" s="41">
        <f>HEX2DEC(RIGHT(Table13232127[[#This Row],[h1]],8))</f>
        <v>0</v>
      </c>
      <c r="Q1594" s="41" t="s">
        <v>75</v>
      </c>
      <c r="R1594" s="41">
        <f>HEX2DEC(RIGHT(Table13232127[[#This Row],[h2]],8))</f>
        <v>0</v>
      </c>
    </row>
    <row r="1595" spans="1:18">
      <c r="A1595" s="15" t="str">
        <f t="shared" si="29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1" t="s">
        <v>75</v>
      </c>
      <c r="P1595" s="41">
        <f>HEX2DEC(RIGHT(Table13232127[[#This Row],[h1]],8))</f>
        <v>0</v>
      </c>
      <c r="Q1595" s="41" t="s">
        <v>75</v>
      </c>
      <c r="R1595" s="41">
        <f>HEX2DEC(RIGHT(Table13232127[[#This Row],[h2]],8))</f>
        <v>0</v>
      </c>
    </row>
    <row r="1596" spans="1:18">
      <c r="A1596" s="15" t="str">
        <f t="shared" si="29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1" t="s">
        <v>75</v>
      </c>
      <c r="P1596" s="41">
        <f>HEX2DEC(RIGHT(Table13232127[[#This Row],[h1]],8))</f>
        <v>0</v>
      </c>
      <c r="Q1596" s="41" t="s">
        <v>75</v>
      </c>
      <c r="R1596" s="41">
        <f>HEX2DEC(RIGHT(Table13232127[[#This Row],[h2]],8))</f>
        <v>0</v>
      </c>
    </row>
    <row r="1597" spans="1:18">
      <c r="A1597" s="15" t="str">
        <f t="shared" si="29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1" t="s">
        <v>75</v>
      </c>
      <c r="P1597" s="41">
        <f>HEX2DEC(RIGHT(Table13232127[[#This Row],[h1]],8))</f>
        <v>0</v>
      </c>
      <c r="Q1597" s="41" t="s">
        <v>75</v>
      </c>
      <c r="R1597" s="41">
        <f>HEX2DEC(RIGHT(Table13232127[[#This Row],[h2]],8))</f>
        <v>0</v>
      </c>
    </row>
    <row r="1598" spans="1:18">
      <c r="A1598" s="15" t="str">
        <f t="shared" si="29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1" t="s">
        <v>75</v>
      </c>
      <c r="P1598" s="41">
        <f>HEX2DEC(RIGHT(Table13232127[[#This Row],[h1]],8))</f>
        <v>0</v>
      </c>
      <c r="Q1598" s="41" t="s">
        <v>75</v>
      </c>
      <c r="R1598" s="41">
        <f>HEX2DEC(RIGHT(Table13232127[[#This Row],[h2]],8))</f>
        <v>0</v>
      </c>
    </row>
    <row r="1599" spans="1:18">
      <c r="A1599" s="15" t="str">
        <f t="shared" si="29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1" t="s">
        <v>75</v>
      </c>
      <c r="P1599" s="41">
        <f>HEX2DEC(RIGHT(Table13232127[[#This Row],[h1]],8))</f>
        <v>0</v>
      </c>
      <c r="Q1599" s="41" t="s">
        <v>75</v>
      </c>
      <c r="R1599" s="41">
        <f>HEX2DEC(RIGHT(Table13232127[[#This Row],[h2]],8))</f>
        <v>0</v>
      </c>
    </row>
    <row r="1600" spans="1:18">
      <c r="A1600" s="15" t="str">
        <f t="shared" si="29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1" t="s">
        <v>75</v>
      </c>
      <c r="P1600" s="41">
        <f>HEX2DEC(RIGHT(Table13232127[[#This Row],[h1]],8))</f>
        <v>0</v>
      </c>
      <c r="Q1600" s="41" t="s">
        <v>75</v>
      </c>
      <c r="R1600" s="41">
        <f>HEX2DEC(RIGHT(Table13232127[[#This Row],[h2]],8))</f>
        <v>0</v>
      </c>
    </row>
    <row r="1601" spans="1:18">
      <c r="A1601" s="15" t="str">
        <f t="shared" si="29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1" t="s">
        <v>75</v>
      </c>
      <c r="P1601" s="41">
        <f>HEX2DEC(RIGHT(Table13232127[[#This Row],[h1]],8))</f>
        <v>0</v>
      </c>
      <c r="Q1601" s="41" t="s">
        <v>75</v>
      </c>
      <c r="R1601" s="41">
        <f>HEX2DEC(RIGHT(Table13232127[[#This Row],[h2]],8))</f>
        <v>0</v>
      </c>
    </row>
    <row r="1602" spans="1:18">
      <c r="A1602" s="15" t="str">
        <f t="shared" si="29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1" t="s">
        <v>75</v>
      </c>
      <c r="P1602" s="41">
        <f>HEX2DEC(RIGHT(Table13232127[[#This Row],[h1]],8))</f>
        <v>0</v>
      </c>
      <c r="Q1602" s="41" t="s">
        <v>75</v>
      </c>
      <c r="R1602" s="41">
        <f>HEX2DEC(RIGHT(Table13232127[[#This Row],[h2]],8))</f>
        <v>0</v>
      </c>
    </row>
    <row r="1603" spans="1:18">
      <c r="A1603" s="15" t="str">
        <f t="shared" si="29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1" t="s">
        <v>75</v>
      </c>
      <c r="P1603" s="41">
        <f>HEX2DEC(RIGHT(Table13232127[[#This Row],[h1]],8))</f>
        <v>0</v>
      </c>
      <c r="Q1603" s="41" t="s">
        <v>75</v>
      </c>
      <c r="R1603" s="41">
        <f>HEX2DEC(RIGHT(Table13232127[[#This Row],[h2]],8))</f>
        <v>0</v>
      </c>
    </row>
    <row r="1604" spans="1:18">
      <c r="A1604" s="15" t="str">
        <f t="shared" si="29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1" t="s">
        <v>75</v>
      </c>
      <c r="P1604" s="41">
        <f>HEX2DEC(RIGHT(Table13232127[[#This Row],[h1]],8))</f>
        <v>0</v>
      </c>
      <c r="Q1604" s="41" t="s">
        <v>75</v>
      </c>
      <c r="R1604" s="41">
        <f>HEX2DEC(RIGHT(Table13232127[[#This Row],[h2]],8))</f>
        <v>0</v>
      </c>
    </row>
    <row r="1605" spans="1:18">
      <c r="A1605" s="15" t="str">
        <f t="shared" si="29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1" t="s">
        <v>75</v>
      </c>
      <c r="P1605" s="41">
        <f>HEX2DEC(RIGHT(Table13232127[[#This Row],[h1]],8))</f>
        <v>0</v>
      </c>
      <c r="Q1605" s="41" t="s">
        <v>75</v>
      </c>
      <c r="R1605" s="41">
        <f>HEX2DEC(RIGHT(Table13232127[[#This Row],[h2]],8))</f>
        <v>0</v>
      </c>
    </row>
    <row r="1606" spans="1:18">
      <c r="A1606" s="15" t="str">
        <f t="shared" si="29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1" t="s">
        <v>75</v>
      </c>
      <c r="P1606" s="41">
        <f>HEX2DEC(RIGHT(Table13232127[[#This Row],[h1]],8))</f>
        <v>0</v>
      </c>
      <c r="Q1606" s="41" t="s">
        <v>75</v>
      </c>
      <c r="R1606" s="41">
        <f>HEX2DEC(RIGHT(Table13232127[[#This Row],[h2]],8))</f>
        <v>0</v>
      </c>
    </row>
    <row r="1607" spans="1:18">
      <c r="A1607" s="15" t="str">
        <f t="shared" si="29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1" t="s">
        <v>75</v>
      </c>
      <c r="P1607" s="41">
        <f>HEX2DEC(RIGHT(Table13232127[[#This Row],[h1]],8))</f>
        <v>0</v>
      </c>
      <c r="Q1607" s="41" t="s">
        <v>75</v>
      </c>
      <c r="R1607" s="41">
        <f>HEX2DEC(RIGHT(Table13232127[[#This Row],[h2]],8))</f>
        <v>0</v>
      </c>
    </row>
    <row r="1608" spans="1:18">
      <c r="A1608" s="15" t="str">
        <f t="shared" si="29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1" t="s">
        <v>75</v>
      </c>
      <c r="P1608" s="41">
        <f>HEX2DEC(RIGHT(Table13232127[[#This Row],[h1]],8))</f>
        <v>0</v>
      </c>
      <c r="Q1608" s="41" t="s">
        <v>75</v>
      </c>
      <c r="R1608" s="41">
        <f>HEX2DEC(RIGHT(Table13232127[[#This Row],[h2]],8))</f>
        <v>0</v>
      </c>
    </row>
    <row r="1609" spans="1:18">
      <c r="A1609" s="15" t="str">
        <f t="shared" si="29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1" t="s">
        <v>75</v>
      </c>
      <c r="P1609" s="41">
        <f>HEX2DEC(RIGHT(Table13232127[[#This Row],[h1]],8))</f>
        <v>0</v>
      </c>
      <c r="Q1609" s="41" t="s">
        <v>75</v>
      </c>
      <c r="R1609" s="41">
        <f>HEX2DEC(RIGHT(Table13232127[[#This Row],[h2]],8))</f>
        <v>0</v>
      </c>
    </row>
    <row r="1610" spans="1:18">
      <c r="A1610" s="15" t="str">
        <f t="shared" si="29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1" t="s">
        <v>75</v>
      </c>
      <c r="P1610" s="41">
        <f>HEX2DEC(RIGHT(Table13232127[[#This Row],[h1]],8))</f>
        <v>0</v>
      </c>
      <c r="Q1610" s="41" t="s">
        <v>75</v>
      </c>
      <c r="R1610" s="41">
        <f>HEX2DEC(RIGHT(Table13232127[[#This Row],[h2]],8))</f>
        <v>0</v>
      </c>
    </row>
    <row r="1611" spans="1:18">
      <c r="A1611" s="15" t="str">
        <f t="shared" ref="A1611:A1674" si="30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1" t="s">
        <v>75</v>
      </c>
      <c r="P1611" s="41">
        <f>HEX2DEC(RIGHT(Table13232127[[#This Row],[h1]],8))</f>
        <v>0</v>
      </c>
      <c r="Q1611" s="41" t="s">
        <v>75</v>
      </c>
      <c r="R1611" s="41">
        <f>HEX2DEC(RIGHT(Table13232127[[#This Row],[h2]],8))</f>
        <v>0</v>
      </c>
    </row>
    <row r="1612" spans="1:18">
      <c r="A1612" s="15" t="str">
        <f t="shared" si="30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1" t="s">
        <v>75</v>
      </c>
      <c r="P1612" s="41">
        <f>HEX2DEC(RIGHT(Table13232127[[#This Row],[h1]],8))</f>
        <v>0</v>
      </c>
      <c r="Q1612" s="41" t="s">
        <v>75</v>
      </c>
      <c r="R1612" s="41">
        <f>HEX2DEC(RIGHT(Table13232127[[#This Row],[h2]],8))</f>
        <v>0</v>
      </c>
    </row>
    <row r="1613" spans="1:18">
      <c r="A1613" s="15" t="str">
        <f t="shared" si="30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1" t="s">
        <v>75</v>
      </c>
      <c r="P1613" s="41">
        <f>HEX2DEC(RIGHT(Table13232127[[#This Row],[h1]],8))</f>
        <v>0</v>
      </c>
      <c r="Q1613" s="41" t="s">
        <v>75</v>
      </c>
      <c r="R1613" s="41">
        <f>HEX2DEC(RIGHT(Table13232127[[#This Row],[h2]],8))</f>
        <v>0</v>
      </c>
    </row>
    <row r="1614" spans="1:18">
      <c r="A1614" s="15" t="str">
        <f t="shared" si="30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1" t="s">
        <v>75</v>
      </c>
      <c r="P1614" s="41">
        <f>HEX2DEC(RIGHT(Table13232127[[#This Row],[h1]],8))</f>
        <v>0</v>
      </c>
      <c r="Q1614" s="41" t="s">
        <v>75</v>
      </c>
      <c r="R1614" s="41">
        <f>HEX2DEC(RIGHT(Table13232127[[#This Row],[h2]],8))</f>
        <v>0</v>
      </c>
    </row>
    <row r="1615" spans="1:18">
      <c r="A1615" s="15" t="str">
        <f t="shared" si="30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1" t="s">
        <v>75</v>
      </c>
      <c r="P1615" s="41">
        <f>HEX2DEC(RIGHT(Table13232127[[#This Row],[h1]],8))</f>
        <v>0</v>
      </c>
      <c r="Q1615" s="41" t="s">
        <v>75</v>
      </c>
      <c r="R1615" s="41">
        <f>HEX2DEC(RIGHT(Table13232127[[#This Row],[h2]],8))</f>
        <v>0</v>
      </c>
    </row>
    <row r="1616" spans="1:18">
      <c r="A1616" s="15" t="str">
        <f t="shared" si="30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1" t="s">
        <v>75</v>
      </c>
      <c r="P1616" s="41">
        <f>HEX2DEC(RIGHT(Table13232127[[#This Row],[h1]],8))</f>
        <v>0</v>
      </c>
      <c r="Q1616" s="41" t="s">
        <v>75</v>
      </c>
      <c r="R1616" s="41">
        <f>HEX2DEC(RIGHT(Table13232127[[#This Row],[h2]],8))</f>
        <v>0</v>
      </c>
    </row>
    <row r="1617" spans="1:18">
      <c r="A1617" s="15" t="str">
        <f t="shared" si="30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1" t="s">
        <v>75</v>
      </c>
      <c r="P1617" s="41">
        <f>HEX2DEC(RIGHT(Table13232127[[#This Row],[h1]],8))</f>
        <v>0</v>
      </c>
      <c r="Q1617" s="41" t="s">
        <v>75</v>
      </c>
      <c r="R1617" s="41">
        <f>HEX2DEC(RIGHT(Table13232127[[#This Row],[h2]],8))</f>
        <v>0</v>
      </c>
    </row>
    <row r="1618" spans="1:18">
      <c r="A1618" s="15" t="str">
        <f t="shared" si="30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1" t="s">
        <v>75</v>
      </c>
      <c r="P1618" s="41">
        <f>HEX2DEC(RIGHT(Table13232127[[#This Row],[h1]],8))</f>
        <v>0</v>
      </c>
      <c r="Q1618" s="41" t="s">
        <v>75</v>
      </c>
      <c r="R1618" s="41">
        <f>HEX2DEC(RIGHT(Table13232127[[#This Row],[h2]],8))</f>
        <v>0</v>
      </c>
    </row>
    <row r="1619" spans="1:18">
      <c r="A1619" s="15" t="str">
        <f t="shared" si="30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1" t="s">
        <v>75</v>
      </c>
      <c r="P1619" s="41">
        <f>HEX2DEC(RIGHT(Table13232127[[#This Row],[h1]],8))</f>
        <v>0</v>
      </c>
      <c r="Q1619" s="41" t="s">
        <v>75</v>
      </c>
      <c r="R1619" s="41">
        <f>HEX2DEC(RIGHT(Table13232127[[#This Row],[h2]],8))</f>
        <v>0</v>
      </c>
    </row>
    <row r="1620" spans="1:18">
      <c r="A1620" s="15" t="str">
        <f t="shared" si="30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1" t="s">
        <v>75</v>
      </c>
      <c r="P1620" s="41">
        <f>HEX2DEC(RIGHT(Table13232127[[#This Row],[h1]],8))</f>
        <v>0</v>
      </c>
      <c r="Q1620" s="41" t="s">
        <v>75</v>
      </c>
      <c r="R1620" s="41">
        <f>HEX2DEC(RIGHT(Table13232127[[#This Row],[h2]],8))</f>
        <v>0</v>
      </c>
    </row>
    <row r="1621" spans="1:18">
      <c r="A1621" s="15" t="str">
        <f t="shared" si="30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1" t="s">
        <v>75</v>
      </c>
      <c r="P1621" s="41">
        <f>HEX2DEC(RIGHT(Table13232127[[#This Row],[h1]],8))</f>
        <v>0</v>
      </c>
      <c r="Q1621" s="41" t="s">
        <v>75</v>
      </c>
      <c r="R1621" s="41">
        <f>HEX2DEC(RIGHT(Table13232127[[#This Row],[h2]],8))</f>
        <v>0</v>
      </c>
    </row>
    <row r="1622" spans="1:18">
      <c r="A1622" s="15" t="str">
        <f t="shared" si="30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1" t="s">
        <v>75</v>
      </c>
      <c r="P1622" s="41">
        <f>HEX2DEC(RIGHT(Table13232127[[#This Row],[h1]],8))</f>
        <v>0</v>
      </c>
      <c r="Q1622" s="41" t="s">
        <v>75</v>
      </c>
      <c r="R1622" s="41">
        <f>HEX2DEC(RIGHT(Table13232127[[#This Row],[h2]],8))</f>
        <v>0</v>
      </c>
    </row>
    <row r="1623" spans="1:18">
      <c r="A1623" s="15" t="str">
        <f t="shared" si="30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1" t="s">
        <v>75</v>
      </c>
      <c r="P1623" s="41">
        <f>HEX2DEC(RIGHT(Table13232127[[#This Row],[h1]],8))</f>
        <v>0</v>
      </c>
      <c r="Q1623" s="41" t="s">
        <v>75</v>
      </c>
      <c r="R1623" s="41">
        <f>HEX2DEC(RIGHT(Table13232127[[#This Row],[h2]],8))</f>
        <v>0</v>
      </c>
    </row>
    <row r="1624" spans="1:18">
      <c r="A1624" s="15" t="str">
        <f t="shared" si="30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1" t="s">
        <v>75</v>
      </c>
      <c r="P1624" s="41">
        <f>HEX2DEC(RIGHT(Table13232127[[#This Row],[h1]],8))</f>
        <v>0</v>
      </c>
      <c r="Q1624" s="41" t="s">
        <v>75</v>
      </c>
      <c r="R1624" s="41">
        <f>HEX2DEC(RIGHT(Table13232127[[#This Row],[h2]],8))</f>
        <v>0</v>
      </c>
    </row>
    <row r="1625" spans="1:18">
      <c r="A1625" s="15" t="str">
        <f t="shared" si="30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1" t="s">
        <v>75</v>
      </c>
      <c r="P1625" s="41">
        <f>HEX2DEC(RIGHT(Table13232127[[#This Row],[h1]],8))</f>
        <v>0</v>
      </c>
      <c r="Q1625" s="41" t="s">
        <v>75</v>
      </c>
      <c r="R1625" s="41">
        <f>HEX2DEC(RIGHT(Table13232127[[#This Row],[h2]],8))</f>
        <v>0</v>
      </c>
    </row>
    <row r="1626" spans="1:18">
      <c r="A1626" s="15" t="str">
        <f t="shared" si="30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1" t="s">
        <v>75</v>
      </c>
      <c r="P1626" s="41">
        <f>HEX2DEC(RIGHT(Table13232127[[#This Row],[h1]],8))</f>
        <v>0</v>
      </c>
      <c r="Q1626" s="41" t="s">
        <v>75</v>
      </c>
      <c r="R1626" s="41">
        <f>HEX2DEC(RIGHT(Table13232127[[#This Row],[h2]],8))</f>
        <v>0</v>
      </c>
    </row>
    <row r="1627" spans="1:18">
      <c r="A1627" s="15" t="str">
        <f t="shared" si="30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1" t="s">
        <v>75</v>
      </c>
      <c r="P1627" s="41">
        <f>HEX2DEC(RIGHT(Table13232127[[#This Row],[h1]],8))</f>
        <v>0</v>
      </c>
      <c r="Q1627" s="41" t="s">
        <v>75</v>
      </c>
      <c r="R1627" s="41">
        <f>HEX2DEC(RIGHT(Table13232127[[#This Row],[h2]],8))</f>
        <v>0</v>
      </c>
    </row>
    <row r="1628" spans="1:18">
      <c r="A1628" s="15" t="str">
        <f t="shared" si="30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1" t="s">
        <v>75</v>
      </c>
      <c r="P1628" s="41">
        <f>HEX2DEC(RIGHT(Table13232127[[#This Row],[h1]],8))</f>
        <v>0</v>
      </c>
      <c r="Q1628" s="41" t="s">
        <v>75</v>
      </c>
      <c r="R1628" s="41">
        <f>HEX2DEC(RIGHT(Table13232127[[#This Row],[h2]],8))</f>
        <v>0</v>
      </c>
    </row>
    <row r="1629" spans="1:18">
      <c r="A1629" s="15" t="str">
        <f t="shared" si="30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1" t="s">
        <v>75</v>
      </c>
      <c r="P1629" s="41">
        <f>HEX2DEC(RIGHT(Table13232127[[#This Row],[h1]],8))</f>
        <v>0</v>
      </c>
      <c r="Q1629" s="41" t="s">
        <v>75</v>
      </c>
      <c r="R1629" s="41">
        <f>HEX2DEC(RIGHT(Table13232127[[#This Row],[h2]],8))</f>
        <v>0</v>
      </c>
    </row>
    <row r="1630" spans="1:18">
      <c r="A1630" s="15" t="str">
        <f t="shared" si="30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1" t="s">
        <v>75</v>
      </c>
      <c r="P1630" s="41">
        <f>HEX2DEC(RIGHT(Table13232127[[#This Row],[h1]],8))</f>
        <v>0</v>
      </c>
      <c r="Q1630" s="41" t="s">
        <v>75</v>
      </c>
      <c r="R1630" s="41">
        <f>HEX2DEC(RIGHT(Table13232127[[#This Row],[h2]],8))</f>
        <v>0</v>
      </c>
    </row>
    <row r="1631" spans="1:18">
      <c r="A1631" s="15" t="str">
        <f t="shared" si="30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1" t="s">
        <v>75</v>
      </c>
      <c r="P1631" s="41">
        <f>HEX2DEC(RIGHT(Table13232127[[#This Row],[h1]],8))</f>
        <v>0</v>
      </c>
      <c r="Q1631" s="41" t="s">
        <v>75</v>
      </c>
      <c r="R1631" s="41">
        <f>HEX2DEC(RIGHT(Table13232127[[#This Row],[h2]],8))</f>
        <v>0</v>
      </c>
    </row>
    <row r="1632" spans="1:18">
      <c r="A1632" s="15" t="str">
        <f t="shared" si="30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1" t="s">
        <v>75</v>
      </c>
      <c r="P1632" s="41">
        <f>HEX2DEC(RIGHT(Table13232127[[#This Row],[h1]],8))</f>
        <v>0</v>
      </c>
      <c r="Q1632" s="41" t="s">
        <v>75</v>
      </c>
      <c r="R1632" s="41">
        <f>HEX2DEC(RIGHT(Table13232127[[#This Row],[h2]],8))</f>
        <v>0</v>
      </c>
    </row>
    <row r="1633" spans="1:18">
      <c r="A1633" s="15" t="str">
        <f t="shared" si="30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1" t="s">
        <v>75</v>
      </c>
      <c r="P1633" s="41">
        <f>HEX2DEC(RIGHT(Table13232127[[#This Row],[h1]],8))</f>
        <v>0</v>
      </c>
      <c r="Q1633" s="41" t="s">
        <v>75</v>
      </c>
      <c r="R1633" s="41">
        <f>HEX2DEC(RIGHT(Table13232127[[#This Row],[h2]],8))</f>
        <v>0</v>
      </c>
    </row>
    <row r="1634" spans="1:18">
      <c r="A1634" s="15" t="str">
        <f t="shared" si="30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1" t="s">
        <v>75</v>
      </c>
      <c r="P1634" s="41">
        <f>HEX2DEC(RIGHT(Table13232127[[#This Row],[h1]],8))</f>
        <v>0</v>
      </c>
      <c r="Q1634" s="41" t="s">
        <v>75</v>
      </c>
      <c r="R1634" s="41">
        <f>HEX2DEC(RIGHT(Table13232127[[#This Row],[h2]],8))</f>
        <v>0</v>
      </c>
    </row>
    <row r="1635" spans="1:18">
      <c r="A1635" s="15" t="str">
        <f t="shared" si="30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1" t="s">
        <v>75</v>
      </c>
      <c r="P1635" s="41">
        <f>HEX2DEC(RIGHT(Table13232127[[#This Row],[h1]],8))</f>
        <v>0</v>
      </c>
      <c r="Q1635" s="41" t="s">
        <v>75</v>
      </c>
      <c r="R1635" s="41">
        <f>HEX2DEC(RIGHT(Table13232127[[#This Row],[h2]],8))</f>
        <v>0</v>
      </c>
    </row>
    <row r="1636" spans="1:18">
      <c r="A1636" s="15" t="str">
        <f t="shared" si="30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1" t="s">
        <v>75</v>
      </c>
      <c r="P1636" s="41">
        <f>HEX2DEC(RIGHT(Table13232127[[#This Row],[h1]],8))</f>
        <v>0</v>
      </c>
      <c r="Q1636" s="41" t="s">
        <v>75</v>
      </c>
      <c r="R1636" s="41">
        <f>HEX2DEC(RIGHT(Table13232127[[#This Row],[h2]],8))</f>
        <v>0</v>
      </c>
    </row>
    <row r="1637" spans="1:18">
      <c r="A1637" s="15" t="str">
        <f t="shared" si="30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1" t="s">
        <v>75</v>
      </c>
      <c r="P1637" s="41">
        <f>HEX2DEC(RIGHT(Table13232127[[#This Row],[h1]],8))</f>
        <v>0</v>
      </c>
      <c r="Q1637" s="41" t="s">
        <v>75</v>
      </c>
      <c r="R1637" s="41">
        <f>HEX2DEC(RIGHT(Table13232127[[#This Row],[h2]],8))</f>
        <v>0</v>
      </c>
    </row>
    <row r="1638" spans="1:18">
      <c r="A1638" s="15" t="str">
        <f t="shared" si="30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1" t="s">
        <v>75</v>
      </c>
      <c r="P1638" s="41">
        <f>HEX2DEC(RIGHT(Table13232127[[#This Row],[h1]],8))</f>
        <v>0</v>
      </c>
      <c r="Q1638" s="41" t="s">
        <v>75</v>
      </c>
      <c r="R1638" s="41">
        <f>HEX2DEC(RIGHT(Table13232127[[#This Row],[h2]],8))</f>
        <v>0</v>
      </c>
    </row>
    <row r="1639" spans="1:18">
      <c r="A1639" s="15" t="str">
        <f t="shared" si="30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1" t="s">
        <v>75</v>
      </c>
      <c r="P1639" s="41">
        <f>HEX2DEC(RIGHT(Table13232127[[#This Row],[h1]],8))</f>
        <v>0</v>
      </c>
      <c r="Q1639" s="41" t="s">
        <v>75</v>
      </c>
      <c r="R1639" s="41">
        <f>HEX2DEC(RIGHT(Table13232127[[#This Row],[h2]],8))</f>
        <v>0</v>
      </c>
    </row>
    <row r="1640" spans="1:18">
      <c r="A1640" s="15" t="str">
        <f t="shared" si="30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1" t="s">
        <v>75</v>
      </c>
      <c r="P1640" s="41">
        <f>HEX2DEC(RIGHT(Table13232127[[#This Row],[h1]],8))</f>
        <v>0</v>
      </c>
      <c r="Q1640" s="41" t="s">
        <v>75</v>
      </c>
      <c r="R1640" s="41">
        <f>HEX2DEC(RIGHT(Table13232127[[#This Row],[h2]],8))</f>
        <v>0</v>
      </c>
    </row>
    <row r="1641" spans="1:18">
      <c r="A1641" s="15" t="str">
        <f t="shared" si="30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1" t="s">
        <v>75</v>
      </c>
      <c r="P1641" s="41">
        <f>HEX2DEC(RIGHT(Table13232127[[#This Row],[h1]],8))</f>
        <v>0</v>
      </c>
      <c r="Q1641" s="41" t="s">
        <v>75</v>
      </c>
      <c r="R1641" s="41">
        <f>HEX2DEC(RIGHT(Table13232127[[#This Row],[h2]],8))</f>
        <v>0</v>
      </c>
    </row>
    <row r="1642" spans="1:18">
      <c r="A1642" s="15" t="str">
        <f t="shared" si="30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1" t="s">
        <v>75</v>
      </c>
      <c r="P1642" s="41">
        <f>HEX2DEC(RIGHT(Table13232127[[#This Row],[h1]],8))</f>
        <v>0</v>
      </c>
      <c r="Q1642" s="41" t="s">
        <v>75</v>
      </c>
      <c r="R1642" s="41">
        <f>HEX2DEC(RIGHT(Table13232127[[#This Row],[h2]],8))</f>
        <v>0</v>
      </c>
    </row>
    <row r="1643" spans="1:18">
      <c r="A1643" s="15" t="str">
        <f t="shared" si="30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1" t="s">
        <v>75</v>
      </c>
      <c r="P1643" s="41">
        <f>HEX2DEC(RIGHT(Table13232127[[#This Row],[h1]],8))</f>
        <v>0</v>
      </c>
      <c r="Q1643" s="41" t="s">
        <v>75</v>
      </c>
      <c r="R1643" s="41">
        <f>HEX2DEC(RIGHT(Table13232127[[#This Row],[h2]],8))</f>
        <v>0</v>
      </c>
    </row>
    <row r="1644" spans="1:18">
      <c r="A1644" s="15" t="str">
        <f t="shared" si="30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1" t="s">
        <v>75</v>
      </c>
      <c r="P1644" s="41">
        <f>HEX2DEC(RIGHT(Table13232127[[#This Row],[h1]],8))</f>
        <v>0</v>
      </c>
      <c r="Q1644" s="41" t="s">
        <v>75</v>
      </c>
      <c r="R1644" s="41">
        <f>HEX2DEC(RIGHT(Table13232127[[#This Row],[h2]],8))</f>
        <v>0</v>
      </c>
    </row>
    <row r="1645" spans="1:18">
      <c r="A1645" s="15" t="str">
        <f t="shared" si="30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1" t="s">
        <v>75</v>
      </c>
      <c r="P1645" s="41">
        <f>HEX2DEC(RIGHT(Table13232127[[#This Row],[h1]],8))</f>
        <v>0</v>
      </c>
      <c r="Q1645" s="41" t="s">
        <v>75</v>
      </c>
      <c r="R1645" s="41">
        <f>HEX2DEC(RIGHT(Table13232127[[#This Row],[h2]],8))</f>
        <v>0</v>
      </c>
    </row>
    <row r="1646" spans="1:18">
      <c r="A1646" s="15" t="str">
        <f t="shared" si="30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1" t="s">
        <v>75</v>
      </c>
      <c r="P1646" s="41">
        <f>HEX2DEC(RIGHT(Table13232127[[#This Row],[h1]],8))</f>
        <v>0</v>
      </c>
      <c r="Q1646" s="41" t="s">
        <v>75</v>
      </c>
      <c r="R1646" s="41">
        <f>HEX2DEC(RIGHT(Table13232127[[#This Row],[h2]],8))</f>
        <v>0</v>
      </c>
    </row>
    <row r="1647" spans="1:18">
      <c r="A1647" s="15" t="str">
        <f t="shared" si="30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1" t="s">
        <v>75</v>
      </c>
      <c r="P1647" s="41">
        <f>HEX2DEC(RIGHT(Table13232127[[#This Row],[h1]],8))</f>
        <v>0</v>
      </c>
      <c r="Q1647" s="41" t="s">
        <v>75</v>
      </c>
      <c r="R1647" s="41">
        <f>HEX2DEC(RIGHT(Table13232127[[#This Row],[h2]],8))</f>
        <v>0</v>
      </c>
    </row>
    <row r="1648" spans="1:18">
      <c r="A1648" s="15" t="str">
        <f t="shared" si="30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1" t="s">
        <v>75</v>
      </c>
      <c r="P1648" s="41">
        <f>HEX2DEC(RIGHT(Table13232127[[#This Row],[h1]],8))</f>
        <v>0</v>
      </c>
      <c r="Q1648" s="41" t="s">
        <v>75</v>
      </c>
      <c r="R1648" s="41">
        <f>HEX2DEC(RIGHT(Table13232127[[#This Row],[h2]],8))</f>
        <v>0</v>
      </c>
    </row>
    <row r="1649" spans="1:18">
      <c r="A1649" s="15" t="str">
        <f t="shared" si="30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1" t="s">
        <v>75</v>
      </c>
      <c r="P1649" s="41">
        <f>HEX2DEC(RIGHT(Table13232127[[#This Row],[h1]],8))</f>
        <v>0</v>
      </c>
      <c r="Q1649" s="41" t="s">
        <v>75</v>
      </c>
      <c r="R1649" s="41">
        <f>HEX2DEC(RIGHT(Table13232127[[#This Row],[h2]],8))</f>
        <v>0</v>
      </c>
    </row>
    <row r="1650" spans="1:18">
      <c r="A1650" s="15" t="str">
        <f t="shared" si="30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1" t="s">
        <v>75</v>
      </c>
      <c r="P1650" s="41">
        <f>HEX2DEC(RIGHT(Table13232127[[#This Row],[h1]],8))</f>
        <v>0</v>
      </c>
      <c r="Q1650" s="41" t="s">
        <v>75</v>
      </c>
      <c r="R1650" s="41">
        <f>HEX2DEC(RIGHT(Table13232127[[#This Row],[h2]],8))</f>
        <v>0</v>
      </c>
    </row>
    <row r="1651" spans="1:18">
      <c r="A1651" s="15" t="str">
        <f t="shared" si="30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1" t="s">
        <v>75</v>
      </c>
      <c r="P1651" s="41">
        <f>HEX2DEC(RIGHT(Table13232127[[#This Row],[h1]],8))</f>
        <v>0</v>
      </c>
      <c r="Q1651" s="41" t="s">
        <v>75</v>
      </c>
      <c r="R1651" s="41">
        <f>HEX2DEC(RIGHT(Table13232127[[#This Row],[h2]],8))</f>
        <v>0</v>
      </c>
    </row>
    <row r="1652" spans="1:18">
      <c r="A1652" s="15" t="str">
        <f t="shared" si="30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1" t="s">
        <v>75</v>
      </c>
      <c r="P1652" s="41">
        <f>HEX2DEC(RIGHT(Table13232127[[#This Row],[h1]],8))</f>
        <v>0</v>
      </c>
      <c r="Q1652" s="41" t="s">
        <v>75</v>
      </c>
      <c r="R1652" s="41">
        <f>HEX2DEC(RIGHT(Table13232127[[#This Row],[h2]],8))</f>
        <v>0</v>
      </c>
    </row>
    <row r="1653" spans="1:18">
      <c r="A1653" s="15" t="str">
        <f t="shared" si="30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1" t="s">
        <v>75</v>
      </c>
      <c r="P1653" s="41">
        <f>HEX2DEC(RIGHT(Table13232127[[#This Row],[h1]],8))</f>
        <v>0</v>
      </c>
      <c r="Q1653" s="41" t="s">
        <v>75</v>
      </c>
      <c r="R1653" s="41">
        <f>HEX2DEC(RIGHT(Table13232127[[#This Row],[h2]],8))</f>
        <v>0</v>
      </c>
    </row>
    <row r="1654" spans="1:18">
      <c r="A1654" s="15" t="str">
        <f t="shared" si="30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1" t="s">
        <v>75</v>
      </c>
      <c r="P1654" s="41">
        <f>HEX2DEC(RIGHT(Table13232127[[#This Row],[h1]],8))</f>
        <v>0</v>
      </c>
      <c r="Q1654" s="41" t="s">
        <v>75</v>
      </c>
      <c r="R1654" s="41">
        <f>HEX2DEC(RIGHT(Table13232127[[#This Row],[h2]],8))</f>
        <v>0</v>
      </c>
    </row>
    <row r="1655" spans="1:18">
      <c r="A1655" s="15" t="str">
        <f t="shared" si="30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1" t="s">
        <v>75</v>
      </c>
      <c r="P1655" s="41">
        <f>HEX2DEC(RIGHT(Table13232127[[#This Row],[h1]],8))</f>
        <v>0</v>
      </c>
      <c r="Q1655" s="41" t="s">
        <v>75</v>
      </c>
      <c r="R1655" s="41">
        <f>HEX2DEC(RIGHT(Table13232127[[#This Row],[h2]],8))</f>
        <v>0</v>
      </c>
    </row>
    <row r="1656" spans="1:18">
      <c r="A1656" s="15" t="str">
        <f t="shared" si="30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1" t="s">
        <v>75</v>
      </c>
      <c r="P1656" s="41">
        <f>HEX2DEC(RIGHT(Table13232127[[#This Row],[h1]],8))</f>
        <v>0</v>
      </c>
      <c r="Q1656" s="41" t="s">
        <v>75</v>
      </c>
      <c r="R1656" s="41">
        <f>HEX2DEC(RIGHT(Table13232127[[#This Row],[h2]],8))</f>
        <v>0</v>
      </c>
    </row>
    <row r="1657" spans="1:18">
      <c r="A1657" s="15" t="str">
        <f t="shared" si="30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1" t="s">
        <v>75</v>
      </c>
      <c r="P1657" s="41">
        <f>HEX2DEC(RIGHT(Table13232127[[#This Row],[h1]],8))</f>
        <v>0</v>
      </c>
      <c r="Q1657" s="41" t="s">
        <v>75</v>
      </c>
      <c r="R1657" s="41">
        <f>HEX2DEC(RIGHT(Table13232127[[#This Row],[h2]],8))</f>
        <v>0</v>
      </c>
    </row>
    <row r="1658" spans="1:18">
      <c r="A1658" s="15" t="str">
        <f t="shared" si="30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1" t="s">
        <v>75</v>
      </c>
      <c r="P1658" s="41">
        <f>HEX2DEC(RIGHT(Table13232127[[#This Row],[h1]],8))</f>
        <v>0</v>
      </c>
      <c r="Q1658" s="41" t="s">
        <v>75</v>
      </c>
      <c r="R1658" s="41">
        <f>HEX2DEC(RIGHT(Table13232127[[#This Row],[h2]],8))</f>
        <v>0</v>
      </c>
    </row>
    <row r="1659" spans="1:18">
      <c r="A1659" s="15" t="str">
        <f t="shared" si="30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1" t="s">
        <v>75</v>
      </c>
      <c r="P1659" s="41">
        <f>HEX2DEC(RIGHT(Table13232127[[#This Row],[h1]],8))</f>
        <v>0</v>
      </c>
      <c r="Q1659" s="41" t="s">
        <v>75</v>
      </c>
      <c r="R1659" s="41">
        <f>HEX2DEC(RIGHT(Table13232127[[#This Row],[h2]],8))</f>
        <v>0</v>
      </c>
    </row>
    <row r="1660" spans="1:18">
      <c r="A1660" s="15" t="str">
        <f t="shared" si="30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1" t="s">
        <v>75</v>
      </c>
      <c r="P1660" s="41">
        <f>HEX2DEC(RIGHT(Table13232127[[#This Row],[h1]],8))</f>
        <v>0</v>
      </c>
      <c r="Q1660" s="41" t="s">
        <v>75</v>
      </c>
      <c r="R1660" s="41">
        <f>HEX2DEC(RIGHT(Table13232127[[#This Row],[h2]],8))</f>
        <v>0</v>
      </c>
    </row>
    <row r="1661" spans="1:18">
      <c r="A1661" s="15" t="str">
        <f t="shared" si="30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1" t="s">
        <v>75</v>
      </c>
      <c r="P1661" s="41">
        <f>HEX2DEC(RIGHT(Table13232127[[#This Row],[h1]],8))</f>
        <v>0</v>
      </c>
      <c r="Q1661" s="41" t="s">
        <v>75</v>
      </c>
      <c r="R1661" s="41">
        <f>HEX2DEC(RIGHT(Table13232127[[#This Row],[h2]],8))</f>
        <v>0</v>
      </c>
    </row>
    <row r="1662" spans="1:18">
      <c r="A1662" s="15" t="str">
        <f t="shared" si="30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1" t="s">
        <v>75</v>
      </c>
      <c r="P1662" s="41">
        <f>HEX2DEC(RIGHT(Table13232127[[#This Row],[h1]],8))</f>
        <v>0</v>
      </c>
      <c r="Q1662" s="41" t="s">
        <v>75</v>
      </c>
      <c r="R1662" s="41">
        <f>HEX2DEC(RIGHT(Table13232127[[#This Row],[h2]],8))</f>
        <v>0</v>
      </c>
    </row>
    <row r="1663" spans="1:18">
      <c r="A1663" s="15" t="str">
        <f t="shared" si="30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1" t="s">
        <v>75</v>
      </c>
      <c r="P1663" s="41">
        <f>HEX2DEC(RIGHT(Table13232127[[#This Row],[h1]],8))</f>
        <v>0</v>
      </c>
      <c r="Q1663" s="41" t="s">
        <v>75</v>
      </c>
      <c r="R1663" s="41">
        <f>HEX2DEC(RIGHT(Table13232127[[#This Row],[h2]],8))</f>
        <v>0</v>
      </c>
    </row>
    <row r="1664" spans="1:18">
      <c r="A1664" s="15" t="str">
        <f t="shared" si="30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1" t="s">
        <v>75</v>
      </c>
      <c r="P1664" s="41">
        <f>HEX2DEC(RIGHT(Table13232127[[#This Row],[h1]],8))</f>
        <v>0</v>
      </c>
      <c r="Q1664" s="41" t="s">
        <v>75</v>
      </c>
      <c r="R1664" s="41">
        <f>HEX2DEC(RIGHT(Table13232127[[#This Row],[h2]],8))</f>
        <v>0</v>
      </c>
    </row>
    <row r="1665" spans="1:18">
      <c r="A1665" s="15" t="str">
        <f t="shared" si="30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1" t="s">
        <v>75</v>
      </c>
      <c r="P1665" s="41">
        <f>HEX2DEC(RIGHT(Table13232127[[#This Row],[h1]],8))</f>
        <v>0</v>
      </c>
      <c r="Q1665" s="41" t="s">
        <v>75</v>
      </c>
      <c r="R1665" s="41">
        <f>HEX2DEC(RIGHT(Table13232127[[#This Row],[h2]],8))</f>
        <v>0</v>
      </c>
    </row>
    <row r="1666" spans="1:18">
      <c r="A1666" s="15" t="str">
        <f t="shared" si="30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1" t="s">
        <v>75</v>
      </c>
      <c r="P1666" s="41">
        <f>HEX2DEC(RIGHT(Table13232127[[#This Row],[h1]],8))</f>
        <v>0</v>
      </c>
      <c r="Q1666" s="41" t="s">
        <v>75</v>
      </c>
      <c r="R1666" s="41">
        <f>HEX2DEC(RIGHT(Table13232127[[#This Row],[h2]],8))</f>
        <v>0</v>
      </c>
    </row>
    <row r="1667" spans="1:18">
      <c r="A1667" s="15" t="str">
        <f t="shared" si="30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1" t="s">
        <v>75</v>
      </c>
      <c r="P1667" s="41">
        <f>HEX2DEC(RIGHT(Table13232127[[#This Row],[h1]],8))</f>
        <v>0</v>
      </c>
      <c r="Q1667" s="41" t="s">
        <v>75</v>
      </c>
      <c r="R1667" s="41">
        <f>HEX2DEC(RIGHT(Table13232127[[#This Row],[h2]],8))</f>
        <v>0</v>
      </c>
    </row>
    <row r="1668" spans="1:18">
      <c r="A1668" s="15" t="str">
        <f t="shared" si="30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1" t="s">
        <v>75</v>
      </c>
      <c r="P1668" s="41">
        <f>HEX2DEC(RIGHT(Table13232127[[#This Row],[h1]],8))</f>
        <v>0</v>
      </c>
      <c r="Q1668" s="41" t="s">
        <v>75</v>
      </c>
      <c r="R1668" s="41">
        <f>HEX2DEC(RIGHT(Table13232127[[#This Row],[h2]],8))</f>
        <v>0</v>
      </c>
    </row>
    <row r="1669" spans="1:18">
      <c r="A1669" s="15" t="str">
        <f t="shared" si="30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1" t="s">
        <v>75</v>
      </c>
      <c r="P1669" s="41">
        <f>HEX2DEC(RIGHT(Table13232127[[#This Row],[h1]],8))</f>
        <v>0</v>
      </c>
      <c r="Q1669" s="41" t="s">
        <v>75</v>
      </c>
      <c r="R1669" s="41">
        <f>HEX2DEC(RIGHT(Table13232127[[#This Row],[h2]],8))</f>
        <v>0</v>
      </c>
    </row>
    <row r="1670" spans="1:18">
      <c r="A1670" s="15" t="str">
        <f t="shared" si="30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1" t="s">
        <v>75</v>
      </c>
      <c r="P1670" s="41">
        <f>HEX2DEC(RIGHT(Table13232127[[#This Row],[h1]],8))</f>
        <v>0</v>
      </c>
      <c r="Q1670" s="41" t="s">
        <v>75</v>
      </c>
      <c r="R1670" s="41">
        <f>HEX2DEC(RIGHT(Table13232127[[#This Row],[h2]],8))</f>
        <v>0</v>
      </c>
    </row>
    <row r="1671" spans="1:18">
      <c r="A1671" s="15" t="str">
        <f t="shared" si="30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1" t="s">
        <v>75</v>
      </c>
      <c r="P1671" s="41">
        <f>HEX2DEC(RIGHT(Table13232127[[#This Row],[h1]],8))</f>
        <v>0</v>
      </c>
      <c r="Q1671" s="41" t="s">
        <v>75</v>
      </c>
      <c r="R1671" s="41">
        <f>HEX2DEC(RIGHT(Table13232127[[#This Row],[h2]],8))</f>
        <v>0</v>
      </c>
    </row>
    <row r="1672" spans="1:18">
      <c r="A1672" s="15" t="str">
        <f t="shared" si="30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1" t="s">
        <v>75</v>
      </c>
      <c r="P1672" s="41">
        <f>HEX2DEC(RIGHT(Table13232127[[#This Row],[h1]],8))</f>
        <v>0</v>
      </c>
      <c r="Q1672" s="41" t="s">
        <v>75</v>
      </c>
      <c r="R1672" s="41">
        <f>HEX2DEC(RIGHT(Table13232127[[#This Row],[h2]],8))</f>
        <v>0</v>
      </c>
    </row>
    <row r="1673" spans="1:18">
      <c r="A1673" s="15" t="str">
        <f t="shared" si="30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1" t="s">
        <v>75</v>
      </c>
      <c r="P1673" s="41">
        <f>HEX2DEC(RIGHT(Table13232127[[#This Row],[h1]],8))</f>
        <v>0</v>
      </c>
      <c r="Q1673" s="41" t="s">
        <v>75</v>
      </c>
      <c r="R1673" s="41">
        <f>HEX2DEC(RIGHT(Table13232127[[#This Row],[h2]],8))</f>
        <v>0</v>
      </c>
    </row>
    <row r="1674" spans="1:18">
      <c r="A1674" s="15" t="str">
        <f t="shared" si="30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1" t="s">
        <v>75</v>
      </c>
      <c r="P1674" s="41">
        <f>HEX2DEC(RIGHT(Table13232127[[#This Row],[h1]],8))</f>
        <v>0</v>
      </c>
      <c r="Q1674" s="41" t="s">
        <v>75</v>
      </c>
      <c r="R1674" s="41">
        <f>HEX2DEC(RIGHT(Table13232127[[#This Row],[h2]],8))</f>
        <v>0</v>
      </c>
    </row>
    <row r="1675" spans="1:18">
      <c r="A1675" s="15" t="str">
        <f t="shared" ref="A1675:A1738" si="31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1" t="s">
        <v>75</v>
      </c>
      <c r="P1675" s="41">
        <f>HEX2DEC(RIGHT(Table13232127[[#This Row],[h1]],8))</f>
        <v>0</v>
      </c>
      <c r="Q1675" s="41" t="s">
        <v>75</v>
      </c>
      <c r="R1675" s="41">
        <f>HEX2DEC(RIGHT(Table13232127[[#This Row],[h2]],8))</f>
        <v>0</v>
      </c>
    </row>
    <row r="1676" spans="1:18">
      <c r="A1676" s="15" t="str">
        <f t="shared" si="31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1" t="s">
        <v>75</v>
      </c>
      <c r="P1676" s="41">
        <f>HEX2DEC(RIGHT(Table13232127[[#This Row],[h1]],8))</f>
        <v>0</v>
      </c>
      <c r="Q1676" s="41" t="s">
        <v>75</v>
      </c>
      <c r="R1676" s="41">
        <f>HEX2DEC(RIGHT(Table13232127[[#This Row],[h2]],8))</f>
        <v>0</v>
      </c>
    </row>
    <row r="1677" spans="1:18">
      <c r="A1677" s="15" t="str">
        <f t="shared" si="31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1" t="s">
        <v>75</v>
      </c>
      <c r="P1677" s="41">
        <f>HEX2DEC(RIGHT(Table13232127[[#This Row],[h1]],8))</f>
        <v>0</v>
      </c>
      <c r="Q1677" s="41" t="s">
        <v>75</v>
      </c>
      <c r="R1677" s="41">
        <f>HEX2DEC(RIGHT(Table13232127[[#This Row],[h2]],8))</f>
        <v>0</v>
      </c>
    </row>
    <row r="1678" spans="1:18">
      <c r="A1678" s="15" t="str">
        <f t="shared" si="31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1" t="s">
        <v>75</v>
      </c>
      <c r="P1678" s="41">
        <f>HEX2DEC(RIGHT(Table13232127[[#This Row],[h1]],8))</f>
        <v>0</v>
      </c>
      <c r="Q1678" s="41" t="s">
        <v>75</v>
      </c>
      <c r="R1678" s="41">
        <f>HEX2DEC(RIGHT(Table13232127[[#This Row],[h2]],8))</f>
        <v>0</v>
      </c>
    </row>
    <row r="1679" spans="1:18">
      <c r="A1679" s="15" t="str">
        <f t="shared" si="31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1" t="s">
        <v>75</v>
      </c>
      <c r="P1679" s="41">
        <f>HEX2DEC(RIGHT(Table13232127[[#This Row],[h1]],8))</f>
        <v>0</v>
      </c>
      <c r="Q1679" s="41" t="s">
        <v>75</v>
      </c>
      <c r="R1679" s="41">
        <f>HEX2DEC(RIGHT(Table13232127[[#This Row],[h2]],8))</f>
        <v>0</v>
      </c>
    </row>
    <row r="1680" spans="1:18">
      <c r="A1680" s="15" t="str">
        <f t="shared" si="31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1" t="s">
        <v>75</v>
      </c>
      <c r="P1680" s="41">
        <f>HEX2DEC(RIGHT(Table13232127[[#This Row],[h1]],8))</f>
        <v>0</v>
      </c>
      <c r="Q1680" s="41" t="s">
        <v>75</v>
      </c>
      <c r="R1680" s="41">
        <f>HEX2DEC(RIGHT(Table13232127[[#This Row],[h2]],8))</f>
        <v>0</v>
      </c>
    </row>
    <row r="1681" spans="1:18">
      <c r="A1681" s="15" t="str">
        <f t="shared" si="31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1" t="s">
        <v>75</v>
      </c>
      <c r="P1681" s="41">
        <f>HEX2DEC(RIGHT(Table13232127[[#This Row],[h1]],8))</f>
        <v>0</v>
      </c>
      <c r="Q1681" s="41" t="s">
        <v>75</v>
      </c>
      <c r="R1681" s="41">
        <f>HEX2DEC(RIGHT(Table13232127[[#This Row],[h2]],8))</f>
        <v>0</v>
      </c>
    </row>
    <row r="1682" spans="1:18">
      <c r="A1682" s="15" t="str">
        <f t="shared" si="31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1" t="s">
        <v>75</v>
      </c>
      <c r="P1682" s="41">
        <f>HEX2DEC(RIGHT(Table13232127[[#This Row],[h1]],8))</f>
        <v>0</v>
      </c>
      <c r="Q1682" s="41" t="s">
        <v>75</v>
      </c>
      <c r="R1682" s="41">
        <f>HEX2DEC(RIGHT(Table13232127[[#This Row],[h2]],8))</f>
        <v>0</v>
      </c>
    </row>
    <row r="1683" spans="1:18">
      <c r="A1683" s="15" t="str">
        <f t="shared" si="31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1" t="s">
        <v>75</v>
      </c>
      <c r="P1683" s="41">
        <f>HEX2DEC(RIGHT(Table13232127[[#This Row],[h1]],8))</f>
        <v>0</v>
      </c>
      <c r="Q1683" s="41" t="s">
        <v>75</v>
      </c>
      <c r="R1683" s="41">
        <f>HEX2DEC(RIGHT(Table13232127[[#This Row],[h2]],8))</f>
        <v>0</v>
      </c>
    </row>
    <row r="1684" spans="1:18">
      <c r="A1684" s="15" t="str">
        <f t="shared" si="31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1" t="s">
        <v>75</v>
      </c>
      <c r="P1684" s="41">
        <f>HEX2DEC(RIGHT(Table13232127[[#This Row],[h1]],8))</f>
        <v>0</v>
      </c>
      <c r="Q1684" s="41" t="s">
        <v>75</v>
      </c>
      <c r="R1684" s="41">
        <f>HEX2DEC(RIGHT(Table13232127[[#This Row],[h2]],8))</f>
        <v>0</v>
      </c>
    </row>
    <row r="1685" spans="1:18">
      <c r="A1685" s="15" t="str">
        <f t="shared" si="31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1" t="s">
        <v>75</v>
      </c>
      <c r="P1685" s="41">
        <f>HEX2DEC(RIGHT(Table13232127[[#This Row],[h1]],8))</f>
        <v>0</v>
      </c>
      <c r="Q1685" s="41" t="s">
        <v>75</v>
      </c>
      <c r="R1685" s="41">
        <f>HEX2DEC(RIGHT(Table13232127[[#This Row],[h2]],8))</f>
        <v>0</v>
      </c>
    </row>
    <row r="1686" spans="1:18">
      <c r="A1686" s="15" t="str">
        <f t="shared" si="31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1" t="s">
        <v>75</v>
      </c>
      <c r="P1686" s="41">
        <f>HEX2DEC(RIGHT(Table13232127[[#This Row],[h1]],8))</f>
        <v>0</v>
      </c>
      <c r="Q1686" s="41" t="s">
        <v>75</v>
      </c>
      <c r="R1686" s="41">
        <f>HEX2DEC(RIGHT(Table13232127[[#This Row],[h2]],8))</f>
        <v>0</v>
      </c>
    </row>
    <row r="1687" spans="1:18">
      <c r="A1687" s="15" t="str">
        <f t="shared" si="31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1" t="s">
        <v>75</v>
      </c>
      <c r="P1687" s="41">
        <f>HEX2DEC(RIGHT(Table13232127[[#This Row],[h1]],8))</f>
        <v>0</v>
      </c>
      <c r="Q1687" s="41" t="s">
        <v>75</v>
      </c>
      <c r="R1687" s="41">
        <f>HEX2DEC(RIGHT(Table13232127[[#This Row],[h2]],8))</f>
        <v>0</v>
      </c>
    </row>
    <row r="1688" spans="1:18">
      <c r="A1688" s="15" t="str">
        <f t="shared" si="31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1" t="s">
        <v>75</v>
      </c>
      <c r="P1688" s="41">
        <f>HEX2DEC(RIGHT(Table13232127[[#This Row],[h1]],8))</f>
        <v>0</v>
      </c>
      <c r="Q1688" s="41" t="s">
        <v>75</v>
      </c>
      <c r="R1688" s="41">
        <f>HEX2DEC(RIGHT(Table13232127[[#This Row],[h2]],8))</f>
        <v>0</v>
      </c>
    </row>
    <row r="1689" spans="1:18">
      <c r="A1689" s="15" t="str">
        <f t="shared" si="31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1" t="s">
        <v>75</v>
      </c>
      <c r="P1689" s="41">
        <f>HEX2DEC(RIGHT(Table13232127[[#This Row],[h1]],8))</f>
        <v>0</v>
      </c>
      <c r="Q1689" s="41" t="s">
        <v>75</v>
      </c>
      <c r="R1689" s="41">
        <f>HEX2DEC(RIGHT(Table13232127[[#This Row],[h2]],8))</f>
        <v>0</v>
      </c>
    </row>
    <row r="1690" spans="1:18">
      <c r="A1690" s="15" t="str">
        <f t="shared" si="31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1" t="s">
        <v>75</v>
      </c>
      <c r="P1690" s="41">
        <f>HEX2DEC(RIGHT(Table13232127[[#This Row],[h1]],8))</f>
        <v>0</v>
      </c>
      <c r="Q1690" s="41" t="s">
        <v>75</v>
      </c>
      <c r="R1690" s="41">
        <f>HEX2DEC(RIGHT(Table13232127[[#This Row],[h2]],8))</f>
        <v>0</v>
      </c>
    </row>
    <row r="1691" spans="1:18">
      <c r="A1691" s="15" t="str">
        <f t="shared" si="31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1" t="s">
        <v>75</v>
      </c>
      <c r="P1691" s="41">
        <f>HEX2DEC(RIGHT(Table13232127[[#This Row],[h1]],8))</f>
        <v>0</v>
      </c>
      <c r="Q1691" s="41" t="s">
        <v>75</v>
      </c>
      <c r="R1691" s="41">
        <f>HEX2DEC(RIGHT(Table13232127[[#This Row],[h2]],8))</f>
        <v>0</v>
      </c>
    </row>
    <row r="1692" spans="1:18">
      <c r="A1692" s="15" t="str">
        <f t="shared" si="31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1" t="s">
        <v>75</v>
      </c>
      <c r="P1692" s="41">
        <f>HEX2DEC(RIGHT(Table13232127[[#This Row],[h1]],8))</f>
        <v>0</v>
      </c>
      <c r="Q1692" s="41" t="s">
        <v>75</v>
      </c>
      <c r="R1692" s="41">
        <f>HEX2DEC(RIGHT(Table13232127[[#This Row],[h2]],8))</f>
        <v>0</v>
      </c>
    </row>
    <row r="1693" spans="1:18">
      <c r="A1693" s="15" t="str">
        <f t="shared" si="31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1" t="s">
        <v>75</v>
      </c>
      <c r="P1693" s="41">
        <f>HEX2DEC(RIGHT(Table13232127[[#This Row],[h1]],8))</f>
        <v>0</v>
      </c>
      <c r="Q1693" s="41" t="s">
        <v>75</v>
      </c>
      <c r="R1693" s="41">
        <f>HEX2DEC(RIGHT(Table13232127[[#This Row],[h2]],8))</f>
        <v>0</v>
      </c>
    </row>
    <row r="1694" spans="1:18">
      <c r="A1694" s="15" t="str">
        <f t="shared" si="31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1" t="s">
        <v>75</v>
      </c>
      <c r="P1694" s="41">
        <f>HEX2DEC(RIGHT(Table13232127[[#This Row],[h1]],8))</f>
        <v>0</v>
      </c>
      <c r="Q1694" s="41" t="s">
        <v>75</v>
      </c>
      <c r="R1694" s="41">
        <f>HEX2DEC(RIGHT(Table13232127[[#This Row],[h2]],8))</f>
        <v>0</v>
      </c>
    </row>
    <row r="1695" spans="1:18">
      <c r="A1695" s="15" t="str">
        <f t="shared" si="31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1" t="s">
        <v>75</v>
      </c>
      <c r="P1695" s="41">
        <f>HEX2DEC(RIGHT(Table13232127[[#This Row],[h1]],8))</f>
        <v>0</v>
      </c>
      <c r="Q1695" s="41" t="s">
        <v>75</v>
      </c>
      <c r="R1695" s="41">
        <f>HEX2DEC(RIGHT(Table13232127[[#This Row],[h2]],8))</f>
        <v>0</v>
      </c>
    </row>
    <row r="1696" spans="1:18">
      <c r="A1696" s="15" t="str">
        <f t="shared" si="31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1" t="s">
        <v>75</v>
      </c>
      <c r="P1696" s="41">
        <f>HEX2DEC(RIGHT(Table13232127[[#This Row],[h1]],8))</f>
        <v>0</v>
      </c>
      <c r="Q1696" s="41" t="s">
        <v>75</v>
      </c>
      <c r="R1696" s="41">
        <f>HEX2DEC(RIGHT(Table13232127[[#This Row],[h2]],8))</f>
        <v>0</v>
      </c>
    </row>
    <row r="1697" spans="1:18">
      <c r="A1697" s="15" t="str">
        <f t="shared" si="31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1" t="s">
        <v>75</v>
      </c>
      <c r="P1697" s="41">
        <f>HEX2DEC(RIGHT(Table13232127[[#This Row],[h1]],8))</f>
        <v>0</v>
      </c>
      <c r="Q1697" s="41" t="s">
        <v>75</v>
      </c>
      <c r="R1697" s="41">
        <f>HEX2DEC(RIGHT(Table13232127[[#This Row],[h2]],8))</f>
        <v>0</v>
      </c>
    </row>
    <row r="1698" spans="1:18">
      <c r="A1698" s="15" t="str">
        <f t="shared" si="31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1" t="s">
        <v>75</v>
      </c>
      <c r="P1698" s="41">
        <f>HEX2DEC(RIGHT(Table13232127[[#This Row],[h1]],8))</f>
        <v>0</v>
      </c>
      <c r="Q1698" s="41" t="s">
        <v>75</v>
      </c>
      <c r="R1698" s="41">
        <f>HEX2DEC(RIGHT(Table13232127[[#This Row],[h2]],8))</f>
        <v>0</v>
      </c>
    </row>
    <row r="1699" spans="1:18">
      <c r="A1699" s="15" t="str">
        <f t="shared" si="31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1" t="s">
        <v>75</v>
      </c>
      <c r="P1699" s="41">
        <f>HEX2DEC(RIGHT(Table13232127[[#This Row],[h1]],8))</f>
        <v>0</v>
      </c>
      <c r="Q1699" s="41" t="s">
        <v>75</v>
      </c>
      <c r="R1699" s="41">
        <f>HEX2DEC(RIGHT(Table13232127[[#This Row],[h2]],8))</f>
        <v>0</v>
      </c>
    </row>
    <row r="1700" spans="1:18">
      <c r="A1700" s="15" t="str">
        <f t="shared" si="31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1" t="s">
        <v>75</v>
      </c>
      <c r="P1700" s="41">
        <f>HEX2DEC(RIGHT(Table13232127[[#This Row],[h1]],8))</f>
        <v>0</v>
      </c>
      <c r="Q1700" s="41" t="s">
        <v>75</v>
      </c>
      <c r="R1700" s="41">
        <f>HEX2DEC(RIGHT(Table13232127[[#This Row],[h2]],8))</f>
        <v>0</v>
      </c>
    </row>
    <row r="1701" spans="1:18">
      <c r="A1701" s="15" t="str">
        <f t="shared" si="31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1" t="s">
        <v>75</v>
      </c>
      <c r="P1701" s="41">
        <f>HEX2DEC(RIGHT(Table13232127[[#This Row],[h1]],8))</f>
        <v>0</v>
      </c>
      <c r="Q1701" s="41" t="s">
        <v>75</v>
      </c>
      <c r="R1701" s="41">
        <f>HEX2DEC(RIGHT(Table13232127[[#This Row],[h2]],8))</f>
        <v>0</v>
      </c>
    </row>
    <row r="1702" spans="1:18">
      <c r="A1702" s="15" t="str">
        <f t="shared" si="31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1" t="s">
        <v>75</v>
      </c>
      <c r="P1702" s="41">
        <f>HEX2DEC(RIGHT(Table13232127[[#This Row],[h1]],8))</f>
        <v>0</v>
      </c>
      <c r="Q1702" s="41" t="s">
        <v>75</v>
      </c>
      <c r="R1702" s="41">
        <f>HEX2DEC(RIGHT(Table13232127[[#This Row],[h2]],8))</f>
        <v>0</v>
      </c>
    </row>
    <row r="1703" spans="1:18">
      <c r="A1703" s="15" t="str">
        <f t="shared" si="31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1" t="s">
        <v>75</v>
      </c>
      <c r="P1703" s="41">
        <f>HEX2DEC(RIGHT(Table13232127[[#This Row],[h1]],8))</f>
        <v>0</v>
      </c>
      <c r="Q1703" s="41" t="s">
        <v>75</v>
      </c>
      <c r="R1703" s="41">
        <f>HEX2DEC(RIGHT(Table13232127[[#This Row],[h2]],8))</f>
        <v>0</v>
      </c>
    </row>
    <row r="1704" spans="1:18">
      <c r="A1704" s="15" t="str">
        <f t="shared" si="31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1" t="s">
        <v>75</v>
      </c>
      <c r="P1704" s="41">
        <f>HEX2DEC(RIGHT(Table13232127[[#This Row],[h1]],8))</f>
        <v>0</v>
      </c>
      <c r="Q1704" s="41" t="s">
        <v>75</v>
      </c>
      <c r="R1704" s="41">
        <f>HEX2DEC(RIGHT(Table13232127[[#This Row],[h2]],8))</f>
        <v>0</v>
      </c>
    </row>
    <row r="1705" spans="1:18">
      <c r="A1705" s="15" t="str">
        <f t="shared" si="31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1" t="s">
        <v>75</v>
      </c>
      <c r="P1705" s="41">
        <f>HEX2DEC(RIGHT(Table13232127[[#This Row],[h1]],8))</f>
        <v>0</v>
      </c>
      <c r="Q1705" s="41" t="s">
        <v>75</v>
      </c>
      <c r="R1705" s="41">
        <f>HEX2DEC(RIGHT(Table13232127[[#This Row],[h2]],8))</f>
        <v>0</v>
      </c>
    </row>
    <row r="1706" spans="1:18">
      <c r="A1706" s="15" t="str">
        <f t="shared" si="31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1" t="s">
        <v>75</v>
      </c>
      <c r="P1706" s="41">
        <f>HEX2DEC(RIGHT(Table13232127[[#This Row],[h1]],8))</f>
        <v>0</v>
      </c>
      <c r="Q1706" s="41" t="s">
        <v>75</v>
      </c>
      <c r="R1706" s="41">
        <f>HEX2DEC(RIGHT(Table13232127[[#This Row],[h2]],8))</f>
        <v>0</v>
      </c>
    </row>
    <row r="1707" spans="1:18">
      <c r="A1707" s="15" t="str">
        <f t="shared" si="31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1" t="s">
        <v>75</v>
      </c>
      <c r="P1707" s="41">
        <f>HEX2DEC(RIGHT(Table13232127[[#This Row],[h1]],8))</f>
        <v>0</v>
      </c>
      <c r="Q1707" s="41" t="s">
        <v>75</v>
      </c>
      <c r="R1707" s="41">
        <f>HEX2DEC(RIGHT(Table13232127[[#This Row],[h2]],8))</f>
        <v>0</v>
      </c>
    </row>
    <row r="1708" spans="1:18">
      <c r="A1708" s="15" t="str">
        <f t="shared" si="31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1" t="s">
        <v>75</v>
      </c>
      <c r="P1708" s="41">
        <f>HEX2DEC(RIGHT(Table13232127[[#This Row],[h1]],8))</f>
        <v>0</v>
      </c>
      <c r="Q1708" s="41" t="s">
        <v>75</v>
      </c>
      <c r="R1708" s="41">
        <f>HEX2DEC(RIGHT(Table13232127[[#This Row],[h2]],8))</f>
        <v>0</v>
      </c>
    </row>
    <row r="1709" spans="1:18">
      <c r="A1709" s="15" t="str">
        <f t="shared" si="31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1" t="s">
        <v>75</v>
      </c>
      <c r="P1709" s="41">
        <f>HEX2DEC(RIGHT(Table13232127[[#This Row],[h1]],8))</f>
        <v>0</v>
      </c>
      <c r="Q1709" s="41" t="s">
        <v>75</v>
      </c>
      <c r="R1709" s="41">
        <f>HEX2DEC(RIGHT(Table13232127[[#This Row],[h2]],8))</f>
        <v>0</v>
      </c>
    </row>
    <row r="1710" spans="1:18">
      <c r="A1710" s="15" t="str">
        <f t="shared" si="31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1" t="s">
        <v>75</v>
      </c>
      <c r="P1710" s="41">
        <f>HEX2DEC(RIGHT(Table13232127[[#This Row],[h1]],8))</f>
        <v>0</v>
      </c>
      <c r="Q1710" s="41" t="s">
        <v>75</v>
      </c>
      <c r="R1710" s="41">
        <f>HEX2DEC(RIGHT(Table13232127[[#This Row],[h2]],8))</f>
        <v>0</v>
      </c>
    </row>
    <row r="1711" spans="1:18">
      <c r="A1711" s="15" t="str">
        <f t="shared" si="31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1" t="s">
        <v>75</v>
      </c>
      <c r="P1711" s="41">
        <f>HEX2DEC(RIGHT(Table13232127[[#This Row],[h1]],8))</f>
        <v>0</v>
      </c>
      <c r="Q1711" s="41" t="s">
        <v>75</v>
      </c>
      <c r="R1711" s="41">
        <f>HEX2DEC(RIGHT(Table13232127[[#This Row],[h2]],8))</f>
        <v>0</v>
      </c>
    </row>
    <row r="1712" spans="1:18">
      <c r="A1712" s="15" t="str">
        <f t="shared" si="31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1" t="s">
        <v>75</v>
      </c>
      <c r="P1712" s="41">
        <f>HEX2DEC(RIGHT(Table13232127[[#This Row],[h1]],8))</f>
        <v>0</v>
      </c>
      <c r="Q1712" s="41" t="s">
        <v>75</v>
      </c>
      <c r="R1712" s="41">
        <f>HEX2DEC(RIGHT(Table13232127[[#This Row],[h2]],8))</f>
        <v>0</v>
      </c>
    </row>
    <row r="1713" spans="1:18">
      <c r="A1713" s="15" t="str">
        <f t="shared" si="31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1" t="s">
        <v>75</v>
      </c>
      <c r="P1713" s="41">
        <f>HEX2DEC(RIGHT(Table13232127[[#This Row],[h1]],8))</f>
        <v>0</v>
      </c>
      <c r="Q1713" s="41" t="s">
        <v>75</v>
      </c>
      <c r="R1713" s="41">
        <f>HEX2DEC(RIGHT(Table13232127[[#This Row],[h2]],8))</f>
        <v>0</v>
      </c>
    </row>
    <row r="1714" spans="1:18">
      <c r="A1714" s="15" t="str">
        <f t="shared" si="31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1" t="s">
        <v>75</v>
      </c>
      <c r="P1714" s="41">
        <f>HEX2DEC(RIGHT(Table13232127[[#This Row],[h1]],8))</f>
        <v>0</v>
      </c>
      <c r="Q1714" s="41" t="s">
        <v>75</v>
      </c>
      <c r="R1714" s="41">
        <f>HEX2DEC(RIGHT(Table13232127[[#This Row],[h2]],8))</f>
        <v>0</v>
      </c>
    </row>
    <row r="1715" spans="1:18">
      <c r="A1715" s="15" t="str">
        <f t="shared" si="31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1" t="s">
        <v>75</v>
      </c>
      <c r="P1715" s="41">
        <f>HEX2DEC(RIGHT(Table13232127[[#This Row],[h1]],8))</f>
        <v>0</v>
      </c>
      <c r="Q1715" s="41" t="s">
        <v>75</v>
      </c>
      <c r="R1715" s="41">
        <f>HEX2DEC(RIGHT(Table13232127[[#This Row],[h2]],8))</f>
        <v>0</v>
      </c>
    </row>
    <row r="1716" spans="1:18">
      <c r="A1716" s="15" t="str">
        <f t="shared" si="31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1" t="s">
        <v>75</v>
      </c>
      <c r="P1716" s="41">
        <f>HEX2DEC(RIGHT(Table13232127[[#This Row],[h1]],8))</f>
        <v>0</v>
      </c>
      <c r="Q1716" s="41" t="s">
        <v>75</v>
      </c>
      <c r="R1716" s="41">
        <f>HEX2DEC(RIGHT(Table13232127[[#This Row],[h2]],8))</f>
        <v>0</v>
      </c>
    </row>
    <row r="1717" spans="1:18">
      <c r="A1717" s="15" t="str">
        <f t="shared" si="31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1" t="s">
        <v>75</v>
      </c>
      <c r="P1717" s="41">
        <f>HEX2DEC(RIGHT(Table13232127[[#This Row],[h1]],8))</f>
        <v>0</v>
      </c>
      <c r="Q1717" s="41" t="s">
        <v>75</v>
      </c>
      <c r="R1717" s="41">
        <f>HEX2DEC(RIGHT(Table13232127[[#This Row],[h2]],8))</f>
        <v>0</v>
      </c>
    </row>
    <row r="1718" spans="1:18">
      <c r="A1718" s="15" t="str">
        <f t="shared" si="31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1" t="s">
        <v>75</v>
      </c>
      <c r="P1718" s="41">
        <f>HEX2DEC(RIGHT(Table13232127[[#This Row],[h1]],8))</f>
        <v>0</v>
      </c>
      <c r="Q1718" s="41" t="s">
        <v>75</v>
      </c>
      <c r="R1718" s="41">
        <f>HEX2DEC(RIGHT(Table13232127[[#This Row],[h2]],8))</f>
        <v>0</v>
      </c>
    </row>
    <row r="1719" spans="1:18">
      <c r="A1719" s="15" t="str">
        <f t="shared" si="31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1" t="s">
        <v>75</v>
      </c>
      <c r="P1719" s="41">
        <f>HEX2DEC(RIGHT(Table13232127[[#This Row],[h1]],8))</f>
        <v>0</v>
      </c>
      <c r="Q1719" s="41" t="s">
        <v>75</v>
      </c>
      <c r="R1719" s="41">
        <f>HEX2DEC(RIGHT(Table13232127[[#This Row],[h2]],8))</f>
        <v>0</v>
      </c>
    </row>
    <row r="1720" spans="1:18">
      <c r="A1720" s="15" t="str">
        <f t="shared" si="31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1" t="s">
        <v>75</v>
      </c>
      <c r="P1720" s="41">
        <f>HEX2DEC(RIGHT(Table13232127[[#This Row],[h1]],8))</f>
        <v>0</v>
      </c>
      <c r="Q1720" s="41" t="s">
        <v>75</v>
      </c>
      <c r="R1720" s="41">
        <f>HEX2DEC(RIGHT(Table13232127[[#This Row],[h2]],8))</f>
        <v>0</v>
      </c>
    </row>
    <row r="1721" spans="1:18">
      <c r="A1721" s="15" t="str">
        <f t="shared" si="31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1" t="s">
        <v>75</v>
      </c>
      <c r="P1721" s="41">
        <f>HEX2DEC(RIGHT(Table13232127[[#This Row],[h1]],8))</f>
        <v>0</v>
      </c>
      <c r="Q1721" s="41" t="s">
        <v>75</v>
      </c>
      <c r="R1721" s="41">
        <f>HEX2DEC(RIGHT(Table13232127[[#This Row],[h2]],8))</f>
        <v>0</v>
      </c>
    </row>
    <row r="1722" spans="1:18">
      <c r="A1722" s="15" t="str">
        <f t="shared" si="31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1" t="s">
        <v>75</v>
      </c>
      <c r="P1722" s="41">
        <f>HEX2DEC(RIGHT(Table13232127[[#This Row],[h1]],8))</f>
        <v>0</v>
      </c>
      <c r="Q1722" s="41" t="s">
        <v>75</v>
      </c>
      <c r="R1722" s="41">
        <f>HEX2DEC(RIGHT(Table13232127[[#This Row],[h2]],8))</f>
        <v>0</v>
      </c>
    </row>
    <row r="1723" spans="1:18">
      <c r="A1723" s="15" t="str">
        <f t="shared" si="31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1" t="s">
        <v>75</v>
      </c>
      <c r="P1723" s="41">
        <f>HEX2DEC(RIGHT(Table13232127[[#This Row],[h1]],8))</f>
        <v>0</v>
      </c>
      <c r="Q1723" s="41" t="s">
        <v>75</v>
      </c>
      <c r="R1723" s="41">
        <f>HEX2DEC(RIGHT(Table13232127[[#This Row],[h2]],8))</f>
        <v>0</v>
      </c>
    </row>
    <row r="1724" spans="1:18">
      <c r="A1724" s="15" t="str">
        <f t="shared" si="31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1" t="s">
        <v>75</v>
      </c>
      <c r="P1724" s="41">
        <f>HEX2DEC(RIGHT(Table13232127[[#This Row],[h1]],8))</f>
        <v>0</v>
      </c>
      <c r="Q1724" s="41" t="s">
        <v>75</v>
      </c>
      <c r="R1724" s="41">
        <f>HEX2DEC(RIGHT(Table13232127[[#This Row],[h2]],8))</f>
        <v>0</v>
      </c>
    </row>
    <row r="1725" spans="1:18">
      <c r="A1725" s="15" t="str">
        <f t="shared" si="31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1" t="s">
        <v>75</v>
      </c>
      <c r="P1725" s="41">
        <f>HEX2DEC(RIGHT(Table13232127[[#This Row],[h1]],8))</f>
        <v>0</v>
      </c>
      <c r="Q1725" s="41" t="s">
        <v>75</v>
      </c>
      <c r="R1725" s="41">
        <f>HEX2DEC(RIGHT(Table13232127[[#This Row],[h2]],8))</f>
        <v>0</v>
      </c>
    </row>
    <row r="1726" spans="1:18">
      <c r="A1726" s="15" t="str">
        <f t="shared" si="31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1" t="s">
        <v>75</v>
      </c>
      <c r="P1726" s="41">
        <f>HEX2DEC(RIGHT(Table13232127[[#This Row],[h1]],8))</f>
        <v>0</v>
      </c>
      <c r="Q1726" s="41" t="s">
        <v>75</v>
      </c>
      <c r="R1726" s="41">
        <f>HEX2DEC(RIGHT(Table13232127[[#This Row],[h2]],8))</f>
        <v>0</v>
      </c>
    </row>
    <row r="1727" spans="1:18">
      <c r="A1727" s="15" t="str">
        <f t="shared" si="31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1" t="s">
        <v>75</v>
      </c>
      <c r="P1727" s="41">
        <f>HEX2DEC(RIGHT(Table13232127[[#This Row],[h1]],8))</f>
        <v>0</v>
      </c>
      <c r="Q1727" s="41" t="s">
        <v>75</v>
      </c>
      <c r="R1727" s="41">
        <f>HEX2DEC(RIGHT(Table13232127[[#This Row],[h2]],8))</f>
        <v>0</v>
      </c>
    </row>
    <row r="1728" spans="1:18">
      <c r="A1728" s="15" t="str">
        <f t="shared" si="31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1" t="s">
        <v>75</v>
      </c>
      <c r="P1728" s="41">
        <f>HEX2DEC(RIGHT(Table13232127[[#This Row],[h1]],8))</f>
        <v>0</v>
      </c>
      <c r="Q1728" s="41" t="s">
        <v>75</v>
      </c>
      <c r="R1728" s="41">
        <f>HEX2DEC(RIGHT(Table13232127[[#This Row],[h2]],8))</f>
        <v>0</v>
      </c>
    </row>
    <row r="1729" spans="1:18">
      <c r="A1729" s="15" t="str">
        <f t="shared" si="31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1" t="s">
        <v>75</v>
      </c>
      <c r="P1729" s="41">
        <f>HEX2DEC(RIGHT(Table13232127[[#This Row],[h1]],8))</f>
        <v>0</v>
      </c>
      <c r="Q1729" s="41" t="s">
        <v>75</v>
      </c>
      <c r="R1729" s="41">
        <f>HEX2DEC(RIGHT(Table13232127[[#This Row],[h2]],8))</f>
        <v>0</v>
      </c>
    </row>
    <row r="1730" spans="1:18">
      <c r="A1730" s="15" t="str">
        <f t="shared" si="31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1" t="s">
        <v>75</v>
      </c>
      <c r="P1730" s="41">
        <f>HEX2DEC(RIGHT(Table13232127[[#This Row],[h1]],8))</f>
        <v>0</v>
      </c>
      <c r="Q1730" s="41" t="s">
        <v>75</v>
      </c>
      <c r="R1730" s="41">
        <f>HEX2DEC(RIGHT(Table13232127[[#This Row],[h2]],8))</f>
        <v>0</v>
      </c>
    </row>
    <row r="1731" spans="1:18">
      <c r="A1731" s="15" t="str">
        <f t="shared" si="31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1" t="s">
        <v>75</v>
      </c>
      <c r="P1731" s="41">
        <f>HEX2DEC(RIGHT(Table13232127[[#This Row],[h1]],8))</f>
        <v>0</v>
      </c>
      <c r="Q1731" s="41" t="s">
        <v>75</v>
      </c>
      <c r="R1731" s="41">
        <f>HEX2DEC(RIGHT(Table13232127[[#This Row],[h2]],8))</f>
        <v>0</v>
      </c>
    </row>
    <row r="1732" spans="1:18">
      <c r="A1732" s="15" t="str">
        <f t="shared" si="31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1" t="s">
        <v>75</v>
      </c>
      <c r="P1732" s="41">
        <f>HEX2DEC(RIGHT(Table13232127[[#This Row],[h1]],8))</f>
        <v>0</v>
      </c>
      <c r="Q1732" s="41" t="s">
        <v>75</v>
      </c>
      <c r="R1732" s="41">
        <f>HEX2DEC(RIGHT(Table13232127[[#This Row],[h2]],8))</f>
        <v>0</v>
      </c>
    </row>
    <row r="1733" spans="1:18">
      <c r="A1733" s="15" t="str">
        <f t="shared" si="31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1" t="s">
        <v>75</v>
      </c>
      <c r="P1733" s="41">
        <f>HEX2DEC(RIGHT(Table13232127[[#This Row],[h1]],8))</f>
        <v>0</v>
      </c>
      <c r="Q1733" s="41" t="s">
        <v>75</v>
      </c>
      <c r="R1733" s="41">
        <f>HEX2DEC(RIGHT(Table13232127[[#This Row],[h2]],8))</f>
        <v>0</v>
      </c>
    </row>
    <row r="1734" spans="1:18">
      <c r="A1734" s="15" t="str">
        <f t="shared" si="31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1" t="s">
        <v>75</v>
      </c>
      <c r="P1734" s="41">
        <f>HEX2DEC(RIGHT(Table13232127[[#This Row],[h1]],8))</f>
        <v>0</v>
      </c>
      <c r="Q1734" s="41" t="s">
        <v>75</v>
      </c>
      <c r="R1734" s="41">
        <f>HEX2DEC(RIGHT(Table13232127[[#This Row],[h2]],8))</f>
        <v>0</v>
      </c>
    </row>
    <row r="1735" spans="1:18">
      <c r="A1735" s="15" t="str">
        <f t="shared" si="31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1" t="s">
        <v>75</v>
      </c>
      <c r="P1735" s="41">
        <f>HEX2DEC(RIGHT(Table13232127[[#This Row],[h1]],8))</f>
        <v>0</v>
      </c>
      <c r="Q1735" s="41" t="s">
        <v>75</v>
      </c>
      <c r="R1735" s="41">
        <f>HEX2DEC(RIGHT(Table13232127[[#This Row],[h2]],8))</f>
        <v>0</v>
      </c>
    </row>
    <row r="1736" spans="1:18">
      <c r="A1736" s="15" t="str">
        <f t="shared" si="31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1" t="s">
        <v>75</v>
      </c>
      <c r="P1736" s="41">
        <f>HEX2DEC(RIGHT(Table13232127[[#This Row],[h1]],8))</f>
        <v>0</v>
      </c>
      <c r="Q1736" s="41" t="s">
        <v>75</v>
      </c>
      <c r="R1736" s="41">
        <f>HEX2DEC(RIGHT(Table13232127[[#This Row],[h2]],8))</f>
        <v>0</v>
      </c>
    </row>
    <row r="1737" spans="1:18">
      <c r="A1737" s="15" t="str">
        <f t="shared" si="31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1" t="s">
        <v>75</v>
      </c>
      <c r="P1737" s="41">
        <f>HEX2DEC(RIGHT(Table13232127[[#This Row],[h1]],8))</f>
        <v>0</v>
      </c>
      <c r="Q1737" s="41" t="s">
        <v>75</v>
      </c>
      <c r="R1737" s="41">
        <f>HEX2DEC(RIGHT(Table13232127[[#This Row],[h2]],8))</f>
        <v>0</v>
      </c>
    </row>
    <row r="1738" spans="1:18">
      <c r="A1738" s="15" t="str">
        <f t="shared" si="31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1" t="s">
        <v>75</v>
      </c>
      <c r="P1738" s="41">
        <f>HEX2DEC(RIGHT(Table13232127[[#This Row],[h1]],8))</f>
        <v>0</v>
      </c>
      <c r="Q1738" s="41" t="s">
        <v>75</v>
      </c>
      <c r="R1738" s="41">
        <f>HEX2DEC(RIGHT(Table13232127[[#This Row],[h2]],8))</f>
        <v>0</v>
      </c>
    </row>
    <row r="1739" spans="1:18">
      <c r="A1739" s="15" t="str">
        <f t="shared" ref="A1739:A1802" si="32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1" t="s">
        <v>75</v>
      </c>
      <c r="P1739" s="41">
        <f>HEX2DEC(RIGHT(Table13232127[[#This Row],[h1]],8))</f>
        <v>0</v>
      </c>
      <c r="Q1739" s="41" t="s">
        <v>75</v>
      </c>
      <c r="R1739" s="41">
        <f>HEX2DEC(RIGHT(Table13232127[[#This Row],[h2]],8))</f>
        <v>0</v>
      </c>
    </row>
    <row r="1740" spans="1:18">
      <c r="A1740" s="15" t="str">
        <f t="shared" si="32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1" t="s">
        <v>75</v>
      </c>
      <c r="P1740" s="41">
        <f>HEX2DEC(RIGHT(Table13232127[[#This Row],[h1]],8))</f>
        <v>0</v>
      </c>
      <c r="Q1740" s="41" t="s">
        <v>75</v>
      </c>
      <c r="R1740" s="41">
        <f>HEX2DEC(RIGHT(Table13232127[[#This Row],[h2]],8))</f>
        <v>0</v>
      </c>
    </row>
    <row r="1741" spans="1:18">
      <c r="A1741" s="15" t="str">
        <f t="shared" si="32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1" t="s">
        <v>75</v>
      </c>
      <c r="P1741" s="41">
        <f>HEX2DEC(RIGHT(Table13232127[[#This Row],[h1]],8))</f>
        <v>0</v>
      </c>
      <c r="Q1741" s="41" t="s">
        <v>75</v>
      </c>
      <c r="R1741" s="41">
        <f>HEX2DEC(RIGHT(Table13232127[[#This Row],[h2]],8))</f>
        <v>0</v>
      </c>
    </row>
    <row r="1742" spans="1:18">
      <c r="A1742" s="15" t="str">
        <f t="shared" si="32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1" t="s">
        <v>75</v>
      </c>
      <c r="P1742" s="41">
        <f>HEX2DEC(RIGHT(Table13232127[[#This Row],[h1]],8))</f>
        <v>0</v>
      </c>
      <c r="Q1742" s="41" t="s">
        <v>75</v>
      </c>
      <c r="R1742" s="41">
        <f>HEX2DEC(RIGHT(Table13232127[[#This Row],[h2]],8))</f>
        <v>0</v>
      </c>
    </row>
    <row r="1743" spans="1:18">
      <c r="A1743" s="15" t="str">
        <f t="shared" si="32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1" t="s">
        <v>75</v>
      </c>
      <c r="P1743" s="41">
        <f>HEX2DEC(RIGHT(Table13232127[[#This Row],[h1]],8))</f>
        <v>0</v>
      </c>
      <c r="Q1743" s="41" t="s">
        <v>75</v>
      </c>
      <c r="R1743" s="41">
        <f>HEX2DEC(RIGHT(Table13232127[[#This Row],[h2]],8))</f>
        <v>0</v>
      </c>
    </row>
    <row r="1744" spans="1:18">
      <c r="A1744" s="15" t="str">
        <f t="shared" si="32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1" t="s">
        <v>75</v>
      </c>
      <c r="P1744" s="41">
        <f>HEX2DEC(RIGHT(Table13232127[[#This Row],[h1]],8))</f>
        <v>0</v>
      </c>
      <c r="Q1744" s="41" t="s">
        <v>75</v>
      </c>
      <c r="R1744" s="41">
        <f>HEX2DEC(RIGHT(Table13232127[[#This Row],[h2]],8))</f>
        <v>0</v>
      </c>
    </row>
    <row r="1745" spans="1:18">
      <c r="A1745" s="15" t="str">
        <f t="shared" si="32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1" t="s">
        <v>75</v>
      </c>
      <c r="P1745" s="41">
        <f>HEX2DEC(RIGHT(Table13232127[[#This Row],[h1]],8))</f>
        <v>0</v>
      </c>
      <c r="Q1745" s="41" t="s">
        <v>75</v>
      </c>
      <c r="R1745" s="41">
        <f>HEX2DEC(RIGHT(Table13232127[[#This Row],[h2]],8))</f>
        <v>0</v>
      </c>
    </row>
    <row r="1746" spans="1:18">
      <c r="A1746" s="15" t="str">
        <f t="shared" si="32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1" t="s">
        <v>75</v>
      </c>
      <c r="P1746" s="41">
        <f>HEX2DEC(RIGHT(Table13232127[[#This Row],[h1]],8))</f>
        <v>0</v>
      </c>
      <c r="Q1746" s="41" t="s">
        <v>75</v>
      </c>
      <c r="R1746" s="41">
        <f>HEX2DEC(RIGHT(Table13232127[[#This Row],[h2]],8))</f>
        <v>0</v>
      </c>
    </row>
    <row r="1747" spans="1:18">
      <c r="A1747" s="15" t="str">
        <f t="shared" si="32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1" t="s">
        <v>75</v>
      </c>
      <c r="P1747" s="41">
        <f>HEX2DEC(RIGHT(Table13232127[[#This Row],[h1]],8))</f>
        <v>0</v>
      </c>
      <c r="Q1747" s="41" t="s">
        <v>75</v>
      </c>
      <c r="R1747" s="41">
        <f>HEX2DEC(RIGHT(Table13232127[[#This Row],[h2]],8))</f>
        <v>0</v>
      </c>
    </row>
    <row r="1748" spans="1:18">
      <c r="A1748" s="15" t="str">
        <f t="shared" si="32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1" t="s">
        <v>75</v>
      </c>
      <c r="P1748" s="41">
        <f>HEX2DEC(RIGHT(Table13232127[[#This Row],[h1]],8))</f>
        <v>0</v>
      </c>
      <c r="Q1748" s="41" t="s">
        <v>75</v>
      </c>
      <c r="R1748" s="41">
        <f>HEX2DEC(RIGHT(Table13232127[[#This Row],[h2]],8))</f>
        <v>0</v>
      </c>
    </row>
    <row r="1749" spans="1:18">
      <c r="A1749" s="15" t="str">
        <f t="shared" si="32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1" t="s">
        <v>75</v>
      </c>
      <c r="P1749" s="41">
        <f>HEX2DEC(RIGHT(Table13232127[[#This Row],[h1]],8))</f>
        <v>0</v>
      </c>
      <c r="Q1749" s="41" t="s">
        <v>75</v>
      </c>
      <c r="R1749" s="41">
        <f>HEX2DEC(RIGHT(Table13232127[[#This Row],[h2]],8))</f>
        <v>0</v>
      </c>
    </row>
    <row r="1750" spans="1:18">
      <c r="A1750" s="15" t="str">
        <f t="shared" si="32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1" t="s">
        <v>75</v>
      </c>
      <c r="P1750" s="41">
        <f>HEX2DEC(RIGHT(Table13232127[[#This Row],[h1]],8))</f>
        <v>0</v>
      </c>
      <c r="Q1750" s="41" t="s">
        <v>75</v>
      </c>
      <c r="R1750" s="41">
        <f>HEX2DEC(RIGHT(Table13232127[[#This Row],[h2]],8))</f>
        <v>0</v>
      </c>
    </row>
    <row r="1751" spans="1:18">
      <c r="A1751" s="15" t="str">
        <f t="shared" si="32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1" t="s">
        <v>75</v>
      </c>
      <c r="P1751" s="41">
        <f>HEX2DEC(RIGHT(Table13232127[[#This Row],[h1]],8))</f>
        <v>0</v>
      </c>
      <c r="Q1751" s="41" t="s">
        <v>75</v>
      </c>
      <c r="R1751" s="41">
        <f>HEX2DEC(RIGHT(Table13232127[[#This Row],[h2]],8))</f>
        <v>0</v>
      </c>
    </row>
    <row r="1752" spans="1:18">
      <c r="A1752" s="15" t="str">
        <f t="shared" si="32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1" t="s">
        <v>75</v>
      </c>
      <c r="P1752" s="41">
        <f>HEX2DEC(RIGHT(Table13232127[[#This Row],[h1]],8))</f>
        <v>0</v>
      </c>
      <c r="Q1752" s="41" t="s">
        <v>75</v>
      </c>
      <c r="R1752" s="41">
        <f>HEX2DEC(RIGHT(Table13232127[[#This Row],[h2]],8))</f>
        <v>0</v>
      </c>
    </row>
    <row r="1753" spans="1:18">
      <c r="A1753" s="15" t="str">
        <f t="shared" si="32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1" t="s">
        <v>75</v>
      </c>
      <c r="P1753" s="41">
        <f>HEX2DEC(RIGHT(Table13232127[[#This Row],[h1]],8))</f>
        <v>0</v>
      </c>
      <c r="Q1753" s="41" t="s">
        <v>75</v>
      </c>
      <c r="R1753" s="41">
        <f>HEX2DEC(RIGHT(Table13232127[[#This Row],[h2]],8))</f>
        <v>0</v>
      </c>
    </row>
    <row r="1754" spans="1:18">
      <c r="A1754" s="15" t="str">
        <f t="shared" si="32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1" t="s">
        <v>75</v>
      </c>
      <c r="P1754" s="41">
        <f>HEX2DEC(RIGHT(Table13232127[[#This Row],[h1]],8))</f>
        <v>0</v>
      </c>
      <c r="Q1754" s="41" t="s">
        <v>75</v>
      </c>
      <c r="R1754" s="41">
        <f>HEX2DEC(RIGHT(Table13232127[[#This Row],[h2]],8))</f>
        <v>0</v>
      </c>
    </row>
    <row r="1755" spans="1:18">
      <c r="A1755" s="15" t="str">
        <f t="shared" si="32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1" t="s">
        <v>75</v>
      </c>
      <c r="P1755" s="41">
        <f>HEX2DEC(RIGHT(Table13232127[[#This Row],[h1]],8))</f>
        <v>0</v>
      </c>
      <c r="Q1755" s="41" t="s">
        <v>75</v>
      </c>
      <c r="R1755" s="41">
        <f>HEX2DEC(RIGHT(Table13232127[[#This Row],[h2]],8))</f>
        <v>0</v>
      </c>
    </row>
    <row r="1756" spans="1:18">
      <c r="A1756" s="15" t="str">
        <f t="shared" si="32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1" t="s">
        <v>75</v>
      </c>
      <c r="P1756" s="41">
        <f>HEX2DEC(RIGHT(Table13232127[[#This Row],[h1]],8))</f>
        <v>0</v>
      </c>
      <c r="Q1756" s="41" t="s">
        <v>75</v>
      </c>
      <c r="R1756" s="41">
        <f>HEX2DEC(RIGHT(Table13232127[[#This Row],[h2]],8))</f>
        <v>0</v>
      </c>
    </row>
    <row r="1757" spans="1:18">
      <c r="A1757" s="15" t="str">
        <f t="shared" si="32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1" t="s">
        <v>75</v>
      </c>
      <c r="P1757" s="41">
        <f>HEX2DEC(RIGHT(Table13232127[[#This Row],[h1]],8))</f>
        <v>0</v>
      </c>
      <c r="Q1757" s="41" t="s">
        <v>75</v>
      </c>
      <c r="R1757" s="41">
        <f>HEX2DEC(RIGHT(Table13232127[[#This Row],[h2]],8))</f>
        <v>0</v>
      </c>
    </row>
    <row r="1758" spans="1:18">
      <c r="A1758" s="15" t="str">
        <f t="shared" si="32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1" t="s">
        <v>75</v>
      </c>
      <c r="P1758" s="41">
        <f>HEX2DEC(RIGHT(Table13232127[[#This Row],[h1]],8))</f>
        <v>0</v>
      </c>
      <c r="Q1758" s="41" t="s">
        <v>75</v>
      </c>
      <c r="R1758" s="41">
        <f>HEX2DEC(RIGHT(Table13232127[[#This Row],[h2]],8))</f>
        <v>0</v>
      </c>
    </row>
    <row r="1759" spans="1:18">
      <c r="A1759" s="15" t="str">
        <f t="shared" si="32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1" t="s">
        <v>75</v>
      </c>
      <c r="P1759" s="41">
        <f>HEX2DEC(RIGHT(Table13232127[[#This Row],[h1]],8))</f>
        <v>0</v>
      </c>
      <c r="Q1759" s="41" t="s">
        <v>75</v>
      </c>
      <c r="R1759" s="41">
        <f>HEX2DEC(RIGHT(Table13232127[[#This Row],[h2]],8))</f>
        <v>0</v>
      </c>
    </row>
    <row r="1760" spans="1:18">
      <c r="A1760" s="15" t="str">
        <f t="shared" si="32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1" t="s">
        <v>75</v>
      </c>
      <c r="P1760" s="41">
        <f>HEX2DEC(RIGHT(Table13232127[[#This Row],[h1]],8))</f>
        <v>0</v>
      </c>
      <c r="Q1760" s="41" t="s">
        <v>75</v>
      </c>
      <c r="R1760" s="41">
        <f>HEX2DEC(RIGHT(Table13232127[[#This Row],[h2]],8))</f>
        <v>0</v>
      </c>
    </row>
    <row r="1761" spans="1:18">
      <c r="A1761" s="15" t="str">
        <f t="shared" si="32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1" t="s">
        <v>75</v>
      </c>
      <c r="P1761" s="41">
        <f>HEX2DEC(RIGHT(Table13232127[[#This Row],[h1]],8))</f>
        <v>0</v>
      </c>
      <c r="Q1761" s="41" t="s">
        <v>75</v>
      </c>
      <c r="R1761" s="41">
        <f>HEX2DEC(RIGHT(Table13232127[[#This Row],[h2]],8))</f>
        <v>0</v>
      </c>
    </row>
    <row r="1762" spans="1:18">
      <c r="A1762" s="15" t="str">
        <f t="shared" si="32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1" t="s">
        <v>75</v>
      </c>
      <c r="P1762" s="41">
        <f>HEX2DEC(RIGHT(Table13232127[[#This Row],[h1]],8))</f>
        <v>0</v>
      </c>
      <c r="Q1762" s="41" t="s">
        <v>75</v>
      </c>
      <c r="R1762" s="41">
        <f>HEX2DEC(RIGHT(Table13232127[[#This Row],[h2]],8))</f>
        <v>0</v>
      </c>
    </row>
    <row r="1763" spans="1:18">
      <c r="A1763" s="15" t="str">
        <f t="shared" si="32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1" t="s">
        <v>75</v>
      </c>
      <c r="P1763" s="41">
        <f>HEX2DEC(RIGHT(Table13232127[[#This Row],[h1]],8))</f>
        <v>0</v>
      </c>
      <c r="Q1763" s="41" t="s">
        <v>75</v>
      </c>
      <c r="R1763" s="41">
        <f>HEX2DEC(RIGHT(Table13232127[[#This Row],[h2]],8))</f>
        <v>0</v>
      </c>
    </row>
    <row r="1764" spans="1:18">
      <c r="A1764" s="15" t="str">
        <f t="shared" si="32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1" t="s">
        <v>75</v>
      </c>
      <c r="P1764" s="41">
        <f>HEX2DEC(RIGHT(Table13232127[[#This Row],[h1]],8))</f>
        <v>0</v>
      </c>
      <c r="Q1764" s="41" t="s">
        <v>75</v>
      </c>
      <c r="R1764" s="41">
        <f>HEX2DEC(RIGHT(Table13232127[[#This Row],[h2]],8))</f>
        <v>0</v>
      </c>
    </row>
    <row r="1765" spans="1:18">
      <c r="A1765" s="15" t="str">
        <f t="shared" si="32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1" t="s">
        <v>75</v>
      </c>
      <c r="P1765" s="41">
        <f>HEX2DEC(RIGHT(Table13232127[[#This Row],[h1]],8))</f>
        <v>0</v>
      </c>
      <c r="Q1765" s="41" t="s">
        <v>75</v>
      </c>
      <c r="R1765" s="41">
        <f>HEX2DEC(RIGHT(Table13232127[[#This Row],[h2]],8))</f>
        <v>0</v>
      </c>
    </row>
    <row r="1766" spans="1:18">
      <c r="A1766" s="15" t="str">
        <f t="shared" si="32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1" t="s">
        <v>75</v>
      </c>
      <c r="P1766" s="41">
        <f>HEX2DEC(RIGHT(Table13232127[[#This Row],[h1]],8))</f>
        <v>0</v>
      </c>
      <c r="Q1766" s="41" t="s">
        <v>75</v>
      </c>
      <c r="R1766" s="41">
        <f>HEX2DEC(RIGHT(Table13232127[[#This Row],[h2]],8))</f>
        <v>0</v>
      </c>
    </row>
    <row r="1767" spans="1:18">
      <c r="A1767" s="15" t="str">
        <f t="shared" si="32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1" t="s">
        <v>75</v>
      </c>
      <c r="P1767" s="41">
        <f>HEX2DEC(RIGHT(Table13232127[[#This Row],[h1]],8))</f>
        <v>0</v>
      </c>
      <c r="Q1767" s="41" t="s">
        <v>75</v>
      </c>
      <c r="R1767" s="41">
        <f>HEX2DEC(RIGHT(Table13232127[[#This Row],[h2]],8))</f>
        <v>0</v>
      </c>
    </row>
    <row r="1768" spans="1:18">
      <c r="A1768" s="15" t="str">
        <f t="shared" si="32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1" t="s">
        <v>75</v>
      </c>
      <c r="P1768" s="41">
        <f>HEX2DEC(RIGHT(Table13232127[[#This Row],[h1]],8))</f>
        <v>0</v>
      </c>
      <c r="Q1768" s="41" t="s">
        <v>75</v>
      </c>
      <c r="R1768" s="41">
        <f>HEX2DEC(RIGHT(Table13232127[[#This Row],[h2]],8))</f>
        <v>0</v>
      </c>
    </row>
    <row r="1769" spans="1:18">
      <c r="A1769" s="15" t="str">
        <f t="shared" si="32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1" t="s">
        <v>75</v>
      </c>
      <c r="P1769" s="41">
        <f>HEX2DEC(RIGHT(Table13232127[[#This Row],[h1]],8))</f>
        <v>0</v>
      </c>
      <c r="Q1769" s="41" t="s">
        <v>75</v>
      </c>
      <c r="R1769" s="41">
        <f>HEX2DEC(RIGHT(Table13232127[[#This Row],[h2]],8))</f>
        <v>0</v>
      </c>
    </row>
    <row r="1770" spans="1:18">
      <c r="A1770" s="15" t="str">
        <f t="shared" si="32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1" t="s">
        <v>75</v>
      </c>
      <c r="P1770" s="41">
        <f>HEX2DEC(RIGHT(Table13232127[[#This Row],[h1]],8))</f>
        <v>0</v>
      </c>
      <c r="Q1770" s="41" t="s">
        <v>75</v>
      </c>
      <c r="R1770" s="41">
        <f>HEX2DEC(RIGHT(Table13232127[[#This Row],[h2]],8))</f>
        <v>0</v>
      </c>
    </row>
    <row r="1771" spans="1:18">
      <c r="A1771" s="15" t="str">
        <f t="shared" si="32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1" t="s">
        <v>75</v>
      </c>
      <c r="P1771" s="41">
        <f>HEX2DEC(RIGHT(Table13232127[[#This Row],[h1]],8))</f>
        <v>0</v>
      </c>
      <c r="Q1771" s="41" t="s">
        <v>75</v>
      </c>
      <c r="R1771" s="41">
        <f>HEX2DEC(RIGHT(Table13232127[[#This Row],[h2]],8))</f>
        <v>0</v>
      </c>
    </row>
    <row r="1772" spans="1:18">
      <c r="A1772" s="15" t="str">
        <f t="shared" si="32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1" t="s">
        <v>75</v>
      </c>
      <c r="P1772" s="41">
        <f>HEX2DEC(RIGHT(Table13232127[[#This Row],[h1]],8))</f>
        <v>0</v>
      </c>
      <c r="Q1772" s="41" t="s">
        <v>75</v>
      </c>
      <c r="R1772" s="41">
        <f>HEX2DEC(RIGHT(Table13232127[[#This Row],[h2]],8))</f>
        <v>0</v>
      </c>
    </row>
    <row r="1773" spans="1:18">
      <c r="A1773" s="15" t="str">
        <f t="shared" si="32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1" t="s">
        <v>75</v>
      </c>
      <c r="P1773" s="41">
        <f>HEX2DEC(RIGHT(Table13232127[[#This Row],[h1]],8))</f>
        <v>0</v>
      </c>
      <c r="Q1773" s="41" t="s">
        <v>75</v>
      </c>
      <c r="R1773" s="41">
        <f>HEX2DEC(RIGHT(Table13232127[[#This Row],[h2]],8))</f>
        <v>0</v>
      </c>
    </row>
    <row r="1774" spans="1:18">
      <c r="A1774" s="15" t="str">
        <f t="shared" si="32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1" t="s">
        <v>75</v>
      </c>
      <c r="P1774" s="41">
        <f>HEX2DEC(RIGHT(Table13232127[[#This Row],[h1]],8))</f>
        <v>0</v>
      </c>
      <c r="Q1774" s="41" t="s">
        <v>75</v>
      </c>
      <c r="R1774" s="41">
        <f>HEX2DEC(RIGHT(Table13232127[[#This Row],[h2]],8))</f>
        <v>0</v>
      </c>
    </row>
    <row r="1775" spans="1:18">
      <c r="A1775" s="15" t="str">
        <f t="shared" si="32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1" t="s">
        <v>75</v>
      </c>
      <c r="P1775" s="41">
        <f>HEX2DEC(RIGHT(Table13232127[[#This Row],[h1]],8))</f>
        <v>0</v>
      </c>
      <c r="Q1775" s="41" t="s">
        <v>75</v>
      </c>
      <c r="R1775" s="41">
        <f>HEX2DEC(RIGHT(Table13232127[[#This Row],[h2]],8))</f>
        <v>0</v>
      </c>
    </row>
    <row r="1776" spans="1:18">
      <c r="A1776" s="15" t="str">
        <f t="shared" si="32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1" t="s">
        <v>75</v>
      </c>
      <c r="P1776" s="41">
        <f>HEX2DEC(RIGHT(Table13232127[[#This Row],[h1]],8))</f>
        <v>0</v>
      </c>
      <c r="Q1776" s="41" t="s">
        <v>75</v>
      </c>
      <c r="R1776" s="41">
        <f>HEX2DEC(RIGHT(Table13232127[[#This Row],[h2]],8))</f>
        <v>0</v>
      </c>
    </row>
    <row r="1777" spans="1:18">
      <c r="A1777" s="15" t="str">
        <f t="shared" si="32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1" t="s">
        <v>75</v>
      </c>
      <c r="P1777" s="41">
        <f>HEX2DEC(RIGHT(Table13232127[[#This Row],[h1]],8))</f>
        <v>0</v>
      </c>
      <c r="Q1777" s="41" t="s">
        <v>75</v>
      </c>
      <c r="R1777" s="41">
        <f>HEX2DEC(RIGHT(Table13232127[[#This Row],[h2]],8))</f>
        <v>0</v>
      </c>
    </row>
    <row r="1778" spans="1:18">
      <c r="A1778" s="15" t="str">
        <f t="shared" si="32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1" t="s">
        <v>75</v>
      </c>
      <c r="P1778" s="41">
        <f>HEX2DEC(RIGHT(Table13232127[[#This Row],[h1]],8))</f>
        <v>0</v>
      </c>
      <c r="Q1778" s="41" t="s">
        <v>75</v>
      </c>
      <c r="R1778" s="41">
        <f>HEX2DEC(RIGHT(Table13232127[[#This Row],[h2]],8))</f>
        <v>0</v>
      </c>
    </row>
    <row r="1779" spans="1:18">
      <c r="A1779" s="15" t="str">
        <f t="shared" si="32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1" t="s">
        <v>75</v>
      </c>
      <c r="P1779" s="41">
        <f>HEX2DEC(RIGHT(Table13232127[[#This Row],[h1]],8))</f>
        <v>0</v>
      </c>
      <c r="Q1779" s="41" t="s">
        <v>75</v>
      </c>
      <c r="R1779" s="41">
        <f>HEX2DEC(RIGHT(Table13232127[[#This Row],[h2]],8))</f>
        <v>0</v>
      </c>
    </row>
    <row r="1780" spans="1:18">
      <c r="A1780" s="15" t="str">
        <f t="shared" si="32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1" t="s">
        <v>75</v>
      </c>
      <c r="P1780" s="41">
        <f>HEX2DEC(RIGHT(Table13232127[[#This Row],[h1]],8))</f>
        <v>0</v>
      </c>
      <c r="Q1780" s="41" t="s">
        <v>75</v>
      </c>
      <c r="R1780" s="41">
        <f>HEX2DEC(RIGHT(Table13232127[[#This Row],[h2]],8))</f>
        <v>0</v>
      </c>
    </row>
    <row r="1781" spans="1:18">
      <c r="A1781" s="15" t="str">
        <f t="shared" si="32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1" t="s">
        <v>75</v>
      </c>
      <c r="P1781" s="41">
        <f>HEX2DEC(RIGHT(Table13232127[[#This Row],[h1]],8))</f>
        <v>0</v>
      </c>
      <c r="Q1781" s="41" t="s">
        <v>75</v>
      </c>
      <c r="R1781" s="41">
        <f>HEX2DEC(RIGHT(Table13232127[[#This Row],[h2]],8))</f>
        <v>0</v>
      </c>
    </row>
    <row r="1782" spans="1:18">
      <c r="A1782" s="15" t="str">
        <f t="shared" si="32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1" t="s">
        <v>75</v>
      </c>
      <c r="P1782" s="41">
        <f>HEX2DEC(RIGHT(Table13232127[[#This Row],[h1]],8))</f>
        <v>0</v>
      </c>
      <c r="Q1782" s="41" t="s">
        <v>75</v>
      </c>
      <c r="R1782" s="41">
        <f>HEX2DEC(RIGHT(Table13232127[[#This Row],[h2]],8))</f>
        <v>0</v>
      </c>
    </row>
    <row r="1783" spans="1:18">
      <c r="A1783" s="15" t="str">
        <f t="shared" si="32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1" t="s">
        <v>75</v>
      </c>
      <c r="P1783" s="41">
        <f>HEX2DEC(RIGHT(Table13232127[[#This Row],[h1]],8))</f>
        <v>0</v>
      </c>
      <c r="Q1783" s="41" t="s">
        <v>75</v>
      </c>
      <c r="R1783" s="41">
        <f>HEX2DEC(RIGHT(Table13232127[[#This Row],[h2]],8))</f>
        <v>0</v>
      </c>
    </row>
    <row r="1784" spans="1:18">
      <c r="A1784" s="15" t="str">
        <f t="shared" si="32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1" t="s">
        <v>75</v>
      </c>
      <c r="P1784" s="41">
        <f>HEX2DEC(RIGHT(Table13232127[[#This Row],[h1]],8))</f>
        <v>0</v>
      </c>
      <c r="Q1784" s="41" t="s">
        <v>75</v>
      </c>
      <c r="R1784" s="41">
        <f>HEX2DEC(RIGHT(Table13232127[[#This Row],[h2]],8))</f>
        <v>0</v>
      </c>
    </row>
    <row r="1785" spans="1:18">
      <c r="A1785" s="15" t="str">
        <f t="shared" si="32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1" t="s">
        <v>75</v>
      </c>
      <c r="P1785" s="41">
        <f>HEX2DEC(RIGHT(Table13232127[[#This Row],[h1]],8))</f>
        <v>0</v>
      </c>
      <c r="Q1785" s="41" t="s">
        <v>75</v>
      </c>
      <c r="R1785" s="41">
        <f>HEX2DEC(RIGHT(Table13232127[[#This Row],[h2]],8))</f>
        <v>0</v>
      </c>
    </row>
    <row r="1786" spans="1:18">
      <c r="A1786" s="15" t="str">
        <f t="shared" si="32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1" t="s">
        <v>75</v>
      </c>
      <c r="P1786" s="41">
        <f>HEX2DEC(RIGHT(Table13232127[[#This Row],[h1]],8))</f>
        <v>0</v>
      </c>
      <c r="Q1786" s="41" t="s">
        <v>75</v>
      </c>
      <c r="R1786" s="41">
        <f>HEX2DEC(RIGHT(Table13232127[[#This Row],[h2]],8))</f>
        <v>0</v>
      </c>
    </row>
    <row r="1787" spans="1:18">
      <c r="A1787" s="15" t="str">
        <f t="shared" si="32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1" t="s">
        <v>75</v>
      </c>
      <c r="P1787" s="41">
        <f>HEX2DEC(RIGHT(Table13232127[[#This Row],[h1]],8))</f>
        <v>0</v>
      </c>
      <c r="Q1787" s="41" t="s">
        <v>75</v>
      </c>
      <c r="R1787" s="41">
        <f>HEX2DEC(RIGHT(Table13232127[[#This Row],[h2]],8))</f>
        <v>0</v>
      </c>
    </row>
    <row r="1788" spans="1:18">
      <c r="A1788" s="15" t="str">
        <f t="shared" si="32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1" t="s">
        <v>75</v>
      </c>
      <c r="P1788" s="41">
        <f>HEX2DEC(RIGHT(Table13232127[[#This Row],[h1]],8))</f>
        <v>0</v>
      </c>
      <c r="Q1788" s="41" t="s">
        <v>75</v>
      </c>
      <c r="R1788" s="41">
        <f>HEX2DEC(RIGHT(Table13232127[[#This Row],[h2]],8))</f>
        <v>0</v>
      </c>
    </row>
    <row r="1789" spans="1:18">
      <c r="A1789" s="15" t="str">
        <f t="shared" si="32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1" t="s">
        <v>75</v>
      </c>
      <c r="P1789" s="41">
        <f>HEX2DEC(RIGHT(Table13232127[[#This Row],[h1]],8))</f>
        <v>0</v>
      </c>
      <c r="Q1789" s="41" t="s">
        <v>75</v>
      </c>
      <c r="R1789" s="41">
        <f>HEX2DEC(RIGHT(Table13232127[[#This Row],[h2]],8))</f>
        <v>0</v>
      </c>
    </row>
    <row r="1790" spans="1:18">
      <c r="A1790" s="15" t="str">
        <f t="shared" si="32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1" t="s">
        <v>75</v>
      </c>
      <c r="P1790" s="41">
        <f>HEX2DEC(RIGHT(Table13232127[[#This Row],[h1]],8))</f>
        <v>0</v>
      </c>
      <c r="Q1790" s="41" t="s">
        <v>75</v>
      </c>
      <c r="R1790" s="41">
        <f>HEX2DEC(RIGHT(Table13232127[[#This Row],[h2]],8))</f>
        <v>0</v>
      </c>
    </row>
    <row r="1791" spans="1:18">
      <c r="A1791" s="15" t="str">
        <f t="shared" si="32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1" t="s">
        <v>75</v>
      </c>
      <c r="P1791" s="41">
        <f>HEX2DEC(RIGHT(Table13232127[[#This Row],[h1]],8))</f>
        <v>0</v>
      </c>
      <c r="Q1791" s="41" t="s">
        <v>75</v>
      </c>
      <c r="R1791" s="41">
        <f>HEX2DEC(RIGHT(Table13232127[[#This Row],[h2]],8))</f>
        <v>0</v>
      </c>
    </row>
    <row r="1792" spans="1:18">
      <c r="A1792" s="15" t="str">
        <f t="shared" si="32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1" t="s">
        <v>75</v>
      </c>
      <c r="P1792" s="41">
        <f>HEX2DEC(RIGHT(Table13232127[[#This Row],[h1]],8))</f>
        <v>0</v>
      </c>
      <c r="Q1792" s="41" t="s">
        <v>75</v>
      </c>
      <c r="R1792" s="41">
        <f>HEX2DEC(RIGHT(Table13232127[[#This Row],[h2]],8))</f>
        <v>0</v>
      </c>
    </row>
    <row r="1793" spans="1:18">
      <c r="A1793" s="15" t="str">
        <f t="shared" si="32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1" t="s">
        <v>75</v>
      </c>
      <c r="P1793" s="41">
        <f>HEX2DEC(RIGHT(Table13232127[[#This Row],[h1]],8))</f>
        <v>0</v>
      </c>
      <c r="Q1793" s="41" t="s">
        <v>75</v>
      </c>
      <c r="R1793" s="41">
        <f>HEX2DEC(RIGHT(Table13232127[[#This Row],[h2]],8))</f>
        <v>0</v>
      </c>
    </row>
    <row r="1794" spans="1:18">
      <c r="A1794" s="15" t="str">
        <f t="shared" si="32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1" t="s">
        <v>75</v>
      </c>
      <c r="P1794" s="41">
        <f>HEX2DEC(RIGHT(Table13232127[[#This Row],[h1]],8))</f>
        <v>0</v>
      </c>
      <c r="Q1794" s="41" t="s">
        <v>75</v>
      </c>
      <c r="R1794" s="41">
        <f>HEX2DEC(RIGHT(Table13232127[[#This Row],[h2]],8))</f>
        <v>0</v>
      </c>
    </row>
    <row r="1795" spans="1:18">
      <c r="A1795" s="15" t="str">
        <f t="shared" si="32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1" t="s">
        <v>75</v>
      </c>
      <c r="P1795" s="41">
        <f>HEX2DEC(RIGHT(Table13232127[[#This Row],[h1]],8))</f>
        <v>0</v>
      </c>
      <c r="Q1795" s="41" t="s">
        <v>75</v>
      </c>
      <c r="R1795" s="41">
        <f>HEX2DEC(RIGHT(Table13232127[[#This Row],[h2]],8))</f>
        <v>0</v>
      </c>
    </row>
    <row r="1796" spans="1:18">
      <c r="A1796" s="15" t="str">
        <f t="shared" si="32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1" t="s">
        <v>75</v>
      </c>
      <c r="P1796" s="41">
        <f>HEX2DEC(RIGHT(Table13232127[[#This Row],[h1]],8))</f>
        <v>0</v>
      </c>
      <c r="Q1796" s="41" t="s">
        <v>75</v>
      </c>
      <c r="R1796" s="41">
        <f>HEX2DEC(RIGHT(Table13232127[[#This Row],[h2]],8))</f>
        <v>0</v>
      </c>
    </row>
    <row r="1797" spans="1:18">
      <c r="A1797" s="15" t="str">
        <f t="shared" si="32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1" t="s">
        <v>75</v>
      </c>
      <c r="P1797" s="41">
        <f>HEX2DEC(RIGHT(Table13232127[[#This Row],[h1]],8))</f>
        <v>0</v>
      </c>
      <c r="Q1797" s="41" t="s">
        <v>75</v>
      </c>
      <c r="R1797" s="41">
        <f>HEX2DEC(RIGHT(Table13232127[[#This Row],[h2]],8))</f>
        <v>0</v>
      </c>
    </row>
    <row r="1798" spans="1:18">
      <c r="A1798" s="15" t="str">
        <f t="shared" si="32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1" t="s">
        <v>75</v>
      </c>
      <c r="P1798" s="41">
        <f>HEX2DEC(RIGHT(Table13232127[[#This Row],[h1]],8))</f>
        <v>0</v>
      </c>
      <c r="Q1798" s="41" t="s">
        <v>75</v>
      </c>
      <c r="R1798" s="41">
        <f>HEX2DEC(RIGHT(Table13232127[[#This Row],[h2]],8))</f>
        <v>0</v>
      </c>
    </row>
    <row r="1799" spans="1:18">
      <c r="A1799" s="15" t="str">
        <f t="shared" si="32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1" t="s">
        <v>75</v>
      </c>
      <c r="P1799" s="41">
        <f>HEX2DEC(RIGHT(Table13232127[[#This Row],[h1]],8))</f>
        <v>0</v>
      </c>
      <c r="Q1799" s="41" t="s">
        <v>75</v>
      </c>
      <c r="R1799" s="41">
        <f>HEX2DEC(RIGHT(Table13232127[[#This Row],[h2]],8))</f>
        <v>0</v>
      </c>
    </row>
    <row r="1800" spans="1:18">
      <c r="A1800" s="15" t="str">
        <f t="shared" si="32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1" t="s">
        <v>75</v>
      </c>
      <c r="P1800" s="41">
        <f>HEX2DEC(RIGHT(Table13232127[[#This Row],[h1]],8))</f>
        <v>0</v>
      </c>
      <c r="Q1800" s="41" t="s">
        <v>75</v>
      </c>
      <c r="R1800" s="41">
        <f>HEX2DEC(RIGHT(Table13232127[[#This Row],[h2]],8))</f>
        <v>0</v>
      </c>
    </row>
    <row r="1801" spans="1:18">
      <c r="A1801" s="15" t="str">
        <f t="shared" si="32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1" t="s">
        <v>75</v>
      </c>
      <c r="P1801" s="41">
        <f>HEX2DEC(RIGHT(Table13232127[[#This Row],[h1]],8))</f>
        <v>0</v>
      </c>
      <c r="Q1801" s="41" t="s">
        <v>75</v>
      </c>
      <c r="R1801" s="41">
        <f>HEX2DEC(RIGHT(Table13232127[[#This Row],[h2]],8))</f>
        <v>0</v>
      </c>
    </row>
    <row r="1802" spans="1:18">
      <c r="A1802" s="15" t="str">
        <f t="shared" si="32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1" t="s">
        <v>75</v>
      </c>
      <c r="P1802" s="41">
        <f>HEX2DEC(RIGHT(Table13232127[[#This Row],[h1]],8))</f>
        <v>0</v>
      </c>
      <c r="Q1802" s="41" t="s">
        <v>75</v>
      </c>
      <c r="R1802" s="41">
        <f>HEX2DEC(RIGHT(Table13232127[[#This Row],[h2]],8))</f>
        <v>0</v>
      </c>
    </row>
    <row r="1803" spans="1:18">
      <c r="A1803" s="15" t="str">
        <f t="shared" ref="A1803:A1866" si="33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1" t="s">
        <v>75</v>
      </c>
      <c r="P1803" s="41">
        <f>HEX2DEC(RIGHT(Table13232127[[#This Row],[h1]],8))</f>
        <v>0</v>
      </c>
      <c r="Q1803" s="41" t="s">
        <v>75</v>
      </c>
      <c r="R1803" s="41">
        <f>HEX2DEC(RIGHT(Table13232127[[#This Row],[h2]],8))</f>
        <v>0</v>
      </c>
    </row>
    <row r="1804" spans="1:18">
      <c r="A1804" s="15" t="str">
        <f t="shared" si="33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1" t="s">
        <v>75</v>
      </c>
      <c r="P1804" s="41">
        <f>HEX2DEC(RIGHT(Table13232127[[#This Row],[h1]],8))</f>
        <v>0</v>
      </c>
      <c r="Q1804" s="41" t="s">
        <v>75</v>
      </c>
      <c r="R1804" s="41">
        <f>HEX2DEC(RIGHT(Table13232127[[#This Row],[h2]],8))</f>
        <v>0</v>
      </c>
    </row>
    <row r="1805" spans="1:18">
      <c r="A1805" s="15" t="str">
        <f t="shared" si="33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1" t="s">
        <v>75</v>
      </c>
      <c r="P1805" s="41">
        <f>HEX2DEC(RIGHT(Table13232127[[#This Row],[h1]],8))</f>
        <v>0</v>
      </c>
      <c r="Q1805" s="41" t="s">
        <v>75</v>
      </c>
      <c r="R1805" s="41">
        <f>HEX2DEC(RIGHT(Table13232127[[#This Row],[h2]],8))</f>
        <v>0</v>
      </c>
    </row>
    <row r="1806" spans="1:18">
      <c r="A1806" s="15" t="str">
        <f t="shared" si="33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1" t="s">
        <v>75</v>
      </c>
      <c r="P1806" s="41">
        <f>HEX2DEC(RIGHT(Table13232127[[#This Row],[h1]],8))</f>
        <v>0</v>
      </c>
      <c r="Q1806" s="41" t="s">
        <v>75</v>
      </c>
      <c r="R1806" s="41">
        <f>HEX2DEC(RIGHT(Table13232127[[#This Row],[h2]],8))</f>
        <v>0</v>
      </c>
    </row>
    <row r="1807" spans="1:18">
      <c r="A1807" s="15" t="str">
        <f t="shared" si="33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1" t="s">
        <v>75</v>
      </c>
      <c r="P1807" s="41">
        <f>HEX2DEC(RIGHT(Table13232127[[#This Row],[h1]],8))</f>
        <v>0</v>
      </c>
      <c r="Q1807" s="41" t="s">
        <v>75</v>
      </c>
      <c r="R1807" s="41">
        <f>HEX2DEC(RIGHT(Table13232127[[#This Row],[h2]],8))</f>
        <v>0</v>
      </c>
    </row>
    <row r="1808" spans="1:18">
      <c r="A1808" s="15" t="str">
        <f t="shared" si="33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1" t="s">
        <v>75</v>
      </c>
      <c r="P1808" s="41">
        <f>HEX2DEC(RIGHT(Table13232127[[#This Row],[h1]],8))</f>
        <v>0</v>
      </c>
      <c r="Q1808" s="41" t="s">
        <v>75</v>
      </c>
      <c r="R1808" s="41">
        <f>HEX2DEC(RIGHT(Table13232127[[#This Row],[h2]],8))</f>
        <v>0</v>
      </c>
    </row>
    <row r="1809" spans="1:18">
      <c r="A1809" s="15" t="str">
        <f t="shared" si="33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1" t="s">
        <v>75</v>
      </c>
      <c r="P1809" s="41">
        <f>HEX2DEC(RIGHT(Table13232127[[#This Row],[h1]],8))</f>
        <v>0</v>
      </c>
      <c r="Q1809" s="41" t="s">
        <v>75</v>
      </c>
      <c r="R1809" s="41">
        <f>HEX2DEC(RIGHT(Table13232127[[#This Row],[h2]],8))</f>
        <v>0</v>
      </c>
    </row>
    <row r="1810" spans="1:18">
      <c r="A1810" s="15" t="str">
        <f t="shared" si="33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1" t="s">
        <v>75</v>
      </c>
      <c r="P1810" s="41">
        <f>HEX2DEC(RIGHT(Table13232127[[#This Row],[h1]],8))</f>
        <v>0</v>
      </c>
      <c r="Q1810" s="41" t="s">
        <v>75</v>
      </c>
      <c r="R1810" s="41">
        <f>HEX2DEC(RIGHT(Table13232127[[#This Row],[h2]],8))</f>
        <v>0</v>
      </c>
    </row>
    <row r="1811" spans="1:18">
      <c r="A1811" s="15" t="str">
        <f t="shared" si="33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1" t="s">
        <v>75</v>
      </c>
      <c r="P1811" s="41">
        <f>HEX2DEC(RIGHT(Table13232127[[#This Row],[h1]],8))</f>
        <v>0</v>
      </c>
      <c r="Q1811" s="41" t="s">
        <v>75</v>
      </c>
      <c r="R1811" s="41">
        <f>HEX2DEC(RIGHT(Table13232127[[#This Row],[h2]],8))</f>
        <v>0</v>
      </c>
    </row>
    <row r="1812" spans="1:18">
      <c r="A1812" s="15" t="str">
        <f t="shared" si="33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1" t="s">
        <v>75</v>
      </c>
      <c r="P1812" s="41">
        <f>HEX2DEC(RIGHT(Table13232127[[#This Row],[h1]],8))</f>
        <v>0</v>
      </c>
      <c r="Q1812" s="41" t="s">
        <v>75</v>
      </c>
      <c r="R1812" s="41">
        <f>HEX2DEC(RIGHT(Table13232127[[#This Row],[h2]],8))</f>
        <v>0</v>
      </c>
    </row>
    <row r="1813" spans="1:18">
      <c r="A1813" s="15" t="str">
        <f t="shared" si="33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1" t="s">
        <v>75</v>
      </c>
      <c r="P1813" s="41">
        <f>HEX2DEC(RIGHT(Table13232127[[#This Row],[h1]],8))</f>
        <v>0</v>
      </c>
      <c r="Q1813" s="41" t="s">
        <v>75</v>
      </c>
      <c r="R1813" s="41">
        <f>HEX2DEC(RIGHT(Table13232127[[#This Row],[h2]],8))</f>
        <v>0</v>
      </c>
    </row>
    <row r="1814" spans="1:18">
      <c r="A1814" s="15" t="str">
        <f t="shared" si="33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1" t="s">
        <v>75</v>
      </c>
      <c r="P1814" s="41">
        <f>HEX2DEC(RIGHT(Table13232127[[#This Row],[h1]],8))</f>
        <v>0</v>
      </c>
      <c r="Q1814" s="41" t="s">
        <v>75</v>
      </c>
      <c r="R1814" s="41">
        <f>HEX2DEC(RIGHT(Table13232127[[#This Row],[h2]],8))</f>
        <v>0</v>
      </c>
    </row>
    <row r="1815" spans="1:18">
      <c r="A1815" s="15" t="str">
        <f t="shared" si="33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1" t="s">
        <v>75</v>
      </c>
      <c r="P1815" s="41">
        <f>HEX2DEC(RIGHT(Table13232127[[#This Row],[h1]],8))</f>
        <v>0</v>
      </c>
      <c r="Q1815" s="41" t="s">
        <v>75</v>
      </c>
      <c r="R1815" s="41">
        <f>HEX2DEC(RIGHT(Table13232127[[#This Row],[h2]],8))</f>
        <v>0</v>
      </c>
    </row>
    <row r="1816" spans="1:18">
      <c r="A1816" s="15" t="str">
        <f t="shared" si="33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1" t="s">
        <v>75</v>
      </c>
      <c r="P1816" s="41">
        <f>HEX2DEC(RIGHT(Table13232127[[#This Row],[h1]],8))</f>
        <v>0</v>
      </c>
      <c r="Q1816" s="41" t="s">
        <v>75</v>
      </c>
      <c r="R1816" s="41">
        <f>HEX2DEC(RIGHT(Table13232127[[#This Row],[h2]],8))</f>
        <v>0</v>
      </c>
    </row>
    <row r="1817" spans="1:18">
      <c r="A1817" s="15" t="str">
        <f t="shared" si="33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1" t="s">
        <v>75</v>
      </c>
      <c r="P1817" s="41">
        <f>HEX2DEC(RIGHT(Table13232127[[#This Row],[h1]],8))</f>
        <v>0</v>
      </c>
      <c r="Q1817" s="41" t="s">
        <v>75</v>
      </c>
      <c r="R1817" s="41">
        <f>HEX2DEC(RIGHT(Table13232127[[#This Row],[h2]],8))</f>
        <v>0</v>
      </c>
    </row>
    <row r="1818" spans="1:18">
      <c r="A1818" s="15" t="str">
        <f t="shared" si="33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1" t="s">
        <v>75</v>
      </c>
      <c r="P1818" s="41">
        <f>HEX2DEC(RIGHT(Table13232127[[#This Row],[h1]],8))</f>
        <v>0</v>
      </c>
      <c r="Q1818" s="41" t="s">
        <v>75</v>
      </c>
      <c r="R1818" s="41">
        <f>HEX2DEC(RIGHT(Table13232127[[#This Row],[h2]],8))</f>
        <v>0</v>
      </c>
    </row>
    <row r="1819" spans="1:18">
      <c r="A1819" s="15" t="str">
        <f t="shared" si="33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1" t="s">
        <v>75</v>
      </c>
      <c r="P1819" s="41">
        <f>HEX2DEC(RIGHT(Table13232127[[#This Row],[h1]],8))</f>
        <v>0</v>
      </c>
      <c r="Q1819" s="41" t="s">
        <v>75</v>
      </c>
      <c r="R1819" s="41">
        <f>HEX2DEC(RIGHT(Table13232127[[#This Row],[h2]],8))</f>
        <v>0</v>
      </c>
    </row>
    <row r="1820" spans="1:18">
      <c r="A1820" s="15" t="str">
        <f t="shared" si="33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1" t="s">
        <v>75</v>
      </c>
      <c r="P1820" s="41">
        <f>HEX2DEC(RIGHT(Table13232127[[#This Row],[h1]],8))</f>
        <v>0</v>
      </c>
      <c r="Q1820" s="41" t="s">
        <v>75</v>
      </c>
      <c r="R1820" s="41">
        <f>HEX2DEC(RIGHT(Table13232127[[#This Row],[h2]],8))</f>
        <v>0</v>
      </c>
    </row>
    <row r="1821" spans="1:18">
      <c r="A1821" s="15" t="str">
        <f t="shared" si="33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1" t="s">
        <v>75</v>
      </c>
      <c r="P1821" s="41">
        <f>HEX2DEC(RIGHT(Table13232127[[#This Row],[h1]],8))</f>
        <v>0</v>
      </c>
      <c r="Q1821" s="41" t="s">
        <v>75</v>
      </c>
      <c r="R1821" s="41">
        <f>HEX2DEC(RIGHT(Table13232127[[#This Row],[h2]],8))</f>
        <v>0</v>
      </c>
    </row>
    <row r="1822" spans="1:18">
      <c r="A1822" s="15" t="str">
        <f t="shared" si="33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1" t="s">
        <v>75</v>
      </c>
      <c r="P1822" s="41">
        <f>HEX2DEC(RIGHT(Table13232127[[#This Row],[h1]],8))</f>
        <v>0</v>
      </c>
      <c r="Q1822" s="41" t="s">
        <v>75</v>
      </c>
      <c r="R1822" s="41">
        <f>HEX2DEC(RIGHT(Table13232127[[#This Row],[h2]],8))</f>
        <v>0</v>
      </c>
    </row>
    <row r="1823" spans="1:18">
      <c r="A1823" s="15" t="str">
        <f t="shared" si="33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1" t="s">
        <v>75</v>
      </c>
      <c r="P1823" s="41">
        <f>HEX2DEC(RIGHT(Table13232127[[#This Row],[h1]],8))</f>
        <v>0</v>
      </c>
      <c r="Q1823" s="41" t="s">
        <v>75</v>
      </c>
      <c r="R1823" s="41">
        <f>HEX2DEC(RIGHT(Table13232127[[#This Row],[h2]],8))</f>
        <v>0</v>
      </c>
    </row>
    <row r="1824" spans="1:18">
      <c r="A1824" s="15" t="str">
        <f t="shared" si="33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1" t="s">
        <v>75</v>
      </c>
      <c r="P1824" s="41">
        <f>HEX2DEC(RIGHT(Table13232127[[#This Row],[h1]],8))</f>
        <v>0</v>
      </c>
      <c r="Q1824" s="41" t="s">
        <v>75</v>
      </c>
      <c r="R1824" s="41">
        <f>HEX2DEC(RIGHT(Table13232127[[#This Row],[h2]],8))</f>
        <v>0</v>
      </c>
    </row>
    <row r="1825" spans="1:18">
      <c r="A1825" s="15" t="str">
        <f t="shared" si="33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1" t="s">
        <v>75</v>
      </c>
      <c r="P1825" s="41">
        <f>HEX2DEC(RIGHT(Table13232127[[#This Row],[h1]],8))</f>
        <v>0</v>
      </c>
      <c r="Q1825" s="41" t="s">
        <v>75</v>
      </c>
      <c r="R1825" s="41">
        <f>HEX2DEC(RIGHT(Table13232127[[#This Row],[h2]],8))</f>
        <v>0</v>
      </c>
    </row>
    <row r="1826" spans="1:18">
      <c r="A1826" s="15" t="str">
        <f t="shared" si="33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1" t="s">
        <v>75</v>
      </c>
      <c r="P1826" s="41">
        <f>HEX2DEC(RIGHT(Table13232127[[#This Row],[h1]],8))</f>
        <v>0</v>
      </c>
      <c r="Q1826" s="41" t="s">
        <v>75</v>
      </c>
      <c r="R1826" s="41">
        <f>HEX2DEC(RIGHT(Table13232127[[#This Row],[h2]],8))</f>
        <v>0</v>
      </c>
    </row>
    <row r="1827" spans="1:18">
      <c r="A1827" s="15" t="str">
        <f t="shared" si="33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1" t="s">
        <v>75</v>
      </c>
      <c r="P1827" s="41">
        <f>HEX2DEC(RIGHT(Table13232127[[#This Row],[h1]],8))</f>
        <v>0</v>
      </c>
      <c r="Q1827" s="41" t="s">
        <v>75</v>
      </c>
      <c r="R1827" s="41">
        <f>HEX2DEC(RIGHT(Table13232127[[#This Row],[h2]],8))</f>
        <v>0</v>
      </c>
    </row>
    <row r="1828" spans="1:18">
      <c r="A1828" s="15" t="str">
        <f t="shared" si="33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1" t="s">
        <v>75</v>
      </c>
      <c r="P1828" s="41">
        <f>HEX2DEC(RIGHT(Table13232127[[#This Row],[h1]],8))</f>
        <v>0</v>
      </c>
      <c r="Q1828" s="41" t="s">
        <v>75</v>
      </c>
      <c r="R1828" s="41">
        <f>HEX2DEC(RIGHT(Table13232127[[#This Row],[h2]],8))</f>
        <v>0</v>
      </c>
    </row>
    <row r="1829" spans="1:18">
      <c r="A1829" s="15" t="str">
        <f t="shared" si="33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1" t="s">
        <v>75</v>
      </c>
      <c r="P1829" s="41">
        <f>HEX2DEC(RIGHT(Table13232127[[#This Row],[h1]],8))</f>
        <v>0</v>
      </c>
      <c r="Q1829" s="41" t="s">
        <v>75</v>
      </c>
      <c r="R1829" s="41">
        <f>HEX2DEC(RIGHT(Table13232127[[#This Row],[h2]],8))</f>
        <v>0</v>
      </c>
    </row>
    <row r="1830" spans="1:18">
      <c r="A1830" s="15" t="str">
        <f t="shared" si="33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1" t="s">
        <v>75</v>
      </c>
      <c r="P1830" s="41">
        <f>HEX2DEC(RIGHT(Table13232127[[#This Row],[h1]],8))</f>
        <v>0</v>
      </c>
      <c r="Q1830" s="41" t="s">
        <v>75</v>
      </c>
      <c r="R1830" s="41">
        <f>HEX2DEC(RIGHT(Table13232127[[#This Row],[h2]],8))</f>
        <v>0</v>
      </c>
    </row>
    <row r="1831" spans="1:18">
      <c r="A1831" s="15" t="str">
        <f t="shared" si="33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1" t="s">
        <v>75</v>
      </c>
      <c r="P1831" s="41">
        <f>HEX2DEC(RIGHT(Table13232127[[#This Row],[h1]],8))</f>
        <v>0</v>
      </c>
      <c r="Q1831" s="41" t="s">
        <v>75</v>
      </c>
      <c r="R1831" s="41">
        <f>HEX2DEC(RIGHT(Table13232127[[#This Row],[h2]],8))</f>
        <v>0</v>
      </c>
    </row>
    <row r="1832" spans="1:18">
      <c r="A1832" s="15" t="str">
        <f t="shared" si="33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1" t="s">
        <v>75</v>
      </c>
      <c r="P1832" s="41">
        <f>HEX2DEC(RIGHT(Table13232127[[#This Row],[h1]],8))</f>
        <v>0</v>
      </c>
      <c r="Q1832" s="41" t="s">
        <v>75</v>
      </c>
      <c r="R1832" s="41">
        <f>HEX2DEC(RIGHT(Table13232127[[#This Row],[h2]],8))</f>
        <v>0</v>
      </c>
    </row>
    <row r="1833" spans="1:18">
      <c r="A1833" s="15" t="str">
        <f t="shared" si="33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1" t="s">
        <v>75</v>
      </c>
      <c r="P1833" s="41">
        <f>HEX2DEC(RIGHT(Table13232127[[#This Row],[h1]],8))</f>
        <v>0</v>
      </c>
      <c r="Q1833" s="41" t="s">
        <v>75</v>
      </c>
      <c r="R1833" s="41">
        <f>HEX2DEC(RIGHT(Table13232127[[#This Row],[h2]],8))</f>
        <v>0</v>
      </c>
    </row>
    <row r="1834" spans="1:18">
      <c r="A1834" s="15" t="str">
        <f t="shared" si="33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1" t="s">
        <v>75</v>
      </c>
      <c r="P1834" s="41">
        <f>HEX2DEC(RIGHT(Table13232127[[#This Row],[h1]],8))</f>
        <v>0</v>
      </c>
      <c r="Q1834" s="41" t="s">
        <v>75</v>
      </c>
      <c r="R1834" s="41">
        <f>HEX2DEC(RIGHT(Table13232127[[#This Row],[h2]],8))</f>
        <v>0</v>
      </c>
    </row>
    <row r="1835" spans="1:18">
      <c r="A1835" s="15" t="str">
        <f t="shared" si="33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1" t="s">
        <v>75</v>
      </c>
      <c r="P1835" s="41">
        <f>HEX2DEC(RIGHT(Table13232127[[#This Row],[h1]],8))</f>
        <v>0</v>
      </c>
      <c r="Q1835" s="41" t="s">
        <v>75</v>
      </c>
      <c r="R1835" s="41">
        <f>HEX2DEC(RIGHT(Table13232127[[#This Row],[h2]],8))</f>
        <v>0</v>
      </c>
    </row>
    <row r="1836" spans="1:18">
      <c r="A1836" s="15" t="str">
        <f t="shared" si="33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1" t="s">
        <v>75</v>
      </c>
      <c r="P1836" s="41">
        <f>HEX2DEC(RIGHT(Table13232127[[#This Row],[h1]],8))</f>
        <v>0</v>
      </c>
      <c r="Q1836" s="41" t="s">
        <v>75</v>
      </c>
      <c r="R1836" s="41">
        <f>HEX2DEC(RIGHT(Table13232127[[#This Row],[h2]],8))</f>
        <v>0</v>
      </c>
    </row>
    <row r="1837" spans="1:18">
      <c r="A1837" s="15" t="str">
        <f t="shared" si="33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1" t="s">
        <v>75</v>
      </c>
      <c r="P1837" s="41">
        <f>HEX2DEC(RIGHT(Table13232127[[#This Row],[h1]],8))</f>
        <v>0</v>
      </c>
      <c r="Q1837" s="41" t="s">
        <v>75</v>
      </c>
      <c r="R1837" s="41">
        <f>HEX2DEC(RIGHT(Table13232127[[#This Row],[h2]],8))</f>
        <v>0</v>
      </c>
    </row>
    <row r="1838" spans="1:18">
      <c r="A1838" s="15" t="str">
        <f t="shared" si="33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1" t="s">
        <v>75</v>
      </c>
      <c r="P1838" s="41">
        <f>HEX2DEC(RIGHT(Table13232127[[#This Row],[h1]],8))</f>
        <v>0</v>
      </c>
      <c r="Q1838" s="41" t="s">
        <v>75</v>
      </c>
      <c r="R1838" s="41">
        <f>HEX2DEC(RIGHT(Table13232127[[#This Row],[h2]],8))</f>
        <v>0</v>
      </c>
    </row>
    <row r="1839" spans="1:18">
      <c r="A1839" s="15" t="str">
        <f t="shared" si="33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1" t="s">
        <v>75</v>
      </c>
      <c r="P1839" s="41">
        <f>HEX2DEC(RIGHT(Table13232127[[#This Row],[h1]],8))</f>
        <v>0</v>
      </c>
      <c r="Q1839" s="41" t="s">
        <v>75</v>
      </c>
      <c r="R1839" s="41">
        <f>HEX2DEC(RIGHT(Table13232127[[#This Row],[h2]],8))</f>
        <v>0</v>
      </c>
    </row>
    <row r="1840" spans="1:18">
      <c r="A1840" s="15" t="str">
        <f t="shared" si="33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1" t="s">
        <v>75</v>
      </c>
      <c r="P1840" s="41">
        <f>HEX2DEC(RIGHT(Table13232127[[#This Row],[h1]],8))</f>
        <v>0</v>
      </c>
      <c r="Q1840" s="41" t="s">
        <v>75</v>
      </c>
      <c r="R1840" s="41">
        <f>HEX2DEC(RIGHT(Table13232127[[#This Row],[h2]],8))</f>
        <v>0</v>
      </c>
    </row>
    <row r="1841" spans="1:18">
      <c r="A1841" s="15" t="str">
        <f t="shared" si="33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1" t="s">
        <v>75</v>
      </c>
      <c r="P1841" s="41">
        <f>HEX2DEC(RIGHT(Table13232127[[#This Row],[h1]],8))</f>
        <v>0</v>
      </c>
      <c r="Q1841" s="41" t="s">
        <v>75</v>
      </c>
      <c r="R1841" s="41">
        <f>HEX2DEC(RIGHT(Table13232127[[#This Row],[h2]],8))</f>
        <v>0</v>
      </c>
    </row>
    <row r="1842" spans="1:18">
      <c r="A1842" s="15" t="str">
        <f t="shared" si="33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1" t="s">
        <v>75</v>
      </c>
      <c r="P1842" s="41">
        <f>HEX2DEC(RIGHT(Table13232127[[#This Row],[h1]],8))</f>
        <v>0</v>
      </c>
      <c r="Q1842" s="41" t="s">
        <v>75</v>
      </c>
      <c r="R1842" s="41">
        <f>HEX2DEC(RIGHT(Table13232127[[#This Row],[h2]],8))</f>
        <v>0</v>
      </c>
    </row>
    <row r="1843" spans="1:18">
      <c r="A1843" s="15" t="str">
        <f t="shared" si="33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1" t="s">
        <v>75</v>
      </c>
      <c r="P1843" s="41">
        <f>HEX2DEC(RIGHT(Table13232127[[#This Row],[h1]],8))</f>
        <v>0</v>
      </c>
      <c r="Q1843" s="41" t="s">
        <v>75</v>
      </c>
      <c r="R1843" s="41">
        <f>HEX2DEC(RIGHT(Table13232127[[#This Row],[h2]],8))</f>
        <v>0</v>
      </c>
    </row>
    <row r="1844" spans="1:18">
      <c r="A1844" s="15" t="str">
        <f t="shared" si="33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1" t="s">
        <v>75</v>
      </c>
      <c r="P1844" s="41">
        <f>HEX2DEC(RIGHT(Table13232127[[#This Row],[h1]],8))</f>
        <v>0</v>
      </c>
      <c r="Q1844" s="41" t="s">
        <v>75</v>
      </c>
      <c r="R1844" s="41">
        <f>HEX2DEC(RIGHT(Table13232127[[#This Row],[h2]],8))</f>
        <v>0</v>
      </c>
    </row>
    <row r="1845" spans="1:18">
      <c r="A1845" s="15" t="str">
        <f t="shared" si="33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1" t="s">
        <v>75</v>
      </c>
      <c r="P1845" s="41">
        <f>HEX2DEC(RIGHT(Table13232127[[#This Row],[h1]],8))</f>
        <v>0</v>
      </c>
      <c r="Q1845" s="41" t="s">
        <v>75</v>
      </c>
      <c r="R1845" s="41">
        <f>HEX2DEC(RIGHT(Table13232127[[#This Row],[h2]],8))</f>
        <v>0</v>
      </c>
    </row>
    <row r="1846" spans="1:18">
      <c r="A1846" s="15" t="str">
        <f t="shared" si="33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1" t="s">
        <v>75</v>
      </c>
      <c r="P1846" s="41">
        <f>HEX2DEC(RIGHT(Table13232127[[#This Row],[h1]],8))</f>
        <v>0</v>
      </c>
      <c r="Q1846" s="41" t="s">
        <v>75</v>
      </c>
      <c r="R1846" s="41">
        <f>HEX2DEC(RIGHT(Table13232127[[#This Row],[h2]],8))</f>
        <v>0</v>
      </c>
    </row>
    <row r="1847" spans="1:18">
      <c r="A1847" s="15" t="str">
        <f t="shared" si="33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1" t="s">
        <v>75</v>
      </c>
      <c r="P1847" s="41">
        <f>HEX2DEC(RIGHT(Table13232127[[#This Row],[h1]],8))</f>
        <v>0</v>
      </c>
      <c r="Q1847" s="41" t="s">
        <v>75</v>
      </c>
      <c r="R1847" s="41">
        <f>HEX2DEC(RIGHT(Table13232127[[#This Row],[h2]],8))</f>
        <v>0</v>
      </c>
    </row>
    <row r="1848" spans="1:18">
      <c r="A1848" s="15" t="str">
        <f t="shared" si="33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1" t="s">
        <v>75</v>
      </c>
      <c r="P1848" s="41">
        <f>HEX2DEC(RIGHT(Table13232127[[#This Row],[h1]],8))</f>
        <v>0</v>
      </c>
      <c r="Q1848" s="41" t="s">
        <v>75</v>
      </c>
      <c r="R1848" s="41">
        <f>HEX2DEC(RIGHT(Table13232127[[#This Row],[h2]],8))</f>
        <v>0</v>
      </c>
    </row>
    <row r="1849" spans="1:18">
      <c r="A1849" s="15" t="str">
        <f t="shared" si="33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1" t="s">
        <v>75</v>
      </c>
      <c r="P1849" s="41">
        <f>HEX2DEC(RIGHT(Table13232127[[#This Row],[h1]],8))</f>
        <v>0</v>
      </c>
      <c r="Q1849" s="41" t="s">
        <v>75</v>
      </c>
      <c r="R1849" s="41">
        <f>HEX2DEC(RIGHT(Table13232127[[#This Row],[h2]],8))</f>
        <v>0</v>
      </c>
    </row>
    <row r="1850" spans="1:18">
      <c r="A1850" s="15" t="str">
        <f t="shared" si="33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1" t="s">
        <v>75</v>
      </c>
      <c r="P1850" s="41">
        <f>HEX2DEC(RIGHT(Table13232127[[#This Row],[h1]],8))</f>
        <v>0</v>
      </c>
      <c r="Q1850" s="41" t="s">
        <v>75</v>
      </c>
      <c r="R1850" s="41">
        <f>HEX2DEC(RIGHT(Table13232127[[#This Row],[h2]],8))</f>
        <v>0</v>
      </c>
    </row>
    <row r="1851" spans="1:18">
      <c r="A1851" s="15" t="str">
        <f t="shared" si="33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1" t="s">
        <v>75</v>
      </c>
      <c r="P1851" s="41">
        <f>HEX2DEC(RIGHT(Table13232127[[#This Row],[h1]],8))</f>
        <v>0</v>
      </c>
      <c r="Q1851" s="41" t="s">
        <v>75</v>
      </c>
      <c r="R1851" s="41">
        <f>HEX2DEC(RIGHT(Table13232127[[#This Row],[h2]],8))</f>
        <v>0</v>
      </c>
    </row>
    <row r="1852" spans="1:18">
      <c r="A1852" s="15" t="str">
        <f t="shared" si="33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1" t="s">
        <v>75</v>
      </c>
      <c r="P1852" s="41">
        <f>HEX2DEC(RIGHT(Table13232127[[#This Row],[h1]],8))</f>
        <v>0</v>
      </c>
      <c r="Q1852" s="41" t="s">
        <v>75</v>
      </c>
      <c r="R1852" s="41">
        <f>HEX2DEC(RIGHT(Table13232127[[#This Row],[h2]],8))</f>
        <v>0</v>
      </c>
    </row>
    <row r="1853" spans="1:18">
      <c r="A1853" s="15" t="str">
        <f t="shared" si="33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1" t="s">
        <v>75</v>
      </c>
      <c r="P1853" s="41">
        <f>HEX2DEC(RIGHT(Table13232127[[#This Row],[h1]],8))</f>
        <v>0</v>
      </c>
      <c r="Q1853" s="41" t="s">
        <v>75</v>
      </c>
      <c r="R1853" s="41">
        <f>HEX2DEC(RIGHT(Table13232127[[#This Row],[h2]],8))</f>
        <v>0</v>
      </c>
    </row>
    <row r="1854" spans="1:18">
      <c r="A1854" s="15" t="str">
        <f t="shared" si="33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1" t="s">
        <v>75</v>
      </c>
      <c r="P1854" s="41">
        <f>HEX2DEC(RIGHT(Table13232127[[#This Row],[h1]],8))</f>
        <v>0</v>
      </c>
      <c r="Q1854" s="41" t="s">
        <v>75</v>
      </c>
      <c r="R1854" s="41">
        <f>HEX2DEC(RIGHT(Table13232127[[#This Row],[h2]],8))</f>
        <v>0</v>
      </c>
    </row>
    <row r="1855" spans="1:18">
      <c r="A1855" s="15" t="str">
        <f t="shared" si="33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1" t="s">
        <v>75</v>
      </c>
      <c r="P1855" s="41">
        <f>HEX2DEC(RIGHT(Table13232127[[#This Row],[h1]],8))</f>
        <v>0</v>
      </c>
      <c r="Q1855" s="41" t="s">
        <v>75</v>
      </c>
      <c r="R1855" s="41">
        <f>HEX2DEC(RIGHT(Table13232127[[#This Row],[h2]],8))</f>
        <v>0</v>
      </c>
    </row>
    <row r="1856" spans="1:18">
      <c r="A1856" s="15" t="str">
        <f t="shared" si="33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1" t="s">
        <v>75</v>
      </c>
      <c r="P1856" s="41">
        <f>HEX2DEC(RIGHT(Table13232127[[#This Row],[h1]],8))</f>
        <v>0</v>
      </c>
      <c r="Q1856" s="41" t="s">
        <v>75</v>
      </c>
      <c r="R1856" s="41">
        <f>HEX2DEC(RIGHT(Table13232127[[#This Row],[h2]],8))</f>
        <v>0</v>
      </c>
    </row>
    <row r="1857" spans="1:18">
      <c r="A1857" s="15" t="str">
        <f t="shared" si="33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1" t="s">
        <v>75</v>
      </c>
      <c r="P1857" s="41">
        <f>HEX2DEC(RIGHT(Table13232127[[#This Row],[h1]],8))</f>
        <v>0</v>
      </c>
      <c r="Q1857" s="41" t="s">
        <v>75</v>
      </c>
      <c r="R1857" s="41">
        <f>HEX2DEC(RIGHT(Table13232127[[#This Row],[h2]],8))</f>
        <v>0</v>
      </c>
    </row>
    <row r="1858" spans="1:18">
      <c r="A1858" s="15" t="str">
        <f t="shared" si="33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1" t="s">
        <v>75</v>
      </c>
      <c r="P1858" s="41">
        <f>HEX2DEC(RIGHT(Table13232127[[#This Row],[h1]],8))</f>
        <v>0</v>
      </c>
      <c r="Q1858" s="41" t="s">
        <v>75</v>
      </c>
      <c r="R1858" s="41">
        <f>HEX2DEC(RIGHT(Table13232127[[#This Row],[h2]],8))</f>
        <v>0</v>
      </c>
    </row>
    <row r="1859" spans="1:18">
      <c r="A1859" s="15" t="str">
        <f t="shared" si="33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1" t="s">
        <v>75</v>
      </c>
      <c r="P1859" s="41">
        <f>HEX2DEC(RIGHT(Table13232127[[#This Row],[h1]],8))</f>
        <v>0</v>
      </c>
      <c r="Q1859" s="41" t="s">
        <v>75</v>
      </c>
      <c r="R1859" s="41">
        <f>HEX2DEC(RIGHT(Table13232127[[#This Row],[h2]],8))</f>
        <v>0</v>
      </c>
    </row>
    <row r="1860" spans="1:18">
      <c r="A1860" s="15" t="str">
        <f t="shared" si="33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1" t="s">
        <v>75</v>
      </c>
      <c r="P1860" s="41">
        <f>HEX2DEC(RIGHT(Table13232127[[#This Row],[h1]],8))</f>
        <v>0</v>
      </c>
      <c r="Q1860" s="41" t="s">
        <v>75</v>
      </c>
      <c r="R1860" s="41">
        <f>HEX2DEC(RIGHT(Table13232127[[#This Row],[h2]],8))</f>
        <v>0</v>
      </c>
    </row>
    <row r="1861" spans="1:18">
      <c r="A1861" s="15" t="str">
        <f t="shared" si="33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1" t="s">
        <v>75</v>
      </c>
      <c r="P1861" s="41">
        <f>HEX2DEC(RIGHT(Table13232127[[#This Row],[h1]],8))</f>
        <v>0</v>
      </c>
      <c r="Q1861" s="41" t="s">
        <v>75</v>
      </c>
      <c r="R1861" s="41">
        <f>HEX2DEC(RIGHT(Table13232127[[#This Row],[h2]],8))</f>
        <v>0</v>
      </c>
    </row>
    <row r="1862" spans="1:18">
      <c r="A1862" s="15" t="str">
        <f t="shared" si="33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1" t="s">
        <v>75</v>
      </c>
      <c r="P1862" s="41">
        <f>HEX2DEC(RIGHT(Table13232127[[#This Row],[h1]],8))</f>
        <v>0</v>
      </c>
      <c r="Q1862" s="41" t="s">
        <v>75</v>
      </c>
      <c r="R1862" s="41">
        <f>HEX2DEC(RIGHT(Table13232127[[#This Row],[h2]],8))</f>
        <v>0</v>
      </c>
    </row>
    <row r="1863" spans="1:18">
      <c r="A1863" s="15" t="str">
        <f t="shared" si="33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1" t="s">
        <v>75</v>
      </c>
      <c r="P1863" s="41">
        <f>HEX2DEC(RIGHT(Table13232127[[#This Row],[h1]],8))</f>
        <v>0</v>
      </c>
      <c r="Q1863" s="41" t="s">
        <v>75</v>
      </c>
      <c r="R1863" s="41">
        <f>HEX2DEC(RIGHT(Table13232127[[#This Row],[h2]],8))</f>
        <v>0</v>
      </c>
    </row>
    <row r="1864" spans="1:18">
      <c r="A1864" s="15" t="str">
        <f t="shared" si="33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1" t="s">
        <v>75</v>
      </c>
      <c r="P1864" s="41">
        <f>HEX2DEC(RIGHT(Table13232127[[#This Row],[h1]],8))</f>
        <v>0</v>
      </c>
      <c r="Q1864" s="41" t="s">
        <v>75</v>
      </c>
      <c r="R1864" s="41">
        <f>HEX2DEC(RIGHT(Table13232127[[#This Row],[h2]],8))</f>
        <v>0</v>
      </c>
    </row>
    <row r="1865" spans="1:18">
      <c r="A1865" s="15" t="str">
        <f t="shared" si="33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1" t="s">
        <v>75</v>
      </c>
      <c r="P1865" s="41">
        <f>HEX2DEC(RIGHT(Table13232127[[#This Row],[h1]],8))</f>
        <v>0</v>
      </c>
      <c r="Q1865" s="41" t="s">
        <v>75</v>
      </c>
      <c r="R1865" s="41">
        <f>HEX2DEC(RIGHT(Table13232127[[#This Row],[h2]],8))</f>
        <v>0</v>
      </c>
    </row>
    <row r="1866" spans="1:18">
      <c r="A1866" s="15" t="str">
        <f t="shared" si="33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1" t="s">
        <v>75</v>
      </c>
      <c r="P1866" s="41">
        <f>HEX2DEC(RIGHT(Table13232127[[#This Row],[h1]],8))</f>
        <v>0</v>
      </c>
      <c r="Q1866" s="41" t="s">
        <v>75</v>
      </c>
      <c r="R1866" s="41">
        <f>HEX2DEC(RIGHT(Table13232127[[#This Row],[h2]],8))</f>
        <v>0</v>
      </c>
    </row>
    <row r="1867" spans="1:18">
      <c r="A1867" s="15" t="str">
        <f t="shared" ref="A1867:A1930" si="34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1" t="s">
        <v>75</v>
      </c>
      <c r="P1867" s="41">
        <f>HEX2DEC(RIGHT(Table13232127[[#This Row],[h1]],8))</f>
        <v>0</v>
      </c>
      <c r="Q1867" s="41" t="s">
        <v>75</v>
      </c>
      <c r="R1867" s="41">
        <f>HEX2DEC(RIGHT(Table13232127[[#This Row],[h2]],8))</f>
        <v>0</v>
      </c>
    </row>
    <row r="1868" spans="1:18">
      <c r="A1868" s="15" t="str">
        <f t="shared" si="34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1" t="s">
        <v>75</v>
      </c>
      <c r="P1868" s="41">
        <f>HEX2DEC(RIGHT(Table13232127[[#This Row],[h1]],8))</f>
        <v>0</v>
      </c>
      <c r="Q1868" s="41" t="s">
        <v>75</v>
      </c>
      <c r="R1868" s="41">
        <f>HEX2DEC(RIGHT(Table13232127[[#This Row],[h2]],8))</f>
        <v>0</v>
      </c>
    </row>
    <row r="1869" spans="1:18">
      <c r="A1869" s="15" t="str">
        <f t="shared" si="34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1" t="s">
        <v>75</v>
      </c>
      <c r="P1869" s="41">
        <f>HEX2DEC(RIGHT(Table13232127[[#This Row],[h1]],8))</f>
        <v>0</v>
      </c>
      <c r="Q1869" s="41" t="s">
        <v>75</v>
      </c>
      <c r="R1869" s="41">
        <f>HEX2DEC(RIGHT(Table13232127[[#This Row],[h2]],8))</f>
        <v>0</v>
      </c>
    </row>
    <row r="1870" spans="1:18">
      <c r="A1870" s="15" t="str">
        <f t="shared" si="34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1" t="s">
        <v>75</v>
      </c>
      <c r="P1870" s="41">
        <f>HEX2DEC(RIGHT(Table13232127[[#This Row],[h1]],8))</f>
        <v>0</v>
      </c>
      <c r="Q1870" s="41" t="s">
        <v>75</v>
      </c>
      <c r="R1870" s="41">
        <f>HEX2DEC(RIGHT(Table13232127[[#This Row],[h2]],8))</f>
        <v>0</v>
      </c>
    </row>
    <row r="1871" spans="1:18">
      <c r="A1871" s="15" t="str">
        <f t="shared" si="34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1" t="s">
        <v>75</v>
      </c>
      <c r="P1871" s="41">
        <f>HEX2DEC(RIGHT(Table13232127[[#This Row],[h1]],8))</f>
        <v>0</v>
      </c>
      <c r="Q1871" s="41" t="s">
        <v>75</v>
      </c>
      <c r="R1871" s="41">
        <f>HEX2DEC(RIGHT(Table13232127[[#This Row],[h2]],8))</f>
        <v>0</v>
      </c>
    </row>
    <row r="1872" spans="1:18">
      <c r="A1872" s="15" t="str">
        <f t="shared" si="34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1" t="s">
        <v>75</v>
      </c>
      <c r="P1872" s="41">
        <f>HEX2DEC(RIGHT(Table13232127[[#This Row],[h1]],8))</f>
        <v>0</v>
      </c>
      <c r="Q1872" s="41" t="s">
        <v>75</v>
      </c>
      <c r="R1872" s="41">
        <f>HEX2DEC(RIGHT(Table13232127[[#This Row],[h2]],8))</f>
        <v>0</v>
      </c>
    </row>
    <row r="1873" spans="1:18">
      <c r="A1873" s="15" t="str">
        <f t="shared" si="34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1" t="s">
        <v>75</v>
      </c>
      <c r="P1873" s="41">
        <f>HEX2DEC(RIGHT(Table13232127[[#This Row],[h1]],8))</f>
        <v>0</v>
      </c>
      <c r="Q1873" s="41" t="s">
        <v>75</v>
      </c>
      <c r="R1873" s="41">
        <f>HEX2DEC(RIGHT(Table13232127[[#This Row],[h2]],8))</f>
        <v>0</v>
      </c>
    </row>
    <row r="1874" spans="1:18">
      <c r="A1874" s="15" t="str">
        <f t="shared" si="34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1" t="s">
        <v>75</v>
      </c>
      <c r="P1874" s="41">
        <f>HEX2DEC(RIGHT(Table13232127[[#This Row],[h1]],8))</f>
        <v>0</v>
      </c>
      <c r="Q1874" s="41" t="s">
        <v>75</v>
      </c>
      <c r="R1874" s="41">
        <f>HEX2DEC(RIGHT(Table13232127[[#This Row],[h2]],8))</f>
        <v>0</v>
      </c>
    </row>
    <row r="1875" spans="1:18">
      <c r="A1875" s="15" t="str">
        <f t="shared" si="34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1" t="s">
        <v>75</v>
      </c>
      <c r="P1875" s="41">
        <f>HEX2DEC(RIGHT(Table13232127[[#This Row],[h1]],8))</f>
        <v>0</v>
      </c>
      <c r="Q1875" s="41" t="s">
        <v>75</v>
      </c>
      <c r="R1875" s="41">
        <f>HEX2DEC(RIGHT(Table13232127[[#This Row],[h2]],8))</f>
        <v>0</v>
      </c>
    </row>
    <row r="1876" spans="1:18">
      <c r="A1876" s="15" t="str">
        <f t="shared" si="34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1" t="s">
        <v>75</v>
      </c>
      <c r="P1876" s="41">
        <f>HEX2DEC(RIGHT(Table13232127[[#This Row],[h1]],8))</f>
        <v>0</v>
      </c>
      <c r="Q1876" s="41" t="s">
        <v>75</v>
      </c>
      <c r="R1876" s="41">
        <f>HEX2DEC(RIGHT(Table13232127[[#This Row],[h2]],8))</f>
        <v>0</v>
      </c>
    </row>
    <row r="1877" spans="1:18">
      <c r="A1877" s="15" t="str">
        <f t="shared" si="34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1" t="s">
        <v>75</v>
      </c>
      <c r="P1877" s="41">
        <f>HEX2DEC(RIGHT(Table13232127[[#This Row],[h1]],8))</f>
        <v>0</v>
      </c>
      <c r="Q1877" s="41" t="s">
        <v>75</v>
      </c>
      <c r="R1877" s="41">
        <f>HEX2DEC(RIGHT(Table13232127[[#This Row],[h2]],8))</f>
        <v>0</v>
      </c>
    </row>
    <row r="1878" spans="1:18">
      <c r="A1878" s="15" t="str">
        <f t="shared" si="34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1" t="s">
        <v>75</v>
      </c>
      <c r="P1878" s="41">
        <f>HEX2DEC(RIGHT(Table13232127[[#This Row],[h1]],8))</f>
        <v>0</v>
      </c>
      <c r="Q1878" s="41" t="s">
        <v>75</v>
      </c>
      <c r="R1878" s="41">
        <f>HEX2DEC(RIGHT(Table13232127[[#This Row],[h2]],8))</f>
        <v>0</v>
      </c>
    </row>
    <row r="1879" spans="1:18">
      <c r="A1879" s="15" t="str">
        <f t="shared" si="34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1" t="s">
        <v>75</v>
      </c>
      <c r="P1879" s="41">
        <f>HEX2DEC(RIGHT(Table13232127[[#This Row],[h1]],8))</f>
        <v>0</v>
      </c>
      <c r="Q1879" s="41" t="s">
        <v>75</v>
      </c>
      <c r="R1879" s="41">
        <f>HEX2DEC(RIGHT(Table13232127[[#This Row],[h2]],8))</f>
        <v>0</v>
      </c>
    </row>
    <row r="1880" spans="1:18">
      <c r="A1880" s="15" t="str">
        <f t="shared" si="34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1" t="s">
        <v>75</v>
      </c>
      <c r="P1880" s="41">
        <f>HEX2DEC(RIGHT(Table13232127[[#This Row],[h1]],8))</f>
        <v>0</v>
      </c>
      <c r="Q1880" s="41" t="s">
        <v>75</v>
      </c>
      <c r="R1880" s="41">
        <f>HEX2DEC(RIGHT(Table13232127[[#This Row],[h2]],8))</f>
        <v>0</v>
      </c>
    </row>
    <row r="1881" spans="1:18">
      <c r="A1881" s="15" t="str">
        <f t="shared" si="34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1" t="s">
        <v>75</v>
      </c>
      <c r="P1881" s="41">
        <f>HEX2DEC(RIGHT(Table13232127[[#This Row],[h1]],8))</f>
        <v>0</v>
      </c>
      <c r="Q1881" s="41" t="s">
        <v>75</v>
      </c>
      <c r="R1881" s="41">
        <f>HEX2DEC(RIGHT(Table13232127[[#This Row],[h2]],8))</f>
        <v>0</v>
      </c>
    </row>
    <row r="1882" spans="1:18">
      <c r="A1882" s="15" t="str">
        <f t="shared" si="34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1" t="s">
        <v>75</v>
      </c>
      <c r="P1882" s="41">
        <f>HEX2DEC(RIGHT(Table13232127[[#This Row],[h1]],8))</f>
        <v>0</v>
      </c>
      <c r="Q1882" s="41" t="s">
        <v>75</v>
      </c>
      <c r="R1882" s="41">
        <f>HEX2DEC(RIGHT(Table13232127[[#This Row],[h2]],8))</f>
        <v>0</v>
      </c>
    </row>
    <row r="1883" spans="1:18">
      <c r="A1883" s="15" t="str">
        <f t="shared" si="34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1" t="s">
        <v>75</v>
      </c>
      <c r="P1883" s="41">
        <f>HEX2DEC(RIGHT(Table13232127[[#This Row],[h1]],8))</f>
        <v>0</v>
      </c>
      <c r="Q1883" s="41" t="s">
        <v>75</v>
      </c>
      <c r="R1883" s="41">
        <f>HEX2DEC(RIGHT(Table13232127[[#This Row],[h2]],8))</f>
        <v>0</v>
      </c>
    </row>
    <row r="1884" spans="1:18">
      <c r="A1884" s="15" t="str">
        <f t="shared" si="34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1" t="s">
        <v>75</v>
      </c>
      <c r="P1884" s="41">
        <f>HEX2DEC(RIGHT(Table13232127[[#This Row],[h1]],8))</f>
        <v>0</v>
      </c>
      <c r="Q1884" s="41" t="s">
        <v>75</v>
      </c>
      <c r="R1884" s="41">
        <f>HEX2DEC(RIGHT(Table13232127[[#This Row],[h2]],8))</f>
        <v>0</v>
      </c>
    </row>
    <row r="1885" spans="1:18">
      <c r="A1885" s="15" t="str">
        <f t="shared" si="34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1" t="s">
        <v>75</v>
      </c>
      <c r="P1885" s="41">
        <f>HEX2DEC(RIGHT(Table13232127[[#This Row],[h1]],8))</f>
        <v>0</v>
      </c>
      <c r="Q1885" s="41" t="s">
        <v>75</v>
      </c>
      <c r="R1885" s="41">
        <f>HEX2DEC(RIGHT(Table13232127[[#This Row],[h2]],8))</f>
        <v>0</v>
      </c>
    </row>
    <row r="1886" spans="1:18">
      <c r="A1886" s="15" t="str">
        <f t="shared" si="34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1" t="s">
        <v>75</v>
      </c>
      <c r="P1886" s="41">
        <f>HEX2DEC(RIGHT(Table13232127[[#This Row],[h1]],8))</f>
        <v>0</v>
      </c>
      <c r="Q1886" s="41" t="s">
        <v>75</v>
      </c>
      <c r="R1886" s="41">
        <f>HEX2DEC(RIGHT(Table13232127[[#This Row],[h2]],8))</f>
        <v>0</v>
      </c>
    </row>
    <row r="1887" spans="1:18">
      <c r="A1887" s="15" t="str">
        <f t="shared" si="34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1" t="s">
        <v>75</v>
      </c>
      <c r="P1887" s="41">
        <f>HEX2DEC(RIGHT(Table13232127[[#This Row],[h1]],8))</f>
        <v>0</v>
      </c>
      <c r="Q1887" s="41" t="s">
        <v>75</v>
      </c>
      <c r="R1887" s="41">
        <f>HEX2DEC(RIGHT(Table13232127[[#This Row],[h2]],8))</f>
        <v>0</v>
      </c>
    </row>
    <row r="1888" spans="1:18">
      <c r="A1888" s="15" t="str">
        <f t="shared" si="34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1" t="s">
        <v>75</v>
      </c>
      <c r="P1888" s="41">
        <f>HEX2DEC(RIGHT(Table13232127[[#This Row],[h1]],8))</f>
        <v>0</v>
      </c>
      <c r="Q1888" s="41" t="s">
        <v>75</v>
      </c>
      <c r="R1888" s="41">
        <f>HEX2DEC(RIGHT(Table13232127[[#This Row],[h2]],8))</f>
        <v>0</v>
      </c>
    </row>
    <row r="1889" spans="1:18">
      <c r="A1889" s="15" t="str">
        <f t="shared" si="34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1" t="s">
        <v>75</v>
      </c>
      <c r="P1889" s="41">
        <f>HEX2DEC(RIGHT(Table13232127[[#This Row],[h1]],8))</f>
        <v>0</v>
      </c>
      <c r="Q1889" s="41" t="s">
        <v>75</v>
      </c>
      <c r="R1889" s="41">
        <f>HEX2DEC(RIGHT(Table13232127[[#This Row],[h2]],8))</f>
        <v>0</v>
      </c>
    </row>
    <row r="1890" spans="1:18">
      <c r="A1890" s="15" t="str">
        <f t="shared" si="34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1" t="s">
        <v>75</v>
      </c>
      <c r="P1890" s="41">
        <f>HEX2DEC(RIGHT(Table13232127[[#This Row],[h1]],8))</f>
        <v>0</v>
      </c>
      <c r="Q1890" s="41" t="s">
        <v>75</v>
      </c>
      <c r="R1890" s="41">
        <f>HEX2DEC(RIGHT(Table13232127[[#This Row],[h2]],8))</f>
        <v>0</v>
      </c>
    </row>
    <row r="1891" spans="1:18">
      <c r="A1891" s="15" t="str">
        <f t="shared" si="34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1" t="s">
        <v>75</v>
      </c>
      <c r="P1891" s="41">
        <f>HEX2DEC(RIGHT(Table13232127[[#This Row],[h1]],8))</f>
        <v>0</v>
      </c>
      <c r="Q1891" s="41" t="s">
        <v>75</v>
      </c>
      <c r="R1891" s="41">
        <f>HEX2DEC(RIGHT(Table13232127[[#This Row],[h2]],8))</f>
        <v>0</v>
      </c>
    </row>
    <row r="1892" spans="1:18">
      <c r="A1892" s="15" t="str">
        <f t="shared" si="34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1" t="s">
        <v>75</v>
      </c>
      <c r="P1892" s="41">
        <f>HEX2DEC(RIGHT(Table13232127[[#This Row],[h1]],8))</f>
        <v>0</v>
      </c>
      <c r="Q1892" s="41" t="s">
        <v>75</v>
      </c>
      <c r="R1892" s="41">
        <f>HEX2DEC(RIGHT(Table13232127[[#This Row],[h2]],8))</f>
        <v>0</v>
      </c>
    </row>
    <row r="1893" spans="1:18">
      <c r="A1893" s="15" t="str">
        <f t="shared" si="34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1" t="s">
        <v>75</v>
      </c>
      <c r="P1893" s="41">
        <f>HEX2DEC(RIGHT(Table13232127[[#This Row],[h1]],8))</f>
        <v>0</v>
      </c>
      <c r="Q1893" s="41" t="s">
        <v>75</v>
      </c>
      <c r="R1893" s="41">
        <f>HEX2DEC(RIGHT(Table13232127[[#This Row],[h2]],8))</f>
        <v>0</v>
      </c>
    </row>
    <row r="1894" spans="1:18">
      <c r="A1894" s="15" t="str">
        <f t="shared" si="34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1" t="s">
        <v>75</v>
      </c>
      <c r="P1894" s="41">
        <f>HEX2DEC(RIGHT(Table13232127[[#This Row],[h1]],8))</f>
        <v>0</v>
      </c>
      <c r="Q1894" s="41" t="s">
        <v>75</v>
      </c>
      <c r="R1894" s="41">
        <f>HEX2DEC(RIGHT(Table13232127[[#This Row],[h2]],8))</f>
        <v>0</v>
      </c>
    </row>
    <row r="1895" spans="1:18">
      <c r="A1895" s="15" t="str">
        <f t="shared" si="34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1" t="s">
        <v>75</v>
      </c>
      <c r="P1895" s="41">
        <f>HEX2DEC(RIGHT(Table13232127[[#This Row],[h1]],8))</f>
        <v>0</v>
      </c>
      <c r="Q1895" s="41" t="s">
        <v>75</v>
      </c>
      <c r="R1895" s="41">
        <f>HEX2DEC(RIGHT(Table13232127[[#This Row],[h2]],8))</f>
        <v>0</v>
      </c>
    </row>
    <row r="1896" spans="1:18">
      <c r="A1896" s="15" t="str">
        <f t="shared" si="34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1" t="s">
        <v>75</v>
      </c>
      <c r="P1896" s="41">
        <f>HEX2DEC(RIGHT(Table13232127[[#This Row],[h1]],8))</f>
        <v>0</v>
      </c>
      <c r="Q1896" s="41" t="s">
        <v>75</v>
      </c>
      <c r="R1896" s="41">
        <f>HEX2DEC(RIGHT(Table13232127[[#This Row],[h2]],8))</f>
        <v>0</v>
      </c>
    </row>
    <row r="1897" spans="1:18">
      <c r="A1897" s="15" t="str">
        <f t="shared" si="34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1" t="s">
        <v>75</v>
      </c>
      <c r="P1897" s="41">
        <f>HEX2DEC(RIGHT(Table13232127[[#This Row],[h1]],8))</f>
        <v>0</v>
      </c>
      <c r="Q1897" s="41" t="s">
        <v>75</v>
      </c>
      <c r="R1897" s="41">
        <f>HEX2DEC(RIGHT(Table13232127[[#This Row],[h2]],8))</f>
        <v>0</v>
      </c>
    </row>
    <row r="1898" spans="1:18">
      <c r="A1898" s="15" t="str">
        <f t="shared" si="34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1" t="s">
        <v>75</v>
      </c>
      <c r="P1898" s="41">
        <f>HEX2DEC(RIGHT(Table13232127[[#This Row],[h1]],8))</f>
        <v>0</v>
      </c>
      <c r="Q1898" s="41" t="s">
        <v>75</v>
      </c>
      <c r="R1898" s="41">
        <f>HEX2DEC(RIGHT(Table13232127[[#This Row],[h2]],8))</f>
        <v>0</v>
      </c>
    </row>
    <row r="1899" spans="1:18">
      <c r="A1899" s="15" t="str">
        <f t="shared" si="34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1" t="s">
        <v>75</v>
      </c>
      <c r="P1899" s="41">
        <f>HEX2DEC(RIGHT(Table13232127[[#This Row],[h1]],8))</f>
        <v>0</v>
      </c>
      <c r="Q1899" s="41" t="s">
        <v>75</v>
      </c>
      <c r="R1899" s="41">
        <f>HEX2DEC(RIGHT(Table13232127[[#This Row],[h2]],8))</f>
        <v>0</v>
      </c>
    </row>
    <row r="1900" spans="1:18">
      <c r="A1900" s="15" t="str">
        <f t="shared" si="34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1" t="s">
        <v>75</v>
      </c>
      <c r="P1900" s="41">
        <f>HEX2DEC(RIGHT(Table13232127[[#This Row],[h1]],8))</f>
        <v>0</v>
      </c>
      <c r="Q1900" s="41" t="s">
        <v>75</v>
      </c>
      <c r="R1900" s="41">
        <f>HEX2DEC(RIGHT(Table13232127[[#This Row],[h2]],8))</f>
        <v>0</v>
      </c>
    </row>
    <row r="1901" spans="1:18">
      <c r="A1901" s="15" t="str">
        <f t="shared" si="34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1" t="s">
        <v>75</v>
      </c>
      <c r="P1901" s="41">
        <f>HEX2DEC(RIGHT(Table13232127[[#This Row],[h1]],8))</f>
        <v>0</v>
      </c>
      <c r="Q1901" s="41" t="s">
        <v>75</v>
      </c>
      <c r="R1901" s="41">
        <f>HEX2DEC(RIGHT(Table13232127[[#This Row],[h2]],8))</f>
        <v>0</v>
      </c>
    </row>
    <row r="1902" spans="1:18">
      <c r="A1902" s="15" t="str">
        <f t="shared" si="34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1" t="s">
        <v>75</v>
      </c>
      <c r="P1902" s="41">
        <f>HEX2DEC(RIGHT(Table13232127[[#This Row],[h1]],8))</f>
        <v>0</v>
      </c>
      <c r="Q1902" s="41" t="s">
        <v>75</v>
      </c>
      <c r="R1902" s="41">
        <f>HEX2DEC(RIGHT(Table13232127[[#This Row],[h2]],8))</f>
        <v>0</v>
      </c>
    </row>
    <row r="1903" spans="1:18">
      <c r="A1903" s="15" t="str">
        <f t="shared" si="34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1" t="s">
        <v>75</v>
      </c>
      <c r="P1903" s="41">
        <f>HEX2DEC(RIGHT(Table13232127[[#This Row],[h1]],8))</f>
        <v>0</v>
      </c>
      <c r="Q1903" s="41" t="s">
        <v>75</v>
      </c>
      <c r="R1903" s="41">
        <f>HEX2DEC(RIGHT(Table13232127[[#This Row],[h2]],8))</f>
        <v>0</v>
      </c>
    </row>
    <row r="1904" spans="1:18">
      <c r="A1904" s="15" t="str">
        <f t="shared" si="34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1" t="s">
        <v>75</v>
      </c>
      <c r="P1904" s="41">
        <f>HEX2DEC(RIGHT(Table13232127[[#This Row],[h1]],8))</f>
        <v>0</v>
      </c>
      <c r="Q1904" s="41" t="s">
        <v>75</v>
      </c>
      <c r="R1904" s="41">
        <f>HEX2DEC(RIGHT(Table13232127[[#This Row],[h2]],8))</f>
        <v>0</v>
      </c>
    </row>
    <row r="1905" spans="1:18">
      <c r="A1905" s="15" t="str">
        <f t="shared" si="34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1" t="s">
        <v>75</v>
      </c>
      <c r="P1905" s="41">
        <f>HEX2DEC(RIGHT(Table13232127[[#This Row],[h1]],8))</f>
        <v>0</v>
      </c>
      <c r="Q1905" s="41" t="s">
        <v>75</v>
      </c>
      <c r="R1905" s="41">
        <f>HEX2DEC(RIGHT(Table13232127[[#This Row],[h2]],8))</f>
        <v>0</v>
      </c>
    </row>
    <row r="1906" spans="1:18">
      <c r="A1906" s="15" t="str">
        <f t="shared" si="34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1" t="s">
        <v>75</v>
      </c>
      <c r="P1906" s="41">
        <f>HEX2DEC(RIGHT(Table13232127[[#This Row],[h1]],8))</f>
        <v>0</v>
      </c>
      <c r="Q1906" s="41" t="s">
        <v>75</v>
      </c>
      <c r="R1906" s="41">
        <f>HEX2DEC(RIGHT(Table13232127[[#This Row],[h2]],8))</f>
        <v>0</v>
      </c>
    </row>
    <row r="1907" spans="1:18">
      <c r="A1907" s="15" t="str">
        <f t="shared" si="34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1" t="s">
        <v>75</v>
      </c>
      <c r="P1907" s="41">
        <f>HEX2DEC(RIGHT(Table13232127[[#This Row],[h1]],8))</f>
        <v>0</v>
      </c>
      <c r="Q1907" s="41" t="s">
        <v>75</v>
      </c>
      <c r="R1907" s="41">
        <f>HEX2DEC(RIGHT(Table13232127[[#This Row],[h2]],8))</f>
        <v>0</v>
      </c>
    </row>
    <row r="1908" spans="1:18">
      <c r="A1908" s="15" t="str">
        <f t="shared" si="34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1" t="s">
        <v>75</v>
      </c>
      <c r="P1908" s="41">
        <f>HEX2DEC(RIGHT(Table13232127[[#This Row],[h1]],8))</f>
        <v>0</v>
      </c>
      <c r="Q1908" s="41" t="s">
        <v>75</v>
      </c>
      <c r="R1908" s="41">
        <f>HEX2DEC(RIGHT(Table13232127[[#This Row],[h2]],8))</f>
        <v>0</v>
      </c>
    </row>
    <row r="1909" spans="1:18">
      <c r="A1909" s="15" t="str">
        <f t="shared" si="34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1" t="s">
        <v>75</v>
      </c>
      <c r="P1909" s="41">
        <f>HEX2DEC(RIGHT(Table13232127[[#This Row],[h1]],8))</f>
        <v>0</v>
      </c>
      <c r="Q1909" s="41" t="s">
        <v>75</v>
      </c>
      <c r="R1909" s="41">
        <f>HEX2DEC(RIGHT(Table13232127[[#This Row],[h2]],8))</f>
        <v>0</v>
      </c>
    </row>
    <row r="1910" spans="1:18">
      <c r="A1910" s="15" t="str">
        <f t="shared" si="34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1" t="s">
        <v>75</v>
      </c>
      <c r="P1910" s="41">
        <f>HEX2DEC(RIGHT(Table13232127[[#This Row],[h1]],8))</f>
        <v>0</v>
      </c>
      <c r="Q1910" s="41" t="s">
        <v>75</v>
      </c>
      <c r="R1910" s="41">
        <f>HEX2DEC(RIGHT(Table13232127[[#This Row],[h2]],8))</f>
        <v>0</v>
      </c>
    </row>
    <row r="1911" spans="1:18">
      <c r="A1911" s="15" t="str">
        <f t="shared" si="34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1" t="s">
        <v>75</v>
      </c>
      <c r="P1911" s="41">
        <f>HEX2DEC(RIGHT(Table13232127[[#This Row],[h1]],8))</f>
        <v>0</v>
      </c>
      <c r="Q1911" s="41" t="s">
        <v>75</v>
      </c>
      <c r="R1911" s="41">
        <f>HEX2DEC(RIGHT(Table13232127[[#This Row],[h2]],8))</f>
        <v>0</v>
      </c>
    </row>
    <row r="1912" spans="1:18">
      <c r="A1912" s="15" t="str">
        <f t="shared" si="34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1" t="s">
        <v>75</v>
      </c>
      <c r="P1912" s="41">
        <f>HEX2DEC(RIGHT(Table13232127[[#This Row],[h1]],8))</f>
        <v>0</v>
      </c>
      <c r="Q1912" s="41" t="s">
        <v>75</v>
      </c>
      <c r="R1912" s="41">
        <f>HEX2DEC(RIGHT(Table13232127[[#This Row],[h2]],8))</f>
        <v>0</v>
      </c>
    </row>
    <row r="1913" spans="1:18">
      <c r="A1913" s="15" t="str">
        <f t="shared" si="34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1" t="s">
        <v>75</v>
      </c>
      <c r="P1913" s="41">
        <f>HEX2DEC(RIGHT(Table13232127[[#This Row],[h1]],8))</f>
        <v>0</v>
      </c>
      <c r="Q1913" s="41" t="s">
        <v>75</v>
      </c>
      <c r="R1913" s="41">
        <f>HEX2DEC(RIGHT(Table13232127[[#This Row],[h2]],8))</f>
        <v>0</v>
      </c>
    </row>
    <row r="1914" spans="1:18">
      <c r="A1914" s="15" t="str">
        <f t="shared" si="34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1" t="s">
        <v>75</v>
      </c>
      <c r="P1914" s="41">
        <f>HEX2DEC(RIGHT(Table13232127[[#This Row],[h1]],8))</f>
        <v>0</v>
      </c>
      <c r="Q1914" s="41" t="s">
        <v>75</v>
      </c>
      <c r="R1914" s="41">
        <f>HEX2DEC(RIGHT(Table13232127[[#This Row],[h2]],8))</f>
        <v>0</v>
      </c>
    </row>
    <row r="1915" spans="1:18">
      <c r="A1915" s="15" t="str">
        <f t="shared" si="34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1" t="s">
        <v>75</v>
      </c>
      <c r="P1915" s="41">
        <f>HEX2DEC(RIGHT(Table13232127[[#This Row],[h1]],8))</f>
        <v>0</v>
      </c>
      <c r="Q1915" s="41" t="s">
        <v>75</v>
      </c>
      <c r="R1915" s="41">
        <f>HEX2DEC(RIGHT(Table13232127[[#This Row],[h2]],8))</f>
        <v>0</v>
      </c>
    </row>
    <row r="1916" spans="1:18">
      <c r="A1916" s="15" t="str">
        <f t="shared" si="34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1" t="s">
        <v>75</v>
      </c>
      <c r="P1916" s="41">
        <f>HEX2DEC(RIGHT(Table13232127[[#This Row],[h1]],8))</f>
        <v>0</v>
      </c>
      <c r="Q1916" s="41" t="s">
        <v>75</v>
      </c>
      <c r="R1916" s="41">
        <f>HEX2DEC(RIGHT(Table13232127[[#This Row],[h2]],8))</f>
        <v>0</v>
      </c>
    </row>
    <row r="1917" spans="1:18">
      <c r="A1917" s="15" t="str">
        <f t="shared" si="34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1" t="s">
        <v>75</v>
      </c>
      <c r="P1917" s="41">
        <f>HEX2DEC(RIGHT(Table13232127[[#This Row],[h1]],8))</f>
        <v>0</v>
      </c>
      <c r="Q1917" s="41" t="s">
        <v>75</v>
      </c>
      <c r="R1917" s="41">
        <f>HEX2DEC(RIGHT(Table13232127[[#This Row],[h2]],8))</f>
        <v>0</v>
      </c>
    </row>
    <row r="1918" spans="1:18">
      <c r="A1918" s="15" t="str">
        <f t="shared" si="34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1" t="s">
        <v>75</v>
      </c>
      <c r="P1918" s="41">
        <f>HEX2DEC(RIGHT(Table13232127[[#This Row],[h1]],8))</f>
        <v>0</v>
      </c>
      <c r="Q1918" s="41" t="s">
        <v>75</v>
      </c>
      <c r="R1918" s="41">
        <f>HEX2DEC(RIGHT(Table13232127[[#This Row],[h2]],8))</f>
        <v>0</v>
      </c>
    </row>
    <row r="1919" spans="1:18">
      <c r="A1919" s="15" t="str">
        <f t="shared" si="34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1" t="s">
        <v>75</v>
      </c>
      <c r="P1919" s="41">
        <f>HEX2DEC(RIGHT(Table13232127[[#This Row],[h1]],8))</f>
        <v>0</v>
      </c>
      <c r="Q1919" s="41" t="s">
        <v>75</v>
      </c>
      <c r="R1919" s="41">
        <f>HEX2DEC(RIGHT(Table13232127[[#This Row],[h2]],8))</f>
        <v>0</v>
      </c>
    </row>
    <row r="1920" spans="1:18">
      <c r="A1920" s="15" t="str">
        <f t="shared" si="34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1" t="s">
        <v>75</v>
      </c>
      <c r="P1920" s="41">
        <f>HEX2DEC(RIGHT(Table13232127[[#This Row],[h1]],8))</f>
        <v>0</v>
      </c>
      <c r="Q1920" s="41" t="s">
        <v>75</v>
      </c>
      <c r="R1920" s="41">
        <f>HEX2DEC(RIGHT(Table13232127[[#This Row],[h2]],8))</f>
        <v>0</v>
      </c>
    </row>
    <row r="1921" spans="1:18">
      <c r="A1921" s="15" t="str">
        <f t="shared" si="34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1" t="s">
        <v>75</v>
      </c>
      <c r="P1921" s="41">
        <f>HEX2DEC(RIGHT(Table13232127[[#This Row],[h1]],8))</f>
        <v>0</v>
      </c>
      <c r="Q1921" s="41" t="s">
        <v>75</v>
      </c>
      <c r="R1921" s="41">
        <f>HEX2DEC(RIGHT(Table13232127[[#This Row],[h2]],8))</f>
        <v>0</v>
      </c>
    </row>
    <row r="1922" spans="1:18">
      <c r="A1922" s="15" t="str">
        <f t="shared" si="34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1" t="s">
        <v>75</v>
      </c>
      <c r="P1922" s="41">
        <f>HEX2DEC(RIGHT(Table13232127[[#This Row],[h1]],8))</f>
        <v>0</v>
      </c>
      <c r="Q1922" s="41" t="s">
        <v>75</v>
      </c>
      <c r="R1922" s="41">
        <f>HEX2DEC(RIGHT(Table13232127[[#This Row],[h2]],8))</f>
        <v>0</v>
      </c>
    </row>
    <row r="1923" spans="1:18">
      <c r="A1923" s="15" t="str">
        <f t="shared" si="34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1" t="s">
        <v>75</v>
      </c>
      <c r="P1923" s="41">
        <f>HEX2DEC(RIGHT(Table13232127[[#This Row],[h1]],8))</f>
        <v>0</v>
      </c>
      <c r="Q1923" s="41" t="s">
        <v>75</v>
      </c>
      <c r="R1923" s="41">
        <f>HEX2DEC(RIGHT(Table13232127[[#This Row],[h2]],8))</f>
        <v>0</v>
      </c>
    </row>
    <row r="1924" spans="1:18">
      <c r="A1924" s="15" t="str">
        <f t="shared" si="34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1" t="s">
        <v>75</v>
      </c>
      <c r="P1924" s="41">
        <f>HEX2DEC(RIGHT(Table13232127[[#This Row],[h1]],8))</f>
        <v>0</v>
      </c>
      <c r="Q1924" s="41" t="s">
        <v>75</v>
      </c>
      <c r="R1924" s="41">
        <f>HEX2DEC(RIGHT(Table13232127[[#This Row],[h2]],8))</f>
        <v>0</v>
      </c>
    </row>
    <row r="1925" spans="1:18">
      <c r="A1925" s="15" t="str">
        <f t="shared" si="34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1" t="s">
        <v>75</v>
      </c>
      <c r="P1925" s="41">
        <f>HEX2DEC(RIGHT(Table13232127[[#This Row],[h1]],8))</f>
        <v>0</v>
      </c>
      <c r="Q1925" s="41" t="s">
        <v>75</v>
      </c>
      <c r="R1925" s="41">
        <f>HEX2DEC(RIGHT(Table13232127[[#This Row],[h2]],8))</f>
        <v>0</v>
      </c>
    </row>
    <row r="1926" spans="1:18">
      <c r="A1926" s="15" t="str">
        <f t="shared" si="34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1" t="s">
        <v>75</v>
      </c>
      <c r="P1926" s="41">
        <f>HEX2DEC(RIGHT(Table13232127[[#This Row],[h1]],8))</f>
        <v>0</v>
      </c>
      <c r="Q1926" s="41" t="s">
        <v>75</v>
      </c>
      <c r="R1926" s="41">
        <f>HEX2DEC(RIGHT(Table13232127[[#This Row],[h2]],8))</f>
        <v>0</v>
      </c>
    </row>
    <row r="1927" spans="1:18">
      <c r="A1927" s="15" t="str">
        <f t="shared" si="34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1" t="s">
        <v>75</v>
      </c>
      <c r="P1927" s="41">
        <f>HEX2DEC(RIGHT(Table13232127[[#This Row],[h1]],8))</f>
        <v>0</v>
      </c>
      <c r="Q1927" s="41" t="s">
        <v>75</v>
      </c>
      <c r="R1927" s="41">
        <f>HEX2DEC(RIGHT(Table13232127[[#This Row],[h2]],8))</f>
        <v>0</v>
      </c>
    </row>
    <row r="1928" spans="1:18">
      <c r="A1928" s="15" t="str">
        <f t="shared" si="34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1" t="s">
        <v>75</v>
      </c>
      <c r="P1928" s="41">
        <f>HEX2DEC(RIGHT(Table13232127[[#This Row],[h1]],8))</f>
        <v>0</v>
      </c>
      <c r="Q1928" s="41" t="s">
        <v>75</v>
      </c>
      <c r="R1928" s="41">
        <f>HEX2DEC(RIGHT(Table13232127[[#This Row],[h2]],8))</f>
        <v>0</v>
      </c>
    </row>
    <row r="1929" spans="1:18">
      <c r="A1929" s="15" t="str">
        <f t="shared" si="34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1" t="s">
        <v>75</v>
      </c>
      <c r="P1929" s="41">
        <f>HEX2DEC(RIGHT(Table13232127[[#This Row],[h1]],8))</f>
        <v>0</v>
      </c>
      <c r="Q1929" s="41" t="s">
        <v>75</v>
      </c>
      <c r="R1929" s="41">
        <f>HEX2DEC(RIGHT(Table13232127[[#This Row],[h2]],8))</f>
        <v>0</v>
      </c>
    </row>
    <row r="1930" spans="1:18">
      <c r="A1930" s="15" t="str">
        <f t="shared" si="34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1" t="s">
        <v>75</v>
      </c>
      <c r="P1930" s="41">
        <f>HEX2DEC(RIGHT(Table13232127[[#This Row],[h1]],8))</f>
        <v>0</v>
      </c>
      <c r="Q1930" s="41" t="s">
        <v>75</v>
      </c>
      <c r="R1930" s="41">
        <f>HEX2DEC(RIGHT(Table13232127[[#This Row],[h2]],8))</f>
        <v>0</v>
      </c>
    </row>
    <row r="1931" spans="1:18">
      <c r="A1931" s="15" t="str">
        <f t="shared" ref="A1931:A1994" si="35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1" t="s">
        <v>75</v>
      </c>
      <c r="P1931" s="41">
        <f>HEX2DEC(RIGHT(Table13232127[[#This Row],[h1]],8))</f>
        <v>0</v>
      </c>
      <c r="Q1931" s="41" t="s">
        <v>75</v>
      </c>
      <c r="R1931" s="41">
        <f>HEX2DEC(RIGHT(Table13232127[[#This Row],[h2]],8))</f>
        <v>0</v>
      </c>
    </row>
    <row r="1932" spans="1:18">
      <c r="A1932" s="15" t="str">
        <f t="shared" si="35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1" t="s">
        <v>75</v>
      </c>
      <c r="P1932" s="41">
        <f>HEX2DEC(RIGHT(Table13232127[[#This Row],[h1]],8))</f>
        <v>0</v>
      </c>
      <c r="Q1932" s="41" t="s">
        <v>75</v>
      </c>
      <c r="R1932" s="41">
        <f>HEX2DEC(RIGHT(Table13232127[[#This Row],[h2]],8))</f>
        <v>0</v>
      </c>
    </row>
    <row r="1933" spans="1:18">
      <c r="A1933" s="15" t="str">
        <f t="shared" si="35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1" t="s">
        <v>75</v>
      </c>
      <c r="P1933" s="41">
        <f>HEX2DEC(RIGHT(Table13232127[[#This Row],[h1]],8))</f>
        <v>0</v>
      </c>
      <c r="Q1933" s="41" t="s">
        <v>75</v>
      </c>
      <c r="R1933" s="41">
        <f>HEX2DEC(RIGHT(Table13232127[[#This Row],[h2]],8))</f>
        <v>0</v>
      </c>
    </row>
    <row r="1934" spans="1:18">
      <c r="A1934" s="15" t="str">
        <f t="shared" si="35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1" t="s">
        <v>75</v>
      </c>
      <c r="P1934" s="41">
        <f>HEX2DEC(RIGHT(Table13232127[[#This Row],[h1]],8))</f>
        <v>0</v>
      </c>
      <c r="Q1934" s="41" t="s">
        <v>75</v>
      </c>
      <c r="R1934" s="41">
        <f>HEX2DEC(RIGHT(Table13232127[[#This Row],[h2]],8))</f>
        <v>0</v>
      </c>
    </row>
    <row r="1935" spans="1:18">
      <c r="A1935" s="15" t="str">
        <f t="shared" si="35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1" t="s">
        <v>75</v>
      </c>
      <c r="P1935" s="41">
        <f>HEX2DEC(RIGHT(Table13232127[[#This Row],[h1]],8))</f>
        <v>0</v>
      </c>
      <c r="Q1935" s="41" t="s">
        <v>75</v>
      </c>
      <c r="R1935" s="41">
        <f>HEX2DEC(RIGHT(Table13232127[[#This Row],[h2]],8))</f>
        <v>0</v>
      </c>
    </row>
    <row r="1936" spans="1:18">
      <c r="A1936" s="15" t="str">
        <f t="shared" si="35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1" t="s">
        <v>75</v>
      </c>
      <c r="P1936" s="41">
        <f>HEX2DEC(RIGHT(Table13232127[[#This Row],[h1]],8))</f>
        <v>0</v>
      </c>
      <c r="Q1936" s="41" t="s">
        <v>75</v>
      </c>
      <c r="R1936" s="41">
        <f>HEX2DEC(RIGHT(Table13232127[[#This Row],[h2]],8))</f>
        <v>0</v>
      </c>
    </row>
    <row r="1937" spans="1:18">
      <c r="A1937" s="15" t="str">
        <f t="shared" si="35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1" t="s">
        <v>75</v>
      </c>
      <c r="P1937" s="41">
        <f>HEX2DEC(RIGHT(Table13232127[[#This Row],[h1]],8))</f>
        <v>0</v>
      </c>
      <c r="Q1937" s="41" t="s">
        <v>75</v>
      </c>
      <c r="R1937" s="41">
        <f>HEX2DEC(RIGHT(Table13232127[[#This Row],[h2]],8))</f>
        <v>0</v>
      </c>
    </row>
    <row r="1938" spans="1:18">
      <c r="A1938" s="15" t="str">
        <f t="shared" si="35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1" t="s">
        <v>75</v>
      </c>
      <c r="P1938" s="41">
        <f>HEX2DEC(RIGHT(Table13232127[[#This Row],[h1]],8))</f>
        <v>0</v>
      </c>
      <c r="Q1938" s="41" t="s">
        <v>75</v>
      </c>
      <c r="R1938" s="41">
        <f>HEX2DEC(RIGHT(Table13232127[[#This Row],[h2]],8))</f>
        <v>0</v>
      </c>
    </row>
    <row r="1939" spans="1:18">
      <c r="A1939" s="15" t="str">
        <f t="shared" si="35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1" t="s">
        <v>75</v>
      </c>
      <c r="P1939" s="41">
        <f>HEX2DEC(RIGHT(Table13232127[[#This Row],[h1]],8))</f>
        <v>0</v>
      </c>
      <c r="Q1939" s="41" t="s">
        <v>75</v>
      </c>
      <c r="R1939" s="41">
        <f>HEX2DEC(RIGHT(Table13232127[[#This Row],[h2]],8))</f>
        <v>0</v>
      </c>
    </row>
    <row r="1940" spans="1:18">
      <c r="A1940" s="15" t="str">
        <f t="shared" si="35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1" t="s">
        <v>75</v>
      </c>
      <c r="P1940" s="41">
        <f>HEX2DEC(RIGHT(Table13232127[[#This Row],[h1]],8))</f>
        <v>0</v>
      </c>
      <c r="Q1940" s="41" t="s">
        <v>75</v>
      </c>
      <c r="R1940" s="41">
        <f>HEX2DEC(RIGHT(Table13232127[[#This Row],[h2]],8))</f>
        <v>0</v>
      </c>
    </row>
    <row r="1941" spans="1:18">
      <c r="A1941" s="15" t="str">
        <f t="shared" si="35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1" t="s">
        <v>75</v>
      </c>
      <c r="P1941" s="41">
        <f>HEX2DEC(RIGHT(Table13232127[[#This Row],[h1]],8))</f>
        <v>0</v>
      </c>
      <c r="Q1941" s="41" t="s">
        <v>75</v>
      </c>
      <c r="R1941" s="41">
        <f>HEX2DEC(RIGHT(Table13232127[[#This Row],[h2]],8))</f>
        <v>0</v>
      </c>
    </row>
    <row r="1942" spans="1:18">
      <c r="A1942" s="15" t="str">
        <f t="shared" si="35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1" t="s">
        <v>75</v>
      </c>
      <c r="P1942" s="41">
        <f>HEX2DEC(RIGHT(Table13232127[[#This Row],[h1]],8))</f>
        <v>0</v>
      </c>
      <c r="Q1942" s="41" t="s">
        <v>75</v>
      </c>
      <c r="R1942" s="41">
        <f>HEX2DEC(RIGHT(Table13232127[[#This Row],[h2]],8))</f>
        <v>0</v>
      </c>
    </row>
    <row r="1943" spans="1:18">
      <c r="A1943" s="15" t="str">
        <f t="shared" si="35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1" t="s">
        <v>75</v>
      </c>
      <c r="P1943" s="41">
        <f>HEX2DEC(RIGHT(Table13232127[[#This Row],[h1]],8))</f>
        <v>0</v>
      </c>
      <c r="Q1943" s="41" t="s">
        <v>75</v>
      </c>
      <c r="R1943" s="41">
        <f>HEX2DEC(RIGHT(Table13232127[[#This Row],[h2]],8))</f>
        <v>0</v>
      </c>
    </row>
    <row r="1944" spans="1:18">
      <c r="A1944" s="15" t="str">
        <f t="shared" si="35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1" t="s">
        <v>75</v>
      </c>
      <c r="P1944" s="41">
        <f>HEX2DEC(RIGHT(Table13232127[[#This Row],[h1]],8))</f>
        <v>0</v>
      </c>
      <c r="Q1944" s="41" t="s">
        <v>75</v>
      </c>
      <c r="R1944" s="41">
        <f>HEX2DEC(RIGHT(Table13232127[[#This Row],[h2]],8))</f>
        <v>0</v>
      </c>
    </row>
    <row r="1945" spans="1:18">
      <c r="A1945" s="15" t="str">
        <f t="shared" si="35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1" t="s">
        <v>75</v>
      </c>
      <c r="P1945" s="41">
        <f>HEX2DEC(RIGHT(Table13232127[[#This Row],[h1]],8))</f>
        <v>0</v>
      </c>
      <c r="Q1945" s="41" t="s">
        <v>75</v>
      </c>
      <c r="R1945" s="41">
        <f>HEX2DEC(RIGHT(Table13232127[[#This Row],[h2]],8))</f>
        <v>0</v>
      </c>
    </row>
    <row r="1946" spans="1:18">
      <c r="A1946" s="15" t="str">
        <f t="shared" si="35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1" t="s">
        <v>75</v>
      </c>
      <c r="P1946" s="41">
        <f>HEX2DEC(RIGHT(Table13232127[[#This Row],[h1]],8))</f>
        <v>0</v>
      </c>
      <c r="Q1946" s="41" t="s">
        <v>75</v>
      </c>
      <c r="R1946" s="41">
        <f>HEX2DEC(RIGHT(Table13232127[[#This Row],[h2]],8))</f>
        <v>0</v>
      </c>
    </row>
    <row r="1947" spans="1:18">
      <c r="A1947" s="15" t="str">
        <f t="shared" si="35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1" t="s">
        <v>75</v>
      </c>
      <c r="P1947" s="41">
        <f>HEX2DEC(RIGHT(Table13232127[[#This Row],[h1]],8))</f>
        <v>0</v>
      </c>
      <c r="Q1947" s="41" t="s">
        <v>75</v>
      </c>
      <c r="R1947" s="41">
        <f>HEX2DEC(RIGHT(Table13232127[[#This Row],[h2]],8))</f>
        <v>0</v>
      </c>
    </row>
    <row r="1948" spans="1:18">
      <c r="A1948" s="15" t="str">
        <f t="shared" si="35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1" t="s">
        <v>75</v>
      </c>
      <c r="P1948" s="41">
        <f>HEX2DEC(RIGHT(Table13232127[[#This Row],[h1]],8))</f>
        <v>0</v>
      </c>
      <c r="Q1948" s="41" t="s">
        <v>75</v>
      </c>
      <c r="R1948" s="41">
        <f>HEX2DEC(RIGHT(Table13232127[[#This Row],[h2]],8))</f>
        <v>0</v>
      </c>
    </row>
    <row r="1949" spans="1:18">
      <c r="A1949" s="15" t="str">
        <f t="shared" si="35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1" t="s">
        <v>75</v>
      </c>
      <c r="P1949" s="41">
        <f>HEX2DEC(RIGHT(Table13232127[[#This Row],[h1]],8))</f>
        <v>0</v>
      </c>
      <c r="Q1949" s="41" t="s">
        <v>75</v>
      </c>
      <c r="R1949" s="41">
        <f>HEX2DEC(RIGHT(Table13232127[[#This Row],[h2]],8))</f>
        <v>0</v>
      </c>
    </row>
    <row r="1950" spans="1:18">
      <c r="A1950" s="15" t="str">
        <f t="shared" si="35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1" t="s">
        <v>75</v>
      </c>
      <c r="P1950" s="41">
        <f>HEX2DEC(RIGHT(Table13232127[[#This Row],[h1]],8))</f>
        <v>0</v>
      </c>
      <c r="Q1950" s="41" t="s">
        <v>75</v>
      </c>
      <c r="R1950" s="41">
        <f>HEX2DEC(RIGHT(Table13232127[[#This Row],[h2]],8))</f>
        <v>0</v>
      </c>
    </row>
    <row r="1951" spans="1:18">
      <c r="A1951" s="15" t="str">
        <f t="shared" si="35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1" t="s">
        <v>75</v>
      </c>
      <c r="P1951" s="41">
        <f>HEX2DEC(RIGHT(Table13232127[[#This Row],[h1]],8))</f>
        <v>0</v>
      </c>
      <c r="Q1951" s="41" t="s">
        <v>75</v>
      </c>
      <c r="R1951" s="41">
        <f>HEX2DEC(RIGHT(Table13232127[[#This Row],[h2]],8))</f>
        <v>0</v>
      </c>
    </row>
    <row r="1952" spans="1:18">
      <c r="A1952" s="15" t="str">
        <f t="shared" si="35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1" t="s">
        <v>75</v>
      </c>
      <c r="P1952" s="41">
        <f>HEX2DEC(RIGHT(Table13232127[[#This Row],[h1]],8))</f>
        <v>0</v>
      </c>
      <c r="Q1952" s="41" t="s">
        <v>75</v>
      </c>
      <c r="R1952" s="41">
        <f>HEX2DEC(RIGHT(Table13232127[[#This Row],[h2]],8))</f>
        <v>0</v>
      </c>
    </row>
    <row r="1953" spans="1:18">
      <c r="A1953" s="15" t="str">
        <f t="shared" si="35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1" t="s">
        <v>75</v>
      </c>
      <c r="P1953" s="41">
        <f>HEX2DEC(RIGHT(Table13232127[[#This Row],[h1]],8))</f>
        <v>0</v>
      </c>
      <c r="Q1953" s="41" t="s">
        <v>75</v>
      </c>
      <c r="R1953" s="41">
        <f>HEX2DEC(RIGHT(Table13232127[[#This Row],[h2]],8))</f>
        <v>0</v>
      </c>
    </row>
    <row r="1954" spans="1:18">
      <c r="A1954" s="15" t="str">
        <f t="shared" si="35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1" t="s">
        <v>75</v>
      </c>
      <c r="P1954" s="41">
        <f>HEX2DEC(RIGHT(Table13232127[[#This Row],[h1]],8))</f>
        <v>0</v>
      </c>
      <c r="Q1954" s="41" t="s">
        <v>75</v>
      </c>
      <c r="R1954" s="41">
        <f>HEX2DEC(RIGHT(Table13232127[[#This Row],[h2]],8))</f>
        <v>0</v>
      </c>
    </row>
    <row r="1955" spans="1:18">
      <c r="A1955" s="15" t="str">
        <f t="shared" si="35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1" t="s">
        <v>75</v>
      </c>
      <c r="P1955" s="41">
        <f>HEX2DEC(RIGHT(Table13232127[[#This Row],[h1]],8))</f>
        <v>0</v>
      </c>
      <c r="Q1955" s="41" t="s">
        <v>75</v>
      </c>
      <c r="R1955" s="41">
        <f>HEX2DEC(RIGHT(Table13232127[[#This Row],[h2]],8))</f>
        <v>0</v>
      </c>
    </row>
    <row r="1956" spans="1:18">
      <c r="A1956" s="15" t="str">
        <f t="shared" si="35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1" t="s">
        <v>75</v>
      </c>
      <c r="P1956" s="41">
        <f>HEX2DEC(RIGHT(Table13232127[[#This Row],[h1]],8))</f>
        <v>0</v>
      </c>
      <c r="Q1956" s="41" t="s">
        <v>75</v>
      </c>
      <c r="R1956" s="41">
        <f>HEX2DEC(RIGHT(Table13232127[[#This Row],[h2]],8))</f>
        <v>0</v>
      </c>
    </row>
    <row r="1957" spans="1:18">
      <c r="A1957" s="15" t="str">
        <f t="shared" si="35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1" t="s">
        <v>75</v>
      </c>
      <c r="P1957" s="41">
        <f>HEX2DEC(RIGHT(Table13232127[[#This Row],[h1]],8))</f>
        <v>0</v>
      </c>
      <c r="Q1957" s="41" t="s">
        <v>75</v>
      </c>
      <c r="R1957" s="41">
        <f>HEX2DEC(RIGHT(Table13232127[[#This Row],[h2]],8))</f>
        <v>0</v>
      </c>
    </row>
    <row r="1958" spans="1:18">
      <c r="A1958" s="15" t="str">
        <f t="shared" si="35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1" t="s">
        <v>75</v>
      </c>
      <c r="P1958" s="41">
        <f>HEX2DEC(RIGHT(Table13232127[[#This Row],[h1]],8))</f>
        <v>0</v>
      </c>
      <c r="Q1958" s="41" t="s">
        <v>75</v>
      </c>
      <c r="R1958" s="41">
        <f>HEX2DEC(RIGHT(Table13232127[[#This Row],[h2]],8))</f>
        <v>0</v>
      </c>
    </row>
    <row r="1959" spans="1:18">
      <c r="A1959" s="15" t="str">
        <f t="shared" si="35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1" t="s">
        <v>75</v>
      </c>
      <c r="P1959" s="41">
        <f>HEX2DEC(RIGHT(Table13232127[[#This Row],[h1]],8))</f>
        <v>0</v>
      </c>
      <c r="Q1959" s="41" t="s">
        <v>75</v>
      </c>
      <c r="R1959" s="41">
        <f>HEX2DEC(RIGHT(Table13232127[[#This Row],[h2]],8))</f>
        <v>0</v>
      </c>
    </row>
    <row r="1960" spans="1:18">
      <c r="A1960" s="15" t="str">
        <f t="shared" si="35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1" t="s">
        <v>75</v>
      </c>
      <c r="P1960" s="41">
        <f>HEX2DEC(RIGHT(Table13232127[[#This Row],[h1]],8))</f>
        <v>0</v>
      </c>
      <c r="Q1960" s="41" t="s">
        <v>75</v>
      </c>
      <c r="R1960" s="41">
        <f>HEX2DEC(RIGHT(Table13232127[[#This Row],[h2]],8))</f>
        <v>0</v>
      </c>
    </row>
    <row r="1961" spans="1:18">
      <c r="A1961" s="15" t="str">
        <f t="shared" si="35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1" t="s">
        <v>75</v>
      </c>
      <c r="P1961" s="41">
        <f>HEX2DEC(RIGHT(Table13232127[[#This Row],[h1]],8))</f>
        <v>0</v>
      </c>
      <c r="Q1961" s="41" t="s">
        <v>75</v>
      </c>
      <c r="R1961" s="41">
        <f>HEX2DEC(RIGHT(Table13232127[[#This Row],[h2]],8))</f>
        <v>0</v>
      </c>
    </row>
    <row r="1962" spans="1:18">
      <c r="A1962" s="15" t="str">
        <f t="shared" si="35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1" t="s">
        <v>75</v>
      </c>
      <c r="P1962" s="41">
        <f>HEX2DEC(RIGHT(Table13232127[[#This Row],[h1]],8))</f>
        <v>0</v>
      </c>
      <c r="Q1962" s="41" t="s">
        <v>75</v>
      </c>
      <c r="R1962" s="41">
        <f>HEX2DEC(RIGHT(Table13232127[[#This Row],[h2]],8))</f>
        <v>0</v>
      </c>
    </row>
    <row r="1963" spans="1:18">
      <c r="A1963" s="15" t="str">
        <f t="shared" si="35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1" t="s">
        <v>75</v>
      </c>
      <c r="P1963" s="41">
        <f>HEX2DEC(RIGHT(Table13232127[[#This Row],[h1]],8))</f>
        <v>0</v>
      </c>
      <c r="Q1963" s="41" t="s">
        <v>75</v>
      </c>
      <c r="R1963" s="41">
        <f>HEX2DEC(RIGHT(Table13232127[[#This Row],[h2]],8))</f>
        <v>0</v>
      </c>
    </row>
    <row r="1964" spans="1:18">
      <c r="A1964" s="15" t="str">
        <f t="shared" si="35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1" t="s">
        <v>75</v>
      </c>
      <c r="P1964" s="41">
        <f>HEX2DEC(RIGHT(Table13232127[[#This Row],[h1]],8))</f>
        <v>0</v>
      </c>
      <c r="Q1964" s="41" t="s">
        <v>75</v>
      </c>
      <c r="R1964" s="41">
        <f>HEX2DEC(RIGHT(Table13232127[[#This Row],[h2]],8))</f>
        <v>0</v>
      </c>
    </row>
    <row r="1965" spans="1:18">
      <c r="A1965" s="15" t="str">
        <f t="shared" si="35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1" t="s">
        <v>75</v>
      </c>
      <c r="P1965" s="41">
        <f>HEX2DEC(RIGHT(Table13232127[[#This Row],[h1]],8))</f>
        <v>0</v>
      </c>
      <c r="Q1965" s="41" t="s">
        <v>75</v>
      </c>
      <c r="R1965" s="41">
        <f>HEX2DEC(RIGHT(Table13232127[[#This Row],[h2]],8))</f>
        <v>0</v>
      </c>
    </row>
    <row r="1966" spans="1:18">
      <c r="A1966" s="15" t="str">
        <f t="shared" si="35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1" t="s">
        <v>75</v>
      </c>
      <c r="P1966" s="41">
        <f>HEX2DEC(RIGHT(Table13232127[[#This Row],[h1]],8))</f>
        <v>0</v>
      </c>
      <c r="Q1966" s="41" t="s">
        <v>75</v>
      </c>
      <c r="R1966" s="41">
        <f>HEX2DEC(RIGHT(Table13232127[[#This Row],[h2]],8))</f>
        <v>0</v>
      </c>
    </row>
    <row r="1967" spans="1:18">
      <c r="A1967" s="15" t="str">
        <f t="shared" si="35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1" t="s">
        <v>75</v>
      </c>
      <c r="P1967" s="41">
        <f>HEX2DEC(RIGHT(Table13232127[[#This Row],[h1]],8))</f>
        <v>0</v>
      </c>
      <c r="Q1967" s="41" t="s">
        <v>75</v>
      </c>
      <c r="R1967" s="41">
        <f>HEX2DEC(RIGHT(Table13232127[[#This Row],[h2]],8))</f>
        <v>0</v>
      </c>
    </row>
    <row r="1968" spans="1:18">
      <c r="A1968" s="15" t="str">
        <f t="shared" si="35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1" t="s">
        <v>75</v>
      </c>
      <c r="P1968" s="41">
        <f>HEX2DEC(RIGHT(Table13232127[[#This Row],[h1]],8))</f>
        <v>0</v>
      </c>
      <c r="Q1968" s="41" t="s">
        <v>75</v>
      </c>
      <c r="R1968" s="41">
        <f>HEX2DEC(RIGHT(Table13232127[[#This Row],[h2]],8))</f>
        <v>0</v>
      </c>
    </row>
    <row r="1969" spans="1:18">
      <c r="A1969" s="15" t="str">
        <f t="shared" si="35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1" t="s">
        <v>75</v>
      </c>
      <c r="P1969" s="41">
        <f>HEX2DEC(RIGHT(Table13232127[[#This Row],[h1]],8))</f>
        <v>0</v>
      </c>
      <c r="Q1969" s="41" t="s">
        <v>75</v>
      </c>
      <c r="R1969" s="41">
        <f>HEX2DEC(RIGHT(Table13232127[[#This Row],[h2]],8))</f>
        <v>0</v>
      </c>
    </row>
    <row r="1970" spans="1:18">
      <c r="A1970" s="15" t="str">
        <f t="shared" si="35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1" t="s">
        <v>75</v>
      </c>
      <c r="P1970" s="41">
        <f>HEX2DEC(RIGHT(Table13232127[[#This Row],[h1]],8))</f>
        <v>0</v>
      </c>
      <c r="Q1970" s="41" t="s">
        <v>75</v>
      </c>
      <c r="R1970" s="41">
        <f>HEX2DEC(RIGHT(Table13232127[[#This Row],[h2]],8))</f>
        <v>0</v>
      </c>
    </row>
    <row r="1971" spans="1:18">
      <c r="A1971" s="15" t="str">
        <f t="shared" si="35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1" t="s">
        <v>75</v>
      </c>
      <c r="P1971" s="41">
        <f>HEX2DEC(RIGHT(Table13232127[[#This Row],[h1]],8))</f>
        <v>0</v>
      </c>
      <c r="Q1971" s="41" t="s">
        <v>75</v>
      </c>
      <c r="R1971" s="41">
        <f>HEX2DEC(RIGHT(Table13232127[[#This Row],[h2]],8))</f>
        <v>0</v>
      </c>
    </row>
    <row r="1972" spans="1:18">
      <c r="A1972" s="15" t="str">
        <f t="shared" si="35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1" t="s">
        <v>75</v>
      </c>
      <c r="P1972" s="41">
        <f>HEX2DEC(RIGHT(Table13232127[[#This Row],[h1]],8))</f>
        <v>0</v>
      </c>
      <c r="Q1972" s="41" t="s">
        <v>75</v>
      </c>
      <c r="R1972" s="41">
        <f>HEX2DEC(RIGHT(Table13232127[[#This Row],[h2]],8))</f>
        <v>0</v>
      </c>
    </row>
    <row r="1973" spans="1:18">
      <c r="A1973" s="15" t="str">
        <f t="shared" si="35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1" t="s">
        <v>75</v>
      </c>
      <c r="P1973" s="41">
        <f>HEX2DEC(RIGHT(Table13232127[[#This Row],[h1]],8))</f>
        <v>0</v>
      </c>
      <c r="Q1973" s="41" t="s">
        <v>75</v>
      </c>
      <c r="R1973" s="41">
        <f>HEX2DEC(RIGHT(Table13232127[[#This Row],[h2]],8))</f>
        <v>0</v>
      </c>
    </row>
    <row r="1974" spans="1:18">
      <c r="A1974" s="15" t="str">
        <f t="shared" si="35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1" t="s">
        <v>75</v>
      </c>
      <c r="P1974" s="41">
        <f>HEX2DEC(RIGHT(Table13232127[[#This Row],[h1]],8))</f>
        <v>0</v>
      </c>
      <c r="Q1974" s="41" t="s">
        <v>75</v>
      </c>
      <c r="R1974" s="41">
        <f>HEX2DEC(RIGHT(Table13232127[[#This Row],[h2]],8))</f>
        <v>0</v>
      </c>
    </row>
    <row r="1975" spans="1:18">
      <c r="A1975" s="15" t="str">
        <f t="shared" si="35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1" t="s">
        <v>75</v>
      </c>
      <c r="P1975" s="41">
        <f>HEX2DEC(RIGHT(Table13232127[[#This Row],[h1]],8))</f>
        <v>0</v>
      </c>
      <c r="Q1975" s="41" t="s">
        <v>75</v>
      </c>
      <c r="R1975" s="41">
        <f>HEX2DEC(RIGHT(Table13232127[[#This Row],[h2]],8))</f>
        <v>0</v>
      </c>
    </row>
    <row r="1976" spans="1:18">
      <c r="A1976" s="15" t="str">
        <f t="shared" si="35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1" t="s">
        <v>75</v>
      </c>
      <c r="P1976" s="41">
        <f>HEX2DEC(RIGHT(Table13232127[[#This Row],[h1]],8))</f>
        <v>0</v>
      </c>
      <c r="Q1976" s="41" t="s">
        <v>75</v>
      </c>
      <c r="R1976" s="41">
        <f>HEX2DEC(RIGHT(Table13232127[[#This Row],[h2]],8))</f>
        <v>0</v>
      </c>
    </row>
    <row r="1977" spans="1:18">
      <c r="A1977" s="15" t="str">
        <f t="shared" si="35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1" t="s">
        <v>75</v>
      </c>
      <c r="P1977" s="41">
        <f>HEX2DEC(RIGHT(Table13232127[[#This Row],[h1]],8))</f>
        <v>0</v>
      </c>
      <c r="Q1977" s="41" t="s">
        <v>75</v>
      </c>
      <c r="R1977" s="41">
        <f>HEX2DEC(RIGHT(Table13232127[[#This Row],[h2]],8))</f>
        <v>0</v>
      </c>
    </row>
    <row r="1978" spans="1:18">
      <c r="A1978" s="15" t="str">
        <f t="shared" si="35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1" t="s">
        <v>75</v>
      </c>
      <c r="P1978" s="41">
        <f>HEX2DEC(RIGHT(Table13232127[[#This Row],[h1]],8))</f>
        <v>0</v>
      </c>
      <c r="Q1978" s="41" t="s">
        <v>75</v>
      </c>
      <c r="R1978" s="41">
        <f>HEX2DEC(RIGHT(Table13232127[[#This Row],[h2]],8))</f>
        <v>0</v>
      </c>
    </row>
    <row r="1979" spans="1:18">
      <c r="A1979" s="15" t="str">
        <f t="shared" si="35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1" t="s">
        <v>75</v>
      </c>
      <c r="P1979" s="41">
        <f>HEX2DEC(RIGHT(Table13232127[[#This Row],[h1]],8))</f>
        <v>0</v>
      </c>
      <c r="Q1979" s="41" t="s">
        <v>75</v>
      </c>
      <c r="R1979" s="41">
        <f>HEX2DEC(RIGHT(Table13232127[[#This Row],[h2]],8))</f>
        <v>0</v>
      </c>
    </row>
    <row r="1980" spans="1:18">
      <c r="A1980" s="15" t="str">
        <f t="shared" si="35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1" t="s">
        <v>75</v>
      </c>
      <c r="P1980" s="41">
        <f>HEX2DEC(RIGHT(Table13232127[[#This Row],[h1]],8))</f>
        <v>0</v>
      </c>
      <c r="Q1980" s="41" t="s">
        <v>75</v>
      </c>
      <c r="R1980" s="41">
        <f>HEX2DEC(RIGHT(Table13232127[[#This Row],[h2]],8))</f>
        <v>0</v>
      </c>
    </row>
    <row r="1981" spans="1:18">
      <c r="A1981" s="15" t="str">
        <f t="shared" si="35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1" t="s">
        <v>75</v>
      </c>
      <c r="P1981" s="41">
        <f>HEX2DEC(RIGHT(Table13232127[[#This Row],[h1]],8))</f>
        <v>0</v>
      </c>
      <c r="Q1981" s="41" t="s">
        <v>75</v>
      </c>
      <c r="R1981" s="41">
        <f>HEX2DEC(RIGHT(Table13232127[[#This Row],[h2]],8))</f>
        <v>0</v>
      </c>
    </row>
    <row r="1982" spans="1:18">
      <c r="A1982" s="15" t="str">
        <f t="shared" si="35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1" t="s">
        <v>75</v>
      </c>
      <c r="P1982" s="41">
        <f>HEX2DEC(RIGHT(Table13232127[[#This Row],[h1]],8))</f>
        <v>0</v>
      </c>
      <c r="Q1982" s="41" t="s">
        <v>75</v>
      </c>
      <c r="R1982" s="41">
        <f>HEX2DEC(RIGHT(Table13232127[[#This Row],[h2]],8))</f>
        <v>0</v>
      </c>
    </row>
    <row r="1983" spans="1:18">
      <c r="A1983" s="15" t="str">
        <f t="shared" si="35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1" t="s">
        <v>75</v>
      </c>
      <c r="P1983" s="41">
        <f>HEX2DEC(RIGHT(Table13232127[[#This Row],[h1]],8))</f>
        <v>0</v>
      </c>
      <c r="Q1983" s="41" t="s">
        <v>75</v>
      </c>
      <c r="R1983" s="41">
        <f>HEX2DEC(RIGHT(Table13232127[[#This Row],[h2]],8))</f>
        <v>0</v>
      </c>
    </row>
    <row r="1984" spans="1:18">
      <c r="A1984" s="15" t="str">
        <f t="shared" si="35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1" t="s">
        <v>75</v>
      </c>
      <c r="P1984" s="41">
        <f>HEX2DEC(RIGHT(Table13232127[[#This Row],[h1]],8))</f>
        <v>0</v>
      </c>
      <c r="Q1984" s="41" t="s">
        <v>75</v>
      </c>
      <c r="R1984" s="41">
        <f>HEX2DEC(RIGHT(Table13232127[[#This Row],[h2]],8))</f>
        <v>0</v>
      </c>
    </row>
    <row r="1985" spans="1:18">
      <c r="A1985" s="15" t="str">
        <f t="shared" si="35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1" t="s">
        <v>75</v>
      </c>
      <c r="P1985" s="41">
        <f>HEX2DEC(RIGHT(Table13232127[[#This Row],[h1]],8))</f>
        <v>0</v>
      </c>
      <c r="Q1985" s="41" t="s">
        <v>75</v>
      </c>
      <c r="R1985" s="41">
        <f>HEX2DEC(RIGHT(Table13232127[[#This Row],[h2]],8))</f>
        <v>0</v>
      </c>
    </row>
    <row r="1986" spans="1:18">
      <c r="A1986" s="15" t="str">
        <f t="shared" si="35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1" t="s">
        <v>75</v>
      </c>
      <c r="P1986" s="41">
        <f>HEX2DEC(RIGHT(Table13232127[[#This Row],[h1]],8))</f>
        <v>0</v>
      </c>
      <c r="Q1986" s="41" t="s">
        <v>75</v>
      </c>
      <c r="R1986" s="41">
        <f>HEX2DEC(RIGHT(Table13232127[[#This Row],[h2]],8))</f>
        <v>0</v>
      </c>
    </row>
    <row r="1987" spans="1:18">
      <c r="A1987" s="15" t="str">
        <f t="shared" si="35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1" t="s">
        <v>75</v>
      </c>
      <c r="P1987" s="41">
        <f>HEX2DEC(RIGHT(Table13232127[[#This Row],[h1]],8))</f>
        <v>0</v>
      </c>
      <c r="Q1987" s="41" t="s">
        <v>75</v>
      </c>
      <c r="R1987" s="41">
        <f>HEX2DEC(RIGHT(Table13232127[[#This Row],[h2]],8))</f>
        <v>0</v>
      </c>
    </row>
    <row r="1988" spans="1:18">
      <c r="A1988" s="15" t="str">
        <f t="shared" si="35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1" t="s">
        <v>75</v>
      </c>
      <c r="P1988" s="41">
        <f>HEX2DEC(RIGHT(Table13232127[[#This Row],[h1]],8))</f>
        <v>0</v>
      </c>
      <c r="Q1988" s="41" t="s">
        <v>75</v>
      </c>
      <c r="R1988" s="41">
        <f>HEX2DEC(RIGHT(Table13232127[[#This Row],[h2]],8))</f>
        <v>0</v>
      </c>
    </row>
    <row r="1989" spans="1:18">
      <c r="A1989" s="15" t="str">
        <f t="shared" si="35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1" t="s">
        <v>75</v>
      </c>
      <c r="P1989" s="41">
        <f>HEX2DEC(RIGHT(Table13232127[[#This Row],[h1]],8))</f>
        <v>0</v>
      </c>
      <c r="Q1989" s="41" t="s">
        <v>75</v>
      </c>
      <c r="R1989" s="41">
        <f>HEX2DEC(RIGHT(Table13232127[[#This Row],[h2]],8))</f>
        <v>0</v>
      </c>
    </row>
    <row r="1990" spans="1:18">
      <c r="A1990" s="15" t="str">
        <f t="shared" si="35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1" t="s">
        <v>75</v>
      </c>
      <c r="P1990" s="41">
        <f>HEX2DEC(RIGHT(Table13232127[[#This Row],[h1]],8))</f>
        <v>0</v>
      </c>
      <c r="Q1990" s="41" t="s">
        <v>75</v>
      </c>
      <c r="R1990" s="41">
        <f>HEX2DEC(RIGHT(Table13232127[[#This Row],[h2]],8))</f>
        <v>0</v>
      </c>
    </row>
    <row r="1991" spans="1:18">
      <c r="A1991" s="15" t="str">
        <f t="shared" si="35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1" t="s">
        <v>75</v>
      </c>
      <c r="P1991" s="41">
        <f>HEX2DEC(RIGHT(Table13232127[[#This Row],[h1]],8))</f>
        <v>0</v>
      </c>
      <c r="Q1991" s="41" t="s">
        <v>75</v>
      </c>
      <c r="R1991" s="41">
        <f>HEX2DEC(RIGHT(Table13232127[[#This Row],[h2]],8))</f>
        <v>0</v>
      </c>
    </row>
    <row r="1992" spans="1:18">
      <c r="A1992" s="15" t="str">
        <f t="shared" si="35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1" t="s">
        <v>75</v>
      </c>
      <c r="P1992" s="41">
        <f>HEX2DEC(RIGHT(Table13232127[[#This Row],[h1]],8))</f>
        <v>0</v>
      </c>
      <c r="Q1992" s="41" t="s">
        <v>75</v>
      </c>
      <c r="R1992" s="41">
        <f>HEX2DEC(RIGHT(Table13232127[[#This Row],[h2]],8))</f>
        <v>0</v>
      </c>
    </row>
    <row r="1993" spans="1:18">
      <c r="A1993" s="15" t="str">
        <f t="shared" si="35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1" t="s">
        <v>75</v>
      </c>
      <c r="P1993" s="41">
        <f>HEX2DEC(RIGHT(Table13232127[[#This Row],[h1]],8))</f>
        <v>0</v>
      </c>
      <c r="Q1993" s="41" t="s">
        <v>75</v>
      </c>
      <c r="R1993" s="41">
        <f>HEX2DEC(RIGHT(Table13232127[[#This Row],[h2]],8))</f>
        <v>0</v>
      </c>
    </row>
    <row r="1994" spans="1:18">
      <c r="A1994" s="15" t="str">
        <f t="shared" si="35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1" t="s">
        <v>75</v>
      </c>
      <c r="P1994" s="41">
        <f>HEX2DEC(RIGHT(Table13232127[[#This Row],[h1]],8))</f>
        <v>0</v>
      </c>
      <c r="Q1994" s="41" t="s">
        <v>75</v>
      </c>
      <c r="R1994" s="41">
        <f>HEX2DEC(RIGHT(Table13232127[[#This Row],[h2]],8))</f>
        <v>0</v>
      </c>
    </row>
    <row r="1995" spans="1:18">
      <c r="A1995" s="15" t="str">
        <f t="shared" ref="A1995:A2057" si="36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1" t="s">
        <v>75</v>
      </c>
      <c r="P1995" s="41">
        <f>HEX2DEC(RIGHT(Table13232127[[#This Row],[h1]],8))</f>
        <v>0</v>
      </c>
      <c r="Q1995" s="41" t="s">
        <v>75</v>
      </c>
      <c r="R1995" s="41">
        <f>HEX2DEC(RIGHT(Table13232127[[#This Row],[h2]],8))</f>
        <v>0</v>
      </c>
    </row>
    <row r="1996" spans="1:18">
      <c r="A1996" s="15" t="str">
        <f t="shared" si="36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1" t="s">
        <v>75</v>
      </c>
      <c r="P1996" s="41">
        <f>HEX2DEC(RIGHT(Table13232127[[#This Row],[h1]],8))</f>
        <v>0</v>
      </c>
      <c r="Q1996" s="41" t="s">
        <v>75</v>
      </c>
      <c r="R1996" s="41">
        <f>HEX2DEC(RIGHT(Table13232127[[#This Row],[h2]],8))</f>
        <v>0</v>
      </c>
    </row>
    <row r="1997" spans="1:18">
      <c r="A1997" s="15" t="str">
        <f t="shared" si="36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1" t="s">
        <v>75</v>
      </c>
      <c r="P1997" s="41">
        <f>HEX2DEC(RIGHT(Table13232127[[#This Row],[h1]],8))</f>
        <v>0</v>
      </c>
      <c r="Q1997" s="41" t="s">
        <v>75</v>
      </c>
      <c r="R1997" s="41">
        <f>HEX2DEC(RIGHT(Table13232127[[#This Row],[h2]],8))</f>
        <v>0</v>
      </c>
    </row>
    <row r="1998" spans="1:18">
      <c r="A1998" s="15" t="str">
        <f t="shared" si="36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1" t="s">
        <v>75</v>
      </c>
      <c r="P1998" s="41">
        <f>HEX2DEC(RIGHT(Table13232127[[#This Row],[h1]],8))</f>
        <v>0</v>
      </c>
      <c r="Q1998" s="41" t="s">
        <v>75</v>
      </c>
      <c r="R1998" s="41">
        <f>HEX2DEC(RIGHT(Table13232127[[#This Row],[h2]],8))</f>
        <v>0</v>
      </c>
    </row>
    <row r="1999" spans="1:18">
      <c r="A1999" s="15" t="str">
        <f t="shared" si="36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1" t="s">
        <v>75</v>
      </c>
      <c r="P1999" s="41">
        <f>HEX2DEC(RIGHT(Table13232127[[#This Row],[h1]],8))</f>
        <v>0</v>
      </c>
      <c r="Q1999" s="41" t="s">
        <v>75</v>
      </c>
      <c r="R1999" s="41">
        <f>HEX2DEC(RIGHT(Table13232127[[#This Row],[h2]],8))</f>
        <v>0</v>
      </c>
    </row>
    <row r="2000" spans="1:18">
      <c r="A2000" s="15" t="str">
        <f t="shared" si="36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1" t="s">
        <v>75</v>
      </c>
      <c r="P2000" s="41">
        <f>HEX2DEC(RIGHT(Table13232127[[#This Row],[h1]],8))</f>
        <v>0</v>
      </c>
      <c r="Q2000" s="41" t="s">
        <v>75</v>
      </c>
      <c r="R2000" s="41">
        <f>HEX2DEC(RIGHT(Table13232127[[#This Row],[h2]],8))</f>
        <v>0</v>
      </c>
    </row>
    <row r="2001" spans="1:18">
      <c r="A2001" s="15" t="str">
        <f t="shared" si="36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1" t="s">
        <v>75</v>
      </c>
      <c r="P2001" s="41">
        <f>HEX2DEC(RIGHT(Table13232127[[#This Row],[h1]],8))</f>
        <v>0</v>
      </c>
      <c r="Q2001" s="41" t="s">
        <v>75</v>
      </c>
      <c r="R2001" s="41">
        <f>HEX2DEC(RIGHT(Table13232127[[#This Row],[h2]],8))</f>
        <v>0</v>
      </c>
    </row>
    <row r="2002" spans="1:18">
      <c r="A2002" s="15" t="str">
        <f t="shared" si="36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1" t="s">
        <v>75</v>
      </c>
      <c r="P2002" s="41">
        <f>HEX2DEC(RIGHT(Table13232127[[#This Row],[h1]],8))</f>
        <v>0</v>
      </c>
      <c r="Q2002" s="41" t="s">
        <v>75</v>
      </c>
      <c r="R2002" s="41">
        <f>HEX2DEC(RIGHT(Table13232127[[#This Row],[h2]],8))</f>
        <v>0</v>
      </c>
    </row>
    <row r="2003" spans="1:18">
      <c r="A2003" s="15" t="str">
        <f t="shared" si="36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1" t="s">
        <v>75</v>
      </c>
      <c r="P2003" s="41">
        <f>HEX2DEC(RIGHT(Table13232127[[#This Row],[h1]],8))</f>
        <v>0</v>
      </c>
      <c r="Q2003" s="41" t="s">
        <v>75</v>
      </c>
      <c r="R2003" s="41">
        <f>HEX2DEC(RIGHT(Table13232127[[#This Row],[h2]],8))</f>
        <v>0</v>
      </c>
    </row>
    <row r="2004" spans="1:18">
      <c r="A2004" s="15" t="str">
        <f t="shared" si="36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1" t="s">
        <v>75</v>
      </c>
      <c r="P2004" s="41">
        <f>HEX2DEC(RIGHT(Table13232127[[#This Row],[h1]],8))</f>
        <v>0</v>
      </c>
      <c r="Q2004" s="41" t="s">
        <v>75</v>
      </c>
      <c r="R2004" s="41">
        <f>HEX2DEC(RIGHT(Table13232127[[#This Row],[h2]],8))</f>
        <v>0</v>
      </c>
    </row>
    <row r="2005" spans="1:18">
      <c r="A2005" s="15" t="str">
        <f t="shared" si="36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1" t="s">
        <v>75</v>
      </c>
      <c r="P2005" s="41">
        <f>HEX2DEC(RIGHT(Table13232127[[#This Row],[h1]],8))</f>
        <v>0</v>
      </c>
      <c r="Q2005" s="41" t="s">
        <v>75</v>
      </c>
      <c r="R2005" s="41">
        <f>HEX2DEC(RIGHT(Table13232127[[#This Row],[h2]],8))</f>
        <v>0</v>
      </c>
    </row>
    <row r="2006" spans="1:18">
      <c r="A2006" s="15" t="str">
        <f t="shared" si="36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1" t="s">
        <v>75</v>
      </c>
      <c r="P2006" s="41">
        <f>HEX2DEC(RIGHT(Table13232127[[#This Row],[h1]],8))</f>
        <v>0</v>
      </c>
      <c r="Q2006" s="41" t="s">
        <v>75</v>
      </c>
      <c r="R2006" s="41">
        <f>HEX2DEC(RIGHT(Table13232127[[#This Row],[h2]],8))</f>
        <v>0</v>
      </c>
    </row>
    <row r="2007" spans="1:18">
      <c r="A2007" s="15" t="str">
        <f t="shared" si="36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1" t="s">
        <v>75</v>
      </c>
      <c r="P2007" s="41">
        <f>HEX2DEC(RIGHT(Table13232127[[#This Row],[h1]],8))</f>
        <v>0</v>
      </c>
      <c r="Q2007" s="41" t="s">
        <v>75</v>
      </c>
      <c r="R2007" s="41">
        <f>HEX2DEC(RIGHT(Table13232127[[#This Row],[h2]],8))</f>
        <v>0</v>
      </c>
    </row>
    <row r="2008" spans="1:18">
      <c r="A2008" s="15" t="str">
        <f t="shared" si="36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1" t="s">
        <v>75</v>
      </c>
      <c r="P2008" s="41">
        <f>HEX2DEC(RIGHT(Table13232127[[#This Row],[h1]],8))</f>
        <v>0</v>
      </c>
      <c r="Q2008" s="41" t="s">
        <v>75</v>
      </c>
      <c r="R2008" s="41">
        <f>HEX2DEC(RIGHT(Table13232127[[#This Row],[h2]],8))</f>
        <v>0</v>
      </c>
    </row>
    <row r="2009" spans="1:18">
      <c r="A2009" s="15" t="str">
        <f t="shared" si="36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1" t="s">
        <v>75</v>
      </c>
      <c r="P2009" s="41">
        <f>HEX2DEC(RIGHT(Table13232127[[#This Row],[h1]],8))</f>
        <v>0</v>
      </c>
      <c r="Q2009" s="41" t="s">
        <v>75</v>
      </c>
      <c r="R2009" s="41">
        <f>HEX2DEC(RIGHT(Table13232127[[#This Row],[h2]],8))</f>
        <v>0</v>
      </c>
    </row>
    <row r="2010" spans="1:18">
      <c r="A2010" s="15" t="str">
        <f t="shared" si="36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1" t="s">
        <v>75</v>
      </c>
      <c r="P2010" s="41">
        <f>HEX2DEC(RIGHT(Table13232127[[#This Row],[h1]],8))</f>
        <v>0</v>
      </c>
      <c r="Q2010" s="41" t="s">
        <v>75</v>
      </c>
      <c r="R2010" s="41">
        <f>HEX2DEC(RIGHT(Table13232127[[#This Row],[h2]],8))</f>
        <v>0</v>
      </c>
    </row>
    <row r="2011" spans="1:18">
      <c r="A2011" s="15" t="str">
        <f t="shared" si="36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1" t="s">
        <v>75</v>
      </c>
      <c r="P2011" s="41">
        <f>HEX2DEC(RIGHT(Table13232127[[#This Row],[h1]],8))</f>
        <v>0</v>
      </c>
      <c r="Q2011" s="41" t="s">
        <v>75</v>
      </c>
      <c r="R2011" s="41">
        <f>HEX2DEC(RIGHT(Table13232127[[#This Row],[h2]],8))</f>
        <v>0</v>
      </c>
    </row>
    <row r="2012" spans="1:18">
      <c r="A2012" s="15" t="str">
        <f t="shared" si="36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1" t="s">
        <v>75</v>
      </c>
      <c r="P2012" s="41">
        <f>HEX2DEC(RIGHT(Table13232127[[#This Row],[h1]],8))</f>
        <v>0</v>
      </c>
      <c r="Q2012" s="41" t="s">
        <v>75</v>
      </c>
      <c r="R2012" s="41">
        <f>HEX2DEC(RIGHT(Table13232127[[#This Row],[h2]],8))</f>
        <v>0</v>
      </c>
    </row>
    <row r="2013" spans="1:18">
      <c r="A2013" s="15" t="str">
        <f t="shared" si="36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1" t="s">
        <v>75</v>
      </c>
      <c r="P2013" s="41">
        <f>HEX2DEC(RIGHT(Table13232127[[#This Row],[h1]],8))</f>
        <v>0</v>
      </c>
      <c r="Q2013" s="41" t="s">
        <v>75</v>
      </c>
      <c r="R2013" s="41">
        <f>HEX2DEC(RIGHT(Table13232127[[#This Row],[h2]],8))</f>
        <v>0</v>
      </c>
    </row>
    <row r="2014" spans="1:18">
      <c r="A2014" s="15" t="str">
        <f t="shared" si="36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1" t="s">
        <v>75</v>
      </c>
      <c r="P2014" s="41">
        <f>HEX2DEC(RIGHT(Table13232127[[#This Row],[h1]],8))</f>
        <v>0</v>
      </c>
      <c r="Q2014" s="41" t="s">
        <v>75</v>
      </c>
      <c r="R2014" s="41">
        <f>HEX2DEC(RIGHT(Table13232127[[#This Row],[h2]],8))</f>
        <v>0</v>
      </c>
    </row>
    <row r="2015" spans="1:18">
      <c r="A2015" s="15" t="str">
        <f t="shared" si="36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1" t="s">
        <v>75</v>
      </c>
      <c r="P2015" s="41">
        <f>HEX2DEC(RIGHT(Table13232127[[#This Row],[h1]],8))</f>
        <v>0</v>
      </c>
      <c r="Q2015" s="41" t="s">
        <v>75</v>
      </c>
      <c r="R2015" s="41">
        <f>HEX2DEC(RIGHT(Table13232127[[#This Row],[h2]],8))</f>
        <v>0</v>
      </c>
    </row>
    <row r="2016" spans="1:18">
      <c r="A2016" s="15" t="str">
        <f t="shared" si="36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1" t="s">
        <v>75</v>
      </c>
      <c r="P2016" s="41">
        <f>HEX2DEC(RIGHT(Table13232127[[#This Row],[h1]],8))</f>
        <v>0</v>
      </c>
      <c r="Q2016" s="41" t="s">
        <v>75</v>
      </c>
      <c r="R2016" s="41">
        <f>HEX2DEC(RIGHT(Table13232127[[#This Row],[h2]],8))</f>
        <v>0</v>
      </c>
    </row>
    <row r="2017" spans="1:18">
      <c r="A2017" s="15" t="str">
        <f t="shared" si="36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1" t="s">
        <v>75</v>
      </c>
      <c r="P2017" s="41">
        <f>HEX2DEC(RIGHT(Table13232127[[#This Row],[h1]],8))</f>
        <v>0</v>
      </c>
      <c r="Q2017" s="41" t="s">
        <v>75</v>
      </c>
      <c r="R2017" s="41">
        <f>HEX2DEC(RIGHT(Table13232127[[#This Row],[h2]],8))</f>
        <v>0</v>
      </c>
    </row>
    <row r="2018" spans="1:18">
      <c r="A2018" s="15" t="str">
        <f t="shared" si="36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1" t="s">
        <v>75</v>
      </c>
      <c r="P2018" s="41">
        <f>HEX2DEC(RIGHT(Table13232127[[#This Row],[h1]],8))</f>
        <v>0</v>
      </c>
      <c r="Q2018" s="41" t="s">
        <v>75</v>
      </c>
      <c r="R2018" s="41">
        <f>HEX2DEC(RIGHT(Table13232127[[#This Row],[h2]],8))</f>
        <v>0</v>
      </c>
    </row>
    <row r="2019" spans="1:18">
      <c r="A2019" s="15" t="str">
        <f t="shared" si="36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1" t="s">
        <v>75</v>
      </c>
      <c r="P2019" s="41">
        <f>HEX2DEC(RIGHT(Table13232127[[#This Row],[h1]],8))</f>
        <v>0</v>
      </c>
      <c r="Q2019" s="41" t="s">
        <v>75</v>
      </c>
      <c r="R2019" s="41">
        <f>HEX2DEC(RIGHT(Table13232127[[#This Row],[h2]],8))</f>
        <v>0</v>
      </c>
    </row>
    <row r="2020" spans="1:18">
      <c r="A2020" s="15" t="str">
        <f t="shared" si="36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1" t="s">
        <v>75</v>
      </c>
      <c r="P2020" s="41">
        <f>HEX2DEC(RIGHT(Table13232127[[#This Row],[h1]],8))</f>
        <v>0</v>
      </c>
      <c r="Q2020" s="41" t="s">
        <v>75</v>
      </c>
      <c r="R2020" s="41">
        <f>HEX2DEC(RIGHT(Table13232127[[#This Row],[h2]],8))</f>
        <v>0</v>
      </c>
    </row>
    <row r="2021" spans="1:18">
      <c r="A2021" s="15" t="str">
        <f t="shared" si="36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1" t="s">
        <v>75</v>
      </c>
      <c r="P2021" s="41">
        <f>HEX2DEC(RIGHT(Table13232127[[#This Row],[h1]],8))</f>
        <v>0</v>
      </c>
      <c r="Q2021" s="41" t="s">
        <v>75</v>
      </c>
      <c r="R2021" s="41">
        <f>HEX2DEC(RIGHT(Table13232127[[#This Row],[h2]],8))</f>
        <v>0</v>
      </c>
    </row>
    <row r="2022" spans="1:18">
      <c r="A2022" s="15" t="str">
        <f t="shared" si="36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1" t="s">
        <v>75</v>
      </c>
      <c r="P2022" s="41">
        <f>HEX2DEC(RIGHT(Table13232127[[#This Row],[h1]],8))</f>
        <v>0</v>
      </c>
      <c r="Q2022" s="41" t="s">
        <v>75</v>
      </c>
      <c r="R2022" s="41">
        <f>HEX2DEC(RIGHT(Table13232127[[#This Row],[h2]],8))</f>
        <v>0</v>
      </c>
    </row>
    <row r="2023" spans="1:18">
      <c r="A2023" s="15" t="str">
        <f t="shared" si="36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1" t="s">
        <v>75</v>
      </c>
      <c r="P2023" s="41">
        <f>HEX2DEC(RIGHT(Table13232127[[#This Row],[h1]],8))</f>
        <v>0</v>
      </c>
      <c r="Q2023" s="41" t="s">
        <v>75</v>
      </c>
      <c r="R2023" s="41">
        <f>HEX2DEC(RIGHT(Table13232127[[#This Row],[h2]],8))</f>
        <v>0</v>
      </c>
    </row>
    <row r="2024" spans="1:18">
      <c r="A2024" s="15" t="str">
        <f t="shared" si="36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1" t="s">
        <v>75</v>
      </c>
      <c r="P2024" s="41">
        <f>HEX2DEC(RIGHT(Table13232127[[#This Row],[h1]],8))</f>
        <v>0</v>
      </c>
      <c r="Q2024" s="41" t="s">
        <v>75</v>
      </c>
      <c r="R2024" s="41">
        <f>HEX2DEC(RIGHT(Table13232127[[#This Row],[h2]],8))</f>
        <v>0</v>
      </c>
    </row>
    <row r="2025" spans="1:18">
      <c r="A2025" s="15" t="str">
        <f t="shared" si="36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1" t="s">
        <v>75</v>
      </c>
      <c r="P2025" s="41">
        <f>HEX2DEC(RIGHT(Table13232127[[#This Row],[h1]],8))</f>
        <v>0</v>
      </c>
      <c r="Q2025" s="41" t="s">
        <v>75</v>
      </c>
      <c r="R2025" s="41">
        <f>HEX2DEC(RIGHT(Table13232127[[#This Row],[h2]],8))</f>
        <v>0</v>
      </c>
    </row>
    <row r="2026" spans="1:18">
      <c r="A2026" s="15" t="str">
        <f t="shared" si="36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1" t="s">
        <v>75</v>
      </c>
      <c r="P2026" s="41">
        <f>HEX2DEC(RIGHT(Table13232127[[#This Row],[h1]],8))</f>
        <v>0</v>
      </c>
      <c r="Q2026" s="41" t="s">
        <v>75</v>
      </c>
      <c r="R2026" s="41">
        <f>HEX2DEC(RIGHT(Table13232127[[#This Row],[h2]],8))</f>
        <v>0</v>
      </c>
    </row>
    <row r="2027" spans="1:18">
      <c r="A2027" s="15" t="str">
        <f t="shared" si="36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1" t="s">
        <v>75</v>
      </c>
      <c r="P2027" s="41">
        <f>HEX2DEC(RIGHT(Table13232127[[#This Row],[h1]],8))</f>
        <v>0</v>
      </c>
      <c r="Q2027" s="41" t="s">
        <v>75</v>
      </c>
      <c r="R2027" s="41">
        <f>HEX2DEC(RIGHT(Table13232127[[#This Row],[h2]],8))</f>
        <v>0</v>
      </c>
    </row>
    <row r="2028" spans="1:18">
      <c r="A2028" s="15" t="str">
        <f t="shared" si="36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1" t="s">
        <v>75</v>
      </c>
      <c r="P2028" s="41">
        <f>HEX2DEC(RIGHT(Table13232127[[#This Row],[h1]],8))</f>
        <v>0</v>
      </c>
      <c r="Q2028" s="41" t="s">
        <v>75</v>
      </c>
      <c r="R2028" s="41">
        <f>HEX2DEC(RIGHT(Table13232127[[#This Row],[h2]],8))</f>
        <v>0</v>
      </c>
    </row>
    <row r="2029" spans="1:18">
      <c r="A2029" s="15" t="str">
        <f t="shared" si="36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1" t="s">
        <v>75</v>
      </c>
      <c r="P2029" s="41">
        <f>HEX2DEC(RIGHT(Table13232127[[#This Row],[h1]],8))</f>
        <v>0</v>
      </c>
      <c r="Q2029" s="41" t="s">
        <v>75</v>
      </c>
      <c r="R2029" s="41">
        <f>HEX2DEC(RIGHT(Table13232127[[#This Row],[h2]],8))</f>
        <v>0</v>
      </c>
    </row>
    <row r="2030" spans="1:18">
      <c r="A2030" s="15" t="str">
        <f t="shared" si="36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1" t="s">
        <v>75</v>
      </c>
      <c r="P2030" s="41">
        <f>HEX2DEC(RIGHT(Table13232127[[#This Row],[h1]],8))</f>
        <v>0</v>
      </c>
      <c r="Q2030" s="41" t="s">
        <v>75</v>
      </c>
      <c r="R2030" s="41">
        <f>HEX2DEC(RIGHT(Table13232127[[#This Row],[h2]],8))</f>
        <v>0</v>
      </c>
    </row>
    <row r="2031" spans="1:18">
      <c r="A2031" s="15" t="str">
        <f t="shared" si="36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1" t="s">
        <v>75</v>
      </c>
      <c r="P2031" s="41">
        <f>HEX2DEC(RIGHT(Table13232127[[#This Row],[h1]],8))</f>
        <v>0</v>
      </c>
      <c r="Q2031" s="41" t="s">
        <v>75</v>
      </c>
      <c r="R2031" s="41">
        <f>HEX2DEC(RIGHT(Table13232127[[#This Row],[h2]],8))</f>
        <v>0</v>
      </c>
    </row>
    <row r="2032" spans="1:18">
      <c r="A2032" s="15" t="str">
        <f t="shared" si="36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1" t="s">
        <v>75</v>
      </c>
      <c r="P2032" s="41">
        <f>HEX2DEC(RIGHT(Table13232127[[#This Row],[h1]],8))</f>
        <v>0</v>
      </c>
      <c r="Q2032" s="41" t="s">
        <v>75</v>
      </c>
      <c r="R2032" s="41">
        <f>HEX2DEC(RIGHT(Table13232127[[#This Row],[h2]],8))</f>
        <v>0</v>
      </c>
    </row>
    <row r="2033" spans="1:18">
      <c r="A2033" s="15" t="str">
        <f t="shared" si="36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1" t="s">
        <v>75</v>
      </c>
      <c r="P2033" s="41">
        <f>HEX2DEC(RIGHT(Table13232127[[#This Row],[h1]],8))</f>
        <v>0</v>
      </c>
      <c r="Q2033" s="41" t="s">
        <v>75</v>
      </c>
      <c r="R2033" s="41">
        <f>HEX2DEC(RIGHT(Table13232127[[#This Row],[h2]],8))</f>
        <v>0</v>
      </c>
    </row>
    <row r="2034" spans="1:18">
      <c r="A2034" s="15" t="str">
        <f t="shared" si="36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1" t="s">
        <v>75</v>
      </c>
      <c r="P2034" s="41">
        <f>HEX2DEC(RIGHT(Table13232127[[#This Row],[h1]],8))</f>
        <v>0</v>
      </c>
      <c r="Q2034" s="41" t="s">
        <v>75</v>
      </c>
      <c r="R2034" s="41">
        <f>HEX2DEC(RIGHT(Table13232127[[#This Row],[h2]],8))</f>
        <v>0</v>
      </c>
    </row>
    <row r="2035" spans="1:18">
      <c r="A2035" s="15" t="str">
        <f t="shared" si="36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1" t="s">
        <v>75</v>
      </c>
      <c r="P2035" s="41">
        <f>HEX2DEC(RIGHT(Table13232127[[#This Row],[h1]],8))</f>
        <v>0</v>
      </c>
      <c r="Q2035" s="41" t="s">
        <v>75</v>
      </c>
      <c r="R2035" s="41">
        <f>HEX2DEC(RIGHT(Table13232127[[#This Row],[h2]],8))</f>
        <v>0</v>
      </c>
    </row>
    <row r="2036" spans="1:18">
      <c r="A2036" s="15" t="str">
        <f t="shared" si="36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1" t="s">
        <v>75</v>
      </c>
      <c r="P2036" s="41">
        <f>HEX2DEC(RIGHT(Table13232127[[#This Row],[h1]],8))</f>
        <v>0</v>
      </c>
      <c r="Q2036" s="41" t="s">
        <v>75</v>
      </c>
      <c r="R2036" s="41">
        <f>HEX2DEC(RIGHT(Table13232127[[#This Row],[h2]],8))</f>
        <v>0</v>
      </c>
    </row>
    <row r="2037" spans="1:18">
      <c r="A2037" s="15" t="str">
        <f t="shared" si="36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1" t="s">
        <v>75</v>
      </c>
      <c r="P2037" s="41">
        <f>HEX2DEC(RIGHT(Table13232127[[#This Row],[h1]],8))</f>
        <v>0</v>
      </c>
      <c r="Q2037" s="41" t="s">
        <v>75</v>
      </c>
      <c r="R2037" s="41">
        <f>HEX2DEC(RIGHT(Table13232127[[#This Row],[h2]],8))</f>
        <v>0</v>
      </c>
    </row>
    <row r="2038" spans="1:18">
      <c r="A2038" s="15" t="str">
        <f t="shared" si="36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1" t="s">
        <v>75</v>
      </c>
      <c r="P2038" s="41">
        <f>HEX2DEC(RIGHT(Table13232127[[#This Row],[h1]],8))</f>
        <v>0</v>
      </c>
      <c r="Q2038" s="41" t="s">
        <v>75</v>
      </c>
      <c r="R2038" s="41">
        <f>HEX2DEC(RIGHT(Table13232127[[#This Row],[h2]],8))</f>
        <v>0</v>
      </c>
    </row>
    <row r="2039" spans="1:18">
      <c r="A2039" s="15" t="str">
        <f t="shared" si="36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1" t="s">
        <v>75</v>
      </c>
      <c r="P2039" s="41">
        <f>HEX2DEC(RIGHT(Table13232127[[#This Row],[h1]],8))</f>
        <v>0</v>
      </c>
      <c r="Q2039" s="41" t="s">
        <v>75</v>
      </c>
      <c r="R2039" s="41">
        <f>HEX2DEC(RIGHT(Table13232127[[#This Row],[h2]],8))</f>
        <v>0</v>
      </c>
    </row>
    <row r="2040" spans="1:18">
      <c r="A2040" s="15" t="str">
        <f t="shared" si="36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1" t="s">
        <v>75</v>
      </c>
      <c r="P2040" s="41">
        <f>HEX2DEC(RIGHT(Table13232127[[#This Row],[h1]],8))</f>
        <v>0</v>
      </c>
      <c r="Q2040" s="41" t="s">
        <v>75</v>
      </c>
      <c r="R2040" s="41">
        <f>HEX2DEC(RIGHT(Table13232127[[#This Row],[h2]],8))</f>
        <v>0</v>
      </c>
    </row>
    <row r="2041" spans="1:18">
      <c r="A2041" s="15" t="str">
        <f t="shared" si="36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1" t="s">
        <v>75</v>
      </c>
      <c r="P2041" s="41">
        <f>HEX2DEC(RIGHT(Table13232127[[#This Row],[h1]],8))</f>
        <v>0</v>
      </c>
      <c r="Q2041" s="41" t="s">
        <v>75</v>
      </c>
      <c r="R2041" s="41">
        <f>HEX2DEC(RIGHT(Table13232127[[#This Row],[h2]],8))</f>
        <v>0</v>
      </c>
    </row>
    <row r="2042" spans="1:18">
      <c r="A2042" s="15" t="str">
        <f t="shared" si="36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1" t="s">
        <v>26</v>
      </c>
      <c r="Q2042" s="41" t="s">
        <v>26</v>
      </c>
    </row>
    <row r="2043" spans="1:18">
      <c r="A2043" s="15" t="str">
        <f t="shared" si="36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6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6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6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6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6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6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6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6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6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6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6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6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6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6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41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67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G221:G222 T2061:U2064</xm:sqref>
        </x14:dataValidation>
        <x14:dataValidation type="list" allowBlank="1" showInputMessage="1" showErrorMessage="1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>
          <x14:formula1>
            <xm:f>org!$B$48:$B$56</xm:f>
          </x14:formula1>
          <xm:sqref>G114:G145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2115"/>
  <sheetViews>
    <sheetView zoomScaleNormal="100" workbookViewId="0">
      <pane xSplit="3" ySplit="6" topLeftCell="D70" activePane="bottomRight" state="frozen"/>
      <selection pane="topRight" activeCell="C1" sqref="C1"/>
      <selection pane="bottomLeft" activeCell="A7" sqref="A7"/>
      <selection pane="bottomRight" activeCell="G88" sqref="G88"/>
    </sheetView>
  </sheetViews>
  <sheetFormatPr defaultColWidth="11.5" defaultRowHeight="12"/>
  <cols>
    <col min="1" max="1" width="8.5" style="15" bestFit="1" customWidth="1"/>
    <col min="2" max="2" width="16.09765625" style="15" bestFit="1" customWidth="1"/>
    <col min="3" max="3" width="5" style="48" bestFit="1" customWidth="1"/>
    <col min="4" max="4" width="25.69921875" style="15" bestFit="1" customWidth="1"/>
    <col min="5" max="5" width="11.19921875" style="15" bestFit="1" customWidth="1"/>
    <col min="6" max="6" width="11.59765625" style="15" bestFit="1" customWidth="1"/>
    <col min="7" max="7" width="24.8984375" style="15" bestFit="1" customWidth="1"/>
    <col min="8" max="8" width="1.5" style="15" bestFit="1" customWidth="1"/>
    <col min="9" max="9" width="13.09765625" style="23" bestFit="1" customWidth="1"/>
    <col min="10" max="10" width="16.09765625" style="23" bestFit="1" customWidth="1"/>
    <col min="11" max="11" width="1.69921875" style="15" bestFit="1" customWidth="1"/>
    <col min="12" max="12" width="13.09765625" style="23" bestFit="1" customWidth="1"/>
    <col min="13" max="13" width="16.09765625" style="23" bestFit="1" customWidth="1"/>
    <col min="14" max="14" width="3.19921875" style="48" hidden="1" customWidth="1"/>
    <col min="15" max="16" width="12.19921875" style="48" hidden="1" customWidth="1"/>
    <col min="17" max="18" width="14.09765625" style="48" hidden="1" customWidth="1"/>
    <col min="19" max="19" width="1.69921875" style="48" hidden="1" customWidth="1"/>
    <col min="20" max="20" width="11.59765625" style="15" hidden="1" customWidth="1"/>
    <col min="21" max="21" width="10.69921875" style="15" hidden="1" customWidth="1"/>
    <col min="22" max="22" width="9" style="15" hidden="1" customWidth="1"/>
    <col min="23" max="23" width="13.3984375" style="15" hidden="1" customWidth="1"/>
    <col min="24" max="24" width="13.69921875" style="15" customWidth="1"/>
    <col min="25" max="16384" width="11.5" style="15"/>
  </cols>
  <sheetData>
    <row r="1" spans="1:23" s="48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8" customFormat="1">
      <c r="A2" s="9" t="s">
        <v>30</v>
      </c>
      <c r="B2" s="10" t="s">
        <v>33</v>
      </c>
      <c r="D2" s="60" t="s">
        <v>28</v>
      </c>
      <c r="E2" s="60"/>
      <c r="F2" s="60"/>
      <c r="G2" s="60"/>
      <c r="I2" s="60" t="s">
        <v>68</v>
      </c>
      <c r="J2" s="60"/>
      <c r="K2" s="11"/>
      <c r="L2" s="60" t="s">
        <v>69</v>
      </c>
      <c r="M2" s="60"/>
      <c r="O2" s="60" t="s">
        <v>135</v>
      </c>
      <c r="P2" s="60"/>
      <c r="Q2" s="60"/>
      <c r="R2" s="60"/>
      <c r="T2" s="60" t="s">
        <v>29</v>
      </c>
      <c r="U2" s="60"/>
      <c r="V2" s="60"/>
      <c r="W2" s="60"/>
    </row>
    <row r="3" spans="1:23" s="48" customFormat="1">
      <c r="A3" s="12" t="s">
        <v>31</v>
      </c>
      <c r="C3" s="48" t="s">
        <v>22</v>
      </c>
      <c r="D3" s="48" t="s">
        <v>9</v>
      </c>
      <c r="E3" s="48" t="s">
        <v>10</v>
      </c>
      <c r="F3" s="48" t="s">
        <v>11</v>
      </c>
      <c r="G3" s="48" t="s">
        <v>83</v>
      </c>
      <c r="I3" s="48" t="s">
        <v>6</v>
      </c>
      <c r="J3" s="48" t="s">
        <v>7</v>
      </c>
      <c r="L3" s="48" t="s">
        <v>6</v>
      </c>
      <c r="M3" s="48" t="s">
        <v>7</v>
      </c>
      <c r="O3" s="48" t="s">
        <v>76</v>
      </c>
      <c r="P3" s="32" t="s">
        <v>77</v>
      </c>
      <c r="Q3" s="48" t="s">
        <v>78</v>
      </c>
      <c r="R3" s="48" t="s">
        <v>79</v>
      </c>
      <c r="T3" s="48" t="s">
        <v>5</v>
      </c>
      <c r="U3" s="48" t="s">
        <v>6</v>
      </c>
      <c r="V3" s="48" t="s">
        <v>8</v>
      </c>
      <c r="W3" s="48" t="s">
        <v>7</v>
      </c>
    </row>
    <row r="4" spans="1:23" s="48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8" customFormat="1">
      <c r="A5" s="12" t="s">
        <v>330</v>
      </c>
      <c r="B5" s="48" t="str">
        <f>A3&amp;"."&amp;A4&amp;"."&amp;A5&amp;A6&amp;"."</f>
        <v>SCL3.TS.EVG001.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8" customFormat="1">
      <c r="A6" s="12" t="s">
        <v>40</v>
      </c>
      <c r="B6" s="48" t="str">
        <f>A3&amp;":"&amp;A4&amp;":"&amp;A5&amp;A6&amp;":"</f>
        <v>SCL3:TS:EVG001: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48"/>
      <c r="I7" s="27" t="s">
        <v>250</v>
      </c>
      <c r="J7" s="28" t="s">
        <v>251</v>
      </c>
      <c r="K7" s="29"/>
      <c r="L7" s="27" t="s">
        <v>252</v>
      </c>
      <c r="M7" s="28" t="s">
        <v>253</v>
      </c>
      <c r="O7" s="18" t="s">
        <v>136</v>
      </c>
      <c r="P7" s="18"/>
      <c r="Q7" s="18" t="s">
        <v>137</v>
      </c>
    </row>
    <row r="8" spans="1:23">
      <c r="C8" s="38"/>
      <c r="G8" s="19"/>
      <c r="H8" s="48"/>
      <c r="I8" s="58">
        <v>32768</v>
      </c>
      <c r="J8" s="59">
        <v>10</v>
      </c>
      <c r="K8" s="14"/>
      <c r="L8" s="58">
        <v>32768</v>
      </c>
      <c r="M8" s="59">
        <v>10</v>
      </c>
      <c r="O8" s="18"/>
      <c r="P8" s="18"/>
      <c r="Q8" s="18"/>
      <c r="R8" s="18"/>
    </row>
    <row r="9" spans="1:23">
      <c r="C9" s="38"/>
      <c r="G9" s="19"/>
      <c r="H9" s="48"/>
      <c r="I9" s="58">
        <v>0</v>
      </c>
      <c r="J9" s="59">
        <v>10</v>
      </c>
      <c r="K9" s="14"/>
      <c r="L9" s="58">
        <v>0</v>
      </c>
      <c r="M9" s="59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8"/>
      <c r="I10" s="58">
        <v>0</v>
      </c>
      <c r="J10" s="58">
        <v>10</v>
      </c>
      <c r="K10" s="14"/>
      <c r="L10" s="58">
        <v>0</v>
      </c>
      <c r="M10" s="58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138</v>
      </c>
      <c r="G11" s="31">
        <v>500</v>
      </c>
      <c r="H11" s="48"/>
      <c r="I11" s="27">
        <v>5</v>
      </c>
      <c r="J11" s="27">
        <v>50000</v>
      </c>
      <c r="K11" s="48"/>
      <c r="L11" s="27">
        <v>31</v>
      </c>
      <c r="M11" s="27">
        <v>249999</v>
      </c>
      <c r="N11" s="48">
        <v>1</v>
      </c>
      <c r="O11" s="48" t="s">
        <v>332</v>
      </c>
      <c r="P11" s="48">
        <f>HEX2DEC(RIGHT(Table1323212753[[#This Row],[h1]],8))</f>
        <v>65536</v>
      </c>
      <c r="Q11" s="48" t="s">
        <v>75</v>
      </c>
      <c r="R11" s="48">
        <f>HEX2DEC(RIGHT(Table1323212753[[#This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48"/>
      <c r="I12" s="27">
        <v>1</v>
      </c>
      <c r="J12" s="27">
        <v>50000</v>
      </c>
      <c r="K12" s="48"/>
      <c r="L12" s="27">
        <v>32</v>
      </c>
      <c r="M12" s="27">
        <v>249999</v>
      </c>
      <c r="N12" s="48">
        <v>2</v>
      </c>
      <c r="O12" s="48" t="s">
        <v>333</v>
      </c>
      <c r="P12" s="48">
        <f>HEX2DEC(RIGHT(Table1323212753[[#This Row],[h1]],8))</f>
        <v>196608</v>
      </c>
      <c r="Q12" s="48" t="s">
        <v>75</v>
      </c>
      <c r="R12" s="48">
        <f>HEX2DEC(RIGHT(Table1323212753[[#This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48"/>
      <c r="I13" s="27">
        <v>2</v>
      </c>
      <c r="J13" s="27">
        <v>50000</v>
      </c>
      <c r="K13" s="48"/>
      <c r="L13" s="27">
        <v>33</v>
      </c>
      <c r="M13" s="27">
        <v>249999</v>
      </c>
      <c r="N13" s="48">
        <v>3</v>
      </c>
      <c r="O13" s="48" t="s">
        <v>334</v>
      </c>
      <c r="P13" s="48">
        <f>HEX2DEC(RIGHT(Table1323212753[[#This Row],[h1]],8))</f>
        <v>458752</v>
      </c>
      <c r="Q13" s="48" t="s">
        <v>75</v>
      </c>
      <c r="R13" s="48">
        <f>HEX2DEC(RIGHT(Table1323212753[[#This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9"/>
      <c r="H14" s="48"/>
      <c r="I14" s="27">
        <v>1</v>
      </c>
      <c r="J14" s="27">
        <v>50000</v>
      </c>
      <c r="K14" s="48"/>
      <c r="L14" s="27">
        <v>34</v>
      </c>
      <c r="M14" s="27">
        <v>249999</v>
      </c>
      <c r="N14" s="48">
        <v>4</v>
      </c>
      <c r="O14" s="48" t="s">
        <v>335</v>
      </c>
      <c r="P14" s="48">
        <f>HEX2DEC(RIGHT(Table1323212753[[#This Row],[h1]],8))</f>
        <v>983040</v>
      </c>
      <c r="Q14" s="48" t="s">
        <v>75</v>
      </c>
      <c r="R14" s="48">
        <f>HEX2DEC(RIGHT(Table1323212753[[#This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147</v>
      </c>
      <c r="G15" s="49">
        <v>0</v>
      </c>
      <c r="H15" s="48"/>
      <c r="I15" s="27">
        <v>3</v>
      </c>
      <c r="J15" s="27">
        <v>50000</v>
      </c>
      <c r="K15" s="48"/>
      <c r="L15" s="57" t="s">
        <v>67</v>
      </c>
      <c r="M15" s="57">
        <v>249999</v>
      </c>
      <c r="N15" s="48">
        <v>5</v>
      </c>
      <c r="O15" s="48" t="s">
        <v>407</v>
      </c>
      <c r="P15" s="48">
        <f>HEX2DEC(RIGHT(Table1323212753[[#This Row],[h1]],8))</f>
        <v>2031616</v>
      </c>
      <c r="Q15" s="48" t="s">
        <v>75</v>
      </c>
      <c r="R15" s="48">
        <f>HEX2DEC(RIGHT(Table1323212753[[#This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148</v>
      </c>
      <c r="G16" s="49">
        <v>0</v>
      </c>
      <c r="H16" s="48"/>
      <c r="I16" s="27">
        <v>1</v>
      </c>
      <c r="J16" s="27">
        <v>50000</v>
      </c>
      <c r="K16" s="48"/>
      <c r="L16" s="27"/>
      <c r="M16" s="27">
        <v>50000</v>
      </c>
      <c r="N16" s="48">
        <v>6</v>
      </c>
      <c r="O16" s="48" t="s">
        <v>75</v>
      </c>
      <c r="P16" s="48">
        <f>HEX2DEC(RIGHT(Table1323212753[[#This Row],[h1]],8))</f>
        <v>0</v>
      </c>
      <c r="Q16" s="48" t="s">
        <v>75</v>
      </c>
      <c r="R16" s="48">
        <f>HEX2DEC(RIGHT(Table1323212753[[#This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149</v>
      </c>
      <c r="G17" s="49">
        <v>0</v>
      </c>
      <c r="H17" s="48"/>
      <c r="I17" s="27">
        <v>2</v>
      </c>
      <c r="J17" s="27">
        <v>50000</v>
      </c>
      <c r="K17" s="48"/>
      <c r="L17" s="27"/>
      <c r="M17" s="27">
        <v>50000</v>
      </c>
      <c r="N17" s="48">
        <v>7</v>
      </c>
      <c r="O17" s="48" t="s">
        <v>75</v>
      </c>
      <c r="P17" s="48">
        <f>HEX2DEC(RIGHT(Table1323212753[[#This Row],[h1]],8))</f>
        <v>0</v>
      </c>
      <c r="Q17" s="48" t="s">
        <v>75</v>
      </c>
      <c r="R17" s="48">
        <f>HEX2DEC(RIGHT(Table1323212753[[#This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150</v>
      </c>
      <c r="G18" s="49">
        <v>0</v>
      </c>
      <c r="H18" s="48"/>
      <c r="I18" s="27">
        <v>1</v>
      </c>
      <c r="J18" s="27">
        <v>50000</v>
      </c>
      <c r="K18" s="48"/>
      <c r="L18" s="27"/>
      <c r="M18" s="27">
        <v>50000</v>
      </c>
      <c r="N18" s="48">
        <v>8</v>
      </c>
      <c r="O18" s="48" t="s">
        <v>75</v>
      </c>
      <c r="P18" s="48">
        <f>HEX2DEC(RIGHT(Table1323212753[[#This Row],[h1]],8))</f>
        <v>0</v>
      </c>
      <c r="Q18" s="48" t="s">
        <v>75</v>
      </c>
      <c r="R18" s="48">
        <f>HEX2DEC(RIGHT(Table1323212753[[#This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151</v>
      </c>
      <c r="G19" s="49">
        <v>0</v>
      </c>
      <c r="H19" s="48"/>
      <c r="I19" s="27">
        <v>3</v>
      </c>
      <c r="J19" s="27">
        <v>50000</v>
      </c>
      <c r="K19" s="48"/>
      <c r="L19" s="27"/>
      <c r="M19" s="27">
        <v>50000</v>
      </c>
      <c r="N19" s="48">
        <v>9</v>
      </c>
      <c r="O19" s="48" t="s">
        <v>75</v>
      </c>
      <c r="P19" s="48">
        <f>HEX2DEC(RIGHT(Table1323212753[[#This Row],[h1]],8))</f>
        <v>0</v>
      </c>
      <c r="Q19" s="48" t="s">
        <v>75</v>
      </c>
      <c r="R19" s="48">
        <f>HEX2DEC(RIGHT(Table1323212753[[#This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152</v>
      </c>
      <c r="G20" s="49">
        <v>0</v>
      </c>
      <c r="H20" s="48"/>
      <c r="I20" s="27">
        <v>1</v>
      </c>
      <c r="J20" s="27">
        <v>50000</v>
      </c>
      <c r="K20" s="48"/>
      <c r="L20" s="27"/>
      <c r="M20" s="27">
        <v>50000</v>
      </c>
      <c r="N20" s="48">
        <v>10</v>
      </c>
      <c r="O20" s="48" t="s">
        <v>75</v>
      </c>
      <c r="P20" s="48">
        <f>HEX2DEC(RIGHT(Table1323212753[[#This Row],[h1]],8))</f>
        <v>0</v>
      </c>
      <c r="Q20" s="48" t="s">
        <v>75</v>
      </c>
      <c r="R20" s="48">
        <f>HEX2DEC(RIGHT(Table1323212753[[#This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153</v>
      </c>
      <c r="G21" s="49">
        <v>0</v>
      </c>
      <c r="H21" s="48"/>
      <c r="I21" s="27">
        <v>2</v>
      </c>
      <c r="J21" s="27">
        <v>50000</v>
      </c>
      <c r="K21" s="48"/>
      <c r="L21" s="27"/>
      <c r="M21" s="27">
        <v>50000</v>
      </c>
      <c r="N21" s="48">
        <v>11</v>
      </c>
      <c r="O21" s="48" t="s">
        <v>75</v>
      </c>
      <c r="P21" s="48">
        <f>HEX2DEC(RIGHT(Table1323212753[[#This Row],[h1]],8))</f>
        <v>0</v>
      </c>
      <c r="Q21" s="48" t="s">
        <v>75</v>
      </c>
      <c r="R21" s="48">
        <f>HEX2DEC(RIGHT(Table1323212753[[#This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154</v>
      </c>
      <c r="G22" s="49">
        <v>0</v>
      </c>
      <c r="H22" s="48"/>
      <c r="I22" s="27">
        <v>1</v>
      </c>
      <c r="J22" s="27">
        <v>50000</v>
      </c>
      <c r="K22" s="48"/>
      <c r="L22" s="27"/>
      <c r="M22" s="27">
        <v>50000</v>
      </c>
      <c r="N22" s="48">
        <v>12</v>
      </c>
      <c r="O22" s="48" t="s">
        <v>75</v>
      </c>
      <c r="P22" s="48">
        <f>HEX2DEC(RIGHT(Table1323212753[[#This Row],[h1]],8))</f>
        <v>0</v>
      </c>
      <c r="Q22" s="48" t="s">
        <v>75</v>
      </c>
      <c r="R22" s="48">
        <f>HEX2DEC(RIGHT(Table1323212753[[#This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155</v>
      </c>
      <c r="G23" s="49">
        <v>0</v>
      </c>
      <c r="H23" s="48"/>
      <c r="I23" s="27">
        <v>4</v>
      </c>
      <c r="J23" s="27">
        <v>50000</v>
      </c>
      <c r="K23" s="48"/>
      <c r="L23" s="27"/>
      <c r="M23" s="27">
        <v>50000</v>
      </c>
      <c r="N23" s="48">
        <v>13</v>
      </c>
      <c r="O23" s="48" t="s">
        <v>75</v>
      </c>
      <c r="P23" s="48">
        <f>HEX2DEC(RIGHT(Table1323212753[[#This Row],[h1]],8))</f>
        <v>0</v>
      </c>
      <c r="Q23" s="48" t="s">
        <v>75</v>
      </c>
      <c r="R23" s="48">
        <f>HEX2DEC(RIGHT(Table1323212753[[#This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156</v>
      </c>
      <c r="G24" s="49">
        <v>0</v>
      </c>
      <c r="H24" s="48"/>
      <c r="I24" s="27">
        <v>1</v>
      </c>
      <c r="J24" s="27">
        <v>50000</v>
      </c>
      <c r="K24" s="48"/>
      <c r="L24" s="27"/>
      <c r="M24" s="27">
        <v>50000</v>
      </c>
      <c r="N24" s="48">
        <v>14</v>
      </c>
      <c r="O24" s="48" t="s">
        <v>75</v>
      </c>
      <c r="P24" s="48">
        <f>HEX2DEC(RIGHT(Table1323212753[[#This Row],[h1]],8))</f>
        <v>0</v>
      </c>
      <c r="Q24" s="48" t="s">
        <v>75</v>
      </c>
      <c r="R24" s="48">
        <f>HEX2DEC(RIGHT(Table1323212753[[#This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157</v>
      </c>
      <c r="G25" s="49">
        <v>0</v>
      </c>
      <c r="H25" s="48"/>
      <c r="I25" s="27">
        <v>2</v>
      </c>
      <c r="J25" s="27">
        <v>50000</v>
      </c>
      <c r="K25" s="48"/>
      <c r="L25" s="27"/>
      <c r="M25" s="27">
        <v>50000</v>
      </c>
      <c r="N25" s="48">
        <v>15</v>
      </c>
      <c r="O25" s="48" t="s">
        <v>75</v>
      </c>
      <c r="P25" s="48">
        <f>HEX2DEC(RIGHT(Table1323212753[[#This Row],[h1]],8))</f>
        <v>0</v>
      </c>
      <c r="Q25" s="48" t="s">
        <v>75</v>
      </c>
      <c r="R25" s="48">
        <f>HEX2DEC(RIGHT(Table1323212753[[#This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158</v>
      </c>
      <c r="G26" s="49">
        <v>0</v>
      </c>
      <c r="H26" s="48"/>
      <c r="I26" s="27">
        <v>1</v>
      </c>
      <c r="J26" s="27">
        <v>50000</v>
      </c>
      <c r="K26" s="48"/>
      <c r="L26" s="27"/>
      <c r="M26" s="27">
        <v>50000</v>
      </c>
      <c r="N26" s="48">
        <v>16</v>
      </c>
      <c r="O26" s="48" t="s">
        <v>75</v>
      </c>
      <c r="P26" s="48">
        <f>HEX2DEC(RIGHT(Table1323212753[[#This Row],[h1]],8))</f>
        <v>0</v>
      </c>
      <c r="Q26" s="48" t="s">
        <v>75</v>
      </c>
      <c r="R26" s="48">
        <f>HEX2DEC(RIGHT(Table1323212753[[#This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159</v>
      </c>
      <c r="G27" s="49">
        <v>0</v>
      </c>
      <c r="H27" s="48"/>
      <c r="I27" s="27">
        <v>3</v>
      </c>
      <c r="J27" s="27">
        <v>50000</v>
      </c>
      <c r="K27" s="48"/>
      <c r="L27" s="27"/>
      <c r="M27" s="27">
        <v>50000</v>
      </c>
      <c r="N27" s="48">
        <v>17</v>
      </c>
      <c r="O27" s="48" t="s">
        <v>75</v>
      </c>
      <c r="P27" s="48">
        <f>HEX2DEC(RIGHT(Table1323212753[[#This Row],[h1]],8))</f>
        <v>0</v>
      </c>
      <c r="Q27" s="48" t="s">
        <v>75</v>
      </c>
      <c r="R27" s="48">
        <f>HEX2DEC(RIGHT(Table1323212753[[#This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160</v>
      </c>
      <c r="G28" s="49">
        <v>0</v>
      </c>
      <c r="H28" s="48"/>
      <c r="I28" s="27">
        <v>1</v>
      </c>
      <c r="J28" s="27">
        <v>50000</v>
      </c>
      <c r="K28" s="48"/>
      <c r="L28" s="27"/>
      <c r="M28" s="27">
        <v>50000</v>
      </c>
      <c r="N28" s="48">
        <v>18</v>
      </c>
      <c r="O28" s="48" t="s">
        <v>75</v>
      </c>
      <c r="P28" s="48">
        <f>HEX2DEC(RIGHT(Table1323212753[[#This Row],[h1]],8))</f>
        <v>0</v>
      </c>
      <c r="Q28" s="48" t="s">
        <v>75</v>
      </c>
      <c r="R28" s="48">
        <f>HEX2DEC(RIGHT(Table1323212753[[#This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161</v>
      </c>
      <c r="G29" s="49">
        <v>0</v>
      </c>
      <c r="H29" s="48"/>
      <c r="I29" s="27">
        <v>2</v>
      </c>
      <c r="J29" s="27">
        <v>50000</v>
      </c>
      <c r="K29" s="48"/>
      <c r="L29" s="27"/>
      <c r="M29" s="27">
        <v>50000</v>
      </c>
      <c r="N29" s="48">
        <v>19</v>
      </c>
      <c r="O29" s="48" t="s">
        <v>75</v>
      </c>
      <c r="P29" s="48">
        <f>HEX2DEC(RIGHT(Table1323212753[[#This Row],[h1]],8))</f>
        <v>0</v>
      </c>
      <c r="Q29" s="48" t="s">
        <v>75</v>
      </c>
      <c r="R29" s="48">
        <f>HEX2DEC(RIGHT(Table1323212753[[#This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162</v>
      </c>
      <c r="G30" s="49">
        <v>0</v>
      </c>
      <c r="H30" s="48"/>
      <c r="I30" s="27">
        <v>1</v>
      </c>
      <c r="J30" s="27">
        <v>50000</v>
      </c>
      <c r="K30" s="48"/>
      <c r="L30" s="27"/>
      <c r="M30" s="27">
        <v>50000</v>
      </c>
      <c r="N30" s="48">
        <v>20</v>
      </c>
      <c r="O30" s="48" t="s">
        <v>75</v>
      </c>
      <c r="P30" s="48">
        <f>HEX2DEC(RIGHT(Table1323212753[[#This Row],[h1]],8))</f>
        <v>0</v>
      </c>
      <c r="Q30" s="48" t="s">
        <v>75</v>
      </c>
      <c r="R30" s="48">
        <f>HEX2DEC(RIGHT(Table1323212753[[#This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163</v>
      </c>
      <c r="G31" s="49">
        <v>0</v>
      </c>
      <c r="H31" s="48"/>
      <c r="I31" s="27">
        <v>3</v>
      </c>
      <c r="J31" s="27">
        <v>50000</v>
      </c>
      <c r="K31" s="48"/>
      <c r="L31" s="27"/>
      <c r="M31" s="27">
        <v>50000</v>
      </c>
      <c r="N31" s="48">
        <v>21</v>
      </c>
      <c r="O31" s="48" t="s">
        <v>75</v>
      </c>
      <c r="P31" s="48">
        <f>HEX2DEC(RIGHT(Table1323212753[[#This Row],[h1]],8))</f>
        <v>0</v>
      </c>
      <c r="Q31" s="48" t="s">
        <v>75</v>
      </c>
      <c r="R31" s="48">
        <f>HEX2DEC(RIGHT(Table1323212753[[#This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164</v>
      </c>
      <c r="G32" s="49">
        <v>0</v>
      </c>
      <c r="H32" s="48"/>
      <c r="I32" s="27">
        <v>1</v>
      </c>
      <c r="J32" s="27">
        <v>50000</v>
      </c>
      <c r="K32" s="48"/>
      <c r="L32" s="27"/>
      <c r="M32" s="27">
        <v>50000</v>
      </c>
      <c r="N32" s="48">
        <v>22</v>
      </c>
      <c r="O32" s="48" t="s">
        <v>75</v>
      </c>
      <c r="P32" s="48">
        <f>HEX2DEC(RIGHT(Table1323212753[[#This Row],[h1]],8))</f>
        <v>0</v>
      </c>
      <c r="Q32" s="48" t="s">
        <v>75</v>
      </c>
      <c r="R32" s="48">
        <f>HEX2DEC(RIGHT(Table1323212753[[#This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165</v>
      </c>
      <c r="G33" s="49">
        <v>0</v>
      </c>
      <c r="H33" s="48"/>
      <c r="I33" s="27">
        <v>2</v>
      </c>
      <c r="J33" s="27">
        <v>50000</v>
      </c>
      <c r="K33" s="48"/>
      <c r="L33" s="27"/>
      <c r="M33" s="27">
        <v>50000</v>
      </c>
      <c r="N33" s="48">
        <v>23</v>
      </c>
      <c r="O33" s="48" t="s">
        <v>75</v>
      </c>
      <c r="P33" s="48">
        <f>HEX2DEC(RIGHT(Table1323212753[[#This Row],[h1]],8))</f>
        <v>0</v>
      </c>
      <c r="Q33" s="48" t="s">
        <v>75</v>
      </c>
      <c r="R33" s="48">
        <f>HEX2DEC(RIGHT(Table1323212753[[#This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166</v>
      </c>
      <c r="G34" s="49">
        <v>0</v>
      </c>
      <c r="H34" s="48"/>
      <c r="I34" s="27">
        <v>1</v>
      </c>
      <c r="J34" s="27">
        <v>50000</v>
      </c>
      <c r="K34" s="48"/>
      <c r="L34" s="27"/>
      <c r="M34" s="27">
        <v>50000</v>
      </c>
      <c r="N34" s="48">
        <v>24</v>
      </c>
      <c r="O34" s="48" t="s">
        <v>75</v>
      </c>
      <c r="P34" s="48">
        <f>HEX2DEC(RIGHT(Table1323212753[[#This Row],[h1]],8))</f>
        <v>0</v>
      </c>
      <c r="Q34" s="48" t="s">
        <v>75</v>
      </c>
      <c r="R34" s="48">
        <f>HEX2DEC(RIGHT(Table1323212753[[#This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167</v>
      </c>
      <c r="G35" s="49">
        <v>0</v>
      </c>
      <c r="H35" s="48"/>
      <c r="I35" s="27">
        <v>4</v>
      </c>
      <c r="J35" s="27">
        <v>50000</v>
      </c>
      <c r="K35" s="48"/>
      <c r="L35" s="27"/>
      <c r="M35" s="27">
        <v>50000</v>
      </c>
      <c r="N35" s="48">
        <v>25</v>
      </c>
      <c r="O35" s="48" t="s">
        <v>75</v>
      </c>
      <c r="P35" s="48">
        <f>HEX2DEC(RIGHT(Table1323212753[[#This Row],[h1]],8))</f>
        <v>0</v>
      </c>
      <c r="Q35" s="48" t="s">
        <v>75</v>
      </c>
      <c r="R35" s="48">
        <f>HEX2DEC(RIGHT(Table1323212753[[#This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168</v>
      </c>
      <c r="G36" s="49">
        <v>0</v>
      </c>
      <c r="H36" s="48"/>
      <c r="I36" s="27">
        <v>1</v>
      </c>
      <c r="J36" s="27">
        <v>50000</v>
      </c>
      <c r="K36" s="48"/>
      <c r="L36" s="27"/>
      <c r="M36" s="27">
        <v>50000</v>
      </c>
      <c r="N36" s="48">
        <v>26</v>
      </c>
      <c r="O36" s="48" t="s">
        <v>75</v>
      </c>
      <c r="P36" s="48">
        <f>HEX2DEC(RIGHT(Table1323212753[[#This Row],[h1]],8))</f>
        <v>0</v>
      </c>
      <c r="Q36" s="48" t="s">
        <v>75</v>
      </c>
      <c r="R36" s="48">
        <f>HEX2DEC(RIGHT(Table1323212753[[#This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169</v>
      </c>
      <c r="G37" s="49">
        <v>0</v>
      </c>
      <c r="H37" s="48"/>
      <c r="I37" s="27">
        <v>2</v>
      </c>
      <c r="J37" s="27">
        <v>50000</v>
      </c>
      <c r="K37" s="48"/>
      <c r="L37" s="27"/>
      <c r="M37" s="27">
        <v>50000</v>
      </c>
      <c r="N37" s="48">
        <v>27</v>
      </c>
      <c r="O37" s="48" t="s">
        <v>75</v>
      </c>
      <c r="P37" s="48">
        <f>HEX2DEC(RIGHT(Table1323212753[[#This Row],[h1]],8))</f>
        <v>0</v>
      </c>
      <c r="Q37" s="48" t="s">
        <v>75</v>
      </c>
      <c r="R37" s="48">
        <f>HEX2DEC(RIGHT(Table1323212753[[#This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170</v>
      </c>
      <c r="G38" s="49">
        <v>0</v>
      </c>
      <c r="H38" s="48"/>
      <c r="I38" s="27">
        <v>1</v>
      </c>
      <c r="J38" s="27">
        <v>50000</v>
      </c>
      <c r="K38" s="48"/>
      <c r="L38" s="27"/>
      <c r="M38" s="27">
        <v>50000</v>
      </c>
      <c r="N38" s="48">
        <v>28</v>
      </c>
      <c r="O38" s="48" t="s">
        <v>75</v>
      </c>
      <c r="P38" s="48">
        <f>HEX2DEC(RIGHT(Table1323212753[[#This Row],[h1]],8))</f>
        <v>0</v>
      </c>
      <c r="Q38" s="48" t="s">
        <v>75</v>
      </c>
      <c r="R38" s="48">
        <f>HEX2DEC(RIGHT(Table1323212753[[#This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171</v>
      </c>
      <c r="G39" s="49">
        <v>0</v>
      </c>
      <c r="H39" s="48"/>
      <c r="I39" s="27">
        <v>3</v>
      </c>
      <c r="J39" s="27">
        <v>50000</v>
      </c>
      <c r="K39" s="48"/>
      <c r="L39" s="27"/>
      <c r="M39" s="27">
        <v>50000</v>
      </c>
      <c r="N39" s="48">
        <v>29</v>
      </c>
      <c r="O39" s="48" t="s">
        <v>75</v>
      </c>
      <c r="P39" s="48">
        <f>HEX2DEC(RIGHT(Table1323212753[[#This Row],[h1]],8))</f>
        <v>0</v>
      </c>
      <c r="Q39" s="48" t="s">
        <v>75</v>
      </c>
      <c r="R39" s="48">
        <f>HEX2DEC(RIGHT(Table1323212753[[#This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172</v>
      </c>
      <c r="G40" s="49">
        <v>0</v>
      </c>
      <c r="H40" s="48"/>
      <c r="I40" s="27">
        <v>1</v>
      </c>
      <c r="J40" s="27">
        <v>50000</v>
      </c>
      <c r="K40" s="48"/>
      <c r="L40" s="27"/>
      <c r="M40" s="27">
        <v>50000</v>
      </c>
      <c r="N40" s="48">
        <v>30</v>
      </c>
      <c r="O40" s="48" t="s">
        <v>75</v>
      </c>
      <c r="P40" s="48">
        <f>HEX2DEC(RIGHT(Table1323212753[[#This Row],[h1]],8))</f>
        <v>0</v>
      </c>
      <c r="Q40" s="48" t="s">
        <v>75</v>
      </c>
      <c r="R40" s="48">
        <f>HEX2DEC(RIGHT(Table1323212753[[#This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173</v>
      </c>
      <c r="G41" s="49">
        <v>0</v>
      </c>
      <c r="H41" s="48"/>
      <c r="I41" s="27">
        <v>2</v>
      </c>
      <c r="J41" s="27">
        <v>50000</v>
      </c>
      <c r="K41" s="48"/>
      <c r="L41" s="27"/>
      <c r="M41" s="27">
        <v>50000</v>
      </c>
      <c r="N41" s="48">
        <v>31</v>
      </c>
      <c r="O41" s="48" t="s">
        <v>75</v>
      </c>
      <c r="P41" s="48">
        <f>HEX2DEC(RIGHT(Table1323212753[[#This Row],[h1]],8))</f>
        <v>0</v>
      </c>
      <c r="Q41" s="48" t="s">
        <v>75</v>
      </c>
      <c r="R41" s="48">
        <f>HEX2DEC(RIGHT(Table1323212753[[#This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174</v>
      </c>
      <c r="G42" s="49">
        <v>0</v>
      </c>
      <c r="H42" s="48"/>
      <c r="I42" s="27">
        <v>1</v>
      </c>
      <c r="J42" s="27">
        <v>50000</v>
      </c>
      <c r="K42" s="48"/>
      <c r="L42" s="27"/>
      <c r="M42" s="27">
        <v>50000</v>
      </c>
      <c r="N42" s="48">
        <v>32</v>
      </c>
      <c r="O42" s="48" t="s">
        <v>75</v>
      </c>
      <c r="P42" s="48">
        <f>HEX2DEC(RIGHT(Table1323212753[[#This Row],[h1]],8))</f>
        <v>0</v>
      </c>
      <c r="Q42" s="48" t="s">
        <v>75</v>
      </c>
      <c r="R42" s="48">
        <f>HEX2DEC(RIGHT(Table1323212753[[#This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175</v>
      </c>
      <c r="G43" s="49">
        <v>0</v>
      </c>
      <c r="H43" s="48"/>
      <c r="I43" s="27">
        <v>3</v>
      </c>
      <c r="J43" s="27">
        <v>50000</v>
      </c>
      <c r="K43" s="48"/>
      <c r="L43" s="27"/>
      <c r="M43" s="27">
        <v>50000</v>
      </c>
      <c r="N43" s="48">
        <v>33</v>
      </c>
      <c r="O43" s="48" t="s">
        <v>75</v>
      </c>
      <c r="P43" s="48">
        <f>HEX2DEC(RIGHT(Table1323212753[[#This Row],[h1]],8))</f>
        <v>0</v>
      </c>
      <c r="Q43" s="48" t="s">
        <v>75</v>
      </c>
      <c r="R43" s="48">
        <f>HEX2DEC(RIGHT(Table1323212753[[#This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176</v>
      </c>
      <c r="G44" s="49">
        <v>0</v>
      </c>
      <c r="H44" s="48"/>
      <c r="I44" s="27">
        <v>1</v>
      </c>
      <c r="J44" s="27">
        <v>50000</v>
      </c>
      <c r="K44" s="48"/>
      <c r="L44" s="27"/>
      <c r="M44" s="27">
        <v>50000</v>
      </c>
      <c r="N44" s="48">
        <v>34</v>
      </c>
      <c r="O44" s="48" t="s">
        <v>75</v>
      </c>
      <c r="P44" s="48">
        <f>HEX2DEC(RIGHT(Table1323212753[[#This Row],[h1]],8))</f>
        <v>0</v>
      </c>
      <c r="Q44" s="48" t="s">
        <v>75</v>
      </c>
      <c r="R44" s="48">
        <f>HEX2DEC(RIGHT(Table1323212753[[#This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177</v>
      </c>
      <c r="G45" s="49">
        <v>0</v>
      </c>
      <c r="H45" s="48"/>
      <c r="I45" s="27">
        <v>2</v>
      </c>
      <c r="J45" s="27">
        <v>50000</v>
      </c>
      <c r="K45" s="48"/>
      <c r="L45" s="27"/>
      <c r="M45" s="27">
        <v>50000</v>
      </c>
      <c r="N45" s="48">
        <v>35</v>
      </c>
      <c r="O45" s="48" t="s">
        <v>75</v>
      </c>
      <c r="P45" s="48">
        <f>HEX2DEC(RIGHT(Table1323212753[[#This Row],[h1]],8))</f>
        <v>0</v>
      </c>
      <c r="Q45" s="48" t="s">
        <v>75</v>
      </c>
      <c r="R45" s="48">
        <f>HEX2DEC(RIGHT(Table1323212753[[#This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178</v>
      </c>
      <c r="G46" s="49">
        <v>0</v>
      </c>
      <c r="H46" s="48"/>
      <c r="I46" s="27">
        <v>1</v>
      </c>
      <c r="J46" s="27">
        <v>50000</v>
      </c>
      <c r="K46" s="48"/>
      <c r="L46" s="27"/>
      <c r="M46" s="27">
        <v>50000</v>
      </c>
      <c r="N46" s="48">
        <v>36</v>
      </c>
      <c r="O46" s="48" t="s">
        <v>75</v>
      </c>
      <c r="P46" s="48">
        <f>HEX2DEC(RIGHT(Table1323212753[[#This Row],[h1]],8))</f>
        <v>0</v>
      </c>
      <c r="Q46" s="48" t="s">
        <v>75</v>
      </c>
      <c r="R46" s="48">
        <f>HEX2DEC(RIGHT(Table1323212753[[#This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9"/>
      <c r="H47" s="48"/>
      <c r="I47" s="27">
        <v>4</v>
      </c>
      <c r="J47" s="27">
        <v>50000</v>
      </c>
      <c r="K47" s="48"/>
      <c r="L47" s="27"/>
      <c r="M47" s="27">
        <v>50000</v>
      </c>
      <c r="N47" s="48">
        <v>37</v>
      </c>
      <c r="O47" s="48" t="s">
        <v>75</v>
      </c>
      <c r="P47" s="48">
        <f>HEX2DEC(RIGHT(Table1323212753[[#This Row],[h1]],8))</f>
        <v>0</v>
      </c>
      <c r="Q47" s="48" t="s">
        <v>75</v>
      </c>
      <c r="R47" s="48">
        <f>HEX2DEC(RIGHT(Table1323212753[[#This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179</v>
      </c>
      <c r="G48" s="49">
        <v>0</v>
      </c>
      <c r="H48" s="48"/>
      <c r="I48" s="27">
        <v>1</v>
      </c>
      <c r="J48" s="27">
        <v>50000</v>
      </c>
      <c r="K48" s="48"/>
      <c r="L48" s="27"/>
      <c r="M48" s="27">
        <v>50000</v>
      </c>
      <c r="N48" s="48">
        <v>38</v>
      </c>
      <c r="O48" s="48" t="s">
        <v>75</v>
      </c>
      <c r="P48" s="48">
        <f>HEX2DEC(RIGHT(Table1323212753[[#This Row],[h1]],8))</f>
        <v>0</v>
      </c>
      <c r="Q48" s="48" t="s">
        <v>75</v>
      </c>
      <c r="R48" s="48">
        <f>HEX2DEC(RIGHT(Table1323212753[[#This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180</v>
      </c>
      <c r="G49" s="49">
        <v>0</v>
      </c>
      <c r="H49" s="48"/>
      <c r="I49" s="27">
        <v>2</v>
      </c>
      <c r="J49" s="27">
        <v>50000</v>
      </c>
      <c r="K49" s="48"/>
      <c r="L49" s="27"/>
      <c r="M49" s="27">
        <v>50000</v>
      </c>
      <c r="N49" s="48">
        <v>39</v>
      </c>
      <c r="O49" s="48" t="s">
        <v>75</v>
      </c>
      <c r="P49" s="48">
        <f>HEX2DEC(RIGHT(Table1323212753[[#This Row],[h1]],8))</f>
        <v>0</v>
      </c>
      <c r="Q49" s="48" t="s">
        <v>75</v>
      </c>
      <c r="R49" s="48">
        <f>HEX2DEC(RIGHT(Table1323212753[[#This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181</v>
      </c>
      <c r="G50" s="49">
        <v>0</v>
      </c>
      <c r="H50" s="48"/>
      <c r="I50" s="27">
        <v>1</v>
      </c>
      <c r="J50" s="27">
        <v>50000</v>
      </c>
      <c r="K50" s="48"/>
      <c r="L50" s="27"/>
      <c r="M50" s="27">
        <v>50000</v>
      </c>
      <c r="N50" s="48">
        <v>40</v>
      </c>
      <c r="O50" s="48" t="s">
        <v>75</v>
      </c>
      <c r="P50" s="48">
        <f>HEX2DEC(RIGHT(Table1323212753[[#This Row],[h1]],8))</f>
        <v>0</v>
      </c>
      <c r="Q50" s="48" t="s">
        <v>75</v>
      </c>
      <c r="R50" s="48">
        <f>HEX2DEC(RIGHT(Table1323212753[[#This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182</v>
      </c>
      <c r="G51" s="49">
        <v>0</v>
      </c>
      <c r="H51" s="48"/>
      <c r="I51" s="27">
        <v>3</v>
      </c>
      <c r="J51" s="27">
        <v>50000</v>
      </c>
      <c r="K51" s="48"/>
      <c r="L51" s="27"/>
      <c r="M51" s="27">
        <v>50000</v>
      </c>
      <c r="N51" s="48">
        <v>41</v>
      </c>
      <c r="O51" s="48" t="s">
        <v>75</v>
      </c>
      <c r="P51" s="48">
        <f>HEX2DEC(RIGHT(Table1323212753[[#This Row],[h1]],8))</f>
        <v>0</v>
      </c>
      <c r="Q51" s="48" t="s">
        <v>75</v>
      </c>
      <c r="R51" s="48">
        <f>HEX2DEC(RIGHT(Table1323212753[[#This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183</v>
      </c>
      <c r="G52" s="49">
        <v>0</v>
      </c>
      <c r="H52" s="48"/>
      <c r="I52" s="27">
        <v>1</v>
      </c>
      <c r="J52" s="27">
        <v>50000</v>
      </c>
      <c r="K52" s="48"/>
      <c r="L52" s="27"/>
      <c r="M52" s="27">
        <v>50000</v>
      </c>
      <c r="N52" s="48">
        <v>42</v>
      </c>
      <c r="O52" s="48" t="s">
        <v>75</v>
      </c>
      <c r="P52" s="48">
        <f>HEX2DEC(RIGHT(Table1323212753[[#This Row],[h1]],8))</f>
        <v>0</v>
      </c>
      <c r="Q52" s="48" t="s">
        <v>75</v>
      </c>
      <c r="R52" s="48">
        <f>HEX2DEC(RIGHT(Table1323212753[[#This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184</v>
      </c>
      <c r="G53" s="49">
        <v>0</v>
      </c>
      <c r="H53" s="48"/>
      <c r="I53" s="27">
        <v>2</v>
      </c>
      <c r="J53" s="27">
        <v>50000</v>
      </c>
      <c r="K53" s="48"/>
      <c r="L53" s="27"/>
      <c r="M53" s="27">
        <v>50000</v>
      </c>
      <c r="N53" s="48">
        <v>43</v>
      </c>
      <c r="O53" s="48" t="s">
        <v>75</v>
      </c>
      <c r="P53" s="48">
        <f>HEX2DEC(RIGHT(Table1323212753[[#This Row],[h1]],8))</f>
        <v>0</v>
      </c>
      <c r="Q53" s="48" t="s">
        <v>75</v>
      </c>
      <c r="R53" s="48">
        <f>HEX2DEC(RIGHT(Table1323212753[[#This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185</v>
      </c>
      <c r="G54" s="49">
        <v>0</v>
      </c>
      <c r="H54" s="48"/>
      <c r="I54" s="27">
        <v>1</v>
      </c>
      <c r="J54" s="27">
        <v>50000</v>
      </c>
      <c r="K54" s="48"/>
      <c r="L54" s="27"/>
      <c r="M54" s="27">
        <v>50000</v>
      </c>
      <c r="N54" s="48">
        <v>44</v>
      </c>
      <c r="O54" s="48" t="s">
        <v>75</v>
      </c>
      <c r="P54" s="48">
        <f>HEX2DEC(RIGHT(Table1323212753[[#This Row],[h1]],8))</f>
        <v>0</v>
      </c>
      <c r="Q54" s="48" t="s">
        <v>75</v>
      </c>
      <c r="R54" s="48">
        <f>HEX2DEC(RIGHT(Table1323212753[[#This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186</v>
      </c>
      <c r="G55" s="49">
        <v>0</v>
      </c>
      <c r="H55" s="48"/>
      <c r="I55" s="27">
        <v>3</v>
      </c>
      <c r="J55" s="27">
        <v>50000</v>
      </c>
      <c r="K55" s="48"/>
      <c r="L55" s="27"/>
      <c r="M55" s="27">
        <v>50000</v>
      </c>
      <c r="N55" s="48">
        <v>45</v>
      </c>
      <c r="O55" s="48" t="s">
        <v>75</v>
      </c>
      <c r="P55" s="48">
        <f>HEX2DEC(RIGHT(Table1323212753[[#This Row],[h1]],8))</f>
        <v>0</v>
      </c>
      <c r="Q55" s="48" t="s">
        <v>75</v>
      </c>
      <c r="R55" s="48">
        <f>HEX2DEC(RIGHT(Table1323212753[[#This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187</v>
      </c>
      <c r="G56" s="49">
        <v>0</v>
      </c>
      <c r="H56" s="48"/>
      <c r="I56" s="27">
        <v>1</v>
      </c>
      <c r="J56" s="27">
        <v>50000</v>
      </c>
      <c r="K56" s="48"/>
      <c r="L56" s="27"/>
      <c r="M56" s="27">
        <v>50000</v>
      </c>
      <c r="N56" s="48">
        <v>46</v>
      </c>
      <c r="O56" s="48" t="s">
        <v>75</v>
      </c>
      <c r="P56" s="48">
        <f>HEX2DEC(RIGHT(Table1323212753[[#This Row],[h1]],8))</f>
        <v>0</v>
      </c>
      <c r="Q56" s="48" t="s">
        <v>75</v>
      </c>
      <c r="R56" s="48">
        <f>HEX2DEC(RIGHT(Table1323212753[[#This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188</v>
      </c>
      <c r="G57" s="49">
        <v>0</v>
      </c>
      <c r="H57" s="48"/>
      <c r="I57" s="27">
        <v>2</v>
      </c>
      <c r="J57" s="27">
        <v>50000</v>
      </c>
      <c r="K57" s="48"/>
      <c r="L57" s="27"/>
      <c r="M57" s="27">
        <v>50000</v>
      </c>
      <c r="N57" s="48">
        <v>47</v>
      </c>
      <c r="O57" s="48" t="s">
        <v>75</v>
      </c>
      <c r="P57" s="48">
        <f>HEX2DEC(RIGHT(Table1323212753[[#This Row],[h1]],8))</f>
        <v>0</v>
      </c>
      <c r="Q57" s="48" t="s">
        <v>75</v>
      </c>
      <c r="R57" s="48">
        <f>HEX2DEC(RIGHT(Table1323212753[[#This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189</v>
      </c>
      <c r="G58" s="49">
        <v>0</v>
      </c>
      <c r="H58" s="48"/>
      <c r="I58" s="27">
        <v>1</v>
      </c>
      <c r="J58" s="27">
        <v>50000</v>
      </c>
      <c r="K58" s="48"/>
      <c r="L58" s="27"/>
      <c r="M58" s="27">
        <v>50000</v>
      </c>
      <c r="N58" s="48">
        <v>48</v>
      </c>
      <c r="O58" s="48" t="s">
        <v>75</v>
      </c>
      <c r="P58" s="48">
        <f>HEX2DEC(RIGHT(Table1323212753[[#This Row],[h1]],8))</f>
        <v>0</v>
      </c>
      <c r="Q58" s="48" t="s">
        <v>75</v>
      </c>
      <c r="R58" s="48">
        <f>HEX2DEC(RIGHT(Table1323212753[[#This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190</v>
      </c>
      <c r="G59" s="49">
        <v>0</v>
      </c>
      <c r="H59" s="48"/>
      <c r="I59" s="27">
        <v>4</v>
      </c>
      <c r="J59" s="27">
        <v>50000</v>
      </c>
      <c r="K59" s="48"/>
      <c r="L59" s="27"/>
      <c r="M59" s="27">
        <v>50000</v>
      </c>
      <c r="N59" s="48">
        <v>49</v>
      </c>
      <c r="O59" s="48" t="s">
        <v>75</v>
      </c>
      <c r="P59" s="48">
        <f>HEX2DEC(RIGHT(Table1323212753[[#This Row],[h1]],8))</f>
        <v>0</v>
      </c>
      <c r="Q59" s="48" t="s">
        <v>75</v>
      </c>
      <c r="R59" s="48">
        <f>HEX2DEC(RIGHT(Table1323212753[[#This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191</v>
      </c>
      <c r="G60" s="49">
        <v>0</v>
      </c>
      <c r="H60" s="48"/>
      <c r="I60" s="27">
        <v>1</v>
      </c>
      <c r="J60" s="27">
        <v>50000</v>
      </c>
      <c r="K60" s="48"/>
      <c r="L60" s="27"/>
      <c r="M60" s="27">
        <v>50000</v>
      </c>
      <c r="N60" s="48">
        <v>50</v>
      </c>
      <c r="O60" s="48" t="s">
        <v>75</v>
      </c>
      <c r="P60" s="48">
        <f>HEX2DEC(RIGHT(Table1323212753[[#This Row],[h1]],8))</f>
        <v>0</v>
      </c>
      <c r="Q60" s="48" t="s">
        <v>75</v>
      </c>
      <c r="R60" s="48">
        <f>HEX2DEC(RIGHT(Table1323212753[[#This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192</v>
      </c>
      <c r="G61" s="49">
        <v>0</v>
      </c>
      <c r="H61" s="48"/>
      <c r="I61" s="27">
        <v>2</v>
      </c>
      <c r="J61" s="27">
        <v>50000</v>
      </c>
      <c r="K61" s="48"/>
      <c r="L61" s="27"/>
      <c r="M61" s="27">
        <v>50000</v>
      </c>
      <c r="O61" s="48" t="s">
        <v>75</v>
      </c>
      <c r="P61" s="48">
        <f>HEX2DEC(RIGHT(Table1323212753[[#This Row],[h1]],8))</f>
        <v>0</v>
      </c>
      <c r="Q61" s="48" t="s">
        <v>75</v>
      </c>
      <c r="R61" s="48">
        <f>HEX2DEC(RIGHT(Table1323212753[[#This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193</v>
      </c>
      <c r="G62" s="49">
        <v>0</v>
      </c>
      <c r="I62" s="27">
        <v>1</v>
      </c>
      <c r="J62" s="27">
        <v>50000</v>
      </c>
      <c r="L62" s="27"/>
      <c r="M62" s="27">
        <v>50000</v>
      </c>
      <c r="O62" s="48" t="s">
        <v>75</v>
      </c>
      <c r="P62" s="48">
        <f>HEX2DEC(RIGHT(Table1323212753[[#This Row],[h1]],8))</f>
        <v>0</v>
      </c>
      <c r="Q62" s="48" t="s">
        <v>75</v>
      </c>
      <c r="R62" s="48">
        <f>HEX2DEC(RIGHT(Table1323212753[[#This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194</v>
      </c>
      <c r="G63" s="49">
        <v>0</v>
      </c>
      <c r="I63" s="27">
        <v>3</v>
      </c>
      <c r="J63" s="27">
        <v>50000</v>
      </c>
      <c r="L63" s="27"/>
      <c r="M63" s="27">
        <v>50000</v>
      </c>
      <c r="O63" s="48" t="s">
        <v>75</v>
      </c>
      <c r="P63" s="48">
        <f>HEX2DEC(RIGHT(Table1323212753[[#This Row],[h1]],8))</f>
        <v>0</v>
      </c>
      <c r="Q63" s="48" t="s">
        <v>75</v>
      </c>
      <c r="R63" s="48">
        <f>HEX2DEC(RIGHT(Table1323212753[[#This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195</v>
      </c>
      <c r="F64" s="24" t="s">
        <v>427</v>
      </c>
      <c r="G64" s="49">
        <v>1</v>
      </c>
      <c r="I64" s="27">
        <v>1</v>
      </c>
      <c r="J64" s="27">
        <v>50000</v>
      </c>
      <c r="L64" s="27"/>
      <c r="M64" s="27">
        <v>50000</v>
      </c>
      <c r="O64" s="48" t="s">
        <v>75</v>
      </c>
      <c r="P64" s="48">
        <f>HEX2DEC(RIGHT(Table1323212753[[#This Row],[h1]],8))</f>
        <v>0</v>
      </c>
      <c r="Q64" s="48" t="s">
        <v>75</v>
      </c>
      <c r="R64" s="48">
        <f>HEX2DEC(RIGHT(Table1323212753[[#This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196</v>
      </c>
      <c r="F65" s="24" t="s">
        <v>427</v>
      </c>
      <c r="G65" s="49">
        <v>1</v>
      </c>
      <c r="I65" s="27">
        <v>2</v>
      </c>
      <c r="J65" s="27">
        <v>50000</v>
      </c>
      <c r="L65" s="27"/>
      <c r="M65" s="27">
        <v>50000</v>
      </c>
      <c r="O65" s="48" t="s">
        <v>75</v>
      </c>
      <c r="P65" s="48">
        <f>HEX2DEC(RIGHT(Table1323212753[[#This Row],[h1]],8))</f>
        <v>0</v>
      </c>
      <c r="Q65" s="48" t="s">
        <v>75</v>
      </c>
      <c r="R65" s="48">
        <f>HEX2DEC(RIGHT(Table1323212753[[#This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197</v>
      </c>
      <c r="F66" s="24" t="s">
        <v>427</v>
      </c>
      <c r="G66" s="49">
        <v>1</v>
      </c>
      <c r="I66" s="27">
        <v>1</v>
      </c>
      <c r="J66" s="27">
        <v>50000</v>
      </c>
      <c r="L66" s="27"/>
      <c r="M66" s="27">
        <v>50000</v>
      </c>
      <c r="O66" s="48" t="s">
        <v>75</v>
      </c>
      <c r="P66" s="48">
        <f>HEX2DEC(RIGHT(Table1323212753[[#This Row],[h1]],8))</f>
        <v>0</v>
      </c>
      <c r="Q66" s="48" t="s">
        <v>75</v>
      </c>
      <c r="R66" s="48">
        <f>HEX2DEC(RIGHT(Table1323212753[[#This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198</v>
      </c>
      <c r="F67" s="24" t="s">
        <v>427</v>
      </c>
      <c r="G67" s="49">
        <v>1</v>
      </c>
      <c r="I67" s="27">
        <v>3</v>
      </c>
      <c r="J67" s="27">
        <v>50000</v>
      </c>
      <c r="L67" s="27"/>
      <c r="M67" s="27">
        <v>50000</v>
      </c>
      <c r="O67" s="48" t="s">
        <v>75</v>
      </c>
      <c r="P67" s="48">
        <f>HEX2DEC(RIGHT(Table1323212753[[#This Row],[h1]],8))</f>
        <v>0</v>
      </c>
      <c r="Q67" s="48" t="s">
        <v>75</v>
      </c>
      <c r="R67" s="48">
        <f>HEX2DEC(RIGHT(Table1323212753[[#This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199</v>
      </c>
      <c r="F68" s="24" t="s">
        <v>427</v>
      </c>
      <c r="G68" s="49">
        <v>1</v>
      </c>
      <c r="I68" s="27">
        <v>1</v>
      </c>
      <c r="J68" s="27">
        <v>50000</v>
      </c>
      <c r="L68" s="27"/>
      <c r="M68" s="27">
        <v>50000</v>
      </c>
      <c r="O68" s="48" t="s">
        <v>75</v>
      </c>
      <c r="P68" s="48">
        <f>HEX2DEC(RIGHT(Table1323212753[[#This Row],[h1]],8))</f>
        <v>0</v>
      </c>
      <c r="Q68" s="48" t="s">
        <v>75</v>
      </c>
      <c r="R68" s="48">
        <f>HEX2DEC(RIGHT(Table1323212753[[#This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200</v>
      </c>
      <c r="F69" s="24" t="s">
        <v>427</v>
      </c>
      <c r="G69" s="49">
        <v>1</v>
      </c>
      <c r="I69" s="27">
        <v>2</v>
      </c>
      <c r="J69" s="27">
        <v>50000</v>
      </c>
      <c r="L69" s="27"/>
      <c r="M69" s="27">
        <v>50000</v>
      </c>
      <c r="O69" s="48" t="s">
        <v>75</v>
      </c>
      <c r="P69" s="48">
        <f>HEX2DEC(RIGHT(Table1323212753[[#This Row],[h1]],8))</f>
        <v>0</v>
      </c>
      <c r="Q69" s="48" t="s">
        <v>75</v>
      </c>
      <c r="R69" s="48">
        <f>HEX2DEC(RIGHT(Table1323212753[[#This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201</v>
      </c>
      <c r="F70" s="24" t="s">
        <v>427</v>
      </c>
      <c r="G70" s="49">
        <v>1</v>
      </c>
      <c r="I70" s="27">
        <v>1</v>
      </c>
      <c r="J70" s="27">
        <v>50000</v>
      </c>
      <c r="L70" s="27"/>
      <c r="M70" s="27">
        <v>50000</v>
      </c>
      <c r="O70" s="48" t="s">
        <v>75</v>
      </c>
      <c r="P70" s="48">
        <f>HEX2DEC(RIGHT(Table1323212753[[#This Row],[h1]],8))</f>
        <v>0</v>
      </c>
      <c r="Q70" s="48" t="s">
        <v>75</v>
      </c>
      <c r="R70" s="48">
        <f>HEX2DEC(RIGHT(Table1323212753[[#This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202</v>
      </c>
      <c r="F71" s="24" t="s">
        <v>427</v>
      </c>
      <c r="G71" s="49">
        <v>1</v>
      </c>
      <c r="I71" s="27">
        <v>4</v>
      </c>
      <c r="J71" s="27">
        <v>50000</v>
      </c>
      <c r="L71" s="27"/>
      <c r="M71" s="27">
        <v>50000</v>
      </c>
      <c r="O71" s="48" t="s">
        <v>75</v>
      </c>
      <c r="P71" s="48">
        <f>HEX2DEC(RIGHT(Table1323212753[[#This Row],[h1]],8))</f>
        <v>0</v>
      </c>
      <c r="Q71" s="48" t="s">
        <v>75</v>
      </c>
      <c r="R71" s="48">
        <f>HEX2DEC(RIGHT(Table1323212753[[#This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203</v>
      </c>
      <c r="F72" s="24" t="s">
        <v>427</v>
      </c>
      <c r="G72" s="49">
        <v>1</v>
      </c>
      <c r="I72" s="27">
        <v>1</v>
      </c>
      <c r="J72" s="27">
        <v>50000</v>
      </c>
      <c r="L72" s="27"/>
      <c r="M72" s="27">
        <v>50000</v>
      </c>
      <c r="O72" s="48" t="s">
        <v>75</v>
      </c>
      <c r="P72" s="48">
        <f>HEX2DEC(RIGHT(Table1323212753[[#This Row],[h1]],8))</f>
        <v>0</v>
      </c>
      <c r="Q72" s="48" t="s">
        <v>75</v>
      </c>
      <c r="R72" s="48">
        <f>HEX2DEC(RIGHT(Table1323212753[[#This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204</v>
      </c>
      <c r="F73" s="24" t="s">
        <v>427</v>
      </c>
      <c r="G73" s="49">
        <v>1</v>
      </c>
      <c r="I73" s="27">
        <v>2</v>
      </c>
      <c r="J73" s="27">
        <v>50000</v>
      </c>
      <c r="L73" s="27"/>
      <c r="M73" s="27">
        <v>50000</v>
      </c>
      <c r="O73" s="48" t="s">
        <v>75</v>
      </c>
      <c r="P73" s="48">
        <f>HEX2DEC(RIGHT(Table1323212753[[#This Row],[h1]],8))</f>
        <v>0</v>
      </c>
      <c r="Q73" s="48" t="s">
        <v>75</v>
      </c>
      <c r="R73" s="48">
        <f>HEX2DEC(RIGHT(Table1323212753[[#This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205</v>
      </c>
      <c r="F74" s="24" t="s">
        <v>427</v>
      </c>
      <c r="G74" s="49">
        <v>1</v>
      </c>
      <c r="I74" s="27">
        <v>1</v>
      </c>
      <c r="J74" s="27">
        <v>50000</v>
      </c>
      <c r="L74" s="27"/>
      <c r="M74" s="27">
        <v>50000</v>
      </c>
      <c r="O74" s="48" t="s">
        <v>75</v>
      </c>
      <c r="P74" s="48">
        <f>HEX2DEC(RIGHT(Table1323212753[[#This Row],[h1]],8))</f>
        <v>0</v>
      </c>
      <c r="Q74" s="48" t="s">
        <v>75</v>
      </c>
      <c r="R74" s="48">
        <f>HEX2DEC(RIGHT(Table1323212753[[#This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206</v>
      </c>
      <c r="F75" s="24" t="s">
        <v>427</v>
      </c>
      <c r="G75" s="49">
        <v>1</v>
      </c>
      <c r="I75" s="27">
        <v>3</v>
      </c>
      <c r="J75" s="27">
        <v>50000</v>
      </c>
      <c r="L75" s="27"/>
      <c r="M75" s="27">
        <v>50000</v>
      </c>
      <c r="O75" s="48" t="s">
        <v>75</v>
      </c>
      <c r="P75" s="48">
        <f>HEX2DEC(RIGHT(Table1323212753[[#This Row],[h1]],8))</f>
        <v>0</v>
      </c>
      <c r="Q75" s="48" t="s">
        <v>75</v>
      </c>
      <c r="R75" s="48">
        <f>HEX2DEC(RIGHT(Table1323212753[[#This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207</v>
      </c>
      <c r="F76" s="24" t="s">
        <v>427</v>
      </c>
      <c r="G76" s="49">
        <v>1</v>
      </c>
      <c r="I76" s="27">
        <v>1</v>
      </c>
      <c r="J76" s="27">
        <v>50000</v>
      </c>
      <c r="L76" s="27"/>
      <c r="M76" s="27">
        <v>50000</v>
      </c>
      <c r="O76" s="48" t="s">
        <v>75</v>
      </c>
      <c r="P76" s="48">
        <f>HEX2DEC(RIGHT(Table1323212753[[#This Row],[h1]],8))</f>
        <v>0</v>
      </c>
      <c r="Q76" s="48" t="s">
        <v>75</v>
      </c>
      <c r="R76" s="48">
        <f>HEX2DEC(RIGHT(Table1323212753[[#This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208</v>
      </c>
      <c r="F77" s="24" t="s">
        <v>427</v>
      </c>
      <c r="G77" s="49">
        <v>1</v>
      </c>
      <c r="I77" s="27">
        <v>2</v>
      </c>
      <c r="J77" s="27">
        <v>50000</v>
      </c>
      <c r="L77" s="27"/>
      <c r="M77" s="27">
        <v>50000</v>
      </c>
      <c r="O77" s="48" t="s">
        <v>75</v>
      </c>
      <c r="P77" s="48">
        <f>HEX2DEC(RIGHT(Table1323212753[[#This Row],[h1]],8))</f>
        <v>0</v>
      </c>
      <c r="Q77" s="48" t="s">
        <v>75</v>
      </c>
      <c r="R77" s="48">
        <f>HEX2DEC(RIGHT(Table1323212753[[#This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209</v>
      </c>
      <c r="F78" s="24" t="s">
        <v>427</v>
      </c>
      <c r="G78" s="49">
        <v>1</v>
      </c>
      <c r="I78" s="27">
        <v>1</v>
      </c>
      <c r="J78" s="27">
        <v>50000</v>
      </c>
      <c r="L78" s="27"/>
      <c r="M78" s="27">
        <v>50000</v>
      </c>
      <c r="O78" s="48" t="s">
        <v>75</v>
      </c>
      <c r="P78" s="48">
        <f>HEX2DEC(RIGHT(Table1323212753[[#This Row],[h1]],8))</f>
        <v>0</v>
      </c>
      <c r="Q78" s="48" t="s">
        <v>75</v>
      </c>
      <c r="R78" s="48">
        <f>HEX2DEC(RIGHT(Table1323212753[[#This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210</v>
      </c>
      <c r="F79" s="24" t="s">
        <v>427</v>
      </c>
      <c r="G79" s="49">
        <v>1</v>
      </c>
      <c r="I79" s="27">
        <v>3</v>
      </c>
      <c r="J79" s="27">
        <v>50000</v>
      </c>
      <c r="L79" s="27"/>
      <c r="M79" s="27">
        <v>50000</v>
      </c>
      <c r="O79" s="48" t="s">
        <v>75</v>
      </c>
      <c r="P79" s="48">
        <f>HEX2DEC(RIGHT(Table1323212753[[#This Row],[h1]],8))</f>
        <v>0</v>
      </c>
      <c r="Q79" s="48" t="s">
        <v>75</v>
      </c>
      <c r="R79" s="48">
        <f>HEX2DEC(RIGHT(Table1323212753[[#This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9"/>
      <c r="I80" s="27">
        <v>1</v>
      </c>
      <c r="J80" s="27">
        <v>50000</v>
      </c>
      <c r="L80" s="27"/>
      <c r="M80" s="27">
        <v>50000</v>
      </c>
      <c r="O80" s="48" t="s">
        <v>75</v>
      </c>
      <c r="P80" s="48">
        <f>HEX2DEC(RIGHT(Table1323212753[[#This Row],[h1]],8))</f>
        <v>0</v>
      </c>
      <c r="Q80" s="48" t="s">
        <v>75</v>
      </c>
      <c r="R80" s="48">
        <f>HEX2DEC(RIGHT(Table1323212753[[#This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211</v>
      </c>
      <c r="G81" s="49">
        <v>5000</v>
      </c>
      <c r="I81" s="27">
        <v>2</v>
      </c>
      <c r="J81" s="27">
        <v>50000</v>
      </c>
      <c r="L81" s="27"/>
      <c r="M81" s="27">
        <v>50000</v>
      </c>
      <c r="O81" s="48" t="s">
        <v>75</v>
      </c>
      <c r="P81" s="48">
        <f>HEX2DEC(RIGHT(Table1323212753[[#This Row],[h1]],8))</f>
        <v>0</v>
      </c>
      <c r="Q81" s="48" t="s">
        <v>75</v>
      </c>
      <c r="R81" s="48">
        <f>HEX2DEC(RIGHT(Table1323212753[[#This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212</v>
      </c>
      <c r="G82" s="49">
        <v>5000</v>
      </c>
      <c r="I82" s="27">
        <v>1</v>
      </c>
      <c r="J82" s="27">
        <v>50000</v>
      </c>
      <c r="L82" s="27"/>
      <c r="M82" s="27">
        <v>50000</v>
      </c>
      <c r="O82" s="48" t="s">
        <v>75</v>
      </c>
      <c r="P82" s="48">
        <f>HEX2DEC(RIGHT(Table1323212753[[#This Row],[h1]],8))</f>
        <v>0</v>
      </c>
      <c r="Q82" s="48" t="s">
        <v>75</v>
      </c>
      <c r="R82" s="48">
        <f>HEX2DEC(RIGHT(Table1323212753[[#This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213</v>
      </c>
      <c r="G83" s="49">
        <v>4</v>
      </c>
      <c r="I83" s="27">
        <v>4</v>
      </c>
      <c r="J83" s="27">
        <v>50000</v>
      </c>
      <c r="L83" s="27"/>
      <c r="M83" s="27">
        <v>50000</v>
      </c>
      <c r="O83" s="48" t="s">
        <v>75</v>
      </c>
      <c r="P83" s="48">
        <f>HEX2DEC(RIGHT(Table1323212753[[#This Row],[h1]],8))</f>
        <v>0</v>
      </c>
      <c r="Q83" s="48" t="s">
        <v>75</v>
      </c>
      <c r="R83" s="48">
        <f>HEX2DEC(RIGHT(Table1323212753[[#This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214</v>
      </c>
      <c r="G84" s="49">
        <v>4</v>
      </c>
      <c r="I84" s="27">
        <v>1</v>
      </c>
      <c r="J84" s="27">
        <v>50000</v>
      </c>
      <c r="L84" s="27"/>
      <c r="M84" s="27">
        <v>50000</v>
      </c>
      <c r="O84" s="48" t="s">
        <v>75</v>
      </c>
      <c r="P84" s="48">
        <f>HEX2DEC(RIGHT(Table1323212753[[#This Row],[h1]],8))</f>
        <v>0</v>
      </c>
      <c r="Q84" s="48" t="s">
        <v>75</v>
      </c>
      <c r="R84" s="48">
        <f>HEX2DEC(RIGHT(Table1323212753[[#This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215</v>
      </c>
      <c r="G85" s="49">
        <v>4</v>
      </c>
      <c r="I85" s="27">
        <v>2</v>
      </c>
      <c r="J85" s="27">
        <v>50000</v>
      </c>
      <c r="L85" s="27"/>
      <c r="M85" s="27">
        <v>50000</v>
      </c>
      <c r="O85" s="48" t="s">
        <v>75</v>
      </c>
      <c r="P85" s="48">
        <f>HEX2DEC(RIGHT(Table1323212753[[#This Row],[h1]],8))</f>
        <v>0</v>
      </c>
      <c r="Q85" s="48" t="s">
        <v>75</v>
      </c>
      <c r="R85" s="48">
        <f>HEX2DEC(RIGHT(Table1323212753[[#This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216</v>
      </c>
      <c r="G86" s="49">
        <v>4</v>
      </c>
      <c r="I86" s="27">
        <v>1</v>
      </c>
      <c r="J86" s="27">
        <v>50000</v>
      </c>
      <c r="L86" s="27"/>
      <c r="M86" s="27">
        <v>50000</v>
      </c>
      <c r="O86" s="48" t="s">
        <v>75</v>
      </c>
      <c r="P86" s="48">
        <f>HEX2DEC(RIGHT(Table1323212753[[#This Row],[h1]],8))</f>
        <v>0</v>
      </c>
      <c r="Q86" s="48" t="s">
        <v>75</v>
      </c>
      <c r="R86" s="48">
        <f>HEX2DEC(RIGHT(Table1323212753[[#This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217</v>
      </c>
      <c r="G87" s="49">
        <v>4</v>
      </c>
      <c r="I87" s="27">
        <v>3</v>
      </c>
      <c r="J87" s="27">
        <v>50000</v>
      </c>
      <c r="L87" s="27"/>
      <c r="M87" s="27">
        <v>50000</v>
      </c>
      <c r="O87" s="48" t="s">
        <v>75</v>
      </c>
      <c r="P87" s="48">
        <f>HEX2DEC(RIGHT(Table1323212753[[#This Row],[h1]],8))</f>
        <v>0</v>
      </c>
      <c r="Q87" s="48" t="s">
        <v>75</v>
      </c>
      <c r="R87" s="48">
        <f>HEX2DEC(RIGHT(Table1323212753[[#This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218</v>
      </c>
      <c r="G88" s="49">
        <v>5000</v>
      </c>
      <c r="I88" s="27">
        <v>1</v>
      </c>
      <c r="J88" s="27">
        <v>50000</v>
      </c>
      <c r="L88" s="27"/>
      <c r="M88" s="27">
        <v>50000</v>
      </c>
      <c r="O88" s="48" t="s">
        <v>75</v>
      </c>
      <c r="P88" s="48">
        <f>HEX2DEC(RIGHT(Table1323212753[[#This Row],[h1]],8))</f>
        <v>0</v>
      </c>
      <c r="Q88" s="48" t="s">
        <v>75</v>
      </c>
      <c r="R88" s="48">
        <f>HEX2DEC(RIGHT(Table1323212753[[#This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219</v>
      </c>
      <c r="G89" s="49">
        <v>5000</v>
      </c>
      <c r="I89" s="27">
        <v>2</v>
      </c>
      <c r="J89" s="27">
        <v>50000</v>
      </c>
      <c r="L89" s="27"/>
      <c r="M89" s="27">
        <v>50000</v>
      </c>
      <c r="O89" s="48" t="s">
        <v>75</v>
      </c>
      <c r="P89" s="48">
        <f>HEX2DEC(RIGHT(Table1323212753[[#This Row],[h1]],8))</f>
        <v>0</v>
      </c>
      <c r="Q89" s="48" t="s">
        <v>75</v>
      </c>
      <c r="R89" s="48">
        <f>HEX2DEC(RIGHT(Table1323212753[[#This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220</v>
      </c>
      <c r="G90" s="49">
        <v>5000</v>
      </c>
      <c r="I90" s="27">
        <v>1</v>
      </c>
      <c r="J90" s="27">
        <v>50000</v>
      </c>
      <c r="L90" s="27"/>
      <c r="M90" s="27">
        <v>50000</v>
      </c>
      <c r="O90" s="48" t="s">
        <v>75</v>
      </c>
      <c r="P90" s="48">
        <f>HEX2DEC(RIGHT(Table1323212753[[#This Row],[h1]],8))</f>
        <v>0</v>
      </c>
      <c r="Q90" s="48" t="s">
        <v>75</v>
      </c>
      <c r="R90" s="48">
        <f>HEX2DEC(RIGHT(Table1323212753[[#This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221</v>
      </c>
      <c r="G91" s="49">
        <v>5000</v>
      </c>
      <c r="I91" s="27">
        <v>3</v>
      </c>
      <c r="J91" s="27">
        <v>50000</v>
      </c>
      <c r="L91" s="27"/>
      <c r="M91" s="27">
        <v>50000</v>
      </c>
      <c r="O91" s="48" t="s">
        <v>75</v>
      </c>
      <c r="P91" s="48">
        <f>HEX2DEC(RIGHT(Table1323212753[[#This Row],[h1]],8))</f>
        <v>0</v>
      </c>
      <c r="Q91" s="48" t="s">
        <v>75</v>
      </c>
      <c r="R91" s="48">
        <f>HEX2DEC(RIGHT(Table1323212753[[#This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222</v>
      </c>
      <c r="G92" s="49">
        <v>5000</v>
      </c>
      <c r="I92" s="27">
        <v>1</v>
      </c>
      <c r="J92" s="27">
        <v>50000</v>
      </c>
      <c r="L92" s="27"/>
      <c r="M92" s="27">
        <v>50000</v>
      </c>
      <c r="O92" s="48" t="s">
        <v>75</v>
      </c>
      <c r="P92" s="48">
        <f>HEX2DEC(RIGHT(Table1323212753[[#This Row],[h1]],8))</f>
        <v>0</v>
      </c>
      <c r="Q92" s="48" t="s">
        <v>75</v>
      </c>
      <c r="R92" s="48">
        <f>HEX2DEC(RIGHT(Table1323212753[[#This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223</v>
      </c>
      <c r="G93" s="49">
        <v>5000</v>
      </c>
      <c r="I93" s="27">
        <v>2</v>
      </c>
      <c r="J93" s="27">
        <v>50000</v>
      </c>
      <c r="L93" s="27"/>
      <c r="M93" s="27">
        <v>50000</v>
      </c>
      <c r="O93" s="48" t="s">
        <v>75</v>
      </c>
      <c r="P93" s="48">
        <f>HEX2DEC(RIGHT(Table1323212753[[#This Row],[h1]],8))</f>
        <v>0</v>
      </c>
      <c r="Q93" s="48" t="s">
        <v>75</v>
      </c>
      <c r="R93" s="48">
        <f>HEX2DEC(RIGHT(Table1323212753[[#This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224</v>
      </c>
      <c r="G94" s="49">
        <v>5000</v>
      </c>
      <c r="I94" s="27">
        <v>1</v>
      </c>
      <c r="J94" s="27">
        <v>50000</v>
      </c>
      <c r="L94" s="27"/>
      <c r="M94" s="27">
        <v>50000</v>
      </c>
      <c r="O94" s="48" t="s">
        <v>75</v>
      </c>
      <c r="P94" s="48">
        <f>HEX2DEC(RIGHT(Table1323212753[[#This Row],[h1]],8))</f>
        <v>0</v>
      </c>
      <c r="Q94" s="48" t="s">
        <v>75</v>
      </c>
      <c r="R94" s="48">
        <f>HEX2DEC(RIGHT(Table1323212753[[#This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225</v>
      </c>
      <c r="G95" s="49">
        <v>5000</v>
      </c>
      <c r="I95" s="27">
        <v>4</v>
      </c>
      <c r="J95" s="27">
        <v>50000</v>
      </c>
      <c r="L95" s="27"/>
      <c r="M95" s="27">
        <v>50000</v>
      </c>
      <c r="O95" s="48" t="s">
        <v>75</v>
      </c>
      <c r="P95" s="48">
        <f>HEX2DEC(RIGHT(Table1323212753[[#This Row],[h1]],8))</f>
        <v>0</v>
      </c>
      <c r="Q95" s="48" t="s">
        <v>75</v>
      </c>
      <c r="R95" s="48">
        <f>HEX2DEC(RIGHT(Table1323212753[[#This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226</v>
      </c>
      <c r="G96" s="49">
        <v>5000</v>
      </c>
      <c r="I96" s="27">
        <v>1</v>
      </c>
      <c r="J96" s="27">
        <v>50000</v>
      </c>
      <c r="L96" s="27"/>
      <c r="M96" s="27">
        <v>50000</v>
      </c>
      <c r="O96" s="48" t="s">
        <v>75</v>
      </c>
      <c r="P96" s="48">
        <f>HEX2DEC(RIGHT(Table1323212753[[#This Row],[h1]],8))</f>
        <v>0</v>
      </c>
      <c r="Q96" s="48" t="s">
        <v>75</v>
      </c>
      <c r="R96" s="48">
        <f>HEX2DEC(RIGHT(Table1323212753[[#This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227</v>
      </c>
      <c r="G97" s="49">
        <v>5000</v>
      </c>
      <c r="I97" s="27">
        <v>2</v>
      </c>
      <c r="J97" s="27">
        <v>50000</v>
      </c>
      <c r="L97" s="27"/>
      <c r="M97" s="27">
        <v>50000</v>
      </c>
      <c r="O97" s="48" t="s">
        <v>75</v>
      </c>
      <c r="P97" s="48">
        <f>HEX2DEC(RIGHT(Table1323212753[[#This Row],[h1]],8))</f>
        <v>0</v>
      </c>
      <c r="Q97" s="48" t="s">
        <v>75</v>
      </c>
      <c r="R97" s="48">
        <f>HEX2DEC(RIGHT(Table1323212753[[#This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228</v>
      </c>
      <c r="G98" s="49">
        <v>5000</v>
      </c>
      <c r="I98" s="27">
        <v>1</v>
      </c>
      <c r="J98" s="27">
        <v>50000</v>
      </c>
      <c r="L98" s="27"/>
      <c r="M98" s="27">
        <v>50000</v>
      </c>
      <c r="O98" s="48" t="s">
        <v>75</v>
      </c>
      <c r="P98" s="48">
        <f>HEX2DEC(RIGHT(Table1323212753[[#This Row],[h1]],8))</f>
        <v>0</v>
      </c>
      <c r="Q98" s="48" t="s">
        <v>75</v>
      </c>
      <c r="R98" s="48">
        <f>HEX2DEC(RIGHT(Table1323212753[[#This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229</v>
      </c>
      <c r="G99" s="49">
        <v>5000</v>
      </c>
      <c r="I99" s="27">
        <v>3</v>
      </c>
      <c r="J99" s="27">
        <v>50000</v>
      </c>
      <c r="L99" s="27"/>
      <c r="M99" s="27">
        <v>50000</v>
      </c>
      <c r="O99" s="48" t="s">
        <v>75</v>
      </c>
      <c r="P99" s="48">
        <f>HEX2DEC(RIGHT(Table1323212753[[#This Row],[h1]],8))</f>
        <v>0</v>
      </c>
      <c r="Q99" s="48" t="s">
        <v>75</v>
      </c>
      <c r="R99" s="48">
        <f>HEX2DEC(RIGHT(Table1323212753[[#This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230</v>
      </c>
      <c r="G100" s="49">
        <v>5000</v>
      </c>
      <c r="I100" s="27">
        <v>1</v>
      </c>
      <c r="J100" s="27">
        <v>50000</v>
      </c>
      <c r="L100" s="27"/>
      <c r="M100" s="27">
        <v>50000</v>
      </c>
      <c r="O100" s="48" t="s">
        <v>75</v>
      </c>
      <c r="P100" s="48">
        <f>HEX2DEC(RIGHT(Table1323212753[[#This Row],[h1]],8))</f>
        <v>0</v>
      </c>
      <c r="Q100" s="48" t="s">
        <v>75</v>
      </c>
      <c r="R100" s="48">
        <f>HEX2DEC(RIGHT(Table1323212753[[#This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231</v>
      </c>
      <c r="G101" s="49">
        <v>5000</v>
      </c>
      <c r="I101" s="27">
        <v>2</v>
      </c>
      <c r="J101" s="27">
        <v>50000</v>
      </c>
      <c r="L101" s="27"/>
      <c r="M101" s="27">
        <v>50000</v>
      </c>
      <c r="O101" s="48" t="s">
        <v>75</v>
      </c>
      <c r="P101" s="48">
        <f>HEX2DEC(RIGHT(Table1323212753[[#This Row],[h1]],8))</f>
        <v>0</v>
      </c>
      <c r="Q101" s="48" t="s">
        <v>75</v>
      </c>
      <c r="R101" s="48">
        <f>HEX2DEC(RIGHT(Table1323212753[[#This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232</v>
      </c>
      <c r="G102" s="49">
        <v>5000</v>
      </c>
      <c r="I102" s="27">
        <v>1</v>
      </c>
      <c r="J102" s="27">
        <v>50000</v>
      </c>
      <c r="L102" s="27"/>
      <c r="M102" s="27">
        <v>50000</v>
      </c>
      <c r="O102" s="48" t="s">
        <v>75</v>
      </c>
      <c r="P102" s="48">
        <f>HEX2DEC(RIGHT(Table1323212753[[#This Row],[h1]],8))</f>
        <v>0</v>
      </c>
      <c r="Q102" s="48" t="s">
        <v>75</v>
      </c>
      <c r="R102" s="48">
        <f>HEX2DEC(RIGHT(Table1323212753[[#This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233</v>
      </c>
      <c r="G103" s="49">
        <v>5000</v>
      </c>
      <c r="I103" s="27">
        <v>3</v>
      </c>
      <c r="J103" s="27">
        <v>50000</v>
      </c>
      <c r="L103" s="27"/>
      <c r="M103" s="27">
        <v>50000</v>
      </c>
      <c r="O103" s="48" t="s">
        <v>75</v>
      </c>
      <c r="P103" s="48">
        <f>HEX2DEC(RIGHT(Table1323212753[[#This Row],[h1]],8))</f>
        <v>0</v>
      </c>
      <c r="Q103" s="48" t="s">
        <v>75</v>
      </c>
      <c r="R103" s="48">
        <f>HEX2DEC(RIGHT(Table1323212753[[#This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234</v>
      </c>
      <c r="G104" s="49">
        <v>5000</v>
      </c>
      <c r="I104" s="27">
        <v>1</v>
      </c>
      <c r="J104" s="27">
        <v>50000</v>
      </c>
      <c r="L104" s="27"/>
      <c r="M104" s="27">
        <v>50000</v>
      </c>
      <c r="O104" s="48" t="s">
        <v>75</v>
      </c>
      <c r="P104" s="48">
        <f>HEX2DEC(RIGHT(Table1323212753[[#This Row],[h1]],8))</f>
        <v>0</v>
      </c>
      <c r="Q104" s="48" t="s">
        <v>75</v>
      </c>
      <c r="R104" s="48">
        <f>HEX2DEC(RIGHT(Table1323212753[[#This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235</v>
      </c>
      <c r="G105" s="49">
        <v>5000</v>
      </c>
      <c r="I105" s="27">
        <v>2</v>
      </c>
      <c r="J105" s="27">
        <v>50000</v>
      </c>
      <c r="L105" s="27"/>
      <c r="M105" s="27">
        <v>50000</v>
      </c>
      <c r="O105" s="48" t="s">
        <v>75</v>
      </c>
      <c r="P105" s="48">
        <f>HEX2DEC(RIGHT(Table1323212753[[#This Row],[h1]],8))</f>
        <v>0</v>
      </c>
      <c r="Q105" s="48" t="s">
        <v>75</v>
      </c>
      <c r="R105" s="48">
        <f>HEX2DEC(RIGHT(Table1323212753[[#This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236</v>
      </c>
      <c r="G106" s="49">
        <v>5000</v>
      </c>
      <c r="I106" s="27">
        <v>1</v>
      </c>
      <c r="J106" s="27">
        <v>50000</v>
      </c>
      <c r="L106" s="27"/>
      <c r="M106" s="27">
        <v>50000</v>
      </c>
      <c r="O106" s="48" t="s">
        <v>75</v>
      </c>
      <c r="P106" s="48">
        <f>HEX2DEC(RIGHT(Table1323212753[[#This Row],[h1]],8))</f>
        <v>0</v>
      </c>
      <c r="Q106" s="48" t="s">
        <v>75</v>
      </c>
      <c r="R106" s="48">
        <f>HEX2DEC(RIGHT(Table1323212753[[#This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237</v>
      </c>
      <c r="G107" s="49">
        <v>5000</v>
      </c>
      <c r="I107" s="27">
        <v>4</v>
      </c>
      <c r="J107" s="27">
        <v>50000</v>
      </c>
      <c r="L107" s="27"/>
      <c r="M107" s="27">
        <v>50000</v>
      </c>
      <c r="O107" s="48" t="s">
        <v>75</v>
      </c>
      <c r="P107" s="48">
        <f>HEX2DEC(RIGHT(Table1323212753[[#This Row],[h1]],8))</f>
        <v>0</v>
      </c>
      <c r="Q107" s="48" t="s">
        <v>75</v>
      </c>
      <c r="R107" s="48">
        <f>HEX2DEC(RIGHT(Table1323212753[[#This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238</v>
      </c>
      <c r="F108" s="21"/>
      <c r="G108" s="49">
        <v>5000</v>
      </c>
      <c r="I108" s="27">
        <v>1</v>
      </c>
      <c r="J108" s="27">
        <v>50000</v>
      </c>
      <c r="L108" s="27"/>
      <c r="M108" s="27">
        <v>50000</v>
      </c>
      <c r="O108" s="48" t="s">
        <v>75</v>
      </c>
      <c r="P108" s="48">
        <f>HEX2DEC(RIGHT(Table1323212753[[#This Row],[h1]],8))</f>
        <v>0</v>
      </c>
      <c r="Q108" s="48" t="s">
        <v>75</v>
      </c>
      <c r="R108" s="48">
        <f>HEX2DEC(RIGHT(Table1323212753[[#This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239</v>
      </c>
      <c r="F109" s="21"/>
      <c r="G109" s="49">
        <v>5000</v>
      </c>
      <c r="I109" s="27">
        <v>2</v>
      </c>
      <c r="J109" s="27">
        <v>50000</v>
      </c>
      <c r="L109" s="27"/>
      <c r="M109" s="27">
        <v>50000</v>
      </c>
      <c r="O109" s="48" t="s">
        <v>75</v>
      </c>
      <c r="P109" s="48">
        <f>HEX2DEC(RIGHT(Table1323212753[[#This Row],[h1]],8))</f>
        <v>0</v>
      </c>
      <c r="Q109" s="48" t="s">
        <v>75</v>
      </c>
      <c r="R109" s="48">
        <f>HEX2DEC(RIGHT(Table1323212753[[#This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240</v>
      </c>
      <c r="F110" s="21"/>
      <c r="G110" s="49">
        <v>5000</v>
      </c>
      <c r="I110" s="27">
        <v>1</v>
      </c>
      <c r="J110" s="27">
        <v>50000</v>
      </c>
      <c r="L110" s="27"/>
      <c r="M110" s="27">
        <v>50000</v>
      </c>
      <c r="O110" s="48" t="s">
        <v>75</v>
      </c>
      <c r="P110" s="48">
        <f>HEX2DEC(RIGHT(Table1323212753[[#This Row],[h1]],8))</f>
        <v>0</v>
      </c>
      <c r="Q110" s="48" t="s">
        <v>75</v>
      </c>
      <c r="R110" s="48">
        <f>HEX2DEC(RIGHT(Table1323212753[[#This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241</v>
      </c>
      <c r="F111" s="21"/>
      <c r="G111" s="49">
        <v>5000</v>
      </c>
      <c r="I111" s="27">
        <v>3</v>
      </c>
      <c r="J111" s="27">
        <v>50000</v>
      </c>
      <c r="L111" s="27"/>
      <c r="M111" s="27">
        <v>50000</v>
      </c>
      <c r="O111" s="48" t="s">
        <v>75</v>
      </c>
      <c r="P111" s="48">
        <f>HEX2DEC(RIGHT(Table1323212753[[#This Row],[h1]],8))</f>
        <v>0</v>
      </c>
      <c r="Q111" s="48" t="s">
        <v>75</v>
      </c>
      <c r="R111" s="48">
        <f>HEX2DEC(RIGHT(Table1323212753[[#This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242</v>
      </c>
      <c r="F112" s="21"/>
      <c r="G112" s="49">
        <v>5000</v>
      </c>
      <c r="I112" s="27">
        <v>1</v>
      </c>
      <c r="J112" s="27">
        <v>50000</v>
      </c>
      <c r="L112" s="27"/>
      <c r="M112" s="27">
        <v>50000</v>
      </c>
      <c r="O112" s="48" t="s">
        <v>75</v>
      </c>
      <c r="P112" s="48">
        <f>HEX2DEC(RIGHT(Table1323212753[[#This Row],[h1]],8))</f>
        <v>0</v>
      </c>
      <c r="Q112" s="48" t="s">
        <v>75</v>
      </c>
      <c r="R112" s="48">
        <f>HEX2DEC(RIGHT(Table1323212753[[#This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9"/>
      <c r="I113" s="27">
        <v>2</v>
      </c>
      <c r="J113" s="27">
        <v>50000</v>
      </c>
      <c r="L113" s="27"/>
      <c r="M113" s="27">
        <v>50000</v>
      </c>
      <c r="O113" s="48" t="s">
        <v>75</v>
      </c>
      <c r="P113" s="48">
        <f>HEX2DEC(RIGHT(Table1323212753[[#This Row],[h1]],8))</f>
        <v>0</v>
      </c>
      <c r="Q113" s="48" t="s">
        <v>75</v>
      </c>
      <c r="R113" s="48">
        <f>HEX2DEC(RIGHT(Table1323212753[[#This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346</v>
      </c>
      <c r="G114" s="29" t="s">
        <v>378</v>
      </c>
      <c r="I114" s="27">
        <v>1</v>
      </c>
      <c r="J114" s="27">
        <v>50000</v>
      </c>
      <c r="L114" s="27"/>
      <c r="M114" s="27">
        <v>50000</v>
      </c>
      <c r="O114" s="48" t="s">
        <v>75</v>
      </c>
      <c r="P114" s="48">
        <f>HEX2DEC(RIGHT(Table1323212753[[#This Row],[h1]],8))</f>
        <v>0</v>
      </c>
      <c r="Q114" s="48" t="s">
        <v>75</v>
      </c>
      <c r="R114" s="48">
        <f>HEX2DEC(RIGHT(Table1323212753[[#This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347</v>
      </c>
      <c r="G115" s="29" t="s">
        <v>378</v>
      </c>
      <c r="I115" s="27">
        <v>3</v>
      </c>
      <c r="J115" s="27">
        <v>50000</v>
      </c>
      <c r="L115" s="27"/>
      <c r="M115" s="27">
        <v>50000</v>
      </c>
      <c r="O115" s="48" t="s">
        <v>75</v>
      </c>
      <c r="P115" s="48">
        <f>HEX2DEC(RIGHT(Table1323212753[[#This Row],[h1]],8))</f>
        <v>0</v>
      </c>
      <c r="Q115" s="48" t="s">
        <v>75</v>
      </c>
      <c r="R115" s="48">
        <f>HEX2DEC(RIGHT(Table1323212753[[#This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348</v>
      </c>
      <c r="G116" s="29" t="s">
        <v>380</v>
      </c>
      <c r="I116" s="27">
        <v>1</v>
      </c>
      <c r="J116" s="27">
        <v>50000</v>
      </c>
      <c r="L116" s="27"/>
      <c r="M116" s="27">
        <v>50000</v>
      </c>
      <c r="O116" s="48" t="s">
        <v>75</v>
      </c>
      <c r="P116" s="48">
        <f>HEX2DEC(RIGHT(Table1323212753[[#This Row],[h1]],8))</f>
        <v>0</v>
      </c>
      <c r="Q116" s="48" t="s">
        <v>75</v>
      </c>
      <c r="R116" s="48">
        <f>HEX2DEC(RIGHT(Table1323212753[[#This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349</v>
      </c>
      <c r="G117" s="29" t="s">
        <v>382</v>
      </c>
      <c r="I117" s="27">
        <v>2</v>
      </c>
      <c r="J117" s="27">
        <v>50000</v>
      </c>
      <c r="L117" s="27"/>
      <c r="M117" s="27">
        <v>50000</v>
      </c>
      <c r="O117" s="48" t="s">
        <v>75</v>
      </c>
      <c r="P117" s="48">
        <f>HEX2DEC(RIGHT(Table1323212753[[#This Row],[h1]],8))</f>
        <v>0</v>
      </c>
      <c r="Q117" s="48" t="s">
        <v>75</v>
      </c>
      <c r="R117" s="48">
        <f>HEX2DEC(RIGHT(Table1323212753[[#This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350</v>
      </c>
      <c r="G118" s="29" t="s">
        <v>383</v>
      </c>
      <c r="I118" s="27">
        <v>1</v>
      </c>
      <c r="J118" s="27">
        <v>50000</v>
      </c>
      <c r="L118" s="27"/>
      <c r="M118" s="27">
        <v>50000</v>
      </c>
      <c r="O118" s="48" t="s">
        <v>75</v>
      </c>
      <c r="P118" s="48">
        <f>HEX2DEC(RIGHT(Table1323212753[[#This Row],[h1]],8))</f>
        <v>0</v>
      </c>
      <c r="Q118" s="48" t="s">
        <v>75</v>
      </c>
      <c r="R118" s="48">
        <f>HEX2DEC(RIGHT(Table1323212753[[#This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351</v>
      </c>
      <c r="G119" s="29" t="s">
        <v>384</v>
      </c>
      <c r="I119" s="27">
        <v>4</v>
      </c>
      <c r="J119" s="27">
        <v>50000</v>
      </c>
      <c r="L119" s="27"/>
      <c r="M119" s="27">
        <v>50000</v>
      </c>
      <c r="O119" s="48" t="s">
        <v>75</v>
      </c>
      <c r="P119" s="48">
        <f>HEX2DEC(RIGHT(Table1323212753[[#This Row],[h1]],8))</f>
        <v>0</v>
      </c>
      <c r="Q119" s="48" t="s">
        <v>75</v>
      </c>
      <c r="R119" s="48">
        <f>HEX2DEC(RIGHT(Table1323212753[[#This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352</v>
      </c>
      <c r="G120" s="29" t="s">
        <v>385</v>
      </c>
      <c r="I120" s="27">
        <v>1</v>
      </c>
      <c r="J120" s="27">
        <v>50000</v>
      </c>
      <c r="L120" s="27"/>
      <c r="M120" s="27">
        <v>50000</v>
      </c>
      <c r="O120" s="48" t="s">
        <v>75</v>
      </c>
      <c r="P120" s="48">
        <f>HEX2DEC(RIGHT(Table1323212753[[#This Row],[h1]],8))</f>
        <v>0</v>
      </c>
      <c r="Q120" s="48" t="s">
        <v>75</v>
      </c>
      <c r="R120" s="48">
        <f>HEX2DEC(RIGHT(Table1323212753[[#This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353</v>
      </c>
      <c r="G121" s="29" t="s">
        <v>378</v>
      </c>
      <c r="I121" s="27">
        <v>2</v>
      </c>
      <c r="J121" s="27">
        <v>50000</v>
      </c>
      <c r="L121" s="27"/>
      <c r="M121" s="27">
        <v>50000</v>
      </c>
      <c r="O121" s="48" t="s">
        <v>75</v>
      </c>
      <c r="P121" s="48">
        <f>HEX2DEC(RIGHT(Table1323212753[[#This Row],[h1]],8))</f>
        <v>0</v>
      </c>
      <c r="Q121" s="48" t="s">
        <v>75</v>
      </c>
      <c r="R121" s="48">
        <f>HEX2DEC(RIGHT(Table1323212753[[#This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354</v>
      </c>
      <c r="G122" s="29" t="s">
        <v>378</v>
      </c>
      <c r="I122" s="27">
        <v>1</v>
      </c>
      <c r="J122" s="27">
        <v>50000</v>
      </c>
      <c r="L122" s="27"/>
      <c r="M122" s="27">
        <v>50000</v>
      </c>
      <c r="O122" s="48" t="s">
        <v>75</v>
      </c>
      <c r="P122" s="48">
        <f>HEX2DEC(RIGHT(Table1323212753[[#This Row],[h1]],8))</f>
        <v>0</v>
      </c>
      <c r="Q122" s="48" t="s">
        <v>75</v>
      </c>
      <c r="R122" s="48">
        <f>HEX2DEC(RIGHT(Table1323212753[[#This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355</v>
      </c>
      <c r="G123" s="29" t="s">
        <v>378</v>
      </c>
      <c r="I123" s="27">
        <v>3</v>
      </c>
      <c r="J123" s="27">
        <v>50000</v>
      </c>
      <c r="L123" s="27"/>
      <c r="M123" s="27">
        <v>50000</v>
      </c>
      <c r="O123" s="48" t="s">
        <v>75</v>
      </c>
      <c r="P123" s="48">
        <f>HEX2DEC(RIGHT(Table1323212753[[#This Row],[h1]],8))</f>
        <v>0</v>
      </c>
      <c r="Q123" s="48" t="s">
        <v>75</v>
      </c>
      <c r="R123" s="48">
        <f>HEX2DEC(RIGHT(Table1323212753[[#This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356</v>
      </c>
      <c r="G124" s="29" t="s">
        <v>378</v>
      </c>
      <c r="I124" s="27">
        <v>1</v>
      </c>
      <c r="J124" s="27">
        <v>50000</v>
      </c>
      <c r="L124" s="27"/>
      <c r="M124" s="27">
        <v>50000</v>
      </c>
      <c r="O124" s="48" t="s">
        <v>75</v>
      </c>
      <c r="P124" s="48">
        <f>HEX2DEC(RIGHT(Table1323212753[[#This Row],[h1]],8))</f>
        <v>0</v>
      </c>
      <c r="Q124" s="48" t="s">
        <v>75</v>
      </c>
      <c r="R124" s="48">
        <f>HEX2DEC(RIGHT(Table1323212753[[#This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357</v>
      </c>
      <c r="G125" s="29" t="s">
        <v>378</v>
      </c>
      <c r="I125" s="27">
        <v>2</v>
      </c>
      <c r="J125" s="27">
        <v>50000</v>
      </c>
      <c r="L125" s="27"/>
      <c r="M125" s="27">
        <v>50000</v>
      </c>
      <c r="O125" s="48" t="s">
        <v>75</v>
      </c>
      <c r="P125" s="48">
        <f>HEX2DEC(RIGHT(Table1323212753[[#This Row],[h1]],8))</f>
        <v>0</v>
      </c>
      <c r="Q125" s="48" t="s">
        <v>75</v>
      </c>
      <c r="R125" s="48">
        <f>HEX2DEC(RIGHT(Table1323212753[[#This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358</v>
      </c>
      <c r="G126" s="29" t="s">
        <v>378</v>
      </c>
      <c r="I126" s="27">
        <v>1</v>
      </c>
      <c r="J126" s="27">
        <v>50000</v>
      </c>
      <c r="L126" s="27"/>
      <c r="M126" s="27">
        <v>50000</v>
      </c>
      <c r="O126" s="48" t="s">
        <v>75</v>
      </c>
      <c r="P126" s="48">
        <f>HEX2DEC(RIGHT(Table1323212753[[#This Row],[h1]],8))</f>
        <v>0</v>
      </c>
      <c r="Q126" s="48" t="s">
        <v>75</v>
      </c>
      <c r="R126" s="48">
        <f>HEX2DEC(RIGHT(Table1323212753[[#This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359</v>
      </c>
      <c r="G127" s="29" t="s">
        <v>378</v>
      </c>
      <c r="I127" s="27">
        <v>3</v>
      </c>
      <c r="J127" s="27">
        <v>50000</v>
      </c>
      <c r="L127" s="27"/>
      <c r="M127" s="27">
        <v>50000</v>
      </c>
      <c r="O127" s="48" t="s">
        <v>75</v>
      </c>
      <c r="P127" s="48">
        <f>HEX2DEC(RIGHT(Table1323212753[[#This Row],[h1]],8))</f>
        <v>0</v>
      </c>
      <c r="Q127" s="48" t="s">
        <v>75</v>
      </c>
      <c r="R127" s="48">
        <f>HEX2DEC(RIGHT(Table1323212753[[#This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360</v>
      </c>
      <c r="G128" s="29" t="s">
        <v>378</v>
      </c>
      <c r="I128" s="27">
        <v>1</v>
      </c>
      <c r="J128" s="27">
        <v>50000</v>
      </c>
      <c r="L128" s="27"/>
      <c r="M128" s="27">
        <v>50000</v>
      </c>
      <c r="O128" s="48" t="s">
        <v>75</v>
      </c>
      <c r="P128" s="48">
        <f>HEX2DEC(RIGHT(Table1323212753[[#This Row],[h1]],8))</f>
        <v>0</v>
      </c>
      <c r="Q128" s="48" t="s">
        <v>75</v>
      </c>
      <c r="R128" s="48">
        <f>HEX2DEC(RIGHT(Table1323212753[[#This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361</v>
      </c>
      <c r="G129" s="29" t="s">
        <v>378</v>
      </c>
      <c r="I129" s="27">
        <v>2</v>
      </c>
      <c r="J129" s="27">
        <v>50000</v>
      </c>
      <c r="L129" s="27"/>
      <c r="M129" s="27">
        <v>50000</v>
      </c>
      <c r="O129" s="48" t="s">
        <v>75</v>
      </c>
      <c r="P129" s="48">
        <f>HEX2DEC(RIGHT(Table1323212753[[#This Row],[h1]],8))</f>
        <v>0</v>
      </c>
      <c r="Q129" s="48" t="s">
        <v>75</v>
      </c>
      <c r="R129" s="48">
        <f>HEX2DEC(RIGHT(Table1323212753[[#This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362</v>
      </c>
      <c r="G130" s="29" t="s">
        <v>378</v>
      </c>
      <c r="I130" s="27">
        <v>1</v>
      </c>
      <c r="J130" s="27">
        <v>50000</v>
      </c>
      <c r="L130" s="27"/>
      <c r="M130" s="27">
        <v>50000</v>
      </c>
      <c r="O130" s="48" t="s">
        <v>75</v>
      </c>
      <c r="P130" s="48">
        <f>HEX2DEC(RIGHT(Table1323212753[[#This Row],[h1]],8))</f>
        <v>0</v>
      </c>
      <c r="Q130" s="48" t="s">
        <v>75</v>
      </c>
      <c r="R130" s="48">
        <f>HEX2DEC(RIGHT(Table1323212753[[#This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363</v>
      </c>
      <c r="G131" s="29" t="s">
        <v>378</v>
      </c>
      <c r="I131" s="27">
        <v>4</v>
      </c>
      <c r="J131" s="27">
        <v>50000</v>
      </c>
      <c r="L131" s="27"/>
      <c r="M131" s="27">
        <v>50000</v>
      </c>
      <c r="O131" s="48" t="s">
        <v>75</v>
      </c>
      <c r="P131" s="48">
        <f>HEX2DEC(RIGHT(Table1323212753[[#This Row],[h1]],8))</f>
        <v>0</v>
      </c>
      <c r="Q131" s="48" t="s">
        <v>75</v>
      </c>
      <c r="R131" s="48">
        <f>HEX2DEC(RIGHT(Table1323212753[[#This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364</v>
      </c>
      <c r="G132" s="29" t="s">
        <v>378</v>
      </c>
      <c r="I132" s="27">
        <v>1</v>
      </c>
      <c r="J132" s="27">
        <v>50000</v>
      </c>
      <c r="L132" s="27"/>
      <c r="M132" s="27">
        <v>50000</v>
      </c>
      <c r="O132" s="48" t="s">
        <v>75</v>
      </c>
      <c r="P132" s="48">
        <f>HEX2DEC(RIGHT(Table1323212753[[#This Row],[h1]],8))</f>
        <v>0</v>
      </c>
      <c r="Q132" s="48" t="s">
        <v>75</v>
      </c>
      <c r="R132" s="48">
        <f>HEX2DEC(RIGHT(Table1323212753[[#This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365</v>
      </c>
      <c r="G133" s="29" t="s">
        <v>378</v>
      </c>
      <c r="I133" s="27">
        <v>2</v>
      </c>
      <c r="J133" s="27">
        <v>50000</v>
      </c>
      <c r="L133" s="27"/>
      <c r="M133" s="27">
        <v>50000</v>
      </c>
      <c r="O133" s="48" t="s">
        <v>75</v>
      </c>
      <c r="P133" s="48">
        <f>HEX2DEC(RIGHT(Table1323212753[[#This Row],[h1]],8))</f>
        <v>0</v>
      </c>
      <c r="Q133" s="48" t="s">
        <v>75</v>
      </c>
      <c r="R133" s="48">
        <f>HEX2DEC(RIGHT(Table1323212753[[#This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366</v>
      </c>
      <c r="G134" s="29" t="s">
        <v>378</v>
      </c>
      <c r="I134" s="27">
        <v>1</v>
      </c>
      <c r="J134" s="27">
        <v>50000</v>
      </c>
      <c r="L134" s="27"/>
      <c r="M134" s="27">
        <v>50000</v>
      </c>
      <c r="O134" s="48" t="s">
        <v>75</v>
      </c>
      <c r="P134" s="48">
        <f>HEX2DEC(RIGHT(Table1323212753[[#This Row],[h1]],8))</f>
        <v>0</v>
      </c>
      <c r="Q134" s="48" t="s">
        <v>75</v>
      </c>
      <c r="R134" s="48">
        <f>HEX2DEC(RIGHT(Table1323212753[[#This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367</v>
      </c>
      <c r="G135" s="29" t="s">
        <v>378</v>
      </c>
      <c r="I135" s="27">
        <v>3</v>
      </c>
      <c r="J135" s="27">
        <v>50000</v>
      </c>
      <c r="L135" s="27"/>
      <c r="M135" s="27">
        <v>50000</v>
      </c>
      <c r="O135" s="48" t="s">
        <v>75</v>
      </c>
      <c r="P135" s="48">
        <f>HEX2DEC(RIGHT(Table1323212753[[#This Row],[h1]],8))</f>
        <v>0</v>
      </c>
      <c r="Q135" s="48" t="s">
        <v>75</v>
      </c>
      <c r="R135" s="48">
        <f>HEX2DEC(RIGHT(Table1323212753[[#This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368</v>
      </c>
      <c r="G136" s="29" t="s">
        <v>378</v>
      </c>
      <c r="I136" s="27">
        <v>1</v>
      </c>
      <c r="J136" s="27">
        <v>50000</v>
      </c>
      <c r="L136" s="27"/>
      <c r="M136" s="27">
        <v>50000</v>
      </c>
      <c r="O136" s="48" t="s">
        <v>75</v>
      </c>
      <c r="P136" s="48">
        <f>HEX2DEC(RIGHT(Table1323212753[[#This Row],[h1]],8))</f>
        <v>0</v>
      </c>
      <c r="Q136" s="48" t="s">
        <v>75</v>
      </c>
      <c r="R136" s="48">
        <f>HEX2DEC(RIGHT(Table1323212753[[#This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369</v>
      </c>
      <c r="G137" s="29" t="s">
        <v>378</v>
      </c>
      <c r="I137" s="27">
        <v>2</v>
      </c>
      <c r="J137" s="27">
        <v>50000</v>
      </c>
      <c r="L137" s="27"/>
      <c r="M137" s="27">
        <v>50000</v>
      </c>
      <c r="O137" s="48" t="s">
        <v>75</v>
      </c>
      <c r="P137" s="48">
        <f>HEX2DEC(RIGHT(Table1323212753[[#This Row],[h1]],8))</f>
        <v>0</v>
      </c>
      <c r="Q137" s="48" t="s">
        <v>75</v>
      </c>
      <c r="R137" s="48">
        <f>HEX2DEC(RIGHT(Table1323212753[[#This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370</v>
      </c>
      <c r="G138" s="29" t="s">
        <v>378</v>
      </c>
      <c r="I138" s="27">
        <v>1</v>
      </c>
      <c r="J138" s="27">
        <v>50000</v>
      </c>
      <c r="L138" s="27"/>
      <c r="M138" s="27">
        <v>50000</v>
      </c>
      <c r="O138" s="48" t="s">
        <v>75</v>
      </c>
      <c r="P138" s="48">
        <f>HEX2DEC(RIGHT(Table1323212753[[#This Row],[h1]],8))</f>
        <v>0</v>
      </c>
      <c r="Q138" s="48" t="s">
        <v>75</v>
      </c>
      <c r="R138" s="48">
        <f>HEX2DEC(RIGHT(Table1323212753[[#This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371</v>
      </c>
      <c r="G139" s="29" t="s">
        <v>378</v>
      </c>
      <c r="I139" s="27">
        <v>3</v>
      </c>
      <c r="J139" s="27">
        <v>50000</v>
      </c>
      <c r="L139" s="27"/>
      <c r="M139" s="27">
        <v>50000</v>
      </c>
      <c r="O139" s="48" t="s">
        <v>75</v>
      </c>
      <c r="P139" s="48">
        <f>HEX2DEC(RIGHT(Table1323212753[[#This Row],[h1]],8))</f>
        <v>0</v>
      </c>
      <c r="Q139" s="48" t="s">
        <v>75</v>
      </c>
      <c r="R139" s="48">
        <f>HEX2DEC(RIGHT(Table1323212753[[#This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372</v>
      </c>
      <c r="G140" s="29" t="s">
        <v>378</v>
      </c>
      <c r="I140" s="27">
        <v>1</v>
      </c>
      <c r="J140" s="27">
        <v>50000</v>
      </c>
      <c r="L140" s="27"/>
      <c r="M140" s="27">
        <v>50000</v>
      </c>
      <c r="O140" s="48" t="s">
        <v>75</v>
      </c>
      <c r="P140" s="48">
        <f>HEX2DEC(RIGHT(Table1323212753[[#This Row],[h1]],8))</f>
        <v>0</v>
      </c>
      <c r="Q140" s="48" t="s">
        <v>75</v>
      </c>
      <c r="R140" s="48">
        <f>HEX2DEC(RIGHT(Table1323212753[[#This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373</v>
      </c>
      <c r="F141" s="21"/>
      <c r="G141" s="29" t="s">
        <v>378</v>
      </c>
      <c r="I141" s="27">
        <v>2</v>
      </c>
      <c r="J141" s="27">
        <v>50000</v>
      </c>
      <c r="L141" s="27"/>
      <c r="M141" s="27">
        <v>50000</v>
      </c>
      <c r="O141" s="48" t="s">
        <v>75</v>
      </c>
      <c r="P141" s="48">
        <f>HEX2DEC(RIGHT(Table1323212753[[#This Row],[h1]],8))</f>
        <v>0</v>
      </c>
      <c r="Q141" s="48" t="s">
        <v>75</v>
      </c>
      <c r="R141" s="48">
        <f>HEX2DEC(RIGHT(Table1323212753[[#This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374</v>
      </c>
      <c r="F142" s="21"/>
      <c r="G142" s="29" t="s">
        <v>378</v>
      </c>
      <c r="I142" s="27">
        <v>1</v>
      </c>
      <c r="J142" s="27">
        <v>50000</v>
      </c>
      <c r="L142" s="27"/>
      <c r="M142" s="27">
        <v>50000</v>
      </c>
      <c r="O142" s="48" t="s">
        <v>75</v>
      </c>
      <c r="P142" s="48">
        <f>HEX2DEC(RIGHT(Table1323212753[[#This Row],[h1]],8))</f>
        <v>0</v>
      </c>
      <c r="Q142" s="48" t="s">
        <v>75</v>
      </c>
      <c r="R142" s="48">
        <f>HEX2DEC(RIGHT(Table1323212753[[#This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375</v>
      </c>
      <c r="F143" s="21"/>
      <c r="G143" s="29" t="s">
        <v>378</v>
      </c>
      <c r="I143" s="27">
        <v>4</v>
      </c>
      <c r="J143" s="27">
        <v>50000</v>
      </c>
      <c r="L143" s="27"/>
      <c r="M143" s="27">
        <v>50000</v>
      </c>
      <c r="O143" s="48" t="s">
        <v>75</v>
      </c>
      <c r="P143" s="48">
        <f>HEX2DEC(RIGHT(Table1323212753[[#This Row],[h1]],8))</f>
        <v>0</v>
      </c>
      <c r="Q143" s="48" t="s">
        <v>75</v>
      </c>
      <c r="R143" s="48">
        <f>HEX2DEC(RIGHT(Table1323212753[[#This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376</v>
      </c>
      <c r="F144" s="21"/>
      <c r="G144" s="29" t="s">
        <v>378</v>
      </c>
      <c r="I144" s="27">
        <v>1</v>
      </c>
      <c r="J144" s="27">
        <v>50000</v>
      </c>
      <c r="L144" s="27"/>
      <c r="M144" s="27">
        <v>50000</v>
      </c>
      <c r="O144" s="48" t="s">
        <v>75</v>
      </c>
      <c r="P144" s="48">
        <f>HEX2DEC(RIGHT(Table1323212753[[#This Row],[h1]],8))</f>
        <v>0</v>
      </c>
      <c r="Q144" s="48" t="s">
        <v>75</v>
      </c>
      <c r="R144" s="48">
        <f>HEX2DEC(RIGHT(Table1323212753[[#This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377</v>
      </c>
      <c r="F145" s="21"/>
      <c r="G145" s="29" t="s">
        <v>378</v>
      </c>
      <c r="I145" s="27">
        <v>2</v>
      </c>
      <c r="J145" s="27">
        <v>50000</v>
      </c>
      <c r="L145" s="27"/>
      <c r="M145" s="27">
        <v>50000</v>
      </c>
      <c r="O145" s="48" t="s">
        <v>75</v>
      </c>
      <c r="P145" s="48">
        <f>HEX2DEC(RIGHT(Table1323212753[[#This Row],[h1]],8))</f>
        <v>0</v>
      </c>
      <c r="Q145" s="48" t="s">
        <v>75</v>
      </c>
      <c r="R145" s="48">
        <f>HEX2DEC(RIGHT(Table1323212753[[#This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1</v>
      </c>
      <c r="J146" s="27">
        <v>50000</v>
      </c>
      <c r="L146" s="27"/>
      <c r="M146" s="27">
        <v>50000</v>
      </c>
      <c r="O146" s="48" t="s">
        <v>75</v>
      </c>
      <c r="P146" s="48">
        <f>HEX2DEC(RIGHT(Table1323212753[[#This Row],[h1]],8))</f>
        <v>0</v>
      </c>
      <c r="Q146" s="48" t="s">
        <v>75</v>
      </c>
      <c r="R146" s="48">
        <f>HEX2DEC(RIGHT(Table1323212753[[#This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139</v>
      </c>
      <c r="G147" s="49">
        <v>0</v>
      </c>
      <c r="I147" s="27">
        <v>3</v>
      </c>
      <c r="J147" s="27">
        <v>50000</v>
      </c>
      <c r="L147" s="27"/>
      <c r="M147" s="27">
        <v>50000</v>
      </c>
      <c r="O147" s="48" t="s">
        <v>75</v>
      </c>
      <c r="P147" s="48">
        <f>HEX2DEC(RIGHT(Table1323212753[[#This Row],[h1]],8))</f>
        <v>0</v>
      </c>
      <c r="Q147" s="48" t="s">
        <v>75</v>
      </c>
      <c r="R147" s="48">
        <f>HEX2DEC(RIGHT(Table1323212753[[#This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140</v>
      </c>
      <c r="G148" s="49">
        <v>0</v>
      </c>
      <c r="I148" s="27">
        <v>1</v>
      </c>
      <c r="J148" s="27">
        <v>50000</v>
      </c>
      <c r="L148" s="27"/>
      <c r="M148" s="27">
        <v>50000</v>
      </c>
      <c r="O148" s="48" t="s">
        <v>75</v>
      </c>
      <c r="P148" s="48">
        <f>HEX2DEC(RIGHT(Table1323212753[[#This Row],[h1]],8))</f>
        <v>0</v>
      </c>
      <c r="Q148" s="48" t="s">
        <v>75</v>
      </c>
      <c r="R148" s="48">
        <f>HEX2DEC(RIGHT(Table1323212753[[#This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141</v>
      </c>
      <c r="G149" s="49">
        <v>0</v>
      </c>
      <c r="I149" s="27">
        <v>2</v>
      </c>
      <c r="J149" s="27">
        <v>50000</v>
      </c>
      <c r="L149" s="27"/>
      <c r="M149" s="27">
        <v>50000</v>
      </c>
      <c r="O149" s="48" t="s">
        <v>75</v>
      </c>
      <c r="P149" s="48">
        <f>HEX2DEC(RIGHT(Table1323212753[[#This Row],[h1]],8))</f>
        <v>0</v>
      </c>
      <c r="Q149" s="48" t="s">
        <v>75</v>
      </c>
      <c r="R149" s="48">
        <f>HEX2DEC(RIGHT(Table1323212753[[#This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142</v>
      </c>
      <c r="G150" s="49">
        <v>0</v>
      </c>
      <c r="I150" s="27">
        <v>1</v>
      </c>
      <c r="J150" s="27">
        <v>50000</v>
      </c>
      <c r="L150" s="27"/>
      <c r="M150" s="27">
        <v>50000</v>
      </c>
      <c r="O150" s="48" t="s">
        <v>75</v>
      </c>
      <c r="P150" s="48">
        <f>HEX2DEC(RIGHT(Table1323212753[[#This Row],[h1]],8))</f>
        <v>0</v>
      </c>
      <c r="Q150" s="48" t="s">
        <v>75</v>
      </c>
      <c r="R150" s="48">
        <f>HEX2DEC(RIGHT(Table1323212753[[#This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143</v>
      </c>
      <c r="G151" s="49">
        <v>0</v>
      </c>
      <c r="I151" s="27">
        <v>3</v>
      </c>
      <c r="J151" s="27">
        <v>50000</v>
      </c>
      <c r="L151" s="27"/>
      <c r="M151" s="27">
        <v>50000</v>
      </c>
      <c r="O151" s="48" t="s">
        <v>75</v>
      </c>
      <c r="P151" s="48">
        <f>HEX2DEC(RIGHT(Table1323212753[[#This Row],[h1]],8))</f>
        <v>0</v>
      </c>
      <c r="Q151" s="48" t="s">
        <v>75</v>
      </c>
      <c r="R151" s="48">
        <f>HEX2DEC(RIGHT(Table1323212753[[#This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144</v>
      </c>
      <c r="G152" s="49">
        <v>0</v>
      </c>
      <c r="I152" s="27">
        <v>1</v>
      </c>
      <c r="J152" s="27">
        <v>50000</v>
      </c>
      <c r="L152" s="27"/>
      <c r="M152" s="27">
        <v>50000</v>
      </c>
      <c r="O152" s="48" t="s">
        <v>75</v>
      </c>
      <c r="P152" s="48">
        <f>HEX2DEC(RIGHT(Table1323212753[[#This Row],[h1]],8))</f>
        <v>0</v>
      </c>
      <c r="Q152" s="48" t="s">
        <v>75</v>
      </c>
      <c r="R152" s="48">
        <f>HEX2DEC(RIGHT(Table1323212753[[#This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145</v>
      </c>
      <c r="G153" s="49">
        <v>0</v>
      </c>
      <c r="I153" s="27">
        <v>2</v>
      </c>
      <c r="J153" s="27">
        <v>50000</v>
      </c>
      <c r="L153" s="27"/>
      <c r="M153" s="27">
        <v>50000</v>
      </c>
      <c r="O153" s="48" t="s">
        <v>75</v>
      </c>
      <c r="P153" s="48">
        <f>HEX2DEC(RIGHT(Table1323212753[[#This Row],[h1]],8))</f>
        <v>0</v>
      </c>
      <c r="Q153" s="48" t="s">
        <v>75</v>
      </c>
      <c r="R153" s="48">
        <f>HEX2DEC(RIGHT(Table1323212753[[#This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146</v>
      </c>
      <c r="G154" s="49">
        <v>0</v>
      </c>
      <c r="I154" s="27">
        <v>1</v>
      </c>
      <c r="J154" s="27">
        <v>50000</v>
      </c>
      <c r="L154" s="27"/>
      <c r="M154" s="27">
        <v>50000</v>
      </c>
      <c r="O154" s="48" t="s">
        <v>75</v>
      </c>
      <c r="P154" s="48">
        <f>HEX2DEC(RIGHT(Table1323212753[[#This Row],[h1]],8))</f>
        <v>0</v>
      </c>
      <c r="Q154" s="48" t="s">
        <v>75</v>
      </c>
      <c r="R154" s="48">
        <f>HEX2DEC(RIGHT(Table1323212753[[#This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48"/>
      <c r="I155" s="27">
        <v>4</v>
      </c>
      <c r="J155" s="27">
        <v>50000</v>
      </c>
      <c r="L155" s="27"/>
      <c r="M155" s="27">
        <v>50000</v>
      </c>
      <c r="O155" s="48" t="s">
        <v>75</v>
      </c>
      <c r="P155" s="48">
        <f>HEX2DEC(RIGHT(Table1323212753[[#This Row],[h1]],8))</f>
        <v>0</v>
      </c>
      <c r="Q155" s="48" t="s">
        <v>75</v>
      </c>
      <c r="R155" s="48">
        <f>HEX2DEC(RIGHT(Table1323212753[[#This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243</v>
      </c>
      <c r="F156" s="21"/>
      <c r="G156" s="52">
        <v>1</v>
      </c>
      <c r="I156" s="27">
        <v>1</v>
      </c>
      <c r="J156" s="27">
        <v>50000</v>
      </c>
      <c r="L156" s="27"/>
      <c r="M156" s="27">
        <v>50000</v>
      </c>
      <c r="O156" s="48" t="s">
        <v>75</v>
      </c>
      <c r="P156" s="48">
        <f>HEX2DEC(RIGHT(Table1323212753[[#This Row],[h1]],8))</f>
        <v>0</v>
      </c>
      <c r="Q156" s="48" t="s">
        <v>75</v>
      </c>
      <c r="R156" s="48">
        <f>HEX2DEC(RIGHT(Table1323212753[[#This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243</v>
      </c>
      <c r="F157" s="21"/>
      <c r="G157" s="52">
        <v>0</v>
      </c>
      <c r="I157" s="27">
        <v>2</v>
      </c>
      <c r="J157" s="27">
        <v>50000</v>
      </c>
      <c r="L157" s="27"/>
      <c r="M157" s="27">
        <v>50000</v>
      </c>
      <c r="O157" s="48" t="s">
        <v>75</v>
      </c>
      <c r="P157" s="48">
        <f>HEX2DEC(RIGHT(Table1323212753[[#This Row],[h1]],8))</f>
        <v>0</v>
      </c>
      <c r="Q157" s="48" t="s">
        <v>75</v>
      </c>
      <c r="R157" s="48">
        <f>HEX2DEC(RIGHT(Table1323212753[[#This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1</v>
      </c>
      <c r="J158" s="27">
        <v>50000</v>
      </c>
      <c r="L158" s="27"/>
      <c r="M158" s="27">
        <v>50000</v>
      </c>
      <c r="O158" s="48" t="s">
        <v>75</v>
      </c>
      <c r="P158" s="48">
        <f>HEX2DEC(RIGHT(Table1323212753[[#This Row],[h1]],8))</f>
        <v>0</v>
      </c>
      <c r="Q158" s="48" t="s">
        <v>75</v>
      </c>
      <c r="R158" s="48">
        <f>HEX2DEC(RIGHT(Table1323212753[[#This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244</v>
      </c>
      <c r="F159" s="21"/>
      <c r="G159" s="49">
        <v>0</v>
      </c>
      <c r="I159" s="27">
        <v>3</v>
      </c>
      <c r="J159" s="27">
        <v>50000</v>
      </c>
      <c r="L159" s="27"/>
      <c r="M159" s="27">
        <v>50000</v>
      </c>
      <c r="O159" s="48" t="s">
        <v>75</v>
      </c>
      <c r="P159" s="48">
        <f>HEX2DEC(RIGHT(Table1323212753[[#This Row],[h1]],8))</f>
        <v>0</v>
      </c>
      <c r="Q159" s="48" t="s">
        <v>75</v>
      </c>
      <c r="R159" s="48">
        <f>HEX2DEC(RIGHT(Table1323212753[[#This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245</v>
      </c>
      <c r="F160" s="21"/>
      <c r="G160" s="49">
        <v>0</v>
      </c>
      <c r="I160" s="27">
        <v>1</v>
      </c>
      <c r="J160" s="27">
        <v>50000</v>
      </c>
      <c r="L160" s="27"/>
      <c r="M160" s="27">
        <v>50000</v>
      </c>
      <c r="O160" s="48" t="s">
        <v>75</v>
      </c>
      <c r="P160" s="48">
        <f>HEX2DEC(RIGHT(Table1323212753[[#This Row],[h1]],8))</f>
        <v>0</v>
      </c>
      <c r="Q160" s="48" t="s">
        <v>75</v>
      </c>
      <c r="R160" s="48">
        <f>HEX2DEC(RIGHT(Table1323212753[[#This Row],[h2]],8))</f>
        <v>0</v>
      </c>
    </row>
    <row r="161" spans="1:18">
      <c r="A161" s="15" t="str">
        <f t="shared" si="7"/>
        <v>097</v>
      </c>
      <c r="B161" s="15">
        <v>151</v>
      </c>
      <c r="C161" s="38"/>
      <c r="D161" s="15" t="s">
        <v>246</v>
      </c>
      <c r="F161" s="21"/>
      <c r="G161" s="49">
        <v>0</v>
      </c>
      <c r="I161" s="27">
        <v>2</v>
      </c>
      <c r="J161" s="27">
        <v>50000</v>
      </c>
      <c r="L161" s="27"/>
      <c r="M161" s="27">
        <v>50000</v>
      </c>
      <c r="O161" s="48" t="s">
        <v>75</v>
      </c>
      <c r="P161" s="48">
        <f>HEX2DEC(RIGHT(Table1323212753[[#This Row],[h1]],8))</f>
        <v>0</v>
      </c>
      <c r="Q161" s="48" t="s">
        <v>75</v>
      </c>
      <c r="R161" s="48">
        <f>HEX2DEC(RIGHT(Table1323212753[[#This Row],[h2]],8))</f>
        <v>0</v>
      </c>
    </row>
    <row r="162" spans="1:18">
      <c r="A162" s="15" t="str">
        <f t="shared" si="7"/>
        <v>098</v>
      </c>
      <c r="B162" s="15">
        <v>152</v>
      </c>
      <c r="C162" s="38"/>
      <c r="F162" s="21"/>
      <c r="G162" s="49"/>
      <c r="I162" s="27">
        <v>1</v>
      </c>
      <c r="J162" s="27">
        <v>50000</v>
      </c>
      <c r="L162" s="27"/>
      <c r="M162" s="27">
        <v>50000</v>
      </c>
      <c r="O162" s="48" t="s">
        <v>75</v>
      </c>
      <c r="P162" s="48">
        <f>HEX2DEC(RIGHT(Table1323212753[[#This Row],[h1]],8))</f>
        <v>0</v>
      </c>
      <c r="Q162" s="48" t="s">
        <v>75</v>
      </c>
      <c r="R162" s="48">
        <f>HEX2DEC(RIGHT(Table1323212753[[#This Row],[h2]],8))</f>
        <v>0</v>
      </c>
    </row>
    <row r="163" spans="1:18">
      <c r="A163" s="15" t="str">
        <f t="shared" si="7"/>
        <v>099</v>
      </c>
      <c r="B163" s="15">
        <v>153</v>
      </c>
      <c r="C163" s="38"/>
      <c r="D163" s="15" t="s">
        <v>247</v>
      </c>
      <c r="F163" s="21"/>
      <c r="G163" s="49">
        <v>1</v>
      </c>
      <c r="I163" s="27">
        <v>3</v>
      </c>
      <c r="J163" s="27">
        <v>50000</v>
      </c>
      <c r="L163" s="27"/>
      <c r="M163" s="27">
        <v>50000</v>
      </c>
      <c r="O163" s="48" t="s">
        <v>75</v>
      </c>
      <c r="P163" s="48">
        <f>HEX2DEC(RIGHT(Table1323212753[[#This Row],[h1]],8))</f>
        <v>0</v>
      </c>
      <c r="Q163" s="48" t="s">
        <v>75</v>
      </c>
      <c r="R163" s="48">
        <f>HEX2DEC(RIGHT(Table1323212753[[#This Row],[h2]],8))</f>
        <v>0</v>
      </c>
    </row>
    <row r="164" spans="1:18">
      <c r="A164" s="15" t="str">
        <f t="shared" si="7"/>
        <v>09A</v>
      </c>
      <c r="B164" s="15">
        <v>154</v>
      </c>
      <c r="C164" s="38"/>
      <c r="D164" s="15" t="s">
        <v>248</v>
      </c>
      <c r="F164" s="21"/>
      <c r="G164" s="49">
        <v>1</v>
      </c>
      <c r="I164" s="27">
        <v>1</v>
      </c>
      <c r="J164" s="27">
        <v>50000</v>
      </c>
      <c r="L164" s="27"/>
      <c r="M164" s="27">
        <v>50000</v>
      </c>
      <c r="O164" s="48" t="s">
        <v>75</v>
      </c>
      <c r="P164" s="48">
        <f>HEX2DEC(RIGHT(Table1323212753[[#This Row],[h1]],8))</f>
        <v>0</v>
      </c>
      <c r="Q164" s="48" t="s">
        <v>75</v>
      </c>
      <c r="R164" s="48">
        <f>HEX2DEC(RIGHT(Table1323212753[[#This Row],[h2]],8))</f>
        <v>0</v>
      </c>
    </row>
    <row r="165" spans="1:18">
      <c r="A165" s="15" t="str">
        <f t="shared" si="7"/>
        <v>09B</v>
      </c>
      <c r="B165" s="15">
        <v>155</v>
      </c>
      <c r="C165" s="38"/>
      <c r="D165" s="15" t="s">
        <v>249</v>
      </c>
      <c r="F165" s="21"/>
      <c r="G165" s="49">
        <v>1</v>
      </c>
      <c r="I165" s="27">
        <v>2</v>
      </c>
      <c r="J165" s="27">
        <v>50000</v>
      </c>
      <c r="L165" s="27"/>
      <c r="M165" s="27">
        <v>50000</v>
      </c>
      <c r="O165" s="48" t="s">
        <v>75</v>
      </c>
      <c r="P165" s="48">
        <f>HEX2DEC(RIGHT(Table1323212753[[#This Row],[h1]],8))</f>
        <v>0</v>
      </c>
      <c r="Q165" s="48" t="s">
        <v>75</v>
      </c>
      <c r="R165" s="48">
        <f>HEX2DEC(RIGHT(Table1323212753[[#This Row],[h2]],8))</f>
        <v>0</v>
      </c>
    </row>
    <row r="166" spans="1:18">
      <c r="A166" s="15" t="str">
        <f t="shared" si="7"/>
        <v>09C</v>
      </c>
      <c r="B166" s="15">
        <v>156</v>
      </c>
      <c r="C166" s="38"/>
      <c r="D166" s="15" t="s">
        <v>331</v>
      </c>
      <c r="F166" s="21"/>
      <c r="G166" s="49">
        <v>1</v>
      </c>
      <c r="I166" s="27">
        <v>1</v>
      </c>
      <c r="J166" s="27">
        <v>50000</v>
      </c>
      <c r="L166" s="27"/>
      <c r="M166" s="27">
        <v>50000</v>
      </c>
      <c r="O166" s="48" t="s">
        <v>75</v>
      </c>
      <c r="P166" s="48">
        <f>HEX2DEC(RIGHT(Table1323212753[[#This Row],[h1]],8))</f>
        <v>0</v>
      </c>
      <c r="Q166" s="48" t="s">
        <v>75</v>
      </c>
      <c r="R166" s="48">
        <f>HEX2DEC(RIGHT(Table1323212753[[#This Row],[h2]],8))</f>
        <v>0</v>
      </c>
    </row>
    <row r="167" spans="1:18">
      <c r="A167" s="15" t="str">
        <f t="shared" si="7"/>
        <v>09D</v>
      </c>
      <c r="B167" s="15">
        <v>157</v>
      </c>
      <c r="C167" s="38"/>
      <c r="G167" s="31"/>
      <c r="I167" s="27">
        <v>4</v>
      </c>
      <c r="J167" s="27">
        <v>50000</v>
      </c>
      <c r="L167" s="27"/>
      <c r="M167" s="27">
        <v>50000</v>
      </c>
      <c r="O167" s="48" t="s">
        <v>75</v>
      </c>
      <c r="P167" s="48">
        <f>HEX2DEC(RIGHT(Table1323212753[[#This Row],[h1]],8))</f>
        <v>0</v>
      </c>
      <c r="Q167" s="48" t="s">
        <v>75</v>
      </c>
      <c r="R167" s="48">
        <f>HEX2DEC(RIGHT(Table1323212753[[#This Row],[h2]],8))</f>
        <v>0</v>
      </c>
    </row>
    <row r="168" spans="1:18">
      <c r="A168" s="15" t="str">
        <f t="shared" si="7"/>
        <v>09E</v>
      </c>
      <c r="B168" s="15">
        <v>158</v>
      </c>
      <c r="C168" s="38"/>
      <c r="D168" s="15" t="s">
        <v>409</v>
      </c>
      <c r="F168" s="29" t="s">
        <v>332</v>
      </c>
      <c r="G168" s="18">
        <f>HEX2DEC(RIGHT(Table13192551[[#This Row],[dec val]],8))</f>
        <v>65536</v>
      </c>
      <c r="I168" s="27">
        <v>1</v>
      </c>
      <c r="J168" s="27">
        <v>50000</v>
      </c>
      <c r="L168" s="27"/>
      <c r="M168" s="27">
        <v>50000</v>
      </c>
      <c r="O168" s="48" t="s">
        <v>75</v>
      </c>
      <c r="P168" s="48">
        <f>HEX2DEC(RIGHT(Table1323212753[[#This Row],[h1]],8))</f>
        <v>0</v>
      </c>
      <c r="Q168" s="48" t="s">
        <v>75</v>
      </c>
      <c r="R168" s="48">
        <f>HEX2DEC(RIGHT(Table1323212753[[#This Row],[h2]],8))</f>
        <v>0</v>
      </c>
    </row>
    <row r="169" spans="1:18">
      <c r="A169" s="15" t="str">
        <f t="shared" si="7"/>
        <v>09F</v>
      </c>
      <c r="B169" s="15">
        <v>159</v>
      </c>
      <c r="C169" s="38"/>
      <c r="D169" s="15" t="s">
        <v>410</v>
      </c>
      <c r="F169" s="29" t="s">
        <v>333</v>
      </c>
      <c r="G169" s="18">
        <f>HEX2DEC(RIGHT(Table13192551[[#This Row],[dec val]],8))</f>
        <v>196608</v>
      </c>
      <c r="I169" s="27">
        <v>2</v>
      </c>
      <c r="J169" s="27">
        <v>50000</v>
      </c>
      <c r="L169" s="27"/>
      <c r="M169" s="27">
        <v>50000</v>
      </c>
      <c r="O169" s="48" t="s">
        <v>75</v>
      </c>
      <c r="P169" s="48">
        <f>HEX2DEC(RIGHT(Table1323212753[[#This Row],[h1]],8))</f>
        <v>0</v>
      </c>
      <c r="Q169" s="48" t="s">
        <v>75</v>
      </c>
      <c r="R169" s="48">
        <f>HEX2DEC(RIGHT(Table1323212753[[#This Row],[h2]],8))</f>
        <v>0</v>
      </c>
    </row>
    <row r="170" spans="1:18">
      <c r="A170" s="15" t="str">
        <f t="shared" si="7"/>
        <v>0A0</v>
      </c>
      <c r="B170" s="15">
        <v>160</v>
      </c>
      <c r="C170" s="38"/>
      <c r="D170" s="15" t="s">
        <v>411</v>
      </c>
      <c r="F170" s="29" t="s">
        <v>334</v>
      </c>
      <c r="G170" s="18">
        <f>HEX2DEC(RIGHT(Table13192551[[#This Row],[dec val]],8))</f>
        <v>458752</v>
      </c>
      <c r="I170" s="27">
        <v>1</v>
      </c>
      <c r="J170" s="27">
        <v>50000</v>
      </c>
      <c r="L170" s="27"/>
      <c r="M170" s="27">
        <v>50000</v>
      </c>
      <c r="O170" s="48" t="s">
        <v>75</v>
      </c>
      <c r="P170" s="48">
        <f>HEX2DEC(RIGHT(Table1323212753[[#This Row],[h1]],8))</f>
        <v>0</v>
      </c>
      <c r="Q170" s="48" t="s">
        <v>75</v>
      </c>
      <c r="R170" s="48">
        <f>HEX2DEC(RIGHT(Table1323212753[[#This Row],[h2]],8))</f>
        <v>0</v>
      </c>
    </row>
    <row r="171" spans="1:18">
      <c r="A171" s="15" t="str">
        <f t="shared" si="7"/>
        <v>0A1</v>
      </c>
      <c r="B171" s="15">
        <v>161</v>
      </c>
      <c r="C171" s="38"/>
      <c r="D171" s="15" t="s">
        <v>412</v>
      </c>
      <c r="F171" s="29" t="s">
        <v>335</v>
      </c>
      <c r="G171" s="18">
        <f>HEX2DEC(RIGHT(Table13192551[[#This Row],[dec val]],8))</f>
        <v>983040</v>
      </c>
      <c r="I171" s="27">
        <v>3</v>
      </c>
      <c r="J171" s="27">
        <v>50000</v>
      </c>
      <c r="L171" s="27"/>
      <c r="M171" s="27">
        <v>50000</v>
      </c>
      <c r="O171" s="48" t="s">
        <v>75</v>
      </c>
      <c r="P171" s="48">
        <f>HEX2DEC(RIGHT(Table1323212753[[#This Row],[h1]],8))</f>
        <v>0</v>
      </c>
      <c r="Q171" s="48" t="s">
        <v>75</v>
      </c>
      <c r="R171" s="48">
        <f>HEX2DEC(RIGHT(Table1323212753[[#This Row],[h2]],8))</f>
        <v>0</v>
      </c>
    </row>
    <row r="172" spans="1:18">
      <c r="A172" s="15" t="str">
        <f t="shared" si="7"/>
        <v>0A2</v>
      </c>
      <c r="B172" s="15">
        <v>162</v>
      </c>
      <c r="C172" s="38"/>
      <c r="D172" s="15" t="s">
        <v>413</v>
      </c>
      <c r="F172" s="29" t="s">
        <v>407</v>
      </c>
      <c r="G172" s="18">
        <f>HEX2DEC(RIGHT(Table13192551[[#This Row],[dec val]],8))</f>
        <v>2031616</v>
      </c>
      <c r="I172" s="27">
        <v>1</v>
      </c>
      <c r="J172" s="27">
        <v>50000</v>
      </c>
      <c r="L172" s="27"/>
      <c r="M172" s="27">
        <v>50000</v>
      </c>
      <c r="O172" s="48" t="s">
        <v>75</v>
      </c>
      <c r="P172" s="48">
        <f>HEX2DEC(RIGHT(Table1323212753[[#This Row],[h1]],8))</f>
        <v>0</v>
      </c>
      <c r="Q172" s="48" t="s">
        <v>75</v>
      </c>
      <c r="R172" s="48">
        <f>HEX2DEC(RIGHT(Table1323212753[[#This Row],[h2]],8))</f>
        <v>0</v>
      </c>
    </row>
    <row r="173" spans="1:18">
      <c r="A173" s="15" t="str">
        <f t="shared" si="7"/>
        <v>0A3</v>
      </c>
      <c r="B173" s="15">
        <v>163</v>
      </c>
      <c r="C173" s="38"/>
      <c r="D173" s="15" t="s">
        <v>414</v>
      </c>
      <c r="F173" s="29" t="s">
        <v>75</v>
      </c>
      <c r="G173" s="18">
        <f>HEX2DEC(RIGHT(Table13192551[[#This Row],[dec val]],8))</f>
        <v>0</v>
      </c>
      <c r="I173" s="27">
        <v>2</v>
      </c>
      <c r="J173" s="27">
        <v>50000</v>
      </c>
      <c r="L173" s="27"/>
      <c r="M173" s="27">
        <v>50000</v>
      </c>
      <c r="O173" s="48" t="s">
        <v>75</v>
      </c>
      <c r="P173" s="48">
        <f>HEX2DEC(RIGHT(Table1323212753[[#This Row],[h1]],8))</f>
        <v>0</v>
      </c>
      <c r="Q173" s="48" t="s">
        <v>75</v>
      </c>
      <c r="R173" s="48">
        <f>HEX2DEC(RIGHT(Table1323212753[[#This Row],[h2]],8))</f>
        <v>0</v>
      </c>
    </row>
    <row r="174" spans="1:18">
      <c r="A174" s="15" t="str">
        <f t="shared" si="7"/>
        <v>0A4</v>
      </c>
      <c r="B174" s="15">
        <v>164</v>
      </c>
      <c r="C174" s="38"/>
      <c r="D174" s="15" t="s">
        <v>415</v>
      </c>
      <c r="F174" s="29" t="s">
        <v>75</v>
      </c>
      <c r="G174" s="18">
        <f>HEX2DEC(RIGHT(Table13192551[[#This Row],[dec val]],8))</f>
        <v>0</v>
      </c>
      <c r="I174" s="27">
        <v>1</v>
      </c>
      <c r="J174" s="27">
        <v>50000</v>
      </c>
      <c r="L174" s="27"/>
      <c r="M174" s="27">
        <v>50000</v>
      </c>
      <c r="O174" s="48" t="s">
        <v>75</v>
      </c>
      <c r="P174" s="48">
        <f>HEX2DEC(RIGHT(Table1323212753[[#This Row],[h1]],8))</f>
        <v>0</v>
      </c>
      <c r="Q174" s="48" t="s">
        <v>75</v>
      </c>
      <c r="R174" s="48">
        <f>HEX2DEC(RIGHT(Table1323212753[[#This Row],[h2]],8))</f>
        <v>0</v>
      </c>
    </row>
    <row r="175" spans="1:18">
      <c r="A175" s="15" t="str">
        <f t="shared" si="7"/>
        <v>0A5</v>
      </c>
      <c r="B175" s="15">
        <v>165</v>
      </c>
      <c r="C175" s="38"/>
      <c r="D175" s="15" t="s">
        <v>416</v>
      </c>
      <c r="F175" s="29" t="s">
        <v>75</v>
      </c>
      <c r="G175" s="18">
        <f>HEX2DEC(RIGHT(Table13192551[[#This Row],[dec val]],8))</f>
        <v>0</v>
      </c>
      <c r="I175" s="27">
        <v>3</v>
      </c>
      <c r="J175" s="27">
        <v>50000</v>
      </c>
      <c r="L175" s="27"/>
      <c r="M175" s="27">
        <v>50000</v>
      </c>
      <c r="O175" s="48" t="s">
        <v>75</v>
      </c>
      <c r="P175" s="48">
        <f>HEX2DEC(RIGHT(Table1323212753[[#This Row],[h1]],8))</f>
        <v>0</v>
      </c>
      <c r="Q175" s="48" t="s">
        <v>75</v>
      </c>
      <c r="R175" s="48">
        <f>HEX2DEC(RIGHT(Table1323212753[[#This Row],[h2]],8))</f>
        <v>0</v>
      </c>
    </row>
    <row r="176" spans="1:18">
      <c r="A176" s="15" t="str">
        <f t="shared" si="7"/>
        <v>0A6</v>
      </c>
      <c r="B176" s="15">
        <v>166</v>
      </c>
      <c r="C176" s="38"/>
      <c r="D176" s="15" t="s">
        <v>417</v>
      </c>
      <c r="F176" s="29" t="s">
        <v>75</v>
      </c>
      <c r="G176" s="18">
        <f>HEX2DEC(RIGHT(Table13192551[[#This Row],[dec val]],8))</f>
        <v>0</v>
      </c>
      <c r="I176" s="27">
        <v>1</v>
      </c>
      <c r="J176" s="27">
        <v>50000</v>
      </c>
      <c r="L176" s="27"/>
      <c r="M176" s="27">
        <v>50000</v>
      </c>
      <c r="O176" s="48" t="s">
        <v>75</v>
      </c>
      <c r="P176" s="48">
        <f>HEX2DEC(RIGHT(Table1323212753[[#This Row],[h1]],8))</f>
        <v>0</v>
      </c>
      <c r="Q176" s="48" t="s">
        <v>75</v>
      </c>
      <c r="R176" s="48">
        <f>HEX2DEC(RIGHT(Table1323212753[[#This Row],[h2]],8))</f>
        <v>0</v>
      </c>
    </row>
    <row r="177" spans="1:18">
      <c r="A177" s="15" t="str">
        <f t="shared" si="7"/>
        <v>0A7</v>
      </c>
      <c r="B177" s="15">
        <v>167</v>
      </c>
      <c r="C177" s="38"/>
      <c r="D177" s="15" t="s">
        <v>418</v>
      </c>
      <c r="F177" s="29" t="s">
        <v>75</v>
      </c>
      <c r="G177" s="18">
        <f>HEX2DEC(RIGHT(Table13192551[[#This Row],[dec val]],8))</f>
        <v>0</v>
      </c>
      <c r="I177" s="27">
        <v>2</v>
      </c>
      <c r="J177" s="27">
        <v>50000</v>
      </c>
      <c r="L177" s="27"/>
      <c r="M177" s="27">
        <v>50000</v>
      </c>
      <c r="O177" s="48" t="s">
        <v>75</v>
      </c>
      <c r="P177" s="48">
        <f>HEX2DEC(RIGHT(Table1323212753[[#This Row],[h1]],8))</f>
        <v>0</v>
      </c>
      <c r="Q177" s="48" t="s">
        <v>75</v>
      </c>
      <c r="R177" s="48">
        <f>HEX2DEC(RIGHT(Table1323212753[[#This Row],[h2]],8))</f>
        <v>0</v>
      </c>
    </row>
    <row r="178" spans="1:18">
      <c r="A178" s="15" t="str">
        <f t="shared" si="7"/>
        <v>0A8</v>
      </c>
      <c r="B178" s="15">
        <v>168</v>
      </c>
      <c r="C178" s="38"/>
      <c r="D178" s="15" t="s">
        <v>419</v>
      </c>
      <c r="F178" s="29" t="s">
        <v>75</v>
      </c>
      <c r="G178" s="18">
        <f>HEX2DEC(RIGHT(Table13192551[[#This Row],[dec val]],8))</f>
        <v>0</v>
      </c>
      <c r="I178" s="27">
        <v>1</v>
      </c>
      <c r="J178" s="27">
        <v>50000</v>
      </c>
      <c r="L178" s="27"/>
      <c r="M178" s="27">
        <v>50000</v>
      </c>
      <c r="O178" s="48" t="s">
        <v>75</v>
      </c>
      <c r="P178" s="48">
        <f>HEX2DEC(RIGHT(Table1323212753[[#This Row],[h1]],8))</f>
        <v>0</v>
      </c>
      <c r="Q178" s="48" t="s">
        <v>75</v>
      </c>
      <c r="R178" s="48">
        <f>HEX2DEC(RIGHT(Table1323212753[[#This Row],[h2]],8))</f>
        <v>0</v>
      </c>
    </row>
    <row r="179" spans="1:18">
      <c r="A179" s="15" t="str">
        <f t="shared" si="7"/>
        <v>0A9</v>
      </c>
      <c r="B179" s="15">
        <v>169</v>
      </c>
      <c r="C179" s="38"/>
      <c r="D179" s="15" t="s">
        <v>420</v>
      </c>
      <c r="F179" s="29" t="s">
        <v>75</v>
      </c>
      <c r="G179" s="18">
        <f>HEX2DEC(RIGHT(Table13192551[[#This Row],[dec val]],8))</f>
        <v>0</v>
      </c>
      <c r="I179" s="27">
        <v>4</v>
      </c>
      <c r="J179" s="27">
        <v>50000</v>
      </c>
      <c r="L179" s="27"/>
      <c r="M179" s="27">
        <v>50000</v>
      </c>
      <c r="O179" s="48" t="s">
        <v>75</v>
      </c>
      <c r="P179" s="48">
        <f>HEX2DEC(RIGHT(Table1323212753[[#This Row],[h1]],8))</f>
        <v>0</v>
      </c>
      <c r="Q179" s="48" t="s">
        <v>75</v>
      </c>
      <c r="R179" s="48">
        <f>HEX2DEC(RIGHT(Table1323212753[[#This Row],[h2]],8))</f>
        <v>0</v>
      </c>
    </row>
    <row r="180" spans="1:18">
      <c r="A180" s="15" t="str">
        <f t="shared" si="7"/>
        <v>0AA</v>
      </c>
      <c r="B180" s="15">
        <v>170</v>
      </c>
      <c r="C180" s="38"/>
      <c r="D180" s="15" t="s">
        <v>421</v>
      </c>
      <c r="F180" s="29" t="s">
        <v>75</v>
      </c>
      <c r="G180" s="18">
        <f>HEX2DEC(RIGHT(Table13192551[[#This Row],[dec val]],8))</f>
        <v>0</v>
      </c>
      <c r="I180" s="27">
        <v>1</v>
      </c>
      <c r="J180" s="27">
        <v>50000</v>
      </c>
      <c r="L180" s="27"/>
      <c r="M180" s="27">
        <v>50000</v>
      </c>
      <c r="O180" s="48" t="s">
        <v>75</v>
      </c>
      <c r="P180" s="48">
        <f>HEX2DEC(RIGHT(Table1323212753[[#This Row],[h1]],8))</f>
        <v>0</v>
      </c>
      <c r="Q180" s="48" t="s">
        <v>75</v>
      </c>
      <c r="R180" s="48">
        <f>HEX2DEC(RIGHT(Table1323212753[[#This Row],[h2]],8))</f>
        <v>0</v>
      </c>
    </row>
    <row r="181" spans="1:18">
      <c r="A181" s="15" t="str">
        <f t="shared" si="7"/>
        <v>0AB</v>
      </c>
      <c r="B181" s="15">
        <v>171</v>
      </c>
      <c r="C181" s="38"/>
      <c r="D181" s="15" t="s">
        <v>422</v>
      </c>
      <c r="F181" s="29" t="s">
        <v>75</v>
      </c>
      <c r="G181" s="18">
        <f>HEX2DEC(RIGHT(Table13192551[[#This Row],[dec val]],8))</f>
        <v>0</v>
      </c>
      <c r="I181" s="27">
        <v>2</v>
      </c>
      <c r="J181" s="27">
        <v>50000</v>
      </c>
      <c r="L181" s="27"/>
      <c r="M181" s="27">
        <v>50000</v>
      </c>
      <c r="O181" s="48" t="s">
        <v>75</v>
      </c>
      <c r="P181" s="48">
        <f>HEX2DEC(RIGHT(Table1323212753[[#This Row],[h1]],8))</f>
        <v>0</v>
      </c>
      <c r="Q181" s="48" t="s">
        <v>75</v>
      </c>
      <c r="R181" s="48">
        <f>HEX2DEC(RIGHT(Table1323212753[[#This Row],[h2]],8))</f>
        <v>0</v>
      </c>
    </row>
    <row r="182" spans="1:18">
      <c r="A182" s="15" t="str">
        <f t="shared" si="7"/>
        <v>0AC</v>
      </c>
      <c r="B182" s="15">
        <v>172</v>
      </c>
      <c r="C182" s="38"/>
      <c r="D182" s="15" t="s">
        <v>423</v>
      </c>
      <c r="F182" s="29" t="s">
        <v>75</v>
      </c>
      <c r="G182" s="18">
        <f>HEX2DEC(RIGHT(Table13192551[[#This Row],[dec val]],8))</f>
        <v>0</v>
      </c>
      <c r="I182" s="27">
        <v>1</v>
      </c>
      <c r="J182" s="27">
        <v>50000</v>
      </c>
      <c r="L182" s="27"/>
      <c r="M182" s="27">
        <v>50000</v>
      </c>
      <c r="O182" s="48" t="s">
        <v>75</v>
      </c>
      <c r="P182" s="48">
        <f>HEX2DEC(RIGHT(Table1323212753[[#This Row],[h1]],8))</f>
        <v>0</v>
      </c>
      <c r="Q182" s="48" t="s">
        <v>75</v>
      </c>
      <c r="R182" s="48">
        <f>HEX2DEC(RIGHT(Table1323212753[[#This Row],[h2]],8))</f>
        <v>0</v>
      </c>
    </row>
    <row r="183" spans="1:18">
      <c r="A183" s="15" t="str">
        <f t="shared" si="7"/>
        <v>0AD</v>
      </c>
      <c r="B183" s="15">
        <v>173</v>
      </c>
      <c r="C183" s="38"/>
      <c r="D183" s="15" t="s">
        <v>424</v>
      </c>
      <c r="F183" s="29" t="s">
        <v>75</v>
      </c>
      <c r="G183" s="18">
        <f>HEX2DEC(RIGHT(Table13192551[[#This Row],[dec val]],8))</f>
        <v>0</v>
      </c>
      <c r="I183" s="27">
        <v>3</v>
      </c>
      <c r="J183" s="27">
        <v>50000</v>
      </c>
      <c r="L183" s="27"/>
      <c r="M183" s="27">
        <v>50000</v>
      </c>
      <c r="O183" s="48" t="s">
        <v>75</v>
      </c>
      <c r="P183" s="48">
        <f>HEX2DEC(RIGHT(Table1323212753[[#This Row],[h1]],8))</f>
        <v>0</v>
      </c>
      <c r="Q183" s="48" t="s">
        <v>75</v>
      </c>
      <c r="R183" s="48">
        <f>HEX2DEC(RIGHT(Table1323212753[[#This Row],[h2]],8))</f>
        <v>0</v>
      </c>
    </row>
    <row r="184" spans="1:18">
      <c r="A184" s="15" t="str">
        <f t="shared" si="7"/>
        <v>0AE</v>
      </c>
      <c r="B184" s="15">
        <v>174</v>
      </c>
      <c r="C184" s="38"/>
      <c r="G184" s="48"/>
      <c r="I184" s="27">
        <v>1</v>
      </c>
      <c r="J184" s="27">
        <v>50000</v>
      </c>
      <c r="L184" s="27"/>
      <c r="M184" s="27">
        <v>50000</v>
      </c>
      <c r="O184" s="48" t="s">
        <v>75</v>
      </c>
      <c r="P184" s="48">
        <f>HEX2DEC(RIGHT(Table1323212753[[#This Row],[h1]],8))</f>
        <v>0</v>
      </c>
      <c r="Q184" s="48" t="s">
        <v>75</v>
      </c>
      <c r="R184" s="48">
        <f>HEX2DEC(RIGHT(Table1323212753[[#This Row],[h2]],8))</f>
        <v>0</v>
      </c>
    </row>
    <row r="185" spans="1:18">
      <c r="A185" s="15" t="str">
        <f t="shared" si="7"/>
        <v>0AF</v>
      </c>
      <c r="B185" s="15">
        <v>175</v>
      </c>
      <c r="C185" s="38"/>
      <c r="I185" s="27">
        <v>2</v>
      </c>
      <c r="J185" s="27">
        <v>50000</v>
      </c>
      <c r="L185" s="27"/>
      <c r="M185" s="27">
        <v>50000</v>
      </c>
      <c r="O185" s="48" t="s">
        <v>75</v>
      </c>
      <c r="P185" s="48">
        <f>HEX2DEC(RIGHT(Table1323212753[[#This Row],[h1]],8))</f>
        <v>0</v>
      </c>
      <c r="Q185" s="48" t="s">
        <v>75</v>
      </c>
      <c r="R185" s="48">
        <f>HEX2DEC(RIGHT(Table1323212753[[#This Row],[h2]],8))</f>
        <v>0</v>
      </c>
    </row>
    <row r="186" spans="1:18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8" t="s">
        <v>75</v>
      </c>
      <c r="P186" s="48">
        <f>HEX2DEC(RIGHT(Table1323212753[[#This Row],[h1]],8))</f>
        <v>0</v>
      </c>
      <c r="Q186" s="48" t="s">
        <v>75</v>
      </c>
      <c r="R186" s="48">
        <f>HEX2DEC(RIGHT(Table1323212753[[#This Row],[h2]],8))</f>
        <v>0</v>
      </c>
    </row>
    <row r="187" spans="1:18">
      <c r="A187" s="15" t="str">
        <f t="shared" si="7"/>
        <v>0B1</v>
      </c>
      <c r="B187" s="15">
        <v>177</v>
      </c>
      <c r="C187" s="38"/>
      <c r="I187" s="27">
        <v>3</v>
      </c>
      <c r="J187" s="27">
        <v>50000</v>
      </c>
      <c r="L187" s="27"/>
      <c r="M187" s="27">
        <v>50000</v>
      </c>
      <c r="O187" s="48" t="s">
        <v>75</v>
      </c>
      <c r="P187" s="48">
        <f>HEX2DEC(RIGHT(Table1323212753[[#This Row],[h1]],8))</f>
        <v>0</v>
      </c>
      <c r="Q187" s="48" t="s">
        <v>75</v>
      </c>
      <c r="R187" s="48">
        <f>HEX2DEC(RIGHT(Table1323212753[[#This Row],[h2]],8))</f>
        <v>0</v>
      </c>
    </row>
    <row r="188" spans="1:18">
      <c r="A188" s="15" t="str">
        <f t="shared" si="7"/>
        <v>0B2</v>
      </c>
      <c r="B188" s="15">
        <v>178</v>
      </c>
      <c r="C188" s="38"/>
      <c r="I188" s="27">
        <v>1</v>
      </c>
      <c r="J188" s="27">
        <v>50000</v>
      </c>
      <c r="L188" s="27"/>
      <c r="M188" s="27">
        <v>50000</v>
      </c>
      <c r="O188" s="48" t="s">
        <v>75</v>
      </c>
      <c r="P188" s="48">
        <f>HEX2DEC(RIGHT(Table1323212753[[#This Row],[h1]],8))</f>
        <v>0</v>
      </c>
      <c r="Q188" s="48" t="s">
        <v>75</v>
      </c>
      <c r="R188" s="48">
        <f>HEX2DEC(RIGHT(Table1323212753[[#This Row],[h2]],8))</f>
        <v>0</v>
      </c>
    </row>
    <row r="189" spans="1:18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8" t="s">
        <v>75</v>
      </c>
      <c r="P189" s="48">
        <f>HEX2DEC(RIGHT(Table1323212753[[#This Row],[h1]],8))</f>
        <v>0</v>
      </c>
      <c r="Q189" s="48" t="s">
        <v>75</v>
      </c>
      <c r="R189" s="48">
        <f>HEX2DEC(RIGHT(Table1323212753[[#This Row],[h2]],8))</f>
        <v>0</v>
      </c>
    </row>
    <row r="190" spans="1:18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8" t="s">
        <v>75</v>
      </c>
      <c r="P190" s="48">
        <f>HEX2DEC(RIGHT(Table1323212753[[#This Row],[h1]],8))</f>
        <v>0</v>
      </c>
      <c r="Q190" s="48" t="s">
        <v>75</v>
      </c>
      <c r="R190" s="48">
        <f>HEX2DEC(RIGHT(Table1323212753[[#This Row],[h2]],8))</f>
        <v>0</v>
      </c>
    </row>
    <row r="191" spans="1:18">
      <c r="A191" s="15" t="str">
        <f t="shared" si="7"/>
        <v>0B5</v>
      </c>
      <c r="B191" s="15">
        <v>181</v>
      </c>
      <c r="C191" s="38"/>
      <c r="D191" s="15" t="s">
        <v>254</v>
      </c>
      <c r="E191" s="51"/>
      <c r="F191" s="51">
        <v>10545</v>
      </c>
      <c r="G191" s="50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10545</v>
      </c>
      <c r="I191" s="27">
        <v>4</v>
      </c>
      <c r="J191" s="27">
        <v>50000</v>
      </c>
      <c r="L191" s="27"/>
      <c r="M191" s="27">
        <v>50000</v>
      </c>
      <c r="O191" s="48" t="s">
        <v>75</v>
      </c>
      <c r="P191" s="48">
        <f>HEX2DEC(RIGHT(Table1323212753[[#This Row],[h1]],8))</f>
        <v>0</v>
      </c>
      <c r="Q191" s="48" t="s">
        <v>75</v>
      </c>
      <c r="R191" s="48">
        <f>HEX2DEC(RIGHT(Table1323212753[[#This Row],[h2]],8))</f>
        <v>0</v>
      </c>
    </row>
    <row r="192" spans="1:18">
      <c r="A192" s="15" t="str">
        <f t="shared" si="7"/>
        <v>0B6</v>
      </c>
      <c r="B192" s="15">
        <v>182</v>
      </c>
      <c r="C192" s="38"/>
      <c r="D192" s="15" t="s">
        <v>255</v>
      </c>
      <c r="E192" s="51"/>
      <c r="F192" s="51">
        <v>555</v>
      </c>
      <c r="G192" s="50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555</v>
      </c>
      <c r="I192" s="27">
        <v>1</v>
      </c>
      <c r="J192" s="27">
        <v>50000</v>
      </c>
      <c r="L192" s="27"/>
      <c r="M192" s="27">
        <v>50000</v>
      </c>
      <c r="O192" s="48" t="s">
        <v>75</v>
      </c>
      <c r="P192" s="48">
        <f>HEX2DEC(RIGHT(Table1323212753[[#This Row],[h1]],8))</f>
        <v>0</v>
      </c>
      <c r="Q192" s="48" t="s">
        <v>75</v>
      </c>
      <c r="R192" s="48">
        <f>HEX2DEC(RIGHT(Table1323212753[[#This Row],[h2]],8))</f>
        <v>0</v>
      </c>
    </row>
    <row r="193" spans="1:18">
      <c r="A193" s="15" t="str">
        <f t="shared" si="7"/>
        <v>0B7</v>
      </c>
      <c r="B193" s="15">
        <v>183</v>
      </c>
      <c r="C193" s="38"/>
      <c r="D193" s="15" t="s">
        <v>256</v>
      </c>
      <c r="E193" s="51"/>
      <c r="F193" s="51">
        <v>15</v>
      </c>
      <c r="G193" s="50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15</v>
      </c>
      <c r="I193" s="27">
        <v>2</v>
      </c>
      <c r="J193" s="27">
        <v>50000</v>
      </c>
      <c r="L193" s="27"/>
      <c r="M193" s="27">
        <v>50000</v>
      </c>
      <c r="O193" s="48" t="s">
        <v>75</v>
      </c>
      <c r="P193" s="48">
        <f>HEX2DEC(RIGHT(Table1323212753[[#This Row],[h1]],8))</f>
        <v>0</v>
      </c>
      <c r="Q193" s="48" t="s">
        <v>75</v>
      </c>
      <c r="R193" s="48">
        <f>HEX2DEC(RIGHT(Table1323212753[[#This Row],[h2]],8))</f>
        <v>0</v>
      </c>
    </row>
    <row r="194" spans="1:18">
      <c r="A194" s="15" t="str">
        <f t="shared" si="7"/>
        <v>0B8</v>
      </c>
      <c r="B194" s="15">
        <v>184</v>
      </c>
      <c r="C194" s="38"/>
      <c r="D194" s="15" t="s">
        <v>257</v>
      </c>
      <c r="E194" s="51"/>
      <c r="F194" s="51">
        <v>9</v>
      </c>
      <c r="G194" s="50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9</v>
      </c>
      <c r="I194" s="27">
        <v>1</v>
      </c>
      <c r="J194" s="27">
        <v>50000</v>
      </c>
      <c r="L194" s="27"/>
      <c r="M194" s="27">
        <v>50000</v>
      </c>
      <c r="O194" s="48" t="s">
        <v>75</v>
      </c>
      <c r="P194" s="48">
        <f>HEX2DEC(RIGHT(Table1323212753[[#This Row],[h1]],8))</f>
        <v>0</v>
      </c>
      <c r="Q194" s="48" t="s">
        <v>75</v>
      </c>
      <c r="R194" s="48">
        <f>HEX2DEC(RIGHT(Table1323212753[[#This Row],[h2]],8))</f>
        <v>0</v>
      </c>
    </row>
    <row r="195" spans="1:18">
      <c r="A195" s="15" t="str">
        <f t="shared" si="7"/>
        <v>0B9</v>
      </c>
      <c r="B195" s="15">
        <v>185</v>
      </c>
      <c r="C195" s="38"/>
      <c r="D195" s="15" t="s">
        <v>258</v>
      </c>
      <c r="E195" s="51"/>
      <c r="F195" s="51">
        <v>37</v>
      </c>
      <c r="G195" s="50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37</v>
      </c>
      <c r="I195" s="27">
        <v>3</v>
      </c>
      <c r="J195" s="27">
        <v>50000</v>
      </c>
      <c r="L195" s="27"/>
      <c r="M195" s="27">
        <v>50000</v>
      </c>
      <c r="O195" s="48" t="s">
        <v>75</v>
      </c>
      <c r="P195" s="48">
        <f>HEX2DEC(RIGHT(Table1323212753[[#This Row],[h1]],8))</f>
        <v>0</v>
      </c>
      <c r="Q195" s="48" t="s">
        <v>75</v>
      </c>
      <c r="R195" s="48">
        <f>HEX2DEC(RIGHT(Table1323212753[[#This Row],[h2]],8))</f>
        <v>0</v>
      </c>
    </row>
    <row r="196" spans="1:18">
      <c r="A196" s="15" t="str">
        <f t="shared" si="7"/>
        <v>0BA</v>
      </c>
      <c r="B196" s="15">
        <v>186</v>
      </c>
      <c r="C196" s="38"/>
      <c r="D196" s="15" t="s">
        <v>259</v>
      </c>
      <c r="E196" s="51">
        <v>1</v>
      </c>
      <c r="F196" s="51">
        <v>5</v>
      </c>
      <c r="G196" s="50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8" t="s">
        <v>75</v>
      </c>
      <c r="P196" s="48">
        <f>HEX2DEC(RIGHT(Table1323212753[[#This Row],[h1]],8))</f>
        <v>0</v>
      </c>
      <c r="Q196" s="48" t="s">
        <v>75</v>
      </c>
      <c r="R196" s="48">
        <f>HEX2DEC(RIGHT(Table1323212753[[#This Row],[h2]],8))</f>
        <v>0</v>
      </c>
    </row>
    <row r="197" spans="1:18">
      <c r="A197" s="15" t="str">
        <f t="shared" si="7"/>
        <v>0BB</v>
      </c>
      <c r="B197" s="15">
        <v>187</v>
      </c>
      <c r="C197" s="38"/>
      <c r="D197" s="15" t="s">
        <v>260</v>
      </c>
      <c r="E197" s="51">
        <v>1</v>
      </c>
      <c r="F197" s="51">
        <v>6</v>
      </c>
      <c r="G197" s="50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197" s="27">
        <v>2</v>
      </c>
      <c r="J197" s="27">
        <v>50000</v>
      </c>
      <c r="L197" s="27"/>
      <c r="M197" s="27">
        <v>50000</v>
      </c>
      <c r="O197" s="48" t="s">
        <v>75</v>
      </c>
      <c r="P197" s="48">
        <f>HEX2DEC(RIGHT(Table1323212753[[#This Row],[h1]],8))</f>
        <v>0</v>
      </c>
      <c r="Q197" s="48" t="s">
        <v>75</v>
      </c>
      <c r="R197" s="48">
        <f>HEX2DEC(RIGHT(Table1323212753[[#This Row],[h2]],8))</f>
        <v>0</v>
      </c>
    </row>
    <row r="198" spans="1:18">
      <c r="A198" s="15" t="str">
        <f t="shared" si="7"/>
        <v>0BC</v>
      </c>
      <c r="B198" s="15">
        <v>188</v>
      </c>
      <c r="C198" s="38"/>
      <c r="D198" s="15" t="s">
        <v>261</v>
      </c>
      <c r="E198" s="51">
        <v>1</v>
      </c>
      <c r="F198" s="51">
        <v>7</v>
      </c>
      <c r="G198" s="50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8" t="s">
        <v>75</v>
      </c>
      <c r="P198" s="48">
        <f>HEX2DEC(RIGHT(Table1323212753[[#This Row],[h1]],8))</f>
        <v>0</v>
      </c>
      <c r="Q198" s="48" t="s">
        <v>75</v>
      </c>
      <c r="R198" s="48">
        <f>HEX2DEC(RIGHT(Table1323212753[[#This Row],[h2]],8))</f>
        <v>0</v>
      </c>
    </row>
    <row r="199" spans="1:18">
      <c r="A199" s="15" t="str">
        <f t="shared" si="7"/>
        <v>0BD</v>
      </c>
      <c r="B199" s="15">
        <v>189</v>
      </c>
      <c r="C199" s="38"/>
      <c r="D199" s="15" t="s">
        <v>262</v>
      </c>
      <c r="E199" s="51">
        <v>1</v>
      </c>
      <c r="F199" s="51">
        <v>8</v>
      </c>
      <c r="G199" s="50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199" s="27">
        <v>3</v>
      </c>
      <c r="J199" s="27">
        <v>50000</v>
      </c>
      <c r="L199" s="27"/>
      <c r="M199" s="27">
        <v>50000</v>
      </c>
      <c r="O199" s="48" t="s">
        <v>75</v>
      </c>
      <c r="P199" s="48">
        <f>HEX2DEC(RIGHT(Table1323212753[[#This Row],[h1]],8))</f>
        <v>0</v>
      </c>
      <c r="Q199" s="48" t="s">
        <v>75</v>
      </c>
      <c r="R199" s="48">
        <f>HEX2DEC(RIGHT(Table1323212753[[#This Row],[h2]],8))</f>
        <v>0</v>
      </c>
    </row>
    <row r="200" spans="1:18">
      <c r="A200" s="15" t="str">
        <f t="shared" si="7"/>
        <v>0BE</v>
      </c>
      <c r="B200" s="15">
        <v>190</v>
      </c>
      <c r="C200" s="38"/>
      <c r="D200" s="15" t="s">
        <v>263</v>
      </c>
      <c r="E200" s="51">
        <v>1</v>
      </c>
      <c r="F200" s="51">
        <v>9</v>
      </c>
      <c r="G200" s="50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200" s="27">
        <v>1</v>
      </c>
      <c r="J200" s="27">
        <v>50000</v>
      </c>
      <c r="L200" s="27"/>
      <c r="M200" s="27">
        <v>50000</v>
      </c>
      <c r="O200" s="48" t="s">
        <v>75</v>
      </c>
      <c r="P200" s="48">
        <f>HEX2DEC(RIGHT(Table1323212753[[#This Row],[h1]],8))</f>
        <v>0</v>
      </c>
      <c r="Q200" s="48" t="s">
        <v>75</v>
      </c>
      <c r="R200" s="48">
        <f>HEX2DEC(RIGHT(Table1323212753[[#This Row],[h2]],8))</f>
        <v>0</v>
      </c>
    </row>
    <row r="201" spans="1:18">
      <c r="A201" s="15" t="str">
        <f t="shared" si="7"/>
        <v>0BF</v>
      </c>
      <c r="B201" s="15">
        <v>191</v>
      </c>
      <c r="C201" s="38"/>
      <c r="D201" s="15" t="s">
        <v>264</v>
      </c>
      <c r="E201" s="51">
        <v>1</v>
      </c>
      <c r="F201" s="51">
        <v>10</v>
      </c>
      <c r="G201" s="50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201" s="27">
        <v>2</v>
      </c>
      <c r="J201" s="27">
        <v>50000</v>
      </c>
      <c r="L201" s="27"/>
      <c r="M201" s="27">
        <v>50000</v>
      </c>
      <c r="O201" s="48" t="s">
        <v>75</v>
      </c>
      <c r="P201" s="48">
        <f>HEX2DEC(RIGHT(Table1323212753[[#This Row],[h1]],8))</f>
        <v>0</v>
      </c>
      <c r="Q201" s="48" t="s">
        <v>75</v>
      </c>
      <c r="R201" s="48">
        <f>HEX2DEC(RIGHT(Table1323212753[[#This Row],[h2]],8))</f>
        <v>0</v>
      </c>
    </row>
    <row r="202" spans="1:18">
      <c r="A202" s="15" t="str">
        <f t="shared" si="7"/>
        <v>0C0</v>
      </c>
      <c r="B202" s="15">
        <v>192</v>
      </c>
      <c r="C202" s="38"/>
      <c r="D202" s="15" t="s">
        <v>265</v>
      </c>
      <c r="E202" s="51">
        <v>1</v>
      </c>
      <c r="F202" s="51">
        <v>11</v>
      </c>
      <c r="G202" s="50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8" t="s">
        <v>75</v>
      </c>
      <c r="P202" s="48">
        <f>HEX2DEC(RIGHT(Table1323212753[[#This Row],[h1]],8))</f>
        <v>0</v>
      </c>
      <c r="Q202" s="48" t="s">
        <v>75</v>
      </c>
      <c r="R202" s="48">
        <f>HEX2DEC(RIGHT(Table1323212753[[#This Row],[h2]],8))</f>
        <v>0</v>
      </c>
    </row>
    <row r="203" spans="1:18">
      <c r="A203" s="15" t="str">
        <f t="shared" ref="A203:A266" si="8">DEC2HEX(B203,3)</f>
        <v>0C1</v>
      </c>
      <c r="B203" s="15">
        <v>193</v>
      </c>
      <c r="C203" s="38"/>
      <c r="D203" s="15" t="s">
        <v>266</v>
      </c>
      <c r="E203" s="51">
        <v>1</v>
      </c>
      <c r="F203" s="51">
        <v>12</v>
      </c>
      <c r="G203" s="50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203" s="27">
        <v>4</v>
      </c>
      <c r="J203" s="27">
        <v>50000</v>
      </c>
      <c r="L203" s="27"/>
      <c r="M203" s="27">
        <v>50000</v>
      </c>
      <c r="O203" s="48" t="s">
        <v>75</v>
      </c>
      <c r="P203" s="48">
        <f>HEX2DEC(RIGHT(Table1323212753[[#This Row],[h1]],8))</f>
        <v>0</v>
      </c>
      <c r="Q203" s="48" t="s">
        <v>75</v>
      </c>
      <c r="R203" s="48">
        <f>HEX2DEC(RIGHT(Table1323212753[[#This Row],[h2]],8))</f>
        <v>0</v>
      </c>
    </row>
    <row r="204" spans="1:18">
      <c r="A204" s="15" t="str">
        <f t="shared" si="8"/>
        <v>0C2</v>
      </c>
      <c r="B204" s="15">
        <v>194</v>
      </c>
      <c r="C204" s="38"/>
      <c r="D204" s="15" t="s">
        <v>267</v>
      </c>
      <c r="E204" s="51">
        <v>1</v>
      </c>
      <c r="F204" s="51">
        <v>13</v>
      </c>
      <c r="G204" s="50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8" t="s">
        <v>75</v>
      </c>
      <c r="P204" s="48">
        <f>HEX2DEC(RIGHT(Table1323212753[[#This Row],[h1]],8))</f>
        <v>0</v>
      </c>
      <c r="Q204" s="48" t="s">
        <v>75</v>
      </c>
      <c r="R204" s="48">
        <f>HEX2DEC(RIGHT(Table1323212753[[#This Row],[h2]],8))</f>
        <v>0</v>
      </c>
    </row>
    <row r="205" spans="1:18">
      <c r="A205" s="15" t="str">
        <f t="shared" si="8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8" t="s">
        <v>75</v>
      </c>
      <c r="P205" s="48">
        <f>HEX2DEC(RIGHT(Table1323212753[[#This Row],[h1]],8))</f>
        <v>0</v>
      </c>
      <c r="Q205" s="48" t="s">
        <v>75</v>
      </c>
      <c r="R205" s="48">
        <f>HEX2DEC(RIGHT(Table1323212753[[#This Row],[h2]],8))</f>
        <v>0</v>
      </c>
    </row>
    <row r="206" spans="1:18">
      <c r="A206" s="15" t="str">
        <f t="shared" si="8"/>
        <v>0C4</v>
      </c>
      <c r="B206" s="15">
        <v>196</v>
      </c>
      <c r="C206" s="38"/>
      <c r="D206" s="15" t="s">
        <v>268</v>
      </c>
      <c r="G206" s="29" t="s">
        <v>14</v>
      </c>
      <c r="I206" s="27">
        <v>1</v>
      </c>
      <c r="J206" s="27">
        <v>50000</v>
      </c>
      <c r="L206" s="27"/>
      <c r="M206" s="27">
        <v>50000</v>
      </c>
      <c r="O206" s="48" t="s">
        <v>75</v>
      </c>
      <c r="P206" s="48">
        <f>HEX2DEC(RIGHT(Table1323212753[[#This Row],[h1]],8))</f>
        <v>0</v>
      </c>
      <c r="Q206" s="48" t="s">
        <v>75</v>
      </c>
      <c r="R206" s="48">
        <f>HEX2DEC(RIGHT(Table1323212753[[#This Row],[h2]],8))</f>
        <v>0</v>
      </c>
    </row>
    <row r="207" spans="1:18">
      <c r="A207" s="15" t="str">
        <f t="shared" si="8"/>
        <v>0C5</v>
      </c>
      <c r="B207" s="15">
        <v>197</v>
      </c>
      <c r="C207" s="38"/>
      <c r="D207" s="15" t="s">
        <v>269</v>
      </c>
      <c r="G207" s="29" t="s">
        <v>13</v>
      </c>
      <c r="I207" s="27">
        <v>3</v>
      </c>
      <c r="J207" s="27">
        <v>50000</v>
      </c>
      <c r="L207" s="27"/>
      <c r="M207" s="27">
        <v>50000</v>
      </c>
      <c r="O207" s="48" t="s">
        <v>75</v>
      </c>
      <c r="P207" s="48">
        <f>HEX2DEC(RIGHT(Table1323212753[[#This Row],[h1]],8))</f>
        <v>0</v>
      </c>
      <c r="Q207" s="48" t="s">
        <v>75</v>
      </c>
      <c r="R207" s="48">
        <f>HEX2DEC(RIGHT(Table1323212753[[#This Row],[h2]],8))</f>
        <v>0</v>
      </c>
    </row>
    <row r="208" spans="1:18">
      <c r="A208" s="15" t="str">
        <f t="shared" si="8"/>
        <v>0C6</v>
      </c>
      <c r="B208" s="15">
        <v>198</v>
      </c>
      <c r="C208" s="38"/>
      <c r="D208" s="15" t="s">
        <v>270</v>
      </c>
      <c r="G208" s="29" t="s">
        <v>12</v>
      </c>
      <c r="I208" s="27">
        <v>1</v>
      </c>
      <c r="J208" s="27">
        <v>50000</v>
      </c>
      <c r="L208" s="27"/>
      <c r="M208" s="27">
        <v>50000</v>
      </c>
      <c r="O208" s="48" t="s">
        <v>75</v>
      </c>
      <c r="P208" s="48">
        <f>HEX2DEC(RIGHT(Table1323212753[[#This Row],[h1]],8))</f>
        <v>0</v>
      </c>
      <c r="Q208" s="48" t="s">
        <v>75</v>
      </c>
      <c r="R208" s="48">
        <f>HEX2DEC(RIGHT(Table1323212753[[#This Row],[h2]],8))</f>
        <v>0</v>
      </c>
    </row>
    <row r="209" spans="1:18">
      <c r="A209" s="15" t="str">
        <f t="shared" si="8"/>
        <v>0C7</v>
      </c>
      <c r="B209" s="15">
        <v>199</v>
      </c>
      <c r="C209" s="38"/>
      <c r="D209" s="15" t="s">
        <v>271</v>
      </c>
      <c r="G209" s="29" t="s">
        <v>15</v>
      </c>
      <c r="I209" s="27">
        <v>2</v>
      </c>
      <c r="J209" s="27">
        <v>50000</v>
      </c>
      <c r="L209" s="27"/>
      <c r="M209" s="27">
        <v>50000</v>
      </c>
      <c r="O209" s="48" t="s">
        <v>75</v>
      </c>
      <c r="P209" s="48">
        <f>HEX2DEC(RIGHT(Table1323212753[[#This Row],[h1]],8))</f>
        <v>0</v>
      </c>
      <c r="Q209" s="48" t="s">
        <v>75</v>
      </c>
      <c r="R209" s="48">
        <f>HEX2DEC(RIGHT(Table1323212753[[#This Row],[h2]],8))</f>
        <v>0</v>
      </c>
    </row>
    <row r="210" spans="1:18">
      <c r="A210" s="15" t="str">
        <f t="shared" si="8"/>
        <v>0C8</v>
      </c>
      <c r="B210" s="15">
        <v>200</v>
      </c>
      <c r="C210" s="38"/>
      <c r="D210" s="15" t="s">
        <v>272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8" t="s">
        <v>75</v>
      </c>
      <c r="P210" s="48">
        <f>HEX2DEC(RIGHT(Table1323212753[[#This Row],[h1]],8))</f>
        <v>0</v>
      </c>
      <c r="Q210" s="48" t="s">
        <v>75</v>
      </c>
      <c r="R210" s="48">
        <f>HEX2DEC(RIGHT(Table1323212753[[#This Row],[h2]],8))</f>
        <v>0</v>
      </c>
    </row>
    <row r="211" spans="1:18">
      <c r="A211" s="15" t="str">
        <f t="shared" si="8"/>
        <v>0C9</v>
      </c>
      <c r="B211" s="15">
        <v>201</v>
      </c>
      <c r="C211" s="38"/>
      <c r="D211" s="15" t="s">
        <v>273</v>
      </c>
      <c r="G211" s="29" t="s">
        <v>41</v>
      </c>
      <c r="I211" s="27">
        <v>3</v>
      </c>
      <c r="J211" s="27">
        <v>50000</v>
      </c>
      <c r="L211" s="27"/>
      <c r="M211" s="27">
        <v>50000</v>
      </c>
      <c r="O211" s="48" t="s">
        <v>75</v>
      </c>
      <c r="P211" s="48">
        <f>HEX2DEC(RIGHT(Table1323212753[[#This Row],[h1]],8))</f>
        <v>0</v>
      </c>
      <c r="Q211" s="48" t="s">
        <v>75</v>
      </c>
      <c r="R211" s="48">
        <f>HEX2DEC(RIGHT(Table1323212753[[#This Row],[h2]],8))</f>
        <v>0</v>
      </c>
    </row>
    <row r="212" spans="1:18">
      <c r="A212" s="15" t="str">
        <f t="shared" si="8"/>
        <v>0CA</v>
      </c>
      <c r="B212" s="15">
        <v>202</v>
      </c>
      <c r="C212" s="38"/>
      <c r="D212" s="15" t="s">
        <v>274</v>
      </c>
      <c r="G212" s="29" t="s">
        <v>41</v>
      </c>
      <c r="I212" s="27">
        <v>1</v>
      </c>
      <c r="J212" s="27">
        <v>50000</v>
      </c>
      <c r="L212" s="27"/>
      <c r="M212" s="27">
        <v>50000</v>
      </c>
      <c r="O212" s="48" t="s">
        <v>75</v>
      </c>
      <c r="P212" s="48">
        <f>HEX2DEC(RIGHT(Table1323212753[[#This Row],[h1]],8))</f>
        <v>0</v>
      </c>
      <c r="Q212" s="48" t="s">
        <v>75</v>
      </c>
      <c r="R212" s="48">
        <f>HEX2DEC(RIGHT(Table1323212753[[#This Row],[h2]],8))</f>
        <v>0</v>
      </c>
    </row>
    <row r="213" spans="1:18">
      <c r="A213" s="15" t="str">
        <f t="shared" si="8"/>
        <v>0CB</v>
      </c>
      <c r="B213" s="15">
        <v>203</v>
      </c>
      <c r="C213" s="38"/>
      <c r="D213" s="15" t="s">
        <v>275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8" t="s">
        <v>75</v>
      </c>
      <c r="P213" s="48">
        <f>HEX2DEC(RIGHT(Table1323212753[[#This Row],[h1]],8))</f>
        <v>0</v>
      </c>
      <c r="Q213" s="48" t="s">
        <v>75</v>
      </c>
      <c r="R213" s="48">
        <f>HEX2DEC(RIGHT(Table1323212753[[#This Row],[h2]],8))</f>
        <v>0</v>
      </c>
    </row>
    <row r="214" spans="1:18">
      <c r="A214" s="15" t="str">
        <f t="shared" si="8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8" t="s">
        <v>75</v>
      </c>
      <c r="P214" s="48">
        <f>HEX2DEC(RIGHT(Table1323212753[[#This Row],[h1]],8))</f>
        <v>0</v>
      </c>
      <c r="Q214" s="48" t="s">
        <v>75</v>
      </c>
      <c r="R214" s="48">
        <f>HEX2DEC(RIGHT(Table1323212753[[#This Row],[h2]],8))</f>
        <v>0</v>
      </c>
    </row>
    <row r="215" spans="1:18">
      <c r="A215" s="15" t="str">
        <f t="shared" si="8"/>
        <v>0CD</v>
      </c>
      <c r="B215" s="15">
        <v>205</v>
      </c>
      <c r="C215" s="38"/>
      <c r="I215" s="27">
        <v>4</v>
      </c>
      <c r="J215" s="27">
        <v>50000</v>
      </c>
      <c r="L215" s="27"/>
      <c r="M215" s="27">
        <v>50000</v>
      </c>
      <c r="O215" s="48" t="s">
        <v>75</v>
      </c>
      <c r="P215" s="48">
        <f>HEX2DEC(RIGHT(Table1323212753[[#This Row],[h1]],8))</f>
        <v>0</v>
      </c>
      <c r="Q215" s="48" t="s">
        <v>75</v>
      </c>
      <c r="R215" s="48">
        <f>HEX2DEC(RIGHT(Table1323212753[[#This Row],[h2]],8))</f>
        <v>0</v>
      </c>
    </row>
    <row r="216" spans="1:18">
      <c r="A216" s="15" t="str">
        <f t="shared" si="8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8" t="s">
        <v>75</v>
      </c>
      <c r="P216" s="48">
        <f>HEX2DEC(RIGHT(Table1323212753[[#This Row],[h1]],8))</f>
        <v>0</v>
      </c>
      <c r="Q216" s="48" t="s">
        <v>75</v>
      </c>
      <c r="R216" s="48">
        <f>HEX2DEC(RIGHT(Table1323212753[[#This Row],[h2]],8))</f>
        <v>0</v>
      </c>
    </row>
    <row r="217" spans="1:18">
      <c r="A217" s="15" t="str">
        <f t="shared" si="8"/>
        <v>0CF</v>
      </c>
      <c r="B217" s="15">
        <v>207</v>
      </c>
      <c r="C217" s="38"/>
      <c r="F217" s="25"/>
      <c r="G217" s="56" t="s">
        <v>48</v>
      </c>
      <c r="I217" s="27">
        <v>2</v>
      </c>
      <c r="J217" s="27">
        <v>50000</v>
      </c>
      <c r="L217" s="27"/>
      <c r="M217" s="27">
        <v>50000</v>
      </c>
      <c r="O217" s="48" t="s">
        <v>75</v>
      </c>
      <c r="P217" s="48">
        <f>HEX2DEC(RIGHT(Table1323212753[[#This Row],[h1]],8))</f>
        <v>0</v>
      </c>
      <c r="Q217" s="48" t="s">
        <v>75</v>
      </c>
      <c r="R217" s="48">
        <f>HEX2DEC(RIGHT(Table1323212753[[#This Row],[h2]],8))</f>
        <v>0</v>
      </c>
    </row>
    <row r="218" spans="1:18">
      <c r="A218" s="15" t="str">
        <f t="shared" si="8"/>
        <v>0D0</v>
      </c>
      <c r="B218" s="15">
        <v>208</v>
      </c>
      <c r="C218" s="38"/>
      <c r="D218" s="15" t="s">
        <v>276</v>
      </c>
      <c r="F218" s="25"/>
      <c r="G218" s="29">
        <v>-1</v>
      </c>
      <c r="I218" s="27">
        <v>1</v>
      </c>
      <c r="J218" s="27">
        <v>50000</v>
      </c>
      <c r="L218" s="27"/>
      <c r="M218" s="27">
        <v>50000</v>
      </c>
      <c r="O218" s="48" t="s">
        <v>75</v>
      </c>
      <c r="P218" s="48">
        <f>HEX2DEC(RIGHT(Table1323212753[[#This Row],[h1]],8))</f>
        <v>0</v>
      </c>
      <c r="Q218" s="48" t="s">
        <v>75</v>
      </c>
      <c r="R218" s="48">
        <f>HEX2DEC(RIGHT(Table1323212753[[#This Row],[h2]],8))</f>
        <v>0</v>
      </c>
    </row>
    <row r="219" spans="1:18">
      <c r="A219" s="15" t="str">
        <f t="shared" si="8"/>
        <v>0D1</v>
      </c>
      <c r="B219" s="15">
        <v>209</v>
      </c>
      <c r="C219" s="38"/>
      <c r="D219" s="15" t="s">
        <v>277</v>
      </c>
      <c r="G219" s="29">
        <v>0</v>
      </c>
      <c r="I219" s="27">
        <v>3</v>
      </c>
      <c r="J219" s="27">
        <v>50000</v>
      </c>
      <c r="L219" s="27"/>
      <c r="M219" s="27">
        <v>50000</v>
      </c>
      <c r="O219" s="48" t="s">
        <v>75</v>
      </c>
      <c r="P219" s="48">
        <f>HEX2DEC(RIGHT(Table1323212753[[#This Row],[h1]],8))</f>
        <v>0</v>
      </c>
      <c r="Q219" s="48" t="s">
        <v>75</v>
      </c>
      <c r="R219" s="48">
        <f>HEX2DEC(RIGHT(Table1323212753[[#This Row],[h2]],8))</f>
        <v>0</v>
      </c>
    </row>
    <row r="220" spans="1:18">
      <c r="A220" s="15" t="str">
        <f t="shared" si="8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8" t="s">
        <v>75</v>
      </c>
      <c r="P220" s="48">
        <f>HEX2DEC(RIGHT(Table1323212753[[#This Row],[h1]],8))</f>
        <v>0</v>
      </c>
      <c r="Q220" s="48" t="s">
        <v>75</v>
      </c>
      <c r="R220" s="48">
        <f>HEX2DEC(RIGHT(Table1323212753[[#This Row],[h2]],8))</f>
        <v>0</v>
      </c>
    </row>
    <row r="221" spans="1:18">
      <c r="A221" s="15" t="str">
        <f t="shared" si="8"/>
        <v>0D3</v>
      </c>
      <c r="B221" s="15">
        <v>211</v>
      </c>
      <c r="C221" s="38"/>
      <c r="D221" s="15" t="s">
        <v>278</v>
      </c>
      <c r="G221" s="29" t="s">
        <v>80</v>
      </c>
      <c r="I221" s="27">
        <v>2</v>
      </c>
      <c r="J221" s="27">
        <v>50000</v>
      </c>
      <c r="L221" s="27"/>
      <c r="M221" s="27">
        <v>50000</v>
      </c>
      <c r="O221" s="48" t="s">
        <v>75</v>
      </c>
      <c r="P221" s="48">
        <f>HEX2DEC(RIGHT(Table1323212753[[#This Row],[h1]],8))</f>
        <v>0</v>
      </c>
      <c r="Q221" s="48" t="s">
        <v>75</v>
      </c>
      <c r="R221" s="48">
        <f>HEX2DEC(RIGHT(Table1323212753[[#This Row],[h2]],8))</f>
        <v>0</v>
      </c>
    </row>
    <row r="222" spans="1:18">
      <c r="A222" s="15" t="str">
        <f t="shared" si="8"/>
        <v>0D4</v>
      </c>
      <c r="B222" s="15">
        <v>212</v>
      </c>
      <c r="C222" s="38"/>
      <c r="D222" s="15" t="s">
        <v>279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8" t="s">
        <v>75</v>
      </c>
      <c r="P222" s="48">
        <f>HEX2DEC(RIGHT(Table1323212753[[#This Row],[h1]],8))</f>
        <v>0</v>
      </c>
      <c r="Q222" s="48" t="s">
        <v>75</v>
      </c>
      <c r="R222" s="48">
        <f>HEX2DEC(RIGHT(Table1323212753[[#This Row],[h2]],8))</f>
        <v>0</v>
      </c>
    </row>
    <row r="223" spans="1:18">
      <c r="A223" s="15" t="str">
        <f t="shared" si="8"/>
        <v>0D5</v>
      </c>
      <c r="B223" s="15">
        <v>213</v>
      </c>
      <c r="C223" s="38"/>
      <c r="G223" s="48"/>
      <c r="I223" s="27">
        <v>3</v>
      </c>
      <c r="J223" s="27">
        <v>50000</v>
      </c>
      <c r="L223" s="27"/>
      <c r="M223" s="27">
        <v>50000</v>
      </c>
      <c r="O223" s="48" t="s">
        <v>75</v>
      </c>
      <c r="P223" s="48">
        <f>HEX2DEC(RIGHT(Table1323212753[[#This Row],[h1]],8))</f>
        <v>0</v>
      </c>
      <c r="Q223" s="48" t="s">
        <v>75</v>
      </c>
      <c r="R223" s="48">
        <f>HEX2DEC(RIGHT(Table1323212753[[#This Row],[h2]],8))</f>
        <v>0</v>
      </c>
    </row>
    <row r="224" spans="1:18">
      <c r="A224" s="15" t="str">
        <f t="shared" si="8"/>
        <v>0D6</v>
      </c>
      <c r="B224" s="15">
        <v>214</v>
      </c>
      <c r="C224" s="38"/>
      <c r="E224" s="48"/>
      <c r="F224" s="29" t="s">
        <v>23</v>
      </c>
      <c r="G224" s="18"/>
      <c r="I224" s="27">
        <v>1</v>
      </c>
      <c r="J224" s="27">
        <v>50000</v>
      </c>
      <c r="L224" s="27"/>
      <c r="M224" s="27">
        <v>50000</v>
      </c>
      <c r="O224" s="48" t="s">
        <v>75</v>
      </c>
      <c r="P224" s="48">
        <f>HEX2DEC(RIGHT(Table1323212753[[#This Row],[h1]],8))</f>
        <v>0</v>
      </c>
      <c r="Q224" s="48" t="s">
        <v>75</v>
      </c>
      <c r="R224" s="48">
        <f>HEX2DEC(RIGHT(Table1323212753[[#This Row],[h2]],8))</f>
        <v>0</v>
      </c>
    </row>
    <row r="225" spans="1:18">
      <c r="A225" s="15" t="str">
        <f t="shared" si="8"/>
        <v>0D7</v>
      </c>
      <c r="B225" s="15">
        <v>215</v>
      </c>
      <c r="C225" s="38"/>
      <c r="D225" s="15" t="s">
        <v>280</v>
      </c>
      <c r="E225" s="18" t="s">
        <v>53</v>
      </c>
      <c r="F225" s="29"/>
      <c r="G225" s="18">
        <f>IF(Table13192551[[#This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8" t="s">
        <v>75</v>
      </c>
      <c r="P225" s="48">
        <f>HEX2DEC(RIGHT(Table1323212753[[#This Row],[h1]],8))</f>
        <v>0</v>
      </c>
      <c r="Q225" s="48" t="s">
        <v>75</v>
      </c>
      <c r="R225" s="48">
        <f>HEX2DEC(RIGHT(Table1323212753[[#This Row],[h2]],8))</f>
        <v>0</v>
      </c>
    </row>
    <row r="226" spans="1:18">
      <c r="A226" s="15" t="str">
        <f t="shared" si="8"/>
        <v>0D8</v>
      </c>
      <c r="B226" s="15">
        <v>216</v>
      </c>
      <c r="C226" s="38"/>
      <c r="D226" s="15" t="s">
        <v>281</v>
      </c>
      <c r="E226" s="18" t="s">
        <v>54</v>
      </c>
      <c r="F226" s="29"/>
      <c r="G226" s="18">
        <f>IF(Table13192551[[#This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8" t="s">
        <v>75</v>
      </c>
      <c r="P226" s="48">
        <f>HEX2DEC(RIGHT(Table1323212753[[#This Row],[h1]],8))</f>
        <v>0</v>
      </c>
      <c r="Q226" s="48" t="s">
        <v>75</v>
      </c>
      <c r="R226" s="48">
        <f>HEX2DEC(RIGHT(Table1323212753[[#This Row],[h2]],8))</f>
        <v>0</v>
      </c>
    </row>
    <row r="227" spans="1:18">
      <c r="A227" s="15" t="str">
        <f t="shared" si="8"/>
        <v>0D9</v>
      </c>
      <c r="B227" s="15">
        <v>217</v>
      </c>
      <c r="C227" s="38"/>
      <c r="D227" s="15" t="s">
        <v>282</v>
      </c>
      <c r="E227" s="18" t="s">
        <v>55</v>
      </c>
      <c r="F227" s="29"/>
      <c r="G227" s="18">
        <f>IF(Table13192551[[#This Row],[dec val]]="",0,1)</f>
        <v>0</v>
      </c>
      <c r="I227" s="27">
        <v>4</v>
      </c>
      <c r="J227" s="27">
        <v>50000</v>
      </c>
      <c r="L227" s="27"/>
      <c r="M227" s="27">
        <v>50000</v>
      </c>
      <c r="O227" s="48" t="s">
        <v>75</v>
      </c>
      <c r="P227" s="48">
        <f>HEX2DEC(RIGHT(Table1323212753[[#This Row],[h1]],8))</f>
        <v>0</v>
      </c>
      <c r="Q227" s="48" t="s">
        <v>75</v>
      </c>
      <c r="R227" s="48">
        <f>HEX2DEC(RIGHT(Table1323212753[[#This Row],[h2]],8))</f>
        <v>0</v>
      </c>
    </row>
    <row r="228" spans="1:18">
      <c r="A228" s="15" t="str">
        <f t="shared" si="8"/>
        <v>0DA</v>
      </c>
      <c r="B228" s="15">
        <v>218</v>
      </c>
      <c r="C228" s="38"/>
      <c r="D228" s="15" t="s">
        <v>283</v>
      </c>
      <c r="E228" s="18" t="s">
        <v>56</v>
      </c>
      <c r="F228" s="29"/>
      <c r="G228" s="18">
        <f>IF(Table13192551[[#This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8" t="s">
        <v>75</v>
      </c>
      <c r="P228" s="48">
        <f>HEX2DEC(RIGHT(Table1323212753[[#This Row],[h1]],8))</f>
        <v>0</v>
      </c>
      <c r="Q228" s="48" t="s">
        <v>75</v>
      </c>
      <c r="R228" s="48">
        <f>HEX2DEC(RIGHT(Table1323212753[[#This Row],[h2]],8))</f>
        <v>0</v>
      </c>
    </row>
    <row r="229" spans="1:18">
      <c r="A229" s="15" t="str">
        <f t="shared" si="8"/>
        <v>0DB</v>
      </c>
      <c r="B229" s="15">
        <v>219</v>
      </c>
      <c r="C229" s="38"/>
      <c r="D229" s="15" t="s">
        <v>284</v>
      </c>
      <c r="E229" s="18" t="s">
        <v>57</v>
      </c>
      <c r="F229" s="29"/>
      <c r="G229" s="18">
        <f>IF(Table13192551[[#This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8" t="s">
        <v>75</v>
      </c>
      <c r="P229" s="48">
        <f>HEX2DEC(RIGHT(Table1323212753[[#This Row],[h1]],8))</f>
        <v>0</v>
      </c>
      <c r="Q229" s="48" t="s">
        <v>75</v>
      </c>
      <c r="R229" s="48">
        <f>HEX2DEC(RIGHT(Table1323212753[[#This Row],[h2]],8))</f>
        <v>0</v>
      </c>
    </row>
    <row r="230" spans="1:18">
      <c r="A230" s="15" t="str">
        <f t="shared" si="8"/>
        <v>0DC</v>
      </c>
      <c r="B230" s="15">
        <v>220</v>
      </c>
      <c r="C230" s="38"/>
      <c r="D230" s="15" t="s">
        <v>285</v>
      </c>
      <c r="E230" s="18" t="s">
        <v>58</v>
      </c>
      <c r="F230" s="29"/>
      <c r="G230" s="18">
        <f>IF(Table13192551[[#This Row],[dec val]]="",0,1)</f>
        <v>0</v>
      </c>
      <c r="I230" s="27">
        <v>1</v>
      </c>
      <c r="J230" s="27">
        <v>50000</v>
      </c>
      <c r="L230" s="27"/>
      <c r="M230" s="27">
        <v>50000</v>
      </c>
      <c r="O230" s="48" t="s">
        <v>75</v>
      </c>
      <c r="P230" s="48">
        <f>HEX2DEC(RIGHT(Table1323212753[[#This Row],[h1]],8))</f>
        <v>0</v>
      </c>
      <c r="Q230" s="48" t="s">
        <v>75</v>
      </c>
      <c r="R230" s="48">
        <f>HEX2DEC(RIGHT(Table1323212753[[#This Row],[h2]],8))</f>
        <v>0</v>
      </c>
    </row>
    <row r="231" spans="1:18">
      <c r="A231" s="15" t="str">
        <f t="shared" si="8"/>
        <v>0DD</v>
      </c>
      <c r="B231" s="15">
        <v>221</v>
      </c>
      <c r="C231" s="38"/>
      <c r="D231" s="15" t="s">
        <v>286</v>
      </c>
      <c r="E231" s="18" t="s">
        <v>59</v>
      </c>
      <c r="F231" s="29"/>
      <c r="G231" s="18">
        <f>IF(Table13192551[[#This Row],[dec val]]="",0,1)</f>
        <v>0</v>
      </c>
      <c r="I231" s="27">
        <v>3</v>
      </c>
      <c r="J231" s="27">
        <v>50000</v>
      </c>
      <c r="L231" s="27"/>
      <c r="M231" s="27">
        <v>50000</v>
      </c>
      <c r="O231" s="48" t="s">
        <v>75</v>
      </c>
      <c r="P231" s="48">
        <f>HEX2DEC(RIGHT(Table1323212753[[#This Row],[h1]],8))</f>
        <v>0</v>
      </c>
      <c r="Q231" s="48" t="s">
        <v>75</v>
      </c>
      <c r="R231" s="48">
        <f>HEX2DEC(RIGHT(Table1323212753[[#This Row],[h2]],8))</f>
        <v>0</v>
      </c>
    </row>
    <row r="232" spans="1:18">
      <c r="A232" s="15" t="str">
        <f t="shared" si="8"/>
        <v>0DE</v>
      </c>
      <c r="B232" s="15">
        <v>222</v>
      </c>
      <c r="C232" s="38"/>
      <c r="D232" s="15" t="s">
        <v>287</v>
      </c>
      <c r="E232" s="18" t="s">
        <v>60</v>
      </c>
      <c r="F232" s="29"/>
      <c r="G232" s="18">
        <f>IF(Table13192551[[#This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8" t="s">
        <v>75</v>
      </c>
      <c r="P232" s="48">
        <f>HEX2DEC(RIGHT(Table1323212753[[#This Row],[h1]],8))</f>
        <v>0</v>
      </c>
      <c r="Q232" s="48" t="s">
        <v>75</v>
      </c>
      <c r="R232" s="48">
        <f>HEX2DEC(RIGHT(Table1323212753[[#This Row],[h2]],8))</f>
        <v>0</v>
      </c>
    </row>
    <row r="233" spans="1:18">
      <c r="A233" s="15" t="str">
        <f t="shared" si="8"/>
        <v>0DF</v>
      </c>
      <c r="B233" s="15">
        <v>223</v>
      </c>
      <c r="C233" s="38"/>
      <c r="D233" s="15" t="s">
        <v>288</v>
      </c>
      <c r="E233" s="18" t="s">
        <v>61</v>
      </c>
      <c r="F233" s="29"/>
      <c r="G233" s="18">
        <f>IF(Table13192551[[#This Row],[dec val]]="",0,1)</f>
        <v>0</v>
      </c>
      <c r="I233" s="27">
        <v>2</v>
      </c>
      <c r="J233" s="27">
        <v>50000</v>
      </c>
      <c r="L233" s="27"/>
      <c r="M233" s="27">
        <v>50000</v>
      </c>
      <c r="O233" s="48" t="s">
        <v>75</v>
      </c>
      <c r="P233" s="48">
        <f>HEX2DEC(RIGHT(Table1323212753[[#This Row],[h1]],8))</f>
        <v>0</v>
      </c>
      <c r="Q233" s="48" t="s">
        <v>75</v>
      </c>
      <c r="R233" s="48">
        <f>HEX2DEC(RIGHT(Table1323212753[[#This Row],[h2]],8))</f>
        <v>0</v>
      </c>
    </row>
    <row r="234" spans="1:18">
      <c r="A234" s="15" t="str">
        <f t="shared" si="8"/>
        <v>0E0</v>
      </c>
      <c r="B234" s="15">
        <v>224</v>
      </c>
      <c r="C234" s="38"/>
      <c r="D234" s="15" t="s">
        <v>289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8" t="s">
        <v>75</v>
      </c>
      <c r="P234" s="48">
        <f>HEX2DEC(RIGHT(Table1323212753[[#This Row],[h1]],8))</f>
        <v>0</v>
      </c>
      <c r="Q234" s="48" t="s">
        <v>75</v>
      </c>
      <c r="R234" s="48">
        <f>HEX2DEC(RIGHT(Table1323212753[[#This Row],[h2]],8))</f>
        <v>0</v>
      </c>
    </row>
    <row r="235" spans="1:18">
      <c r="A235" s="15" t="str">
        <f t="shared" si="8"/>
        <v>0E1</v>
      </c>
      <c r="B235" s="15">
        <v>225</v>
      </c>
      <c r="C235" s="38"/>
      <c r="D235" s="15" t="s">
        <v>290</v>
      </c>
      <c r="E235" s="18" t="s">
        <v>63</v>
      </c>
      <c r="F235" s="29"/>
      <c r="G235" s="18">
        <f>IF(Table13192551[[#This Row],[dec val]]="",0,1)</f>
        <v>0</v>
      </c>
      <c r="I235" s="27">
        <v>3</v>
      </c>
      <c r="J235" s="27">
        <v>50000</v>
      </c>
      <c r="L235" s="27"/>
      <c r="M235" s="27">
        <v>50000</v>
      </c>
      <c r="O235" s="48" t="s">
        <v>75</v>
      </c>
      <c r="P235" s="48">
        <f>HEX2DEC(RIGHT(Table1323212753[[#This Row],[h1]],8))</f>
        <v>0</v>
      </c>
      <c r="Q235" s="48" t="s">
        <v>75</v>
      </c>
      <c r="R235" s="48">
        <f>HEX2DEC(RIGHT(Table1323212753[[#This Row],[h2]],8))</f>
        <v>0</v>
      </c>
    </row>
    <row r="236" spans="1:18">
      <c r="A236" s="15" t="str">
        <f t="shared" si="8"/>
        <v>0E2</v>
      </c>
      <c r="B236" s="15">
        <v>226</v>
      </c>
      <c r="C236" s="38"/>
      <c r="D236" s="15" t="s">
        <v>338</v>
      </c>
      <c r="E236" s="18" t="s">
        <v>339</v>
      </c>
      <c r="F236" s="29">
        <v>1</v>
      </c>
      <c r="G236" s="18">
        <f>IF(Table13192551[[#This Row],[dec val]]="",0,1)</f>
        <v>1</v>
      </c>
      <c r="I236" s="27">
        <v>1</v>
      </c>
      <c r="J236" s="27">
        <v>50000</v>
      </c>
      <c r="L236" s="27"/>
      <c r="M236" s="27">
        <v>50000</v>
      </c>
      <c r="O236" s="48" t="s">
        <v>75</v>
      </c>
      <c r="P236" s="48">
        <f>HEX2DEC(RIGHT(Table1323212753[[#This Row],[h1]],8))</f>
        <v>0</v>
      </c>
      <c r="Q236" s="48" t="s">
        <v>75</v>
      </c>
      <c r="R236" s="48">
        <f>HEX2DEC(RIGHT(Table1323212753[[#This Row],[h2]],8))</f>
        <v>0</v>
      </c>
    </row>
    <row r="237" spans="1:18">
      <c r="A237" s="15" t="str">
        <f t="shared" si="8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8" t="s">
        <v>75</v>
      </c>
      <c r="P237" s="48">
        <f>HEX2DEC(RIGHT(Table1323212753[[#This Row],[h1]],8))</f>
        <v>0</v>
      </c>
      <c r="Q237" s="48" t="s">
        <v>75</v>
      </c>
      <c r="R237" s="48">
        <f>HEX2DEC(RIGHT(Table1323212753[[#This Row],[h2]],8))</f>
        <v>0</v>
      </c>
    </row>
    <row r="238" spans="1:18">
      <c r="A238" s="15" t="str">
        <f t="shared" si="8"/>
        <v>0E4</v>
      </c>
      <c r="B238" s="15">
        <v>228</v>
      </c>
      <c r="C238" s="38"/>
      <c r="D238" s="15" t="s">
        <v>291</v>
      </c>
      <c r="E238" s="18" t="s">
        <v>53</v>
      </c>
      <c r="F238" s="29"/>
      <c r="G238" s="18">
        <f>IF(Table13192551[[#This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8" t="s">
        <v>75</v>
      </c>
      <c r="P238" s="48">
        <f>HEX2DEC(RIGHT(Table1323212753[[#This Row],[h1]],8))</f>
        <v>0</v>
      </c>
      <c r="Q238" s="48" t="s">
        <v>75</v>
      </c>
      <c r="R238" s="48">
        <f>HEX2DEC(RIGHT(Table1323212753[[#This Row],[h2]],8))</f>
        <v>0</v>
      </c>
    </row>
    <row r="239" spans="1:18">
      <c r="A239" s="15" t="str">
        <f t="shared" si="8"/>
        <v>0E5</v>
      </c>
      <c r="B239" s="15">
        <v>229</v>
      </c>
      <c r="C239" s="38"/>
      <c r="D239" s="15" t="s">
        <v>292</v>
      </c>
      <c r="E239" s="18" t="s">
        <v>54</v>
      </c>
      <c r="F239" s="29"/>
      <c r="G239" s="18">
        <f>IF(Table13192551[[#This Row],[dec val]]="",0,1)</f>
        <v>0</v>
      </c>
      <c r="I239" s="27">
        <v>4</v>
      </c>
      <c r="J239" s="27">
        <v>50000</v>
      </c>
      <c r="L239" s="27"/>
      <c r="M239" s="27">
        <v>50000</v>
      </c>
      <c r="O239" s="48" t="s">
        <v>75</v>
      </c>
      <c r="P239" s="48">
        <f>HEX2DEC(RIGHT(Table1323212753[[#This Row],[h1]],8))</f>
        <v>0</v>
      </c>
      <c r="Q239" s="48" t="s">
        <v>75</v>
      </c>
      <c r="R239" s="48">
        <f>HEX2DEC(RIGHT(Table1323212753[[#This Row],[h2]],8))</f>
        <v>0</v>
      </c>
    </row>
    <row r="240" spans="1:18">
      <c r="A240" s="15" t="str">
        <f t="shared" si="8"/>
        <v>0E6</v>
      </c>
      <c r="B240" s="15">
        <v>230</v>
      </c>
      <c r="C240" s="38"/>
      <c r="D240" s="15" t="s">
        <v>293</v>
      </c>
      <c r="E240" s="18" t="s">
        <v>55</v>
      </c>
      <c r="F240" s="29"/>
      <c r="G240" s="18">
        <f>IF(Table13192551[[#This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8" t="s">
        <v>75</v>
      </c>
      <c r="P240" s="48">
        <f>HEX2DEC(RIGHT(Table1323212753[[#This Row],[h1]],8))</f>
        <v>0</v>
      </c>
      <c r="Q240" s="48" t="s">
        <v>75</v>
      </c>
      <c r="R240" s="48">
        <f>HEX2DEC(RIGHT(Table1323212753[[#This Row],[h2]],8))</f>
        <v>0</v>
      </c>
    </row>
    <row r="241" spans="1:18">
      <c r="A241" s="15" t="str">
        <f t="shared" si="8"/>
        <v>0E7</v>
      </c>
      <c r="B241" s="15">
        <v>231</v>
      </c>
      <c r="C241" s="38"/>
      <c r="D241" s="15" t="s">
        <v>294</v>
      </c>
      <c r="E241" s="18" t="s">
        <v>56</v>
      </c>
      <c r="F241" s="29"/>
      <c r="G241" s="18">
        <f>IF(Table13192551[[#This Row],[dec val]]="",0,1)</f>
        <v>0</v>
      </c>
      <c r="I241" s="27">
        <v>2</v>
      </c>
      <c r="J241" s="27">
        <v>50000</v>
      </c>
      <c r="L241" s="27"/>
      <c r="M241" s="27">
        <v>50000</v>
      </c>
      <c r="O241" s="48" t="s">
        <v>75</v>
      </c>
      <c r="P241" s="48">
        <f>HEX2DEC(RIGHT(Table1323212753[[#This Row],[h1]],8))</f>
        <v>0</v>
      </c>
      <c r="Q241" s="48" t="s">
        <v>75</v>
      </c>
      <c r="R241" s="48">
        <f>HEX2DEC(RIGHT(Table1323212753[[#This Row],[h2]],8))</f>
        <v>0</v>
      </c>
    </row>
    <row r="242" spans="1:18">
      <c r="A242" s="15" t="str">
        <f t="shared" si="8"/>
        <v>0E8</v>
      </c>
      <c r="B242" s="15">
        <v>232</v>
      </c>
      <c r="C242" s="38"/>
      <c r="D242" s="15" t="s">
        <v>295</v>
      </c>
      <c r="E242" s="18" t="s">
        <v>57</v>
      </c>
      <c r="F242" s="29"/>
      <c r="G242" s="18">
        <f>IF(Table13192551[[#This Row],[dec val]]="",0,1)</f>
        <v>0</v>
      </c>
      <c r="I242" s="27">
        <v>1</v>
      </c>
      <c r="J242" s="27">
        <v>50000</v>
      </c>
      <c r="L242" s="27"/>
      <c r="M242" s="27">
        <v>50000</v>
      </c>
      <c r="O242" s="48" t="s">
        <v>75</v>
      </c>
      <c r="P242" s="48">
        <f>HEX2DEC(RIGHT(Table1323212753[[#This Row],[h1]],8))</f>
        <v>0</v>
      </c>
      <c r="Q242" s="48" t="s">
        <v>75</v>
      </c>
      <c r="R242" s="48">
        <f>HEX2DEC(RIGHT(Table1323212753[[#This Row],[h2]],8))</f>
        <v>0</v>
      </c>
    </row>
    <row r="243" spans="1:18">
      <c r="A243" s="15" t="str">
        <f t="shared" si="8"/>
        <v>0E9</v>
      </c>
      <c r="B243" s="15">
        <v>233</v>
      </c>
      <c r="C243" s="38"/>
      <c r="D243" s="15" t="s">
        <v>296</v>
      </c>
      <c r="E243" s="18" t="s">
        <v>58</v>
      </c>
      <c r="F243" s="29"/>
      <c r="G243" s="18">
        <f>IF(Table13192551[[#This Row],[dec val]]="",0,1)</f>
        <v>0</v>
      </c>
      <c r="I243" s="27">
        <v>3</v>
      </c>
      <c r="J243" s="27">
        <v>50000</v>
      </c>
      <c r="L243" s="27"/>
      <c r="M243" s="27">
        <v>50000</v>
      </c>
      <c r="O243" s="48" t="s">
        <v>75</v>
      </c>
      <c r="P243" s="48">
        <f>HEX2DEC(RIGHT(Table1323212753[[#This Row],[h1]],8))</f>
        <v>0</v>
      </c>
      <c r="Q243" s="48" t="s">
        <v>75</v>
      </c>
      <c r="R243" s="48">
        <f>HEX2DEC(RIGHT(Table1323212753[[#This Row],[h2]],8))</f>
        <v>0</v>
      </c>
    </row>
    <row r="244" spans="1:18">
      <c r="A244" s="15" t="str">
        <f t="shared" si="8"/>
        <v>0EA</v>
      </c>
      <c r="B244" s="15">
        <v>234</v>
      </c>
      <c r="C244" s="38"/>
      <c r="D244" s="15" t="s">
        <v>297</v>
      </c>
      <c r="E244" s="18" t="s">
        <v>59</v>
      </c>
      <c r="F244" s="29"/>
      <c r="G244" s="18">
        <f>IF(Table13192551[[#This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8" t="s">
        <v>75</v>
      </c>
      <c r="P244" s="48">
        <f>HEX2DEC(RIGHT(Table1323212753[[#This Row],[h1]],8))</f>
        <v>0</v>
      </c>
      <c r="Q244" s="48" t="s">
        <v>75</v>
      </c>
      <c r="R244" s="48">
        <f>HEX2DEC(RIGHT(Table1323212753[[#This Row],[h2]],8))</f>
        <v>0</v>
      </c>
    </row>
    <row r="245" spans="1:18">
      <c r="A245" s="15" t="str">
        <f t="shared" si="8"/>
        <v>0EB</v>
      </c>
      <c r="B245" s="15">
        <v>235</v>
      </c>
      <c r="C245" s="38"/>
      <c r="D245" s="15" t="s">
        <v>298</v>
      </c>
      <c r="E245" s="18" t="s">
        <v>60</v>
      </c>
      <c r="F245" s="29"/>
      <c r="G245" s="18">
        <f>IF(Table13192551[[#This Row],[dec val]]="",0,1)</f>
        <v>0</v>
      </c>
      <c r="I245" s="27">
        <v>2</v>
      </c>
      <c r="J245" s="27">
        <v>50000</v>
      </c>
      <c r="L245" s="27"/>
      <c r="M245" s="27">
        <v>50000</v>
      </c>
      <c r="O245" s="48" t="s">
        <v>75</v>
      </c>
      <c r="P245" s="48">
        <f>HEX2DEC(RIGHT(Table1323212753[[#This Row],[h1]],8))</f>
        <v>0</v>
      </c>
      <c r="Q245" s="48" t="s">
        <v>75</v>
      </c>
      <c r="R245" s="48">
        <f>HEX2DEC(RIGHT(Table1323212753[[#This Row],[h2]],8))</f>
        <v>0</v>
      </c>
    </row>
    <row r="246" spans="1:18">
      <c r="A246" s="15" t="str">
        <f t="shared" si="8"/>
        <v>0EC</v>
      </c>
      <c r="B246" s="15">
        <v>236</v>
      </c>
      <c r="C246" s="38"/>
      <c r="D246" s="15" t="s">
        <v>299</v>
      </c>
      <c r="E246" s="18" t="s">
        <v>61</v>
      </c>
      <c r="F246" s="29"/>
      <c r="G246" s="18">
        <f>IF(Table13192551[[#This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8" t="s">
        <v>75</v>
      </c>
      <c r="P246" s="48">
        <f>HEX2DEC(RIGHT(Table1323212753[[#This Row],[h1]],8))</f>
        <v>0</v>
      </c>
      <c r="Q246" s="48" t="s">
        <v>75</v>
      </c>
      <c r="R246" s="48">
        <f>HEX2DEC(RIGHT(Table1323212753[[#This Row],[h2]],8))</f>
        <v>0</v>
      </c>
    </row>
    <row r="247" spans="1:18">
      <c r="A247" s="15" t="str">
        <f t="shared" si="8"/>
        <v>0ED</v>
      </c>
      <c r="B247" s="15">
        <v>237</v>
      </c>
      <c r="C247" s="38"/>
      <c r="D247" s="15" t="s">
        <v>300</v>
      </c>
      <c r="E247" s="18" t="s">
        <v>62</v>
      </c>
      <c r="F247" s="29"/>
      <c r="G247" s="18">
        <f>IF(Table13192551[[#This Row],[dec val]]="",0,1)</f>
        <v>0</v>
      </c>
      <c r="I247" s="27">
        <v>3</v>
      </c>
      <c r="J247" s="27">
        <v>50000</v>
      </c>
      <c r="L247" s="27"/>
      <c r="M247" s="27">
        <v>50000</v>
      </c>
      <c r="O247" s="48" t="s">
        <v>75</v>
      </c>
      <c r="P247" s="48">
        <f>HEX2DEC(RIGHT(Table1323212753[[#This Row],[h1]],8))</f>
        <v>0</v>
      </c>
      <c r="Q247" s="48" t="s">
        <v>75</v>
      </c>
      <c r="R247" s="48">
        <f>HEX2DEC(RIGHT(Table1323212753[[#This Row],[h2]],8))</f>
        <v>0</v>
      </c>
    </row>
    <row r="248" spans="1:18">
      <c r="A248" s="15" t="str">
        <f t="shared" si="8"/>
        <v>0EE</v>
      </c>
      <c r="B248" s="15">
        <v>238</v>
      </c>
      <c r="C248" s="38"/>
      <c r="D248" s="15" t="s">
        <v>301</v>
      </c>
      <c r="E248" s="18" t="s">
        <v>63</v>
      </c>
      <c r="F248" s="29"/>
      <c r="G248" s="18">
        <f>IF(Table13192551[[#This Row],[dec val]]="",0,1)</f>
        <v>0</v>
      </c>
      <c r="I248" s="27">
        <v>1</v>
      </c>
      <c r="J248" s="27">
        <v>50000</v>
      </c>
      <c r="L248" s="27"/>
      <c r="M248" s="27">
        <v>50000</v>
      </c>
      <c r="O248" s="48" t="s">
        <v>75</v>
      </c>
      <c r="P248" s="48">
        <f>HEX2DEC(RIGHT(Table1323212753[[#This Row],[h1]],8))</f>
        <v>0</v>
      </c>
      <c r="Q248" s="48" t="s">
        <v>75</v>
      </c>
      <c r="R248" s="48">
        <f>HEX2DEC(RIGHT(Table1323212753[[#This Row],[h2]],8))</f>
        <v>0</v>
      </c>
    </row>
    <row r="249" spans="1:18">
      <c r="A249" s="15" t="str">
        <f t="shared" si="8"/>
        <v>0EF</v>
      </c>
      <c r="B249" s="15">
        <v>239</v>
      </c>
      <c r="C249" s="38"/>
      <c r="D249" s="15" t="s">
        <v>340</v>
      </c>
      <c r="E249" s="18" t="s">
        <v>339</v>
      </c>
      <c r="F249" s="29"/>
      <c r="G249" s="18">
        <f>IF(Table13192551[[#This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8" t="s">
        <v>75</v>
      </c>
      <c r="P249" s="48">
        <f>HEX2DEC(RIGHT(Table1323212753[[#This Row],[h1]],8))</f>
        <v>0</v>
      </c>
      <c r="Q249" s="48" t="s">
        <v>75</v>
      </c>
      <c r="R249" s="48">
        <f>HEX2DEC(RIGHT(Table1323212753[[#This Row],[h2]],8))</f>
        <v>0</v>
      </c>
    </row>
    <row r="250" spans="1:18">
      <c r="A250" s="15" t="str">
        <f t="shared" si="8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8" t="s">
        <v>75</v>
      </c>
      <c r="P250" s="48">
        <f>HEX2DEC(RIGHT(Table1323212753[[#This Row],[h1]],8))</f>
        <v>0</v>
      </c>
      <c r="Q250" s="48" t="s">
        <v>75</v>
      </c>
      <c r="R250" s="48">
        <f>HEX2DEC(RIGHT(Table1323212753[[#This Row],[h2]],8))</f>
        <v>0</v>
      </c>
    </row>
    <row r="251" spans="1:18">
      <c r="A251" s="15" t="str">
        <f t="shared" si="8"/>
        <v>0F1</v>
      </c>
      <c r="B251" s="15">
        <v>241</v>
      </c>
      <c r="C251" s="38"/>
      <c r="D251" s="15" t="s">
        <v>302</v>
      </c>
      <c r="E251" s="18" t="s">
        <v>53</v>
      </c>
      <c r="F251" s="29"/>
      <c r="G251" s="18">
        <f>IF(Table13192551[[#This Row],[dec val]]="",0,1)</f>
        <v>0</v>
      </c>
      <c r="I251" s="57" t="s">
        <v>408</v>
      </c>
      <c r="J251" s="57">
        <v>50000</v>
      </c>
      <c r="L251" s="27"/>
      <c r="M251" s="27">
        <v>50000</v>
      </c>
      <c r="O251" s="48" t="s">
        <v>75</v>
      </c>
      <c r="P251" s="48">
        <f>HEX2DEC(RIGHT(Table1323212753[[#This Row],[h1]],8))</f>
        <v>0</v>
      </c>
      <c r="Q251" s="48" t="s">
        <v>75</v>
      </c>
      <c r="R251" s="48">
        <f>HEX2DEC(RIGHT(Table1323212753[[#This Row],[h2]],8))</f>
        <v>0</v>
      </c>
    </row>
    <row r="252" spans="1:18">
      <c r="A252" s="15" t="str">
        <f t="shared" si="8"/>
        <v>0F2</v>
      </c>
      <c r="B252" s="15">
        <v>242</v>
      </c>
      <c r="C252" s="38"/>
      <c r="D252" s="15" t="s">
        <v>303</v>
      </c>
      <c r="E252" s="18" t="s">
        <v>54</v>
      </c>
      <c r="F252" s="29"/>
      <c r="G252" s="18">
        <f>IF(Table13192551[[#This Row],[dec val]]="",0,1)</f>
        <v>0</v>
      </c>
      <c r="I252" s="27"/>
      <c r="J252" s="27">
        <v>50000</v>
      </c>
      <c r="L252" s="27"/>
      <c r="M252" s="27">
        <v>50000</v>
      </c>
      <c r="O252" s="48" t="s">
        <v>75</v>
      </c>
      <c r="P252" s="48">
        <f>HEX2DEC(RIGHT(Table1323212753[[#This Row],[h1]],8))</f>
        <v>0</v>
      </c>
      <c r="Q252" s="48" t="s">
        <v>75</v>
      </c>
      <c r="R252" s="48">
        <f>HEX2DEC(RIGHT(Table1323212753[[#This Row],[h2]],8))</f>
        <v>0</v>
      </c>
    </row>
    <row r="253" spans="1:18">
      <c r="A253" s="15" t="str">
        <f t="shared" si="8"/>
        <v>0F3</v>
      </c>
      <c r="B253" s="15">
        <v>243</v>
      </c>
      <c r="C253" s="38"/>
      <c r="D253" s="15" t="s">
        <v>304</v>
      </c>
      <c r="E253" s="18" t="s">
        <v>55</v>
      </c>
      <c r="F253" s="29"/>
      <c r="G253" s="18">
        <f>IF(Table13192551[[#This Row],[dec val]]="",0,1)</f>
        <v>0</v>
      </c>
      <c r="I253" s="27"/>
      <c r="J253" s="27">
        <v>50000</v>
      </c>
      <c r="L253" s="27"/>
      <c r="M253" s="27">
        <v>50000</v>
      </c>
      <c r="O253" s="48" t="s">
        <v>75</v>
      </c>
      <c r="P253" s="48">
        <f>HEX2DEC(RIGHT(Table1323212753[[#This Row],[h1]],8))</f>
        <v>0</v>
      </c>
      <c r="Q253" s="48" t="s">
        <v>75</v>
      </c>
      <c r="R253" s="48">
        <f>HEX2DEC(RIGHT(Table1323212753[[#This Row],[h2]],8))</f>
        <v>0</v>
      </c>
    </row>
    <row r="254" spans="1:18">
      <c r="A254" s="15" t="str">
        <f t="shared" si="8"/>
        <v>0F4</v>
      </c>
      <c r="B254" s="15">
        <v>244</v>
      </c>
      <c r="C254" s="38"/>
      <c r="D254" s="15" t="s">
        <v>305</v>
      </c>
      <c r="E254" s="18" t="s">
        <v>56</v>
      </c>
      <c r="F254" s="29"/>
      <c r="G254" s="18">
        <f>IF(Table13192551[[#This Row],[dec val]]="",0,1)</f>
        <v>0</v>
      </c>
      <c r="I254" s="27"/>
      <c r="J254" s="27">
        <v>50000</v>
      </c>
      <c r="L254" s="27"/>
      <c r="M254" s="27">
        <v>50000</v>
      </c>
      <c r="O254" s="48" t="s">
        <v>75</v>
      </c>
      <c r="P254" s="48">
        <f>HEX2DEC(RIGHT(Table1323212753[[#This Row],[h1]],8))</f>
        <v>0</v>
      </c>
      <c r="Q254" s="48" t="s">
        <v>75</v>
      </c>
      <c r="R254" s="48">
        <f>HEX2DEC(RIGHT(Table1323212753[[#This Row],[h2]],8))</f>
        <v>0</v>
      </c>
    </row>
    <row r="255" spans="1:18">
      <c r="A255" s="15" t="str">
        <f t="shared" si="8"/>
        <v>0F5</v>
      </c>
      <c r="B255" s="15">
        <v>245</v>
      </c>
      <c r="C255" s="38"/>
      <c r="D255" s="15" t="s">
        <v>306</v>
      </c>
      <c r="E255" s="18" t="s">
        <v>57</v>
      </c>
      <c r="F255" s="29"/>
      <c r="G255" s="18">
        <f>IF(Table13192551[[#This Row],[dec val]]="",0,1)</f>
        <v>0</v>
      </c>
      <c r="I255" s="27"/>
      <c r="J255" s="27">
        <v>50000</v>
      </c>
      <c r="L255" s="27"/>
      <c r="M255" s="27">
        <v>50000</v>
      </c>
      <c r="O255" s="48" t="s">
        <v>75</v>
      </c>
      <c r="P255" s="48">
        <f>HEX2DEC(RIGHT(Table1323212753[[#This Row],[h1]],8))</f>
        <v>0</v>
      </c>
      <c r="Q255" s="48" t="s">
        <v>75</v>
      </c>
      <c r="R255" s="48">
        <f>HEX2DEC(RIGHT(Table1323212753[[#This Row],[h2]],8))</f>
        <v>0</v>
      </c>
    </row>
    <row r="256" spans="1:18">
      <c r="A256" s="15" t="str">
        <f t="shared" si="8"/>
        <v>0F6</v>
      </c>
      <c r="B256" s="15">
        <v>246</v>
      </c>
      <c r="C256" s="38"/>
      <c r="D256" s="15" t="s">
        <v>307</v>
      </c>
      <c r="E256" s="18" t="s">
        <v>58</v>
      </c>
      <c r="F256" s="29"/>
      <c r="G256" s="18">
        <f>IF(Table13192551[[#This Row],[dec val]]="",0,1)</f>
        <v>0</v>
      </c>
      <c r="I256" s="27"/>
      <c r="J256" s="27">
        <v>50000</v>
      </c>
      <c r="L256" s="27"/>
      <c r="M256" s="27">
        <v>50000</v>
      </c>
      <c r="O256" s="48" t="s">
        <v>75</v>
      </c>
      <c r="P256" s="48">
        <f>HEX2DEC(RIGHT(Table1323212753[[#This Row],[h1]],8))</f>
        <v>0</v>
      </c>
      <c r="Q256" s="48" t="s">
        <v>75</v>
      </c>
      <c r="R256" s="48">
        <f>HEX2DEC(RIGHT(Table1323212753[[#This Row],[h2]],8))</f>
        <v>0</v>
      </c>
    </row>
    <row r="257" spans="1:18">
      <c r="A257" s="15" t="str">
        <f t="shared" si="8"/>
        <v>0F7</v>
      </c>
      <c r="B257" s="15">
        <v>247</v>
      </c>
      <c r="C257" s="38"/>
      <c r="D257" s="15" t="s">
        <v>308</v>
      </c>
      <c r="E257" s="18" t="s">
        <v>59</v>
      </c>
      <c r="F257" s="29"/>
      <c r="G257" s="18">
        <f>IF(Table13192551[[#This Row],[dec val]]="",0,1)</f>
        <v>0</v>
      </c>
      <c r="I257" s="27"/>
      <c r="J257" s="27">
        <v>50000</v>
      </c>
      <c r="L257" s="27"/>
      <c r="M257" s="27">
        <v>50000</v>
      </c>
      <c r="O257" s="48" t="s">
        <v>75</v>
      </c>
      <c r="P257" s="48">
        <f>HEX2DEC(RIGHT(Table1323212753[[#This Row],[h1]],8))</f>
        <v>0</v>
      </c>
      <c r="Q257" s="48" t="s">
        <v>75</v>
      </c>
      <c r="R257" s="48">
        <f>HEX2DEC(RIGHT(Table1323212753[[#This Row],[h2]],8))</f>
        <v>0</v>
      </c>
    </row>
    <row r="258" spans="1:18">
      <c r="A258" s="15" t="str">
        <f t="shared" si="8"/>
        <v>0F8</v>
      </c>
      <c r="B258" s="15">
        <v>248</v>
      </c>
      <c r="C258" s="38"/>
      <c r="D258" s="15" t="s">
        <v>309</v>
      </c>
      <c r="E258" s="18" t="s">
        <v>60</v>
      </c>
      <c r="F258" s="29"/>
      <c r="G258" s="18">
        <f>IF(Table13192551[[#This Row],[dec val]]="",0,1)</f>
        <v>0</v>
      </c>
      <c r="I258" s="27"/>
      <c r="J258" s="27">
        <v>50000</v>
      </c>
      <c r="L258" s="27"/>
      <c r="M258" s="27">
        <v>50000</v>
      </c>
      <c r="O258" s="48" t="s">
        <v>75</v>
      </c>
      <c r="P258" s="48">
        <f>HEX2DEC(RIGHT(Table1323212753[[#This Row],[h1]],8))</f>
        <v>0</v>
      </c>
      <c r="Q258" s="48" t="s">
        <v>75</v>
      </c>
      <c r="R258" s="48">
        <f>HEX2DEC(RIGHT(Table1323212753[[#This Row],[h2]],8))</f>
        <v>0</v>
      </c>
    </row>
    <row r="259" spans="1:18">
      <c r="A259" s="15" t="str">
        <f t="shared" si="8"/>
        <v>0F9</v>
      </c>
      <c r="B259" s="15">
        <v>249</v>
      </c>
      <c r="C259" s="38"/>
      <c r="D259" s="15" t="s">
        <v>310</v>
      </c>
      <c r="E259" s="18" t="s">
        <v>61</v>
      </c>
      <c r="F259" s="29"/>
      <c r="G259" s="18">
        <f>IF(Table13192551[[#This Row],[dec val]]="",0,1)</f>
        <v>0</v>
      </c>
      <c r="I259" s="27"/>
      <c r="J259" s="27">
        <v>50000</v>
      </c>
      <c r="L259" s="27"/>
      <c r="M259" s="27">
        <v>50000</v>
      </c>
      <c r="O259" s="48" t="s">
        <v>75</v>
      </c>
      <c r="P259" s="48">
        <f>HEX2DEC(RIGHT(Table1323212753[[#This Row],[h1]],8))</f>
        <v>0</v>
      </c>
      <c r="Q259" s="48" t="s">
        <v>75</v>
      </c>
      <c r="R259" s="48">
        <f>HEX2DEC(RIGHT(Table1323212753[[#This Row],[h2]],8))</f>
        <v>0</v>
      </c>
    </row>
    <row r="260" spans="1:18">
      <c r="A260" s="15" t="str">
        <f t="shared" si="8"/>
        <v>0FA</v>
      </c>
      <c r="B260" s="15">
        <v>250</v>
      </c>
      <c r="C260" s="38"/>
      <c r="D260" s="15" t="s">
        <v>311</v>
      </c>
      <c r="E260" s="18" t="s">
        <v>62</v>
      </c>
      <c r="F260" s="29"/>
      <c r="G260" s="18">
        <f>IF(Table13192551[[#This Row],[dec val]]="",0,1)</f>
        <v>0</v>
      </c>
      <c r="I260" s="27"/>
      <c r="J260" s="27">
        <v>50000</v>
      </c>
      <c r="L260" s="27"/>
      <c r="M260" s="27">
        <v>50000</v>
      </c>
      <c r="O260" s="48" t="s">
        <v>75</v>
      </c>
      <c r="P260" s="48">
        <f>HEX2DEC(RIGHT(Table1323212753[[#This Row],[h1]],8))</f>
        <v>0</v>
      </c>
      <c r="Q260" s="48" t="s">
        <v>75</v>
      </c>
      <c r="R260" s="48">
        <f>HEX2DEC(RIGHT(Table1323212753[[#This Row],[h2]],8))</f>
        <v>0</v>
      </c>
    </row>
    <row r="261" spans="1:18">
      <c r="A261" s="15" t="str">
        <f t="shared" si="8"/>
        <v>0FB</v>
      </c>
      <c r="B261" s="15">
        <v>251</v>
      </c>
      <c r="C261" s="38"/>
      <c r="D261" s="15" t="s">
        <v>312</v>
      </c>
      <c r="E261" s="18" t="s">
        <v>63</v>
      </c>
      <c r="F261" s="29"/>
      <c r="G261" s="18">
        <f>IF(Table13192551[[#This Row],[dec val]]="",0,1)</f>
        <v>0</v>
      </c>
      <c r="I261" s="27"/>
      <c r="J261" s="27">
        <v>50000</v>
      </c>
      <c r="L261" s="27"/>
      <c r="M261" s="27">
        <v>50000</v>
      </c>
      <c r="O261" s="48" t="s">
        <v>75</v>
      </c>
      <c r="P261" s="48">
        <f>HEX2DEC(RIGHT(Table1323212753[[#This Row],[h1]],8))</f>
        <v>0</v>
      </c>
      <c r="Q261" s="48" t="s">
        <v>75</v>
      </c>
      <c r="R261" s="48">
        <f>HEX2DEC(RIGHT(Table1323212753[[#This Row],[h2]],8))</f>
        <v>0</v>
      </c>
    </row>
    <row r="262" spans="1:18">
      <c r="A262" s="15" t="str">
        <f t="shared" si="8"/>
        <v>0FC</v>
      </c>
      <c r="B262" s="15">
        <v>252</v>
      </c>
      <c r="C262" s="38"/>
      <c r="D262" s="15" t="s">
        <v>342</v>
      </c>
      <c r="E262" s="18" t="s">
        <v>339</v>
      </c>
      <c r="F262" s="29"/>
      <c r="G262" s="18">
        <f>IF(Table13192551[[#This Row],[dec val]]="",0,1)</f>
        <v>0</v>
      </c>
      <c r="I262" s="27"/>
      <c r="J262" s="27">
        <v>50000</v>
      </c>
      <c r="L262" s="27"/>
      <c r="M262" s="27">
        <v>50000</v>
      </c>
      <c r="O262" s="48" t="s">
        <v>75</v>
      </c>
      <c r="P262" s="48">
        <f>HEX2DEC(RIGHT(Table1323212753[[#This Row],[h1]],8))</f>
        <v>0</v>
      </c>
      <c r="Q262" s="48" t="s">
        <v>75</v>
      </c>
      <c r="R262" s="48">
        <f>HEX2DEC(RIGHT(Table1323212753[[#This Row],[h2]],8))</f>
        <v>0</v>
      </c>
    </row>
    <row r="263" spans="1:18">
      <c r="A263" s="15" t="str">
        <f t="shared" si="8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8" t="s">
        <v>75</v>
      </c>
      <c r="P263" s="48">
        <f>HEX2DEC(RIGHT(Table1323212753[[#This Row],[h1]],8))</f>
        <v>0</v>
      </c>
      <c r="Q263" s="48" t="s">
        <v>75</v>
      </c>
      <c r="R263" s="48">
        <f>HEX2DEC(RIGHT(Table1323212753[[#This Row],[h2]],8))</f>
        <v>0</v>
      </c>
    </row>
    <row r="264" spans="1:18">
      <c r="A264" s="15" t="str">
        <f t="shared" si="8"/>
        <v>0FE</v>
      </c>
      <c r="B264" s="15">
        <v>254</v>
      </c>
      <c r="C264" s="38"/>
      <c r="D264" s="15" t="s">
        <v>313</v>
      </c>
      <c r="E264" s="18" t="s">
        <v>53</v>
      </c>
      <c r="F264" s="29"/>
      <c r="G264" s="18">
        <f>IF(Table13192551[[#This Row],[dec val]]="",0,1)</f>
        <v>0</v>
      </c>
      <c r="I264" s="27"/>
      <c r="J264" s="27">
        <v>50000</v>
      </c>
      <c r="L264" s="27"/>
      <c r="M264" s="27">
        <v>50000</v>
      </c>
      <c r="O264" s="48" t="s">
        <v>75</v>
      </c>
      <c r="P264" s="48">
        <f>HEX2DEC(RIGHT(Table1323212753[[#This Row],[h1]],8))</f>
        <v>0</v>
      </c>
      <c r="Q264" s="48" t="s">
        <v>75</v>
      </c>
      <c r="R264" s="48">
        <f>HEX2DEC(RIGHT(Table1323212753[[#This Row],[h2]],8))</f>
        <v>0</v>
      </c>
    </row>
    <row r="265" spans="1:18">
      <c r="A265" s="15" t="str">
        <f t="shared" si="8"/>
        <v>0FF</v>
      </c>
      <c r="B265" s="15">
        <v>255</v>
      </c>
      <c r="C265" s="38"/>
      <c r="D265" s="15" t="s">
        <v>314</v>
      </c>
      <c r="E265" s="18" t="s">
        <v>54</v>
      </c>
      <c r="F265" s="29"/>
      <c r="G265" s="18">
        <f>IF(Table13192551[[#This Row],[dec val]]="",0,1)</f>
        <v>0</v>
      </c>
      <c r="I265" s="27"/>
      <c r="J265" s="27">
        <v>50000</v>
      </c>
      <c r="L265" s="27"/>
      <c r="M265" s="27">
        <v>50000</v>
      </c>
      <c r="O265" s="48" t="s">
        <v>75</v>
      </c>
      <c r="P265" s="48">
        <f>HEX2DEC(RIGHT(Table1323212753[[#This Row],[h1]],8))</f>
        <v>0</v>
      </c>
      <c r="Q265" s="48" t="s">
        <v>75</v>
      </c>
      <c r="R265" s="48">
        <f>HEX2DEC(RIGHT(Table1323212753[[#This Row],[h2]],8))</f>
        <v>0</v>
      </c>
    </row>
    <row r="266" spans="1:18">
      <c r="A266" s="15" t="str">
        <f t="shared" si="8"/>
        <v>100</v>
      </c>
      <c r="B266" s="15">
        <v>256</v>
      </c>
      <c r="C266" s="38"/>
      <c r="D266" s="15" t="s">
        <v>315</v>
      </c>
      <c r="E266" s="18" t="s">
        <v>55</v>
      </c>
      <c r="F266" s="29"/>
      <c r="G266" s="18">
        <f>IF(Table13192551[[#This Row],[dec val]]="",0,1)</f>
        <v>0</v>
      </c>
      <c r="I266" s="27"/>
      <c r="J266" s="27">
        <v>50000</v>
      </c>
      <c r="L266" s="27"/>
      <c r="M266" s="27">
        <v>50000</v>
      </c>
      <c r="O266" s="48" t="s">
        <v>75</v>
      </c>
      <c r="P266" s="48">
        <f>HEX2DEC(RIGHT(Table1323212753[[#This Row],[h1]],8))</f>
        <v>0</v>
      </c>
      <c r="Q266" s="48" t="s">
        <v>75</v>
      </c>
      <c r="R266" s="48">
        <f>HEX2DEC(RIGHT(Table1323212753[[#This Row],[h2]],8))</f>
        <v>0</v>
      </c>
    </row>
    <row r="267" spans="1:18">
      <c r="A267" s="15" t="str">
        <f t="shared" ref="A267:A330" si="9">DEC2HEX(B267,3)</f>
        <v>101</v>
      </c>
      <c r="B267" s="15">
        <v>257</v>
      </c>
      <c r="C267" s="38"/>
      <c r="D267" s="15" t="s">
        <v>316</v>
      </c>
      <c r="E267" s="18" t="s">
        <v>56</v>
      </c>
      <c r="F267" s="29"/>
      <c r="G267" s="18">
        <f>IF(Table13192551[[#This Row],[dec val]]="",0,1)</f>
        <v>0</v>
      </c>
      <c r="I267" s="27"/>
      <c r="J267" s="27">
        <v>50000</v>
      </c>
      <c r="L267" s="27"/>
      <c r="M267" s="27">
        <v>50000</v>
      </c>
      <c r="O267" s="48" t="s">
        <v>75</v>
      </c>
      <c r="P267" s="48">
        <f>HEX2DEC(RIGHT(Table1323212753[[#This Row],[h1]],8))</f>
        <v>0</v>
      </c>
      <c r="Q267" s="48" t="s">
        <v>75</v>
      </c>
      <c r="R267" s="48">
        <f>HEX2DEC(RIGHT(Table1323212753[[#This Row],[h2]],8))</f>
        <v>0</v>
      </c>
    </row>
    <row r="268" spans="1:18">
      <c r="A268" s="15" t="str">
        <f t="shared" si="9"/>
        <v>102</v>
      </c>
      <c r="B268" s="15">
        <v>258</v>
      </c>
      <c r="C268" s="38"/>
      <c r="D268" s="15" t="s">
        <v>317</v>
      </c>
      <c r="E268" s="18" t="s">
        <v>57</v>
      </c>
      <c r="F268" s="29"/>
      <c r="G268" s="18">
        <f>IF(Table13192551[[#This Row],[dec val]]="",0,1)</f>
        <v>0</v>
      </c>
      <c r="I268" s="27"/>
      <c r="J268" s="27">
        <v>50000</v>
      </c>
      <c r="L268" s="27"/>
      <c r="M268" s="27">
        <v>50000</v>
      </c>
      <c r="O268" s="48" t="s">
        <v>75</v>
      </c>
      <c r="P268" s="48">
        <f>HEX2DEC(RIGHT(Table1323212753[[#This Row],[h1]],8))</f>
        <v>0</v>
      </c>
      <c r="Q268" s="48" t="s">
        <v>75</v>
      </c>
      <c r="R268" s="48">
        <f>HEX2DEC(RIGHT(Table1323212753[[#This Row],[h2]],8))</f>
        <v>0</v>
      </c>
    </row>
    <row r="269" spans="1:18">
      <c r="A269" s="15" t="str">
        <f t="shared" si="9"/>
        <v>103</v>
      </c>
      <c r="B269" s="15">
        <v>259</v>
      </c>
      <c r="C269" s="38"/>
      <c r="D269" s="15" t="s">
        <v>318</v>
      </c>
      <c r="E269" s="18" t="s">
        <v>58</v>
      </c>
      <c r="F269" s="29"/>
      <c r="G269" s="18">
        <f>IF(Table13192551[[#This Row],[dec val]]="",0,1)</f>
        <v>0</v>
      </c>
      <c r="I269" s="27"/>
      <c r="J269" s="27">
        <v>50000</v>
      </c>
      <c r="L269" s="27"/>
      <c r="M269" s="27">
        <v>50000</v>
      </c>
      <c r="O269" s="48" t="s">
        <v>75</v>
      </c>
      <c r="P269" s="48">
        <f>HEX2DEC(RIGHT(Table1323212753[[#This Row],[h1]],8))</f>
        <v>0</v>
      </c>
      <c r="Q269" s="48" t="s">
        <v>75</v>
      </c>
      <c r="R269" s="48">
        <f>HEX2DEC(RIGHT(Table1323212753[[#This Row],[h2]],8))</f>
        <v>0</v>
      </c>
    </row>
    <row r="270" spans="1:18">
      <c r="A270" s="15" t="str">
        <f t="shared" si="9"/>
        <v>104</v>
      </c>
      <c r="B270" s="15">
        <v>260</v>
      </c>
      <c r="C270" s="38"/>
      <c r="D270" s="15" t="s">
        <v>319</v>
      </c>
      <c r="E270" s="18" t="s">
        <v>59</v>
      </c>
      <c r="F270" s="29"/>
      <c r="G270" s="18">
        <f>IF(Table13192551[[#This Row],[dec val]]="",0,1)</f>
        <v>0</v>
      </c>
      <c r="I270" s="27"/>
      <c r="J270" s="27">
        <v>50000</v>
      </c>
      <c r="L270" s="27"/>
      <c r="M270" s="27">
        <v>50000</v>
      </c>
      <c r="O270" s="48" t="s">
        <v>75</v>
      </c>
      <c r="P270" s="48">
        <f>HEX2DEC(RIGHT(Table1323212753[[#This Row],[h1]],8))</f>
        <v>0</v>
      </c>
      <c r="Q270" s="48" t="s">
        <v>75</v>
      </c>
      <c r="R270" s="48">
        <f>HEX2DEC(RIGHT(Table1323212753[[#This Row],[h2]],8))</f>
        <v>0</v>
      </c>
    </row>
    <row r="271" spans="1:18">
      <c r="A271" s="15" t="str">
        <f t="shared" si="9"/>
        <v>105</v>
      </c>
      <c r="B271" s="15">
        <v>261</v>
      </c>
      <c r="C271" s="38"/>
      <c r="D271" s="15" t="s">
        <v>320</v>
      </c>
      <c r="E271" s="18" t="s">
        <v>60</v>
      </c>
      <c r="F271" s="29"/>
      <c r="G271" s="18">
        <f>IF(Table13192551[[#This Row],[dec val]]="",0,1)</f>
        <v>0</v>
      </c>
      <c r="I271" s="27"/>
      <c r="J271" s="27">
        <v>50000</v>
      </c>
      <c r="L271" s="27"/>
      <c r="M271" s="27">
        <v>50000</v>
      </c>
      <c r="O271" s="48" t="s">
        <v>75</v>
      </c>
      <c r="P271" s="48">
        <f>HEX2DEC(RIGHT(Table1323212753[[#This Row],[h1]],8))</f>
        <v>0</v>
      </c>
      <c r="Q271" s="48" t="s">
        <v>75</v>
      </c>
      <c r="R271" s="48">
        <f>HEX2DEC(RIGHT(Table1323212753[[#This Row],[h2]],8))</f>
        <v>0</v>
      </c>
    </row>
    <row r="272" spans="1:18">
      <c r="A272" s="15" t="str">
        <f t="shared" si="9"/>
        <v>106</v>
      </c>
      <c r="B272" s="15">
        <v>262</v>
      </c>
      <c r="C272" s="38"/>
      <c r="D272" s="15" t="s">
        <v>321</v>
      </c>
      <c r="E272" s="18" t="s">
        <v>62</v>
      </c>
      <c r="F272" s="29"/>
      <c r="G272" s="18">
        <f>IF(Table13192551[[#This Row],[dec val]]="",0,1)</f>
        <v>0</v>
      </c>
      <c r="I272" s="27"/>
      <c r="J272" s="27">
        <v>50000</v>
      </c>
      <c r="L272" s="27"/>
      <c r="M272" s="27">
        <v>50000</v>
      </c>
      <c r="O272" s="48" t="s">
        <v>75</v>
      </c>
      <c r="P272" s="48">
        <f>HEX2DEC(RIGHT(Table1323212753[[#This Row],[h1]],8))</f>
        <v>0</v>
      </c>
      <c r="Q272" s="48" t="s">
        <v>75</v>
      </c>
      <c r="R272" s="48">
        <f>HEX2DEC(RIGHT(Table1323212753[[#This Row],[h2]],8))</f>
        <v>0</v>
      </c>
    </row>
    <row r="273" spans="1:18">
      <c r="A273" s="15" t="str">
        <f t="shared" si="9"/>
        <v>107</v>
      </c>
      <c r="B273" s="15">
        <v>263</v>
      </c>
      <c r="C273" s="38"/>
      <c r="D273" s="15" t="s">
        <v>322</v>
      </c>
      <c r="E273" s="18" t="s">
        <v>63</v>
      </c>
      <c r="F273" s="29"/>
      <c r="G273" s="18">
        <f>IF(Table13192551[[#This Row],[dec val]]="",0,1)</f>
        <v>0</v>
      </c>
      <c r="I273" s="27"/>
      <c r="J273" s="27">
        <v>50000</v>
      </c>
      <c r="L273" s="27"/>
      <c r="M273" s="27">
        <v>50000</v>
      </c>
      <c r="O273" s="48" t="s">
        <v>75</v>
      </c>
      <c r="P273" s="48">
        <f>HEX2DEC(RIGHT(Table1323212753[[#This Row],[h1]],8))</f>
        <v>0</v>
      </c>
      <c r="Q273" s="48" t="s">
        <v>75</v>
      </c>
      <c r="R273" s="48">
        <f>HEX2DEC(RIGHT(Table1323212753[[#This Row],[h2]],8))</f>
        <v>0</v>
      </c>
    </row>
    <row r="274" spans="1:18">
      <c r="A274" s="15" t="str">
        <f t="shared" si="9"/>
        <v>108</v>
      </c>
      <c r="B274" s="15">
        <v>264</v>
      </c>
      <c r="C274" s="38"/>
      <c r="D274" s="15" t="s">
        <v>343</v>
      </c>
      <c r="E274" s="18" t="s">
        <v>339</v>
      </c>
      <c r="F274" s="29"/>
      <c r="G274" s="18">
        <f>IF(Table13192551[[#This Row],[dec val]]="",0,1)</f>
        <v>0</v>
      </c>
      <c r="I274" s="27"/>
      <c r="J274" s="27">
        <v>50000</v>
      </c>
      <c r="L274" s="27"/>
      <c r="M274" s="27">
        <v>50000</v>
      </c>
      <c r="O274" s="48" t="s">
        <v>75</v>
      </c>
      <c r="P274" s="48">
        <f>HEX2DEC(RIGHT(Table1323212753[[#This Row],[h1]],8))</f>
        <v>0</v>
      </c>
      <c r="Q274" s="48" t="s">
        <v>75</v>
      </c>
      <c r="R274" s="48">
        <f>HEX2DEC(RIGHT(Table1323212753[[#This Row],[h2]],8))</f>
        <v>0</v>
      </c>
    </row>
    <row r="275" spans="1:18">
      <c r="A275" s="15" t="str">
        <f t="shared" si="9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8" t="s">
        <v>75</v>
      </c>
      <c r="P275" s="48">
        <f>HEX2DEC(RIGHT(Table1323212753[[#This Row],[h1]],8))</f>
        <v>0</v>
      </c>
      <c r="Q275" s="48" t="s">
        <v>75</v>
      </c>
      <c r="R275" s="48">
        <f>HEX2DEC(RIGHT(Table1323212753[[#This Row],[h2]],8))</f>
        <v>0</v>
      </c>
    </row>
    <row r="276" spans="1:18">
      <c r="A276" s="15" t="str">
        <f t="shared" si="9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8" t="s">
        <v>75</v>
      </c>
      <c r="P276" s="48">
        <f>HEX2DEC(RIGHT(Table1323212753[[#This Row],[h1]],8))</f>
        <v>0</v>
      </c>
      <c r="Q276" s="48" t="s">
        <v>75</v>
      </c>
      <c r="R276" s="48">
        <f>HEX2DEC(RIGHT(Table1323212753[[#This Row],[h2]],8))</f>
        <v>0</v>
      </c>
    </row>
    <row r="277" spans="1:18">
      <c r="A277" s="15" t="str">
        <f t="shared" si="9"/>
        <v>10B</v>
      </c>
      <c r="B277" s="15">
        <v>267</v>
      </c>
      <c r="C277" s="38"/>
      <c r="D277" s="15" t="s">
        <v>91</v>
      </c>
      <c r="G277" s="49" t="s">
        <v>132</v>
      </c>
      <c r="I277" s="27"/>
      <c r="J277" s="27">
        <v>50000</v>
      </c>
      <c r="L277" s="27"/>
      <c r="M277" s="27">
        <v>50000</v>
      </c>
      <c r="O277" s="48" t="s">
        <v>75</v>
      </c>
      <c r="P277" s="48">
        <f>HEX2DEC(RIGHT(Table1323212753[[#This Row],[h1]],8))</f>
        <v>0</v>
      </c>
      <c r="Q277" s="48" t="s">
        <v>75</v>
      </c>
      <c r="R277" s="48">
        <f>HEX2DEC(RIGHT(Table1323212753[[#This Row],[h2]],8))</f>
        <v>0</v>
      </c>
    </row>
    <row r="278" spans="1:18">
      <c r="A278" s="15" t="str">
        <f t="shared" si="9"/>
        <v>10C</v>
      </c>
      <c r="B278" s="15">
        <v>268</v>
      </c>
      <c r="C278" s="38"/>
      <c r="D278" s="15" t="s">
        <v>92</v>
      </c>
      <c r="G278" s="49" t="s">
        <v>133</v>
      </c>
      <c r="I278" s="27"/>
      <c r="J278" s="27">
        <v>50000</v>
      </c>
      <c r="L278" s="27"/>
      <c r="M278" s="27">
        <v>50000</v>
      </c>
      <c r="O278" s="48" t="s">
        <v>75</v>
      </c>
      <c r="P278" s="48">
        <f>HEX2DEC(RIGHT(Table1323212753[[#This Row],[h1]],8))</f>
        <v>0</v>
      </c>
      <c r="Q278" s="48" t="s">
        <v>75</v>
      </c>
      <c r="R278" s="48">
        <f>HEX2DEC(RIGHT(Table1323212753[[#This Row],[h2]],8))</f>
        <v>0</v>
      </c>
    </row>
    <row r="279" spans="1:18">
      <c r="A279" s="15" t="str">
        <f t="shared" si="9"/>
        <v>10D</v>
      </c>
      <c r="B279" s="15">
        <v>269</v>
      </c>
      <c r="C279" s="38"/>
      <c r="D279" s="15" t="s">
        <v>93</v>
      </c>
      <c r="G279" s="49" t="s">
        <v>133</v>
      </c>
      <c r="I279" s="27"/>
      <c r="J279" s="27">
        <v>50000</v>
      </c>
      <c r="L279" s="27"/>
      <c r="M279" s="27">
        <v>50000</v>
      </c>
      <c r="O279" s="48" t="s">
        <v>75</v>
      </c>
      <c r="P279" s="48">
        <f>HEX2DEC(RIGHT(Table1323212753[[#This Row],[h1]],8))</f>
        <v>0</v>
      </c>
      <c r="Q279" s="48" t="s">
        <v>75</v>
      </c>
      <c r="R279" s="48">
        <f>HEX2DEC(RIGHT(Table1323212753[[#This Row],[h2]],8))</f>
        <v>0</v>
      </c>
    </row>
    <row r="280" spans="1:18">
      <c r="A280" s="15" t="str">
        <f t="shared" si="9"/>
        <v>10E</v>
      </c>
      <c r="B280" s="15">
        <v>270</v>
      </c>
      <c r="C280" s="38"/>
      <c r="D280" s="15" t="s">
        <v>94</v>
      </c>
      <c r="G280" s="49" t="s">
        <v>133</v>
      </c>
      <c r="I280" s="27"/>
      <c r="J280" s="27">
        <v>50000</v>
      </c>
      <c r="L280" s="27"/>
      <c r="M280" s="27">
        <v>50000</v>
      </c>
      <c r="O280" s="48" t="s">
        <v>75</v>
      </c>
      <c r="P280" s="48">
        <f>HEX2DEC(RIGHT(Table1323212753[[#This Row],[h1]],8))</f>
        <v>0</v>
      </c>
      <c r="Q280" s="48" t="s">
        <v>75</v>
      </c>
      <c r="R280" s="48">
        <f>HEX2DEC(RIGHT(Table1323212753[[#This Row],[h2]],8))</f>
        <v>0</v>
      </c>
    </row>
    <row r="281" spans="1:18">
      <c r="A281" s="15" t="str">
        <f t="shared" si="9"/>
        <v>10F</v>
      </c>
      <c r="B281" s="15">
        <v>271</v>
      </c>
      <c r="C281" s="38"/>
      <c r="D281" s="15" t="s">
        <v>95</v>
      </c>
      <c r="G281" s="49" t="s">
        <v>133</v>
      </c>
      <c r="I281" s="27"/>
      <c r="J281" s="27">
        <v>50000</v>
      </c>
      <c r="L281" s="27"/>
      <c r="M281" s="27">
        <v>50000</v>
      </c>
      <c r="O281" s="48" t="s">
        <v>75</v>
      </c>
      <c r="P281" s="48">
        <f>HEX2DEC(RIGHT(Table1323212753[[#This Row],[h1]],8))</f>
        <v>0</v>
      </c>
      <c r="Q281" s="48" t="s">
        <v>75</v>
      </c>
      <c r="R281" s="48">
        <f>HEX2DEC(RIGHT(Table1323212753[[#This Row],[h2]],8))</f>
        <v>0</v>
      </c>
    </row>
    <row r="282" spans="1:18">
      <c r="A282" s="15" t="str">
        <f t="shared" si="9"/>
        <v>110</v>
      </c>
      <c r="B282" s="15">
        <v>272</v>
      </c>
      <c r="C282" s="38"/>
      <c r="D282" s="15" t="s">
        <v>96</v>
      </c>
      <c r="G282" s="49" t="s">
        <v>133</v>
      </c>
      <c r="I282" s="27"/>
      <c r="J282" s="27">
        <v>50000</v>
      </c>
      <c r="L282" s="27"/>
      <c r="M282" s="27">
        <v>50000</v>
      </c>
      <c r="O282" s="48" t="s">
        <v>75</v>
      </c>
      <c r="P282" s="48">
        <f>HEX2DEC(RIGHT(Table1323212753[[#This Row],[h1]],8))</f>
        <v>0</v>
      </c>
      <c r="Q282" s="48" t="s">
        <v>75</v>
      </c>
      <c r="R282" s="48">
        <f>HEX2DEC(RIGHT(Table1323212753[[#This Row],[h2]],8))</f>
        <v>0</v>
      </c>
    </row>
    <row r="283" spans="1:18">
      <c r="A283" s="15" t="str">
        <f t="shared" si="9"/>
        <v>111</v>
      </c>
      <c r="B283" s="15">
        <v>273</v>
      </c>
      <c r="C283" s="38"/>
      <c r="D283" s="15" t="s">
        <v>97</v>
      </c>
      <c r="G283" s="49" t="s">
        <v>133</v>
      </c>
      <c r="I283" s="27"/>
      <c r="J283" s="27">
        <v>50000</v>
      </c>
      <c r="L283" s="27"/>
      <c r="M283" s="27">
        <v>50000</v>
      </c>
      <c r="O283" s="48" t="s">
        <v>75</v>
      </c>
      <c r="P283" s="48">
        <f>HEX2DEC(RIGHT(Table1323212753[[#This Row],[h1]],8))</f>
        <v>0</v>
      </c>
      <c r="Q283" s="48" t="s">
        <v>75</v>
      </c>
      <c r="R283" s="48">
        <f>HEX2DEC(RIGHT(Table1323212753[[#This Row],[h2]],8))</f>
        <v>0</v>
      </c>
    </row>
    <row r="284" spans="1:18">
      <c r="A284" s="15" t="str">
        <f t="shared" si="9"/>
        <v>112</v>
      </c>
      <c r="B284" s="15">
        <v>274</v>
      </c>
      <c r="C284" s="38"/>
      <c r="D284" s="15" t="s">
        <v>98</v>
      </c>
      <c r="G284" s="49" t="s">
        <v>130</v>
      </c>
      <c r="I284" s="27"/>
      <c r="J284" s="27">
        <v>50000</v>
      </c>
      <c r="L284" s="27"/>
      <c r="M284" s="27">
        <v>50000</v>
      </c>
      <c r="O284" s="48" t="s">
        <v>75</v>
      </c>
      <c r="P284" s="48">
        <f>HEX2DEC(RIGHT(Table1323212753[[#This Row],[h1]],8))</f>
        <v>0</v>
      </c>
      <c r="Q284" s="48" t="s">
        <v>75</v>
      </c>
      <c r="R284" s="48">
        <f>HEX2DEC(RIGHT(Table1323212753[[#This Row],[h2]],8))</f>
        <v>0</v>
      </c>
    </row>
    <row r="285" spans="1:18">
      <c r="A285" s="15" t="str">
        <f t="shared" si="9"/>
        <v>113</v>
      </c>
      <c r="B285" s="15">
        <v>275</v>
      </c>
      <c r="C285" s="38"/>
      <c r="D285" s="15" t="s">
        <v>99</v>
      </c>
      <c r="G285" s="49" t="s">
        <v>130</v>
      </c>
      <c r="I285" s="27"/>
      <c r="J285" s="27">
        <v>50000</v>
      </c>
      <c r="L285" s="27"/>
      <c r="M285" s="27">
        <v>50000</v>
      </c>
      <c r="O285" s="48" t="s">
        <v>75</v>
      </c>
      <c r="P285" s="48">
        <f>HEX2DEC(RIGHT(Table1323212753[[#This Row],[h1]],8))</f>
        <v>0</v>
      </c>
      <c r="Q285" s="48" t="s">
        <v>75</v>
      </c>
      <c r="R285" s="48">
        <f>HEX2DEC(RIGHT(Table1323212753[[#This Row],[h2]],8))</f>
        <v>0</v>
      </c>
    </row>
    <row r="286" spans="1:18">
      <c r="A286" s="15" t="str">
        <f t="shared" si="9"/>
        <v>114</v>
      </c>
      <c r="B286" s="15">
        <v>276</v>
      </c>
      <c r="C286" s="38"/>
      <c r="D286" s="15" t="s">
        <v>100</v>
      </c>
      <c r="G286" s="49" t="s">
        <v>130</v>
      </c>
      <c r="I286" s="27"/>
      <c r="J286" s="27">
        <v>50000</v>
      </c>
      <c r="L286" s="27"/>
      <c r="M286" s="27">
        <v>50000</v>
      </c>
      <c r="O286" s="48" t="s">
        <v>75</v>
      </c>
      <c r="P286" s="48">
        <f>HEX2DEC(RIGHT(Table1323212753[[#This Row],[h1]],8))</f>
        <v>0</v>
      </c>
      <c r="Q286" s="48" t="s">
        <v>75</v>
      </c>
      <c r="R286" s="48">
        <f>HEX2DEC(RIGHT(Table1323212753[[#This Row],[h2]],8))</f>
        <v>0</v>
      </c>
    </row>
    <row r="287" spans="1:18">
      <c r="A287" s="15" t="str">
        <f t="shared" si="9"/>
        <v>115</v>
      </c>
      <c r="B287" s="15">
        <v>277</v>
      </c>
      <c r="C287" s="38"/>
      <c r="D287" s="15" t="s">
        <v>101</v>
      </c>
      <c r="G287" s="49" t="s">
        <v>130</v>
      </c>
      <c r="I287" s="27"/>
      <c r="J287" s="27">
        <v>50000</v>
      </c>
      <c r="L287" s="27"/>
      <c r="M287" s="27">
        <v>50000</v>
      </c>
      <c r="O287" s="48" t="s">
        <v>75</v>
      </c>
      <c r="P287" s="48">
        <f>HEX2DEC(RIGHT(Table1323212753[[#This Row],[h1]],8))</f>
        <v>0</v>
      </c>
      <c r="Q287" s="48" t="s">
        <v>75</v>
      </c>
      <c r="R287" s="48">
        <f>HEX2DEC(RIGHT(Table1323212753[[#This Row],[h2]],8))</f>
        <v>0</v>
      </c>
    </row>
    <row r="288" spans="1:18">
      <c r="A288" s="15" t="str">
        <f t="shared" si="9"/>
        <v>116</v>
      </c>
      <c r="B288" s="15">
        <v>278</v>
      </c>
      <c r="C288" s="38"/>
      <c r="D288" s="15" t="s">
        <v>102</v>
      </c>
      <c r="G288" s="49" t="s">
        <v>130</v>
      </c>
      <c r="I288" s="27"/>
      <c r="J288" s="27">
        <v>50000</v>
      </c>
      <c r="L288" s="27"/>
      <c r="M288" s="27">
        <v>50000</v>
      </c>
      <c r="O288" s="48" t="s">
        <v>75</v>
      </c>
      <c r="P288" s="48">
        <f>HEX2DEC(RIGHT(Table1323212753[[#This Row],[h1]],8))</f>
        <v>0</v>
      </c>
      <c r="Q288" s="48" t="s">
        <v>75</v>
      </c>
      <c r="R288" s="48">
        <f>HEX2DEC(RIGHT(Table1323212753[[#This Row],[h2]],8))</f>
        <v>0</v>
      </c>
    </row>
    <row r="289" spans="1:18">
      <c r="A289" s="15" t="str">
        <f t="shared" si="9"/>
        <v>117</v>
      </c>
      <c r="B289" s="15">
        <v>279</v>
      </c>
      <c r="C289" s="38"/>
      <c r="D289" s="15" t="s">
        <v>103</v>
      </c>
      <c r="G289" s="49" t="s">
        <v>130</v>
      </c>
      <c r="I289" s="27"/>
      <c r="J289" s="27">
        <v>50000</v>
      </c>
      <c r="L289" s="27"/>
      <c r="M289" s="27">
        <v>50000</v>
      </c>
      <c r="O289" s="48" t="s">
        <v>75</v>
      </c>
      <c r="P289" s="48">
        <f>HEX2DEC(RIGHT(Table1323212753[[#This Row],[h1]],8))</f>
        <v>0</v>
      </c>
      <c r="Q289" s="48" t="s">
        <v>75</v>
      </c>
      <c r="R289" s="48">
        <f>HEX2DEC(RIGHT(Table1323212753[[#This Row],[h2]],8))</f>
        <v>0</v>
      </c>
    </row>
    <row r="290" spans="1:18">
      <c r="A290" s="15" t="str">
        <f t="shared" si="9"/>
        <v>118</v>
      </c>
      <c r="B290" s="15">
        <v>280</v>
      </c>
      <c r="C290" s="38"/>
      <c r="D290" s="15" t="s">
        <v>104</v>
      </c>
      <c r="G290" s="49" t="s">
        <v>130</v>
      </c>
      <c r="I290" s="27"/>
      <c r="J290" s="27">
        <v>50000</v>
      </c>
      <c r="L290" s="27"/>
      <c r="M290" s="27">
        <v>50000</v>
      </c>
      <c r="O290" s="48" t="s">
        <v>75</v>
      </c>
      <c r="P290" s="48">
        <f>HEX2DEC(RIGHT(Table1323212753[[#This Row],[h1]],8))</f>
        <v>0</v>
      </c>
      <c r="Q290" s="48" t="s">
        <v>75</v>
      </c>
      <c r="R290" s="48">
        <f>HEX2DEC(RIGHT(Table1323212753[[#This Row],[h2]],8))</f>
        <v>0</v>
      </c>
    </row>
    <row r="291" spans="1:18">
      <c r="A291" s="15" t="str">
        <f t="shared" si="9"/>
        <v>119</v>
      </c>
      <c r="B291" s="15">
        <v>281</v>
      </c>
      <c r="C291" s="38"/>
      <c r="D291" s="15" t="s">
        <v>105</v>
      </c>
      <c r="G291" s="49" t="s">
        <v>130</v>
      </c>
      <c r="I291" s="27"/>
      <c r="J291" s="27">
        <v>50000</v>
      </c>
      <c r="L291" s="27"/>
      <c r="M291" s="27">
        <v>50000</v>
      </c>
      <c r="O291" s="48" t="s">
        <v>75</v>
      </c>
      <c r="P291" s="48">
        <f>HEX2DEC(RIGHT(Table1323212753[[#This Row],[h1]],8))</f>
        <v>0</v>
      </c>
      <c r="Q291" s="48" t="s">
        <v>75</v>
      </c>
      <c r="R291" s="48">
        <f>HEX2DEC(RIGHT(Table1323212753[[#This Row],[h2]],8))</f>
        <v>0</v>
      </c>
    </row>
    <row r="292" spans="1:18">
      <c r="A292" s="15" t="str">
        <f t="shared" si="9"/>
        <v>11A</v>
      </c>
      <c r="B292" s="15">
        <v>282</v>
      </c>
      <c r="C292" s="38"/>
      <c r="D292" s="15" t="s">
        <v>106</v>
      </c>
      <c r="G292" s="49" t="s">
        <v>130</v>
      </c>
      <c r="I292" s="27"/>
      <c r="J292" s="27">
        <v>50000</v>
      </c>
      <c r="L292" s="27"/>
      <c r="M292" s="27">
        <v>50000</v>
      </c>
      <c r="O292" s="48" t="s">
        <v>75</v>
      </c>
      <c r="P292" s="48">
        <f>HEX2DEC(RIGHT(Table1323212753[[#This Row],[h1]],8))</f>
        <v>0</v>
      </c>
      <c r="Q292" s="48" t="s">
        <v>75</v>
      </c>
      <c r="R292" s="48">
        <f>HEX2DEC(RIGHT(Table1323212753[[#This Row],[h2]],8))</f>
        <v>0</v>
      </c>
    </row>
    <row r="293" spans="1:18">
      <c r="A293" s="15" t="str">
        <f t="shared" si="9"/>
        <v>11B</v>
      </c>
      <c r="B293" s="15">
        <v>283</v>
      </c>
      <c r="C293" s="38"/>
      <c r="D293" s="15" t="s">
        <v>107</v>
      </c>
      <c r="G293" s="49" t="s">
        <v>130</v>
      </c>
      <c r="I293" s="27"/>
      <c r="J293" s="27">
        <v>50000</v>
      </c>
      <c r="L293" s="27"/>
      <c r="M293" s="27">
        <v>50000</v>
      </c>
      <c r="O293" s="48" t="s">
        <v>75</v>
      </c>
      <c r="P293" s="48">
        <f>HEX2DEC(RIGHT(Table1323212753[[#This Row],[h1]],8))</f>
        <v>0</v>
      </c>
      <c r="Q293" s="48" t="s">
        <v>75</v>
      </c>
      <c r="R293" s="48">
        <f>HEX2DEC(RIGHT(Table1323212753[[#This Row],[h2]],8))</f>
        <v>0</v>
      </c>
    </row>
    <row r="294" spans="1:18">
      <c r="A294" s="15" t="str">
        <f t="shared" si="9"/>
        <v>11C</v>
      </c>
      <c r="B294" s="15">
        <v>284</v>
      </c>
      <c r="C294" s="38"/>
      <c r="D294" s="15" t="s">
        <v>108</v>
      </c>
      <c r="G294" s="49" t="s">
        <v>130</v>
      </c>
      <c r="I294" s="27"/>
      <c r="J294" s="27">
        <v>50000</v>
      </c>
      <c r="L294" s="27"/>
      <c r="M294" s="27">
        <v>50000</v>
      </c>
      <c r="O294" s="48" t="s">
        <v>75</v>
      </c>
      <c r="P294" s="48">
        <f>HEX2DEC(RIGHT(Table1323212753[[#This Row],[h1]],8))</f>
        <v>0</v>
      </c>
      <c r="Q294" s="48" t="s">
        <v>75</v>
      </c>
      <c r="R294" s="48">
        <f>HEX2DEC(RIGHT(Table1323212753[[#This Row],[h2]],8))</f>
        <v>0</v>
      </c>
    </row>
    <row r="295" spans="1:18">
      <c r="A295" s="15" t="str">
        <f t="shared" si="9"/>
        <v>11D</v>
      </c>
      <c r="B295" s="15">
        <v>285</v>
      </c>
      <c r="C295" s="38"/>
      <c r="D295" s="15" t="s">
        <v>109</v>
      </c>
      <c r="G295" s="49" t="s">
        <v>130</v>
      </c>
      <c r="I295" s="27"/>
      <c r="J295" s="27">
        <v>50000</v>
      </c>
      <c r="L295" s="27"/>
      <c r="M295" s="27">
        <v>50000</v>
      </c>
      <c r="O295" s="48" t="s">
        <v>75</v>
      </c>
      <c r="P295" s="48">
        <f>HEX2DEC(RIGHT(Table1323212753[[#This Row],[h1]],8))</f>
        <v>0</v>
      </c>
      <c r="Q295" s="48" t="s">
        <v>75</v>
      </c>
      <c r="R295" s="48">
        <f>HEX2DEC(RIGHT(Table1323212753[[#This Row],[h2]],8))</f>
        <v>0</v>
      </c>
    </row>
    <row r="296" spans="1:18">
      <c r="A296" s="15" t="str">
        <f t="shared" si="9"/>
        <v>11E</v>
      </c>
      <c r="B296" s="15">
        <v>286</v>
      </c>
      <c r="C296" s="38"/>
      <c r="D296" s="15" t="s">
        <v>110</v>
      </c>
      <c r="G296" s="49" t="s">
        <v>130</v>
      </c>
      <c r="I296" s="27"/>
      <c r="J296" s="27">
        <v>50000</v>
      </c>
      <c r="L296" s="27"/>
      <c r="M296" s="27">
        <v>50000</v>
      </c>
      <c r="O296" s="48" t="s">
        <v>75</v>
      </c>
      <c r="P296" s="48">
        <f>HEX2DEC(RIGHT(Table1323212753[[#This Row],[h1]],8))</f>
        <v>0</v>
      </c>
      <c r="Q296" s="48" t="s">
        <v>75</v>
      </c>
      <c r="R296" s="48">
        <f>HEX2DEC(RIGHT(Table1323212753[[#This Row],[h2]],8))</f>
        <v>0</v>
      </c>
    </row>
    <row r="297" spans="1:18">
      <c r="A297" s="15" t="str">
        <f t="shared" si="9"/>
        <v>11F</v>
      </c>
      <c r="B297" s="15">
        <v>287</v>
      </c>
      <c r="C297" s="38"/>
      <c r="D297" s="15" t="s">
        <v>111</v>
      </c>
      <c r="G297" s="49" t="s">
        <v>130</v>
      </c>
      <c r="I297" s="27"/>
      <c r="J297" s="27">
        <v>50000</v>
      </c>
      <c r="L297" s="27"/>
      <c r="M297" s="27">
        <v>50000</v>
      </c>
      <c r="O297" s="48" t="s">
        <v>75</v>
      </c>
      <c r="P297" s="48">
        <f>HEX2DEC(RIGHT(Table1323212753[[#This Row],[h1]],8))</f>
        <v>0</v>
      </c>
      <c r="Q297" s="48" t="s">
        <v>75</v>
      </c>
      <c r="R297" s="48">
        <f>HEX2DEC(RIGHT(Table1323212753[[#This Row],[h2]],8))</f>
        <v>0</v>
      </c>
    </row>
    <row r="298" spans="1:18">
      <c r="A298" s="15" t="str">
        <f t="shared" si="9"/>
        <v>120</v>
      </c>
      <c r="B298" s="15">
        <v>288</v>
      </c>
      <c r="C298" s="38"/>
      <c r="D298" s="15" t="s">
        <v>112</v>
      </c>
      <c r="G298" s="49" t="s">
        <v>130</v>
      </c>
      <c r="I298" s="27"/>
      <c r="J298" s="27">
        <v>50000</v>
      </c>
      <c r="L298" s="27"/>
      <c r="M298" s="27">
        <v>50000</v>
      </c>
      <c r="O298" s="48" t="s">
        <v>75</v>
      </c>
      <c r="P298" s="48">
        <f>HEX2DEC(RIGHT(Table1323212753[[#This Row],[h1]],8))</f>
        <v>0</v>
      </c>
      <c r="Q298" s="48" t="s">
        <v>75</v>
      </c>
      <c r="R298" s="48">
        <f>HEX2DEC(RIGHT(Table1323212753[[#This Row],[h2]],8))</f>
        <v>0</v>
      </c>
    </row>
    <row r="299" spans="1:18">
      <c r="A299" s="15" t="str">
        <f t="shared" si="9"/>
        <v>121</v>
      </c>
      <c r="B299" s="15">
        <v>289</v>
      </c>
      <c r="C299" s="38"/>
      <c r="D299" s="15" t="s">
        <v>113</v>
      </c>
      <c r="G299" s="49" t="s">
        <v>130</v>
      </c>
      <c r="I299" s="27"/>
      <c r="J299" s="27">
        <v>50000</v>
      </c>
      <c r="L299" s="27"/>
      <c r="M299" s="27">
        <v>50000</v>
      </c>
      <c r="O299" s="48" t="s">
        <v>75</v>
      </c>
      <c r="P299" s="48">
        <f>HEX2DEC(RIGHT(Table1323212753[[#This Row],[h1]],8))</f>
        <v>0</v>
      </c>
      <c r="Q299" s="48" t="s">
        <v>75</v>
      </c>
      <c r="R299" s="48">
        <f>HEX2DEC(RIGHT(Table1323212753[[#This Row],[h2]],8))</f>
        <v>0</v>
      </c>
    </row>
    <row r="300" spans="1:18">
      <c r="A300" s="15" t="str">
        <f t="shared" si="9"/>
        <v>122</v>
      </c>
      <c r="B300" s="15">
        <v>290</v>
      </c>
      <c r="C300" s="38"/>
      <c r="D300" s="15" t="s">
        <v>114</v>
      </c>
      <c r="G300" s="49" t="s">
        <v>130</v>
      </c>
      <c r="I300" s="27"/>
      <c r="J300" s="27">
        <v>50000</v>
      </c>
      <c r="L300" s="27"/>
      <c r="M300" s="27">
        <v>50000</v>
      </c>
      <c r="O300" s="48" t="s">
        <v>75</v>
      </c>
      <c r="P300" s="48">
        <f>HEX2DEC(RIGHT(Table1323212753[[#This Row],[h1]],8))</f>
        <v>0</v>
      </c>
      <c r="Q300" s="48" t="s">
        <v>75</v>
      </c>
      <c r="R300" s="48">
        <f>HEX2DEC(RIGHT(Table1323212753[[#This Row],[h2]],8))</f>
        <v>0</v>
      </c>
    </row>
    <row r="301" spans="1:18">
      <c r="A301" s="15" t="str">
        <f t="shared" si="9"/>
        <v>123</v>
      </c>
      <c r="B301" s="15">
        <v>291</v>
      </c>
      <c r="C301" s="38"/>
      <c r="D301" s="15" t="s">
        <v>115</v>
      </c>
      <c r="G301" s="49" t="s">
        <v>130</v>
      </c>
      <c r="I301" s="27"/>
      <c r="J301" s="27">
        <v>50000</v>
      </c>
      <c r="L301" s="27"/>
      <c r="M301" s="27">
        <v>50000</v>
      </c>
      <c r="O301" s="48" t="s">
        <v>75</v>
      </c>
      <c r="P301" s="48">
        <f>HEX2DEC(RIGHT(Table1323212753[[#This Row],[h1]],8))</f>
        <v>0</v>
      </c>
      <c r="Q301" s="48" t="s">
        <v>75</v>
      </c>
      <c r="R301" s="48">
        <f>HEX2DEC(RIGHT(Table1323212753[[#This Row],[h2]],8))</f>
        <v>0</v>
      </c>
    </row>
    <row r="302" spans="1:18">
      <c r="A302" s="15" t="str">
        <f t="shared" si="9"/>
        <v>124</v>
      </c>
      <c r="B302" s="15">
        <v>292</v>
      </c>
      <c r="C302" s="38"/>
      <c r="D302" s="15" t="s">
        <v>116</v>
      </c>
      <c r="G302" s="49" t="s">
        <v>130</v>
      </c>
      <c r="I302" s="27"/>
      <c r="J302" s="27">
        <v>50000</v>
      </c>
      <c r="L302" s="27"/>
      <c r="M302" s="27">
        <v>50000</v>
      </c>
      <c r="O302" s="48" t="s">
        <v>75</v>
      </c>
      <c r="P302" s="48">
        <f>HEX2DEC(RIGHT(Table1323212753[[#This Row],[h1]],8))</f>
        <v>0</v>
      </c>
      <c r="Q302" s="48" t="s">
        <v>75</v>
      </c>
      <c r="R302" s="48">
        <f>HEX2DEC(RIGHT(Table1323212753[[#This Row],[h2]],8))</f>
        <v>0</v>
      </c>
    </row>
    <row r="303" spans="1:18">
      <c r="A303" s="15" t="str">
        <f t="shared" si="9"/>
        <v>125</v>
      </c>
      <c r="B303" s="15">
        <v>293</v>
      </c>
      <c r="C303" s="38"/>
      <c r="D303" s="15" t="s">
        <v>117</v>
      </c>
      <c r="G303" s="49" t="s">
        <v>130</v>
      </c>
      <c r="I303" s="27"/>
      <c r="J303" s="27">
        <v>50000</v>
      </c>
      <c r="L303" s="27"/>
      <c r="M303" s="27">
        <v>50000</v>
      </c>
      <c r="O303" s="48" t="s">
        <v>75</v>
      </c>
      <c r="P303" s="48">
        <f>HEX2DEC(RIGHT(Table1323212753[[#This Row],[h1]],8))</f>
        <v>0</v>
      </c>
      <c r="Q303" s="48" t="s">
        <v>75</v>
      </c>
      <c r="R303" s="48">
        <f>HEX2DEC(RIGHT(Table1323212753[[#This Row],[h2]],8))</f>
        <v>0</v>
      </c>
    </row>
    <row r="304" spans="1:18">
      <c r="A304" s="15" t="str">
        <f t="shared" si="9"/>
        <v>126</v>
      </c>
      <c r="B304" s="15">
        <v>294</v>
      </c>
      <c r="C304" s="38"/>
      <c r="D304" s="15" t="s">
        <v>118</v>
      </c>
      <c r="G304" s="49" t="s">
        <v>130</v>
      </c>
      <c r="I304" s="27"/>
      <c r="J304" s="27">
        <v>50000</v>
      </c>
      <c r="L304" s="27"/>
      <c r="M304" s="27">
        <v>50000</v>
      </c>
      <c r="O304" s="48" t="s">
        <v>75</v>
      </c>
      <c r="P304" s="48">
        <f>HEX2DEC(RIGHT(Table1323212753[[#This Row],[h1]],8))</f>
        <v>0</v>
      </c>
      <c r="Q304" s="48" t="s">
        <v>75</v>
      </c>
      <c r="R304" s="48">
        <f>HEX2DEC(RIGHT(Table1323212753[[#This Row],[h2]],8))</f>
        <v>0</v>
      </c>
    </row>
    <row r="305" spans="1:18">
      <c r="A305" s="15" t="str">
        <f t="shared" si="9"/>
        <v>127</v>
      </c>
      <c r="B305" s="15">
        <v>295</v>
      </c>
      <c r="C305" s="38"/>
      <c r="D305" s="15" t="s">
        <v>119</v>
      </c>
      <c r="G305" s="49" t="s">
        <v>130</v>
      </c>
      <c r="I305" s="27"/>
      <c r="J305" s="27">
        <v>50000</v>
      </c>
      <c r="L305" s="27"/>
      <c r="M305" s="27">
        <v>50000</v>
      </c>
      <c r="O305" s="48" t="s">
        <v>75</v>
      </c>
      <c r="P305" s="48">
        <f>HEX2DEC(RIGHT(Table1323212753[[#This Row],[h1]],8))</f>
        <v>0</v>
      </c>
      <c r="Q305" s="48" t="s">
        <v>75</v>
      </c>
      <c r="R305" s="48">
        <f>HEX2DEC(RIGHT(Table1323212753[[#This Row],[h2]],8))</f>
        <v>0</v>
      </c>
    </row>
    <row r="306" spans="1:18">
      <c r="A306" s="15" t="str">
        <f t="shared" si="9"/>
        <v>128</v>
      </c>
      <c r="B306" s="15">
        <v>296</v>
      </c>
      <c r="C306" s="38"/>
      <c r="D306" s="15" t="s">
        <v>120</v>
      </c>
      <c r="G306" s="49" t="s">
        <v>130</v>
      </c>
      <c r="I306" s="27"/>
      <c r="J306" s="27">
        <v>50000</v>
      </c>
      <c r="L306" s="27"/>
      <c r="M306" s="27">
        <v>50000</v>
      </c>
      <c r="O306" s="48" t="s">
        <v>75</v>
      </c>
      <c r="P306" s="48">
        <f>HEX2DEC(RIGHT(Table1323212753[[#This Row],[h1]],8))</f>
        <v>0</v>
      </c>
      <c r="Q306" s="48" t="s">
        <v>75</v>
      </c>
      <c r="R306" s="48">
        <f>HEX2DEC(RIGHT(Table1323212753[[#This Row],[h2]],8))</f>
        <v>0</v>
      </c>
    </row>
    <row r="307" spans="1:18">
      <c r="A307" s="15" t="str">
        <f t="shared" si="9"/>
        <v>129</v>
      </c>
      <c r="B307" s="15">
        <v>297</v>
      </c>
      <c r="C307" s="38"/>
      <c r="D307" s="15" t="s">
        <v>121</v>
      </c>
      <c r="G307" s="49" t="s">
        <v>130</v>
      </c>
      <c r="I307" s="27"/>
      <c r="J307" s="27">
        <v>50000</v>
      </c>
      <c r="L307" s="27"/>
      <c r="M307" s="27">
        <v>50000</v>
      </c>
      <c r="O307" s="48" t="s">
        <v>75</v>
      </c>
      <c r="P307" s="48">
        <f>HEX2DEC(RIGHT(Table1323212753[[#This Row],[h1]],8))</f>
        <v>0</v>
      </c>
      <c r="Q307" s="48" t="s">
        <v>75</v>
      </c>
      <c r="R307" s="48">
        <f>HEX2DEC(RIGHT(Table1323212753[[#This Row],[h2]],8))</f>
        <v>0</v>
      </c>
    </row>
    <row r="308" spans="1:18">
      <c r="A308" s="15" t="str">
        <f t="shared" si="9"/>
        <v>12A</v>
      </c>
      <c r="B308" s="15">
        <v>298</v>
      </c>
      <c r="C308" s="38"/>
      <c r="D308" s="15" t="s">
        <v>122</v>
      </c>
      <c r="G308" s="49" t="s">
        <v>130</v>
      </c>
      <c r="I308" s="27"/>
      <c r="J308" s="27">
        <v>50000</v>
      </c>
      <c r="L308" s="27"/>
      <c r="M308" s="27">
        <v>50000</v>
      </c>
      <c r="O308" s="48" t="s">
        <v>75</v>
      </c>
      <c r="P308" s="48">
        <f>HEX2DEC(RIGHT(Table1323212753[[#This Row],[h1]],8))</f>
        <v>0</v>
      </c>
      <c r="Q308" s="48" t="s">
        <v>75</v>
      </c>
      <c r="R308" s="48">
        <f>HEX2DEC(RIGHT(Table1323212753[[#This Row],[h2]],8))</f>
        <v>0</v>
      </c>
    </row>
    <row r="309" spans="1:18">
      <c r="A309" s="15" t="str">
        <f t="shared" si="9"/>
        <v>12B</v>
      </c>
      <c r="B309" s="15">
        <v>299</v>
      </c>
      <c r="C309" s="38"/>
      <c r="D309" s="15" t="s">
        <v>123</v>
      </c>
      <c r="G309" s="49" t="s">
        <v>130</v>
      </c>
      <c r="I309" s="27"/>
      <c r="J309" s="27">
        <v>50000</v>
      </c>
      <c r="L309" s="27"/>
      <c r="M309" s="27">
        <v>50000</v>
      </c>
      <c r="O309" s="48" t="s">
        <v>75</v>
      </c>
      <c r="P309" s="48">
        <f>HEX2DEC(RIGHT(Table1323212753[[#This Row],[h1]],8))</f>
        <v>0</v>
      </c>
      <c r="Q309" s="48" t="s">
        <v>75</v>
      </c>
      <c r="R309" s="48">
        <f>HEX2DEC(RIGHT(Table1323212753[[#This Row],[h2]],8))</f>
        <v>0</v>
      </c>
    </row>
    <row r="310" spans="1:18">
      <c r="A310" s="15" t="str">
        <f t="shared" si="9"/>
        <v>12C</v>
      </c>
      <c r="B310" s="15">
        <v>300</v>
      </c>
      <c r="C310" s="38"/>
      <c r="D310" s="15" t="s">
        <v>124</v>
      </c>
      <c r="G310" s="49" t="s">
        <v>130</v>
      </c>
      <c r="I310" s="27"/>
      <c r="J310" s="27">
        <v>50000</v>
      </c>
      <c r="L310" s="27"/>
      <c r="M310" s="27">
        <v>50000</v>
      </c>
      <c r="O310" s="48" t="s">
        <v>75</v>
      </c>
      <c r="P310" s="48">
        <f>HEX2DEC(RIGHT(Table1323212753[[#This Row],[h1]],8))</f>
        <v>0</v>
      </c>
      <c r="Q310" s="48" t="s">
        <v>75</v>
      </c>
      <c r="R310" s="48">
        <f>HEX2DEC(RIGHT(Table1323212753[[#This Row],[h2]],8))</f>
        <v>0</v>
      </c>
    </row>
    <row r="311" spans="1:18">
      <c r="A311" s="15" t="str">
        <f t="shared" si="9"/>
        <v>12D</v>
      </c>
      <c r="B311" s="15">
        <v>301</v>
      </c>
      <c r="C311" s="38"/>
      <c r="D311" s="15" t="s">
        <v>125</v>
      </c>
      <c r="G311" s="49" t="s">
        <v>130</v>
      </c>
      <c r="I311" s="27"/>
      <c r="J311" s="27">
        <v>50000</v>
      </c>
      <c r="L311" s="27"/>
      <c r="M311" s="27">
        <v>50000</v>
      </c>
      <c r="O311" s="48" t="s">
        <v>75</v>
      </c>
      <c r="P311" s="48">
        <f>HEX2DEC(RIGHT(Table1323212753[[#This Row],[h1]],8))</f>
        <v>0</v>
      </c>
      <c r="Q311" s="48" t="s">
        <v>75</v>
      </c>
      <c r="R311" s="48">
        <f>HEX2DEC(RIGHT(Table1323212753[[#This Row],[h2]],8))</f>
        <v>0</v>
      </c>
    </row>
    <row r="312" spans="1:18">
      <c r="A312" s="15" t="str">
        <f t="shared" si="9"/>
        <v>12E</v>
      </c>
      <c r="B312" s="15">
        <v>302</v>
      </c>
      <c r="C312" s="38"/>
      <c r="D312" s="15" t="s">
        <v>126</v>
      </c>
      <c r="G312" s="49" t="s">
        <v>130</v>
      </c>
      <c r="I312" s="27"/>
      <c r="J312" s="27">
        <v>50000</v>
      </c>
      <c r="L312" s="27"/>
      <c r="M312" s="27">
        <v>50000</v>
      </c>
      <c r="O312" s="48" t="s">
        <v>75</v>
      </c>
      <c r="P312" s="48">
        <f>HEX2DEC(RIGHT(Table1323212753[[#This Row],[h1]],8))</f>
        <v>0</v>
      </c>
      <c r="Q312" s="48" t="s">
        <v>75</v>
      </c>
      <c r="R312" s="48">
        <f>HEX2DEC(RIGHT(Table1323212753[[#This Row],[h2]],8))</f>
        <v>0</v>
      </c>
    </row>
    <row r="313" spans="1:18">
      <c r="A313" s="15" t="str">
        <f t="shared" si="9"/>
        <v>12F</v>
      </c>
      <c r="B313" s="15">
        <v>303</v>
      </c>
      <c r="C313" s="38"/>
      <c r="D313" s="15" t="s">
        <v>127</v>
      </c>
      <c r="G313" s="49" t="s">
        <v>130</v>
      </c>
      <c r="I313" s="27"/>
      <c r="J313" s="27">
        <v>50000</v>
      </c>
      <c r="L313" s="27"/>
      <c r="M313" s="27">
        <v>50000</v>
      </c>
      <c r="O313" s="48" t="s">
        <v>75</v>
      </c>
      <c r="P313" s="48">
        <f>HEX2DEC(RIGHT(Table1323212753[[#This Row],[h1]],8))</f>
        <v>0</v>
      </c>
      <c r="Q313" s="48" t="s">
        <v>75</v>
      </c>
      <c r="R313" s="48">
        <f>HEX2DEC(RIGHT(Table1323212753[[#This Row],[h2]],8))</f>
        <v>0</v>
      </c>
    </row>
    <row r="314" spans="1:18">
      <c r="A314" s="15" t="str">
        <f t="shared" si="9"/>
        <v>130</v>
      </c>
      <c r="B314" s="15">
        <v>304</v>
      </c>
      <c r="C314" s="38"/>
      <c r="D314" s="15" t="s">
        <v>128</v>
      </c>
      <c r="G314" s="49" t="s">
        <v>130</v>
      </c>
      <c r="I314" s="27"/>
      <c r="J314" s="27">
        <v>50000</v>
      </c>
      <c r="L314" s="27"/>
      <c r="M314" s="27">
        <v>50000</v>
      </c>
      <c r="O314" s="48" t="s">
        <v>75</v>
      </c>
      <c r="P314" s="48">
        <f>HEX2DEC(RIGHT(Table1323212753[[#This Row],[h1]],8))</f>
        <v>0</v>
      </c>
      <c r="Q314" s="48" t="s">
        <v>75</v>
      </c>
      <c r="R314" s="48">
        <f>HEX2DEC(RIGHT(Table1323212753[[#This Row],[h2]],8))</f>
        <v>0</v>
      </c>
    </row>
    <row r="315" spans="1:18">
      <c r="A315" s="15" t="str">
        <f t="shared" si="9"/>
        <v>131</v>
      </c>
      <c r="B315" s="15">
        <v>305</v>
      </c>
      <c r="C315" s="38"/>
      <c r="D315" s="15" t="s">
        <v>129</v>
      </c>
      <c r="G315" s="49" t="s">
        <v>130</v>
      </c>
      <c r="I315" s="27"/>
      <c r="J315" s="27">
        <v>50000</v>
      </c>
      <c r="L315" s="27"/>
      <c r="M315" s="27">
        <v>50000</v>
      </c>
      <c r="O315" s="48" t="s">
        <v>75</v>
      </c>
      <c r="P315" s="48">
        <f>HEX2DEC(RIGHT(Table1323212753[[#This Row],[h1]],8))</f>
        <v>0</v>
      </c>
      <c r="Q315" s="48" t="s">
        <v>75</v>
      </c>
      <c r="R315" s="48">
        <f>HEX2DEC(RIGHT(Table1323212753[[#This Row],[h2]],8))</f>
        <v>0</v>
      </c>
    </row>
    <row r="316" spans="1:18">
      <c r="A316" s="15" t="str">
        <f t="shared" si="9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8" t="s">
        <v>75</v>
      </c>
      <c r="P316" s="48">
        <f>HEX2DEC(RIGHT(Table1323212753[[#This Row],[h1]],8))</f>
        <v>0</v>
      </c>
      <c r="Q316" s="48" t="s">
        <v>75</v>
      </c>
      <c r="R316" s="48">
        <f>HEX2DEC(RIGHT(Table1323212753[[#This Row],[h2]],8))</f>
        <v>0</v>
      </c>
    </row>
    <row r="317" spans="1:18">
      <c r="A317" s="15" t="str">
        <f t="shared" si="9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8" t="s">
        <v>75</v>
      </c>
      <c r="P317" s="48">
        <f>HEX2DEC(RIGHT(Table1323212753[[#This Row],[h1]],8))</f>
        <v>0</v>
      </c>
      <c r="Q317" s="48" t="s">
        <v>75</v>
      </c>
      <c r="R317" s="48">
        <f>HEX2DEC(RIGHT(Table1323212753[[#This Row],[h2]],8))</f>
        <v>0</v>
      </c>
    </row>
    <row r="318" spans="1:18">
      <c r="A318" s="15" t="str">
        <f t="shared" si="9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8" t="s">
        <v>75</v>
      </c>
      <c r="P318" s="48">
        <f>HEX2DEC(RIGHT(Table1323212753[[#This Row],[h1]],8))</f>
        <v>0</v>
      </c>
      <c r="Q318" s="48" t="s">
        <v>75</v>
      </c>
      <c r="R318" s="48">
        <f>HEX2DEC(RIGHT(Table1323212753[[#This Row],[h2]],8))</f>
        <v>0</v>
      </c>
    </row>
    <row r="319" spans="1:18">
      <c r="A319" s="15" t="str">
        <f t="shared" si="9"/>
        <v>135</v>
      </c>
      <c r="B319" s="15">
        <v>309</v>
      </c>
      <c r="C319" s="38"/>
      <c r="D319" s="15" t="s">
        <v>426</v>
      </c>
      <c r="G319" s="29">
        <v>1</v>
      </c>
      <c r="I319" s="27"/>
      <c r="J319" s="27">
        <v>50000</v>
      </c>
      <c r="L319" s="27"/>
      <c r="M319" s="27">
        <v>50000</v>
      </c>
      <c r="O319" s="48" t="s">
        <v>75</v>
      </c>
      <c r="P319" s="48">
        <f>HEX2DEC(RIGHT(Table1323212753[[#This Row],[h1]],8))</f>
        <v>0</v>
      </c>
      <c r="Q319" s="48" t="s">
        <v>75</v>
      </c>
      <c r="R319" s="48">
        <f>HEX2DEC(RIGHT(Table1323212753[[#This Row],[h2]],8))</f>
        <v>0</v>
      </c>
    </row>
    <row r="320" spans="1:18">
      <c r="A320" s="15" t="str">
        <f t="shared" si="9"/>
        <v>136</v>
      </c>
      <c r="B320" s="15">
        <v>310</v>
      </c>
      <c r="C320" s="38"/>
      <c r="D320" s="33" t="s">
        <v>325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8" t="s">
        <v>75</v>
      </c>
      <c r="P320" s="48">
        <f>HEX2DEC(RIGHT(Table1323212753[[#This Row],[h1]],8))</f>
        <v>0</v>
      </c>
      <c r="Q320" s="48" t="s">
        <v>75</v>
      </c>
      <c r="R320" s="48">
        <f>HEX2DEC(RIGHT(Table1323212753[[#This Row],[h2]],8))</f>
        <v>0</v>
      </c>
    </row>
    <row r="321" spans="1:18">
      <c r="A321" s="15" t="str">
        <f t="shared" si="9"/>
        <v>137</v>
      </c>
      <c r="B321" s="15">
        <v>311</v>
      </c>
      <c r="C321" s="38"/>
      <c r="D321" s="26" t="s">
        <v>344</v>
      </c>
      <c r="G321" s="29">
        <v>1</v>
      </c>
      <c r="I321" s="27"/>
      <c r="J321" s="27">
        <v>50000</v>
      </c>
      <c r="L321" s="27"/>
      <c r="M321" s="27">
        <v>50000</v>
      </c>
      <c r="O321" s="48" t="s">
        <v>75</v>
      </c>
      <c r="P321" s="48">
        <f>HEX2DEC(RIGHT(Table1323212753[[#This Row],[h1]],8))</f>
        <v>0</v>
      </c>
      <c r="Q321" s="48" t="s">
        <v>75</v>
      </c>
      <c r="R321" s="48">
        <f>HEX2DEC(RIGHT(Table1323212753[[#This Row],[h2]],8))</f>
        <v>0</v>
      </c>
    </row>
    <row r="322" spans="1:18">
      <c r="A322" s="15" t="str">
        <f t="shared" si="9"/>
        <v>138</v>
      </c>
      <c r="B322" s="15">
        <v>312</v>
      </c>
      <c r="C322" s="38"/>
      <c r="D322" s="26" t="s">
        <v>345</v>
      </c>
      <c r="G322" s="29">
        <v>0</v>
      </c>
      <c r="I322" s="27"/>
      <c r="J322" s="27">
        <v>50000</v>
      </c>
      <c r="L322" s="27"/>
      <c r="M322" s="27">
        <v>50000</v>
      </c>
      <c r="O322" s="48" t="s">
        <v>75</v>
      </c>
      <c r="P322" s="48">
        <f>HEX2DEC(RIGHT(Table1323212753[[#This Row],[h1]],8))</f>
        <v>0</v>
      </c>
      <c r="Q322" s="48" t="s">
        <v>75</v>
      </c>
      <c r="R322" s="48">
        <f>HEX2DEC(RIGHT(Table1323212753[[#This Row],[h2]],8))</f>
        <v>0</v>
      </c>
    </row>
    <row r="323" spans="1:18">
      <c r="A323" s="15" t="str">
        <f t="shared" si="9"/>
        <v>139</v>
      </c>
      <c r="B323" s="15">
        <v>313</v>
      </c>
      <c r="C323" s="38"/>
      <c r="D323" s="15" t="s">
        <v>326</v>
      </c>
      <c r="G323" s="29">
        <v>1</v>
      </c>
      <c r="I323" s="27"/>
      <c r="J323" s="27">
        <v>50000</v>
      </c>
      <c r="L323" s="27"/>
      <c r="M323" s="27">
        <v>50000</v>
      </c>
      <c r="O323" s="48" t="s">
        <v>75</v>
      </c>
      <c r="P323" s="48">
        <f>HEX2DEC(RIGHT(Table1323212753[[#This Row],[h1]],8))</f>
        <v>0</v>
      </c>
      <c r="Q323" s="48" t="s">
        <v>75</v>
      </c>
      <c r="R323" s="48">
        <f>HEX2DEC(RIGHT(Table1323212753[[#This Row],[h2]],8))</f>
        <v>0</v>
      </c>
    </row>
    <row r="324" spans="1:18">
      <c r="A324" s="15" t="str">
        <f t="shared" si="9"/>
        <v>13A</v>
      </c>
      <c r="B324" s="15">
        <v>314</v>
      </c>
      <c r="C324" s="38"/>
      <c r="D324" s="15" t="s">
        <v>327</v>
      </c>
      <c r="G324" s="29">
        <v>0</v>
      </c>
      <c r="I324" s="27"/>
      <c r="J324" s="27">
        <v>50000</v>
      </c>
      <c r="L324" s="27"/>
      <c r="M324" s="27">
        <v>50000</v>
      </c>
      <c r="O324" s="48" t="s">
        <v>75</v>
      </c>
      <c r="P324" s="48">
        <f>HEX2DEC(RIGHT(Table1323212753[[#This Row],[h1]],8))</f>
        <v>0</v>
      </c>
      <c r="Q324" s="48" t="s">
        <v>75</v>
      </c>
      <c r="R324" s="48">
        <f>HEX2DEC(RIGHT(Table1323212753[[#This Row],[h2]],8))</f>
        <v>0</v>
      </c>
    </row>
    <row r="325" spans="1:18">
      <c r="A325" s="15" t="str">
        <f t="shared" si="9"/>
        <v>13B</v>
      </c>
      <c r="B325" s="15">
        <v>315</v>
      </c>
      <c r="C325" s="38"/>
      <c r="D325" s="33" t="s">
        <v>323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8" t="s">
        <v>75</v>
      </c>
      <c r="P325" s="48">
        <f>HEX2DEC(RIGHT(Table1323212753[[#This Row],[h1]],8))</f>
        <v>0</v>
      </c>
      <c r="Q325" s="48" t="s">
        <v>75</v>
      </c>
      <c r="R325" s="48">
        <f>HEX2DEC(RIGHT(Table1323212753[[#This Row],[h2]],8))</f>
        <v>0</v>
      </c>
    </row>
    <row r="326" spans="1:18">
      <c r="A326" s="15" t="str">
        <f t="shared" si="9"/>
        <v>13C</v>
      </c>
      <c r="B326" s="15">
        <v>316</v>
      </c>
      <c r="C326" s="38"/>
      <c r="D326" s="15" t="s">
        <v>324</v>
      </c>
      <c r="G326" s="29">
        <v>1</v>
      </c>
      <c r="I326" s="27"/>
      <c r="J326" s="27">
        <v>50000</v>
      </c>
      <c r="L326" s="27"/>
      <c r="M326" s="27">
        <v>50000</v>
      </c>
      <c r="O326" s="48" t="s">
        <v>75</v>
      </c>
      <c r="P326" s="48">
        <f>HEX2DEC(RIGHT(Table1323212753[[#This Row],[h1]],8))</f>
        <v>0</v>
      </c>
      <c r="Q326" s="48" t="s">
        <v>75</v>
      </c>
      <c r="R326" s="48">
        <f>HEX2DEC(RIGHT(Table1323212753[[#This Row],[h2]],8))</f>
        <v>0</v>
      </c>
    </row>
    <row r="327" spans="1:18">
      <c r="A327" s="15" t="str">
        <f t="shared" si="9"/>
        <v>13D</v>
      </c>
      <c r="B327" s="15">
        <v>317</v>
      </c>
      <c r="C327" s="38"/>
      <c r="D327" s="15" t="s">
        <v>328</v>
      </c>
      <c r="G327" s="29">
        <v>1</v>
      </c>
      <c r="I327" s="27"/>
      <c r="J327" s="27">
        <v>50000</v>
      </c>
      <c r="L327" s="27"/>
      <c r="M327" s="27">
        <v>50000</v>
      </c>
      <c r="O327" s="48" t="s">
        <v>75</v>
      </c>
      <c r="P327" s="48">
        <f>HEX2DEC(RIGHT(Table1323212753[[#This Row],[h1]],8))</f>
        <v>0</v>
      </c>
      <c r="Q327" s="48" t="s">
        <v>75</v>
      </c>
      <c r="R327" s="48">
        <f>HEX2DEC(RIGHT(Table1323212753[[#This Row],[h2]],8))</f>
        <v>0</v>
      </c>
    </row>
    <row r="328" spans="1:18">
      <c r="A328" s="15" t="str">
        <f t="shared" si="9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8" t="s">
        <v>75</v>
      </c>
      <c r="P328" s="48">
        <f>HEX2DEC(RIGHT(Table1323212753[[#This Row],[h1]],8))</f>
        <v>0</v>
      </c>
      <c r="Q328" s="48" t="s">
        <v>75</v>
      </c>
      <c r="R328" s="48">
        <f>HEX2DEC(RIGHT(Table1323212753[[#This Row],[h2]],8))</f>
        <v>0</v>
      </c>
    </row>
    <row r="329" spans="1:18">
      <c r="A329" s="15" t="str">
        <f t="shared" si="9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8" t="s">
        <v>75</v>
      </c>
      <c r="P329" s="48">
        <f>HEX2DEC(RIGHT(Table1323212753[[#This Row],[h1]],8))</f>
        <v>0</v>
      </c>
      <c r="Q329" s="48" t="s">
        <v>75</v>
      </c>
      <c r="R329" s="48">
        <f>HEX2DEC(RIGHT(Table1323212753[[#This Row],[h2]],8))</f>
        <v>0</v>
      </c>
    </row>
    <row r="330" spans="1:18">
      <c r="A330" s="15" t="str">
        <f t="shared" si="9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8" t="s">
        <v>75</v>
      </c>
      <c r="P330" s="48">
        <f>HEX2DEC(RIGHT(Table1323212753[[#This Row],[h1]],8))</f>
        <v>0</v>
      </c>
      <c r="Q330" s="48" t="s">
        <v>75</v>
      </c>
      <c r="R330" s="48">
        <f>HEX2DEC(RIGHT(Table1323212753[[#This Row],[h2]],8))</f>
        <v>0</v>
      </c>
    </row>
    <row r="331" spans="1:18">
      <c r="A331" s="15" t="str">
        <f t="shared" ref="A331:A394" si="10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8" t="s">
        <v>75</v>
      </c>
      <c r="P331" s="48">
        <f>HEX2DEC(RIGHT(Table1323212753[[#This Row],[h1]],8))</f>
        <v>0</v>
      </c>
      <c r="Q331" s="48" t="s">
        <v>75</v>
      </c>
      <c r="R331" s="48">
        <f>HEX2DEC(RIGHT(Table1323212753[[#This Row],[h2]],8))</f>
        <v>0</v>
      </c>
    </row>
    <row r="332" spans="1:18">
      <c r="A332" s="15" t="str">
        <f t="shared" si="10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8" t="s">
        <v>75</v>
      </c>
      <c r="P332" s="48">
        <f>HEX2DEC(RIGHT(Table1323212753[[#This Row],[h1]],8))</f>
        <v>0</v>
      </c>
      <c r="Q332" s="48" t="s">
        <v>75</v>
      </c>
      <c r="R332" s="48">
        <f>HEX2DEC(RIGHT(Table1323212753[[#This Row],[h2]],8))</f>
        <v>0</v>
      </c>
    </row>
    <row r="333" spans="1:18">
      <c r="A333" s="15" t="str">
        <f t="shared" si="10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8" t="s">
        <v>75</v>
      </c>
      <c r="P333" s="48">
        <f>HEX2DEC(RIGHT(Table1323212753[[#This Row],[h1]],8))</f>
        <v>0</v>
      </c>
      <c r="Q333" s="48" t="s">
        <v>75</v>
      </c>
      <c r="R333" s="48">
        <f>HEX2DEC(RIGHT(Table1323212753[[#This Row],[h2]],8))</f>
        <v>0</v>
      </c>
    </row>
    <row r="334" spans="1:18">
      <c r="A334" s="15" t="str">
        <f t="shared" si="10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8" t="s">
        <v>75</v>
      </c>
      <c r="P334" s="48">
        <f>HEX2DEC(RIGHT(Table1323212753[[#This Row],[h1]],8))</f>
        <v>0</v>
      </c>
      <c r="Q334" s="48" t="s">
        <v>75</v>
      </c>
      <c r="R334" s="48">
        <f>HEX2DEC(RIGHT(Table1323212753[[#This Row],[h2]],8))</f>
        <v>0</v>
      </c>
    </row>
    <row r="335" spans="1:18">
      <c r="A335" s="15" t="str">
        <f t="shared" si="10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8" t="s">
        <v>75</v>
      </c>
      <c r="P335" s="48">
        <f>HEX2DEC(RIGHT(Table1323212753[[#This Row],[h1]],8))</f>
        <v>0</v>
      </c>
      <c r="Q335" s="48" t="s">
        <v>75</v>
      </c>
      <c r="R335" s="48">
        <f>HEX2DEC(RIGHT(Table1323212753[[#This Row],[h2]],8))</f>
        <v>0</v>
      </c>
    </row>
    <row r="336" spans="1:18">
      <c r="A336" s="15" t="str">
        <f t="shared" si="10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8" t="s">
        <v>75</v>
      </c>
      <c r="P336" s="48">
        <f>HEX2DEC(RIGHT(Table1323212753[[#This Row],[h1]],8))</f>
        <v>0</v>
      </c>
      <c r="Q336" s="48" t="s">
        <v>75</v>
      </c>
      <c r="R336" s="48">
        <f>HEX2DEC(RIGHT(Table1323212753[[#This Row],[h2]],8))</f>
        <v>0</v>
      </c>
    </row>
    <row r="337" spans="1:18">
      <c r="A337" s="15" t="str">
        <f t="shared" si="10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8" t="s">
        <v>75</v>
      </c>
      <c r="P337" s="48">
        <f>HEX2DEC(RIGHT(Table1323212753[[#This Row],[h1]],8))</f>
        <v>0</v>
      </c>
      <c r="Q337" s="48" t="s">
        <v>75</v>
      </c>
      <c r="R337" s="48">
        <f>HEX2DEC(RIGHT(Table1323212753[[#This Row],[h2]],8))</f>
        <v>0</v>
      </c>
    </row>
    <row r="338" spans="1:18">
      <c r="A338" s="15" t="str">
        <f t="shared" si="10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8" t="s">
        <v>75</v>
      </c>
      <c r="P338" s="48">
        <f>HEX2DEC(RIGHT(Table1323212753[[#This Row],[h1]],8))</f>
        <v>0</v>
      </c>
      <c r="Q338" s="48" t="s">
        <v>75</v>
      </c>
      <c r="R338" s="48">
        <f>HEX2DEC(RIGHT(Table1323212753[[#This Row],[h2]],8))</f>
        <v>0</v>
      </c>
    </row>
    <row r="339" spans="1:18">
      <c r="A339" s="15" t="str">
        <f t="shared" si="10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8" t="s">
        <v>75</v>
      </c>
      <c r="P339" s="48">
        <f>HEX2DEC(RIGHT(Table1323212753[[#This Row],[h1]],8))</f>
        <v>0</v>
      </c>
      <c r="Q339" s="48" t="s">
        <v>75</v>
      </c>
      <c r="R339" s="48">
        <f>HEX2DEC(RIGHT(Table1323212753[[#This Row],[h2]],8))</f>
        <v>0</v>
      </c>
    </row>
    <row r="340" spans="1:18">
      <c r="A340" s="15" t="str">
        <f t="shared" si="10"/>
        <v>14A</v>
      </c>
      <c r="B340" s="15">
        <v>330</v>
      </c>
      <c r="C340" s="38"/>
      <c r="G340" s="48"/>
      <c r="I340" s="27"/>
      <c r="J340" s="27">
        <v>50000</v>
      </c>
      <c r="L340" s="27"/>
      <c r="M340" s="27">
        <v>50000</v>
      </c>
      <c r="O340" s="48" t="s">
        <v>75</v>
      </c>
      <c r="P340" s="48">
        <f>HEX2DEC(RIGHT(Table1323212753[[#This Row],[h1]],8))</f>
        <v>0</v>
      </c>
      <c r="Q340" s="48" t="s">
        <v>75</v>
      </c>
      <c r="R340" s="48">
        <f>HEX2DEC(RIGHT(Table1323212753[[#This Row],[h2]],8))</f>
        <v>0</v>
      </c>
    </row>
    <row r="341" spans="1:18">
      <c r="A341" s="15" t="str">
        <f t="shared" si="10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8" t="s">
        <v>75</v>
      </c>
      <c r="P341" s="48">
        <f>HEX2DEC(RIGHT(Table1323212753[[#This Row],[h1]],8))</f>
        <v>0</v>
      </c>
      <c r="Q341" s="48" t="s">
        <v>75</v>
      </c>
      <c r="R341" s="48">
        <f>HEX2DEC(RIGHT(Table1323212753[[#This Row],[h2]],8))</f>
        <v>0</v>
      </c>
    </row>
    <row r="342" spans="1:18">
      <c r="A342" s="15" t="str">
        <f t="shared" si="10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8" t="s">
        <v>75</v>
      </c>
      <c r="P342" s="48">
        <f>HEX2DEC(RIGHT(Table1323212753[[#This Row],[h1]],8))</f>
        <v>0</v>
      </c>
      <c r="Q342" s="48" t="s">
        <v>75</v>
      </c>
      <c r="R342" s="48">
        <f>HEX2DEC(RIGHT(Table1323212753[[#This Row],[h2]],8))</f>
        <v>0</v>
      </c>
    </row>
    <row r="343" spans="1:18">
      <c r="A343" s="15" t="str">
        <f t="shared" si="10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8" t="s">
        <v>75</v>
      </c>
      <c r="P343" s="48">
        <f>HEX2DEC(RIGHT(Table1323212753[[#This Row],[h1]],8))</f>
        <v>0</v>
      </c>
      <c r="Q343" s="48" t="s">
        <v>75</v>
      </c>
      <c r="R343" s="48">
        <f>HEX2DEC(RIGHT(Table1323212753[[#This Row],[h2]],8))</f>
        <v>0</v>
      </c>
    </row>
    <row r="344" spans="1:18">
      <c r="A344" s="15" t="str">
        <f t="shared" si="10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8" t="s">
        <v>75</v>
      </c>
      <c r="P344" s="48">
        <f>HEX2DEC(RIGHT(Table1323212753[[#This Row],[h1]],8))</f>
        <v>0</v>
      </c>
      <c r="Q344" s="48" t="s">
        <v>75</v>
      </c>
      <c r="R344" s="48">
        <f>HEX2DEC(RIGHT(Table1323212753[[#This Row],[h2]],8))</f>
        <v>0</v>
      </c>
    </row>
    <row r="345" spans="1:18">
      <c r="A345" s="15" t="str">
        <f t="shared" si="10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8" t="s">
        <v>75</v>
      </c>
      <c r="P345" s="48">
        <f>HEX2DEC(RIGHT(Table1323212753[[#This Row],[h1]],8))</f>
        <v>0</v>
      </c>
      <c r="Q345" s="48" t="s">
        <v>75</v>
      </c>
      <c r="R345" s="48">
        <f>HEX2DEC(RIGHT(Table1323212753[[#This Row],[h2]],8))</f>
        <v>0</v>
      </c>
    </row>
    <row r="346" spans="1:18">
      <c r="A346" s="15" t="str">
        <f t="shared" si="10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8" t="s">
        <v>75</v>
      </c>
      <c r="P346" s="48">
        <f>HEX2DEC(RIGHT(Table1323212753[[#This Row],[h1]],8))</f>
        <v>0</v>
      </c>
      <c r="Q346" s="48" t="s">
        <v>75</v>
      </c>
      <c r="R346" s="48">
        <f>HEX2DEC(RIGHT(Table1323212753[[#This Row],[h2]],8))</f>
        <v>0</v>
      </c>
    </row>
    <row r="347" spans="1:18">
      <c r="A347" s="15" t="str">
        <f t="shared" si="10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8" t="s">
        <v>75</v>
      </c>
      <c r="P347" s="48">
        <f>HEX2DEC(RIGHT(Table1323212753[[#This Row],[h1]],8))</f>
        <v>0</v>
      </c>
      <c r="Q347" s="48" t="s">
        <v>75</v>
      </c>
      <c r="R347" s="48">
        <f>HEX2DEC(RIGHT(Table1323212753[[#This Row],[h2]],8))</f>
        <v>0</v>
      </c>
    </row>
    <row r="348" spans="1:18">
      <c r="A348" s="15" t="str">
        <f t="shared" si="10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8" t="s">
        <v>75</v>
      </c>
      <c r="P348" s="48">
        <f>HEX2DEC(RIGHT(Table1323212753[[#This Row],[h1]],8))</f>
        <v>0</v>
      </c>
      <c r="Q348" s="48" t="s">
        <v>75</v>
      </c>
      <c r="R348" s="48">
        <f>HEX2DEC(RIGHT(Table1323212753[[#This Row],[h2]],8))</f>
        <v>0</v>
      </c>
    </row>
    <row r="349" spans="1:18">
      <c r="A349" s="15" t="str">
        <f t="shared" si="10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8" t="s">
        <v>75</v>
      </c>
      <c r="P349" s="48">
        <f>HEX2DEC(RIGHT(Table1323212753[[#This Row],[h1]],8))</f>
        <v>0</v>
      </c>
      <c r="Q349" s="48" t="s">
        <v>75</v>
      </c>
      <c r="R349" s="48">
        <f>HEX2DEC(RIGHT(Table1323212753[[#This Row],[h2]],8))</f>
        <v>0</v>
      </c>
    </row>
    <row r="350" spans="1:18">
      <c r="A350" s="15" t="str">
        <f t="shared" si="10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8" t="s">
        <v>75</v>
      </c>
      <c r="P350" s="48">
        <f>HEX2DEC(RIGHT(Table1323212753[[#This Row],[h1]],8))</f>
        <v>0</v>
      </c>
      <c r="Q350" s="48" t="s">
        <v>75</v>
      </c>
      <c r="R350" s="48">
        <f>HEX2DEC(RIGHT(Table1323212753[[#This Row],[h2]],8))</f>
        <v>0</v>
      </c>
    </row>
    <row r="351" spans="1:18">
      <c r="A351" s="15" t="str">
        <f t="shared" si="10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8" t="s">
        <v>75</v>
      </c>
      <c r="P351" s="48">
        <f>HEX2DEC(RIGHT(Table1323212753[[#This Row],[h1]],8))</f>
        <v>0</v>
      </c>
      <c r="Q351" s="48" t="s">
        <v>75</v>
      </c>
      <c r="R351" s="48">
        <f>HEX2DEC(RIGHT(Table1323212753[[#This Row],[h2]],8))</f>
        <v>0</v>
      </c>
    </row>
    <row r="352" spans="1:18">
      <c r="A352" s="15" t="str">
        <f t="shared" si="10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8" t="s">
        <v>75</v>
      </c>
      <c r="P352" s="48">
        <f>HEX2DEC(RIGHT(Table1323212753[[#This Row],[h1]],8))</f>
        <v>0</v>
      </c>
      <c r="Q352" s="48" t="s">
        <v>75</v>
      </c>
      <c r="R352" s="48">
        <f>HEX2DEC(RIGHT(Table1323212753[[#This Row],[h2]],8))</f>
        <v>0</v>
      </c>
    </row>
    <row r="353" spans="1:18">
      <c r="A353" s="15" t="str">
        <f t="shared" si="10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8" t="s">
        <v>75</v>
      </c>
      <c r="P353" s="48">
        <f>HEX2DEC(RIGHT(Table1323212753[[#This Row],[h1]],8))</f>
        <v>0</v>
      </c>
      <c r="Q353" s="48" t="s">
        <v>75</v>
      </c>
      <c r="R353" s="48">
        <f>HEX2DEC(RIGHT(Table1323212753[[#This Row],[h2]],8))</f>
        <v>0</v>
      </c>
    </row>
    <row r="354" spans="1:18">
      <c r="A354" s="15" t="str">
        <f t="shared" si="10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8" t="s">
        <v>75</v>
      </c>
      <c r="P354" s="48">
        <f>HEX2DEC(RIGHT(Table1323212753[[#This Row],[h1]],8))</f>
        <v>0</v>
      </c>
      <c r="Q354" s="48" t="s">
        <v>75</v>
      </c>
      <c r="R354" s="48">
        <f>HEX2DEC(RIGHT(Table1323212753[[#This Row],[h2]],8))</f>
        <v>0</v>
      </c>
    </row>
    <row r="355" spans="1:18">
      <c r="A355" s="15" t="str">
        <f t="shared" si="10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8" t="s">
        <v>75</v>
      </c>
      <c r="P355" s="48">
        <f>HEX2DEC(RIGHT(Table1323212753[[#This Row],[h1]],8))</f>
        <v>0</v>
      </c>
      <c r="Q355" s="48" t="s">
        <v>75</v>
      </c>
      <c r="R355" s="48">
        <f>HEX2DEC(RIGHT(Table1323212753[[#This Row],[h2]],8))</f>
        <v>0</v>
      </c>
    </row>
    <row r="356" spans="1:18">
      <c r="A356" s="15" t="str">
        <f t="shared" si="10"/>
        <v>15A</v>
      </c>
      <c r="B356" s="15">
        <v>346</v>
      </c>
      <c r="C356" s="53"/>
      <c r="D356" s="54"/>
      <c r="E356" s="54"/>
      <c r="F356" s="54"/>
      <c r="G356" s="55"/>
      <c r="I356" s="27"/>
      <c r="J356" s="27">
        <v>50000</v>
      </c>
      <c r="L356" s="27"/>
      <c r="M356" s="27">
        <v>50000</v>
      </c>
      <c r="O356" s="48" t="s">
        <v>75</v>
      </c>
      <c r="P356" s="48">
        <f>HEX2DEC(RIGHT(Table1323212753[[#This Row],[h1]],8))</f>
        <v>0</v>
      </c>
      <c r="Q356" s="48" t="s">
        <v>75</v>
      </c>
      <c r="R356" s="48">
        <f>HEX2DEC(RIGHT(Table1323212753[[#This Row],[h2]],8))</f>
        <v>0</v>
      </c>
    </row>
    <row r="357" spans="1:18">
      <c r="A357" s="15" t="str">
        <f t="shared" si="10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8" t="s">
        <v>75</v>
      </c>
      <c r="P357" s="48">
        <f>HEX2DEC(RIGHT(Table1323212753[[#This Row],[h1]],8))</f>
        <v>0</v>
      </c>
      <c r="Q357" s="48" t="s">
        <v>75</v>
      </c>
      <c r="R357" s="48">
        <f>HEX2DEC(RIGHT(Table1323212753[[#This Row],[h2]],8))</f>
        <v>0</v>
      </c>
    </row>
    <row r="358" spans="1:18">
      <c r="A358" s="15" t="str">
        <f t="shared" si="10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8" t="s">
        <v>75</v>
      </c>
      <c r="P358" s="48">
        <f>HEX2DEC(RIGHT(Table1323212753[[#This Row],[h1]],8))</f>
        <v>0</v>
      </c>
      <c r="Q358" s="48" t="s">
        <v>75</v>
      </c>
      <c r="R358" s="48">
        <f>HEX2DEC(RIGHT(Table1323212753[[#This Row],[h2]],8))</f>
        <v>0</v>
      </c>
    </row>
    <row r="359" spans="1:18">
      <c r="A359" s="15" t="str">
        <f t="shared" si="10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8" t="s">
        <v>75</v>
      </c>
      <c r="P359" s="48">
        <f>HEX2DEC(RIGHT(Table1323212753[[#This Row],[h1]],8))</f>
        <v>0</v>
      </c>
      <c r="Q359" s="48" t="s">
        <v>75</v>
      </c>
      <c r="R359" s="48">
        <f>HEX2DEC(RIGHT(Table1323212753[[#This Row],[h2]],8))</f>
        <v>0</v>
      </c>
    </row>
    <row r="360" spans="1:18">
      <c r="A360" s="15" t="str">
        <f t="shared" si="10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8" t="s">
        <v>75</v>
      </c>
      <c r="P360" s="48">
        <f>HEX2DEC(RIGHT(Table1323212753[[#This Row],[h1]],8))</f>
        <v>0</v>
      </c>
      <c r="Q360" s="48" t="s">
        <v>75</v>
      </c>
      <c r="R360" s="48">
        <f>HEX2DEC(RIGHT(Table1323212753[[#This Row],[h2]],8))</f>
        <v>0</v>
      </c>
    </row>
    <row r="361" spans="1:18">
      <c r="A361" s="15" t="str">
        <f t="shared" si="10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8" t="s">
        <v>75</v>
      </c>
      <c r="P361" s="48">
        <f>HEX2DEC(RIGHT(Table1323212753[[#This Row],[h1]],8))</f>
        <v>0</v>
      </c>
      <c r="Q361" s="48" t="s">
        <v>75</v>
      </c>
      <c r="R361" s="48">
        <f>HEX2DEC(RIGHT(Table1323212753[[#This Row],[h2]],8))</f>
        <v>0</v>
      </c>
    </row>
    <row r="362" spans="1:18">
      <c r="A362" s="15" t="str">
        <f t="shared" si="10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8" t="s">
        <v>75</v>
      </c>
      <c r="P362" s="48">
        <f>HEX2DEC(RIGHT(Table1323212753[[#This Row],[h1]],8))</f>
        <v>0</v>
      </c>
      <c r="Q362" s="48" t="s">
        <v>75</v>
      </c>
      <c r="R362" s="48">
        <f>HEX2DEC(RIGHT(Table1323212753[[#This Row],[h2]],8))</f>
        <v>0</v>
      </c>
    </row>
    <row r="363" spans="1:18">
      <c r="A363" s="15" t="str">
        <f t="shared" si="10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8" t="s">
        <v>75</v>
      </c>
      <c r="P363" s="48">
        <f>HEX2DEC(RIGHT(Table1323212753[[#This Row],[h1]],8))</f>
        <v>0</v>
      </c>
      <c r="Q363" s="48" t="s">
        <v>75</v>
      </c>
      <c r="R363" s="48">
        <f>HEX2DEC(RIGHT(Table1323212753[[#This Row],[h2]],8))</f>
        <v>0</v>
      </c>
    </row>
    <row r="364" spans="1:18">
      <c r="A364" s="15" t="str">
        <f t="shared" si="10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8" t="s">
        <v>75</v>
      </c>
      <c r="P364" s="48">
        <f>HEX2DEC(RIGHT(Table1323212753[[#This Row],[h1]],8))</f>
        <v>0</v>
      </c>
      <c r="Q364" s="48" t="s">
        <v>75</v>
      </c>
      <c r="R364" s="48">
        <f>HEX2DEC(RIGHT(Table1323212753[[#This Row],[h2]],8))</f>
        <v>0</v>
      </c>
    </row>
    <row r="365" spans="1:18">
      <c r="A365" s="15" t="str">
        <f t="shared" si="10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8" t="s">
        <v>75</v>
      </c>
      <c r="P365" s="48">
        <f>HEX2DEC(RIGHT(Table1323212753[[#This Row],[h1]],8))</f>
        <v>0</v>
      </c>
      <c r="Q365" s="48" t="s">
        <v>75</v>
      </c>
      <c r="R365" s="48">
        <f>HEX2DEC(RIGHT(Table1323212753[[#This Row],[h2]],8))</f>
        <v>0</v>
      </c>
    </row>
    <row r="366" spans="1:18">
      <c r="A366" s="15" t="str">
        <f t="shared" si="10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8" t="s">
        <v>75</v>
      </c>
      <c r="P366" s="48">
        <f>HEX2DEC(RIGHT(Table1323212753[[#This Row],[h1]],8))</f>
        <v>0</v>
      </c>
      <c r="Q366" s="48" t="s">
        <v>75</v>
      </c>
      <c r="R366" s="48">
        <f>HEX2DEC(RIGHT(Table1323212753[[#This Row],[h2]],8))</f>
        <v>0</v>
      </c>
    </row>
    <row r="367" spans="1:18">
      <c r="A367" s="15" t="str">
        <f t="shared" si="10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8" t="s">
        <v>75</v>
      </c>
      <c r="P367" s="48">
        <f>HEX2DEC(RIGHT(Table1323212753[[#This Row],[h1]],8))</f>
        <v>0</v>
      </c>
      <c r="Q367" s="48" t="s">
        <v>75</v>
      </c>
      <c r="R367" s="48">
        <f>HEX2DEC(RIGHT(Table1323212753[[#This Row],[h2]],8))</f>
        <v>0</v>
      </c>
    </row>
    <row r="368" spans="1:18">
      <c r="A368" s="15" t="str">
        <f t="shared" si="10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8" t="s">
        <v>75</v>
      </c>
      <c r="P368" s="48">
        <f>HEX2DEC(RIGHT(Table1323212753[[#This Row],[h1]],8))</f>
        <v>0</v>
      </c>
      <c r="Q368" s="48" t="s">
        <v>75</v>
      </c>
      <c r="R368" s="48">
        <f>HEX2DEC(RIGHT(Table1323212753[[#This Row],[h2]],8))</f>
        <v>0</v>
      </c>
    </row>
    <row r="369" spans="1:18">
      <c r="A369" s="15" t="str">
        <f t="shared" si="10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8" t="s">
        <v>75</v>
      </c>
      <c r="P369" s="48">
        <f>HEX2DEC(RIGHT(Table1323212753[[#This Row],[h1]],8))</f>
        <v>0</v>
      </c>
      <c r="Q369" s="48" t="s">
        <v>75</v>
      </c>
      <c r="R369" s="48">
        <f>HEX2DEC(RIGHT(Table1323212753[[#This Row],[h2]],8))</f>
        <v>0</v>
      </c>
    </row>
    <row r="370" spans="1:18">
      <c r="A370" s="15" t="str">
        <f t="shared" si="10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8" t="s">
        <v>75</v>
      </c>
      <c r="P370" s="48">
        <f>HEX2DEC(RIGHT(Table1323212753[[#This Row],[h1]],8))</f>
        <v>0</v>
      </c>
      <c r="Q370" s="48" t="s">
        <v>75</v>
      </c>
      <c r="R370" s="48">
        <f>HEX2DEC(RIGHT(Table1323212753[[#This Row],[h2]],8))</f>
        <v>0</v>
      </c>
    </row>
    <row r="371" spans="1:18">
      <c r="A371" s="15" t="str">
        <f t="shared" si="10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8" t="s">
        <v>75</v>
      </c>
      <c r="P371" s="48">
        <f>HEX2DEC(RIGHT(Table1323212753[[#This Row],[h1]],8))</f>
        <v>0</v>
      </c>
      <c r="Q371" s="48" t="s">
        <v>75</v>
      </c>
      <c r="R371" s="48">
        <f>HEX2DEC(RIGHT(Table1323212753[[#This Row],[h2]],8))</f>
        <v>0</v>
      </c>
    </row>
    <row r="372" spans="1:18">
      <c r="A372" s="15" t="str">
        <f t="shared" si="10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8" t="s">
        <v>75</v>
      </c>
      <c r="P372" s="48">
        <f>HEX2DEC(RIGHT(Table1323212753[[#This Row],[h1]],8))</f>
        <v>0</v>
      </c>
      <c r="Q372" s="48" t="s">
        <v>75</v>
      </c>
      <c r="R372" s="48">
        <f>HEX2DEC(RIGHT(Table1323212753[[#This Row],[h2]],8))</f>
        <v>0</v>
      </c>
    </row>
    <row r="373" spans="1:18">
      <c r="A373" s="15" t="str">
        <f t="shared" si="10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8" t="s">
        <v>75</v>
      </c>
      <c r="P373" s="48">
        <f>HEX2DEC(RIGHT(Table1323212753[[#This Row],[h1]],8))</f>
        <v>0</v>
      </c>
      <c r="Q373" s="48" t="s">
        <v>75</v>
      </c>
      <c r="R373" s="48">
        <f>HEX2DEC(RIGHT(Table1323212753[[#This Row],[h2]],8))</f>
        <v>0</v>
      </c>
    </row>
    <row r="374" spans="1:18">
      <c r="A374" s="15" t="str">
        <f t="shared" si="10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8" t="s">
        <v>75</v>
      </c>
      <c r="P374" s="48">
        <f>HEX2DEC(RIGHT(Table1323212753[[#This Row],[h1]],8))</f>
        <v>0</v>
      </c>
      <c r="Q374" s="48" t="s">
        <v>75</v>
      </c>
      <c r="R374" s="48">
        <f>HEX2DEC(RIGHT(Table1323212753[[#This Row],[h2]],8))</f>
        <v>0</v>
      </c>
    </row>
    <row r="375" spans="1:18">
      <c r="A375" s="15" t="str">
        <f t="shared" si="10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8" t="s">
        <v>75</v>
      </c>
      <c r="P375" s="48">
        <f>HEX2DEC(RIGHT(Table1323212753[[#This Row],[h1]],8))</f>
        <v>0</v>
      </c>
      <c r="Q375" s="48" t="s">
        <v>75</v>
      </c>
      <c r="R375" s="48">
        <f>HEX2DEC(RIGHT(Table1323212753[[#This Row],[h2]],8))</f>
        <v>0</v>
      </c>
    </row>
    <row r="376" spans="1:18">
      <c r="A376" s="15" t="str">
        <f t="shared" si="10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8" t="s">
        <v>75</v>
      </c>
      <c r="P376" s="48">
        <f>HEX2DEC(RIGHT(Table1323212753[[#This Row],[h1]],8))</f>
        <v>0</v>
      </c>
      <c r="Q376" s="48" t="s">
        <v>75</v>
      </c>
      <c r="R376" s="48">
        <f>HEX2DEC(RIGHT(Table1323212753[[#This Row],[h2]],8))</f>
        <v>0</v>
      </c>
    </row>
    <row r="377" spans="1:18">
      <c r="A377" s="15" t="str">
        <f t="shared" si="10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8" t="s">
        <v>75</v>
      </c>
      <c r="P377" s="48">
        <f>HEX2DEC(RIGHT(Table1323212753[[#This Row],[h1]],8))</f>
        <v>0</v>
      </c>
      <c r="Q377" s="48" t="s">
        <v>75</v>
      </c>
      <c r="R377" s="48">
        <f>HEX2DEC(RIGHT(Table1323212753[[#This Row],[h2]],8))</f>
        <v>0</v>
      </c>
    </row>
    <row r="378" spans="1:18">
      <c r="A378" s="15" t="str">
        <f t="shared" si="10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8" t="s">
        <v>75</v>
      </c>
      <c r="P378" s="48">
        <f>HEX2DEC(RIGHT(Table1323212753[[#This Row],[h1]],8))</f>
        <v>0</v>
      </c>
      <c r="Q378" s="48" t="s">
        <v>75</v>
      </c>
      <c r="R378" s="48">
        <f>HEX2DEC(RIGHT(Table1323212753[[#This Row],[h2]],8))</f>
        <v>0</v>
      </c>
    </row>
    <row r="379" spans="1:18">
      <c r="A379" s="15" t="str">
        <f t="shared" si="10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8" t="s">
        <v>75</v>
      </c>
      <c r="P379" s="48">
        <f>HEX2DEC(RIGHT(Table1323212753[[#This Row],[h1]],8))</f>
        <v>0</v>
      </c>
      <c r="Q379" s="48" t="s">
        <v>75</v>
      </c>
      <c r="R379" s="48">
        <f>HEX2DEC(RIGHT(Table1323212753[[#This Row],[h2]],8))</f>
        <v>0</v>
      </c>
    </row>
    <row r="380" spans="1:18">
      <c r="A380" s="15" t="str">
        <f t="shared" si="10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8" t="s">
        <v>75</v>
      </c>
      <c r="P380" s="48">
        <f>HEX2DEC(RIGHT(Table1323212753[[#This Row],[h1]],8))</f>
        <v>0</v>
      </c>
      <c r="Q380" s="48" t="s">
        <v>75</v>
      </c>
      <c r="R380" s="48">
        <f>HEX2DEC(RIGHT(Table1323212753[[#This Row],[h2]],8))</f>
        <v>0</v>
      </c>
    </row>
    <row r="381" spans="1:18">
      <c r="A381" s="15" t="str">
        <f t="shared" si="10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8" t="s">
        <v>75</v>
      </c>
      <c r="P381" s="48">
        <f>HEX2DEC(RIGHT(Table1323212753[[#This Row],[h1]],8))</f>
        <v>0</v>
      </c>
      <c r="Q381" s="48" t="s">
        <v>75</v>
      </c>
      <c r="R381" s="48">
        <f>HEX2DEC(RIGHT(Table1323212753[[#This Row],[h2]],8))</f>
        <v>0</v>
      </c>
    </row>
    <row r="382" spans="1:18">
      <c r="A382" s="15" t="str">
        <f t="shared" si="10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8" t="s">
        <v>75</v>
      </c>
      <c r="P382" s="48">
        <f>HEX2DEC(RIGHT(Table1323212753[[#This Row],[h1]],8))</f>
        <v>0</v>
      </c>
      <c r="Q382" s="48" t="s">
        <v>75</v>
      </c>
      <c r="R382" s="48">
        <f>HEX2DEC(RIGHT(Table1323212753[[#This Row],[h2]],8))</f>
        <v>0</v>
      </c>
    </row>
    <row r="383" spans="1:18">
      <c r="A383" s="15" t="str">
        <f t="shared" si="10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8" t="s">
        <v>75</v>
      </c>
      <c r="P383" s="48">
        <f>HEX2DEC(RIGHT(Table1323212753[[#This Row],[h1]],8))</f>
        <v>0</v>
      </c>
      <c r="Q383" s="48" t="s">
        <v>75</v>
      </c>
      <c r="R383" s="48">
        <f>HEX2DEC(RIGHT(Table1323212753[[#This Row],[h2]],8))</f>
        <v>0</v>
      </c>
    </row>
    <row r="384" spans="1:18">
      <c r="A384" s="15" t="str">
        <f t="shared" si="10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8" t="s">
        <v>75</v>
      </c>
      <c r="P384" s="48">
        <f>HEX2DEC(RIGHT(Table1323212753[[#This Row],[h1]],8))</f>
        <v>0</v>
      </c>
      <c r="Q384" s="48" t="s">
        <v>75</v>
      </c>
      <c r="R384" s="48">
        <f>HEX2DEC(RIGHT(Table1323212753[[#This Row],[h2]],8))</f>
        <v>0</v>
      </c>
    </row>
    <row r="385" spans="1:18">
      <c r="A385" s="15" t="str">
        <f t="shared" si="10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8" t="s">
        <v>75</v>
      </c>
      <c r="P385" s="48">
        <f>HEX2DEC(RIGHT(Table1323212753[[#This Row],[h1]],8))</f>
        <v>0</v>
      </c>
      <c r="Q385" s="48" t="s">
        <v>75</v>
      </c>
      <c r="R385" s="48">
        <f>HEX2DEC(RIGHT(Table1323212753[[#This Row],[h2]],8))</f>
        <v>0</v>
      </c>
    </row>
    <row r="386" spans="1:18">
      <c r="A386" s="15" t="str">
        <f t="shared" si="10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8" t="s">
        <v>75</v>
      </c>
      <c r="P386" s="48">
        <f>HEX2DEC(RIGHT(Table1323212753[[#This Row],[h1]],8))</f>
        <v>0</v>
      </c>
      <c r="Q386" s="48" t="s">
        <v>75</v>
      </c>
      <c r="R386" s="48">
        <f>HEX2DEC(RIGHT(Table1323212753[[#This Row],[h2]],8))</f>
        <v>0</v>
      </c>
    </row>
    <row r="387" spans="1:18">
      <c r="A387" s="15" t="str">
        <f t="shared" si="10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8" t="s">
        <v>75</v>
      </c>
      <c r="P387" s="48">
        <f>HEX2DEC(RIGHT(Table1323212753[[#This Row],[h1]],8))</f>
        <v>0</v>
      </c>
      <c r="Q387" s="48" t="s">
        <v>75</v>
      </c>
      <c r="R387" s="48">
        <f>HEX2DEC(RIGHT(Table1323212753[[#This Row],[h2]],8))</f>
        <v>0</v>
      </c>
    </row>
    <row r="388" spans="1:18">
      <c r="A388" s="15" t="str">
        <f t="shared" si="10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8" t="s">
        <v>75</v>
      </c>
      <c r="P388" s="48">
        <f>HEX2DEC(RIGHT(Table1323212753[[#This Row],[h1]],8))</f>
        <v>0</v>
      </c>
      <c r="Q388" s="48" t="s">
        <v>75</v>
      </c>
      <c r="R388" s="48">
        <f>HEX2DEC(RIGHT(Table1323212753[[#This Row],[h2]],8))</f>
        <v>0</v>
      </c>
    </row>
    <row r="389" spans="1:18">
      <c r="A389" s="15" t="str">
        <f t="shared" si="10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8" t="s">
        <v>75</v>
      </c>
      <c r="P389" s="48">
        <f>HEX2DEC(RIGHT(Table1323212753[[#This Row],[h1]],8))</f>
        <v>0</v>
      </c>
      <c r="Q389" s="48" t="s">
        <v>75</v>
      </c>
      <c r="R389" s="48">
        <f>HEX2DEC(RIGHT(Table1323212753[[#This Row],[h2]],8))</f>
        <v>0</v>
      </c>
    </row>
    <row r="390" spans="1:18">
      <c r="A390" s="15" t="str">
        <f t="shared" si="10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8" t="s">
        <v>75</v>
      </c>
      <c r="P390" s="48">
        <f>HEX2DEC(RIGHT(Table1323212753[[#This Row],[h1]],8))</f>
        <v>0</v>
      </c>
      <c r="Q390" s="48" t="s">
        <v>75</v>
      </c>
      <c r="R390" s="48">
        <f>HEX2DEC(RIGHT(Table1323212753[[#This Row],[h2]],8))</f>
        <v>0</v>
      </c>
    </row>
    <row r="391" spans="1:18">
      <c r="A391" s="15" t="str">
        <f t="shared" si="10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8" t="s">
        <v>75</v>
      </c>
      <c r="P391" s="48">
        <f>HEX2DEC(RIGHT(Table1323212753[[#This Row],[h1]],8))</f>
        <v>0</v>
      </c>
      <c r="Q391" s="48" t="s">
        <v>75</v>
      </c>
      <c r="R391" s="48">
        <f>HEX2DEC(RIGHT(Table1323212753[[#This Row],[h2]],8))</f>
        <v>0</v>
      </c>
    </row>
    <row r="392" spans="1:18">
      <c r="A392" s="15" t="str">
        <f t="shared" si="10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8" t="s">
        <v>75</v>
      </c>
      <c r="P392" s="48">
        <f>HEX2DEC(RIGHT(Table1323212753[[#This Row],[h1]],8))</f>
        <v>0</v>
      </c>
      <c r="Q392" s="48" t="s">
        <v>75</v>
      </c>
      <c r="R392" s="48">
        <f>HEX2DEC(RIGHT(Table1323212753[[#This Row],[h2]],8))</f>
        <v>0</v>
      </c>
    </row>
    <row r="393" spans="1:18">
      <c r="A393" s="15" t="str">
        <f t="shared" si="10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8" t="s">
        <v>75</v>
      </c>
      <c r="P393" s="48">
        <f>HEX2DEC(RIGHT(Table1323212753[[#This Row],[h1]],8))</f>
        <v>0</v>
      </c>
      <c r="Q393" s="48" t="s">
        <v>75</v>
      </c>
      <c r="R393" s="48">
        <f>HEX2DEC(RIGHT(Table1323212753[[#This Row],[h2]],8))</f>
        <v>0</v>
      </c>
    </row>
    <row r="394" spans="1:18">
      <c r="A394" s="15" t="str">
        <f t="shared" si="10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8" t="s">
        <v>75</v>
      </c>
      <c r="P394" s="48">
        <f>HEX2DEC(RIGHT(Table1323212753[[#This Row],[h1]],8))</f>
        <v>0</v>
      </c>
      <c r="Q394" s="48" t="s">
        <v>75</v>
      </c>
      <c r="R394" s="48">
        <f>HEX2DEC(RIGHT(Table1323212753[[#This Row],[h2]],8))</f>
        <v>0</v>
      </c>
    </row>
    <row r="395" spans="1:18">
      <c r="A395" s="15" t="str">
        <f t="shared" ref="A395:A458" si="11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8" t="s">
        <v>75</v>
      </c>
      <c r="P395" s="48">
        <f>HEX2DEC(RIGHT(Table1323212753[[#This Row],[h1]],8))</f>
        <v>0</v>
      </c>
      <c r="Q395" s="48" t="s">
        <v>75</v>
      </c>
      <c r="R395" s="48">
        <f>HEX2DEC(RIGHT(Table1323212753[[#This Row],[h2]],8))</f>
        <v>0</v>
      </c>
    </row>
    <row r="396" spans="1:18">
      <c r="A396" s="15" t="str">
        <f t="shared" si="11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8" t="s">
        <v>75</v>
      </c>
      <c r="P396" s="48">
        <f>HEX2DEC(RIGHT(Table1323212753[[#This Row],[h1]],8))</f>
        <v>0</v>
      </c>
      <c r="Q396" s="48" t="s">
        <v>75</v>
      </c>
      <c r="R396" s="48">
        <f>HEX2DEC(RIGHT(Table1323212753[[#This Row],[h2]],8))</f>
        <v>0</v>
      </c>
    </row>
    <row r="397" spans="1:18">
      <c r="A397" s="15" t="str">
        <f t="shared" si="11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8" t="s">
        <v>75</v>
      </c>
      <c r="P397" s="48">
        <f>HEX2DEC(RIGHT(Table1323212753[[#This Row],[h1]],8))</f>
        <v>0</v>
      </c>
      <c r="Q397" s="48" t="s">
        <v>75</v>
      </c>
      <c r="R397" s="48">
        <f>HEX2DEC(RIGHT(Table1323212753[[#This Row],[h2]],8))</f>
        <v>0</v>
      </c>
    </row>
    <row r="398" spans="1:18">
      <c r="A398" s="15" t="str">
        <f t="shared" si="11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8" t="s">
        <v>75</v>
      </c>
      <c r="P398" s="48">
        <f>HEX2DEC(RIGHT(Table1323212753[[#This Row],[h1]],8))</f>
        <v>0</v>
      </c>
      <c r="Q398" s="48" t="s">
        <v>75</v>
      </c>
      <c r="R398" s="48">
        <f>HEX2DEC(RIGHT(Table1323212753[[#This Row],[h2]],8))</f>
        <v>0</v>
      </c>
    </row>
    <row r="399" spans="1:18">
      <c r="A399" s="15" t="str">
        <f t="shared" si="11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8" t="s">
        <v>75</v>
      </c>
      <c r="P399" s="48">
        <f>HEX2DEC(RIGHT(Table1323212753[[#This Row],[h1]],8))</f>
        <v>0</v>
      </c>
      <c r="Q399" s="48" t="s">
        <v>75</v>
      </c>
      <c r="R399" s="48">
        <f>HEX2DEC(RIGHT(Table1323212753[[#This Row],[h2]],8))</f>
        <v>0</v>
      </c>
    </row>
    <row r="400" spans="1:18">
      <c r="A400" s="15" t="str">
        <f t="shared" si="11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8" t="s">
        <v>75</v>
      </c>
      <c r="P400" s="48">
        <f>HEX2DEC(RIGHT(Table1323212753[[#This Row],[h1]],8))</f>
        <v>0</v>
      </c>
      <c r="Q400" s="48" t="s">
        <v>75</v>
      </c>
      <c r="R400" s="48">
        <f>HEX2DEC(RIGHT(Table1323212753[[#This Row],[h2]],8))</f>
        <v>0</v>
      </c>
    </row>
    <row r="401" spans="1:18">
      <c r="A401" s="15" t="str">
        <f t="shared" si="11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8" t="s">
        <v>75</v>
      </c>
      <c r="P401" s="48">
        <f>HEX2DEC(RIGHT(Table1323212753[[#This Row],[h1]],8))</f>
        <v>0</v>
      </c>
      <c r="Q401" s="48" t="s">
        <v>75</v>
      </c>
      <c r="R401" s="48">
        <f>HEX2DEC(RIGHT(Table1323212753[[#This Row],[h2]],8))</f>
        <v>0</v>
      </c>
    </row>
    <row r="402" spans="1:18">
      <c r="A402" s="15" t="str">
        <f t="shared" si="11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8" t="s">
        <v>75</v>
      </c>
      <c r="P402" s="48">
        <f>HEX2DEC(RIGHT(Table1323212753[[#This Row],[h1]],8))</f>
        <v>0</v>
      </c>
      <c r="Q402" s="48" t="s">
        <v>75</v>
      </c>
      <c r="R402" s="48">
        <f>HEX2DEC(RIGHT(Table1323212753[[#This Row],[h2]],8))</f>
        <v>0</v>
      </c>
    </row>
    <row r="403" spans="1:18">
      <c r="A403" s="15" t="str">
        <f t="shared" si="11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8" t="s">
        <v>75</v>
      </c>
      <c r="P403" s="48">
        <f>HEX2DEC(RIGHT(Table1323212753[[#This Row],[h1]],8))</f>
        <v>0</v>
      </c>
      <c r="Q403" s="48" t="s">
        <v>75</v>
      </c>
      <c r="R403" s="48">
        <f>HEX2DEC(RIGHT(Table1323212753[[#This Row],[h2]],8))</f>
        <v>0</v>
      </c>
    </row>
    <row r="404" spans="1:18">
      <c r="A404" s="15" t="str">
        <f t="shared" si="11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8" t="s">
        <v>75</v>
      </c>
      <c r="P404" s="48">
        <f>HEX2DEC(RIGHT(Table1323212753[[#This Row],[h1]],8))</f>
        <v>0</v>
      </c>
      <c r="Q404" s="48" t="s">
        <v>75</v>
      </c>
      <c r="R404" s="48">
        <f>HEX2DEC(RIGHT(Table1323212753[[#This Row],[h2]],8))</f>
        <v>0</v>
      </c>
    </row>
    <row r="405" spans="1:18">
      <c r="A405" s="15" t="str">
        <f t="shared" si="11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8" t="s">
        <v>75</v>
      </c>
      <c r="P405" s="48">
        <f>HEX2DEC(RIGHT(Table1323212753[[#This Row],[h1]],8))</f>
        <v>0</v>
      </c>
      <c r="Q405" s="48" t="s">
        <v>75</v>
      </c>
      <c r="R405" s="48">
        <f>HEX2DEC(RIGHT(Table1323212753[[#This Row],[h2]],8))</f>
        <v>0</v>
      </c>
    </row>
    <row r="406" spans="1:18">
      <c r="A406" s="15" t="str">
        <f t="shared" si="11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8" t="s">
        <v>75</v>
      </c>
      <c r="P406" s="48">
        <f>HEX2DEC(RIGHT(Table1323212753[[#This Row],[h1]],8))</f>
        <v>0</v>
      </c>
      <c r="Q406" s="48" t="s">
        <v>75</v>
      </c>
      <c r="R406" s="48">
        <f>HEX2DEC(RIGHT(Table1323212753[[#This Row],[h2]],8))</f>
        <v>0</v>
      </c>
    </row>
    <row r="407" spans="1:18">
      <c r="A407" s="15" t="str">
        <f t="shared" si="11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8" t="s">
        <v>75</v>
      </c>
      <c r="P407" s="48">
        <f>HEX2DEC(RIGHT(Table1323212753[[#This Row],[h1]],8))</f>
        <v>0</v>
      </c>
      <c r="Q407" s="48" t="s">
        <v>75</v>
      </c>
      <c r="R407" s="48">
        <f>HEX2DEC(RIGHT(Table1323212753[[#This Row],[h2]],8))</f>
        <v>0</v>
      </c>
    </row>
    <row r="408" spans="1:18">
      <c r="A408" s="15" t="str">
        <f t="shared" si="11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8" t="s">
        <v>75</v>
      </c>
      <c r="P408" s="48">
        <f>HEX2DEC(RIGHT(Table1323212753[[#This Row],[h1]],8))</f>
        <v>0</v>
      </c>
      <c r="Q408" s="48" t="s">
        <v>75</v>
      </c>
      <c r="R408" s="48">
        <f>HEX2DEC(RIGHT(Table1323212753[[#This Row],[h2]],8))</f>
        <v>0</v>
      </c>
    </row>
    <row r="409" spans="1:18">
      <c r="A409" s="15" t="str">
        <f t="shared" si="11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8" t="s">
        <v>75</v>
      </c>
      <c r="P409" s="48">
        <f>HEX2DEC(RIGHT(Table1323212753[[#This Row],[h1]],8))</f>
        <v>0</v>
      </c>
      <c r="Q409" s="48" t="s">
        <v>75</v>
      </c>
      <c r="R409" s="48">
        <f>HEX2DEC(RIGHT(Table1323212753[[#This Row],[h2]],8))</f>
        <v>0</v>
      </c>
    </row>
    <row r="410" spans="1:18">
      <c r="A410" s="15" t="str">
        <f t="shared" si="11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8" t="s">
        <v>75</v>
      </c>
      <c r="P410" s="48">
        <f>HEX2DEC(RIGHT(Table1323212753[[#This Row],[h1]],8))</f>
        <v>0</v>
      </c>
      <c r="Q410" s="48" t="s">
        <v>75</v>
      </c>
      <c r="R410" s="48">
        <f>HEX2DEC(RIGHT(Table1323212753[[#This Row],[h2]],8))</f>
        <v>0</v>
      </c>
    </row>
    <row r="411" spans="1:18">
      <c r="A411" s="15" t="str">
        <f t="shared" si="11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8" t="s">
        <v>75</v>
      </c>
      <c r="P411" s="48">
        <f>HEX2DEC(RIGHT(Table1323212753[[#This Row],[h1]],8))</f>
        <v>0</v>
      </c>
      <c r="Q411" s="48" t="s">
        <v>75</v>
      </c>
      <c r="R411" s="48">
        <f>HEX2DEC(RIGHT(Table1323212753[[#This Row],[h2]],8))</f>
        <v>0</v>
      </c>
    </row>
    <row r="412" spans="1:18">
      <c r="A412" s="15" t="str">
        <f t="shared" si="11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8" t="s">
        <v>75</v>
      </c>
      <c r="P412" s="48">
        <f>HEX2DEC(RIGHT(Table1323212753[[#This Row],[h1]],8))</f>
        <v>0</v>
      </c>
      <c r="Q412" s="48" t="s">
        <v>75</v>
      </c>
      <c r="R412" s="48">
        <f>HEX2DEC(RIGHT(Table1323212753[[#This Row],[h2]],8))</f>
        <v>0</v>
      </c>
    </row>
    <row r="413" spans="1:18">
      <c r="A413" s="15" t="str">
        <f t="shared" si="11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8" t="s">
        <v>75</v>
      </c>
      <c r="P413" s="48">
        <f>HEX2DEC(RIGHT(Table1323212753[[#This Row],[h1]],8))</f>
        <v>0</v>
      </c>
      <c r="Q413" s="48" t="s">
        <v>75</v>
      </c>
      <c r="R413" s="48">
        <f>HEX2DEC(RIGHT(Table1323212753[[#This Row],[h2]],8))</f>
        <v>0</v>
      </c>
    </row>
    <row r="414" spans="1:18">
      <c r="A414" s="15" t="str">
        <f t="shared" si="11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8" t="s">
        <v>75</v>
      </c>
      <c r="P414" s="48">
        <f>HEX2DEC(RIGHT(Table1323212753[[#This Row],[h1]],8))</f>
        <v>0</v>
      </c>
      <c r="Q414" s="48" t="s">
        <v>75</v>
      </c>
      <c r="R414" s="48">
        <f>HEX2DEC(RIGHT(Table1323212753[[#This Row],[h2]],8))</f>
        <v>0</v>
      </c>
    </row>
    <row r="415" spans="1:18">
      <c r="A415" s="15" t="str">
        <f t="shared" si="11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8" t="s">
        <v>75</v>
      </c>
      <c r="P415" s="48">
        <f>HEX2DEC(RIGHT(Table1323212753[[#This Row],[h1]],8))</f>
        <v>0</v>
      </c>
      <c r="Q415" s="48" t="s">
        <v>75</v>
      </c>
      <c r="R415" s="48">
        <f>HEX2DEC(RIGHT(Table1323212753[[#This Row],[h2]],8))</f>
        <v>0</v>
      </c>
    </row>
    <row r="416" spans="1:18">
      <c r="A416" s="15" t="str">
        <f t="shared" si="11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8" t="s">
        <v>75</v>
      </c>
      <c r="P416" s="48">
        <f>HEX2DEC(RIGHT(Table1323212753[[#This Row],[h1]],8))</f>
        <v>0</v>
      </c>
      <c r="Q416" s="48" t="s">
        <v>75</v>
      </c>
      <c r="R416" s="48">
        <f>HEX2DEC(RIGHT(Table1323212753[[#This Row],[h2]],8))</f>
        <v>0</v>
      </c>
    </row>
    <row r="417" spans="1:18">
      <c r="A417" s="15" t="str">
        <f t="shared" si="11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8" t="s">
        <v>75</v>
      </c>
      <c r="P417" s="48">
        <f>HEX2DEC(RIGHT(Table1323212753[[#This Row],[h1]],8))</f>
        <v>0</v>
      </c>
      <c r="Q417" s="48" t="s">
        <v>75</v>
      </c>
      <c r="R417" s="48">
        <f>HEX2DEC(RIGHT(Table1323212753[[#This Row],[h2]],8))</f>
        <v>0</v>
      </c>
    </row>
    <row r="418" spans="1:18">
      <c r="A418" s="15" t="str">
        <f t="shared" si="11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8" t="s">
        <v>75</v>
      </c>
      <c r="P418" s="48">
        <f>HEX2DEC(RIGHT(Table1323212753[[#This Row],[h1]],8))</f>
        <v>0</v>
      </c>
      <c r="Q418" s="48" t="s">
        <v>75</v>
      </c>
      <c r="R418" s="48">
        <f>HEX2DEC(RIGHT(Table1323212753[[#This Row],[h2]],8))</f>
        <v>0</v>
      </c>
    </row>
    <row r="419" spans="1:18">
      <c r="A419" s="15" t="str">
        <f t="shared" si="11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8" t="s">
        <v>75</v>
      </c>
      <c r="P419" s="48">
        <f>HEX2DEC(RIGHT(Table1323212753[[#This Row],[h1]],8))</f>
        <v>0</v>
      </c>
      <c r="Q419" s="48" t="s">
        <v>75</v>
      </c>
      <c r="R419" s="48">
        <f>HEX2DEC(RIGHT(Table1323212753[[#This Row],[h2]],8))</f>
        <v>0</v>
      </c>
    </row>
    <row r="420" spans="1:18">
      <c r="A420" s="15" t="str">
        <f t="shared" si="11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8" t="s">
        <v>75</v>
      </c>
      <c r="P420" s="48">
        <f>HEX2DEC(RIGHT(Table1323212753[[#This Row],[h1]],8))</f>
        <v>0</v>
      </c>
      <c r="Q420" s="48" t="s">
        <v>75</v>
      </c>
      <c r="R420" s="48">
        <f>HEX2DEC(RIGHT(Table1323212753[[#This Row],[h2]],8))</f>
        <v>0</v>
      </c>
    </row>
    <row r="421" spans="1:18">
      <c r="A421" s="15" t="str">
        <f t="shared" si="11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8" t="s">
        <v>75</v>
      </c>
      <c r="P421" s="48">
        <f>HEX2DEC(RIGHT(Table1323212753[[#This Row],[h1]],8))</f>
        <v>0</v>
      </c>
      <c r="Q421" s="48" t="s">
        <v>75</v>
      </c>
      <c r="R421" s="48">
        <f>HEX2DEC(RIGHT(Table1323212753[[#This Row],[h2]],8))</f>
        <v>0</v>
      </c>
    </row>
    <row r="422" spans="1:18">
      <c r="A422" s="15" t="str">
        <f t="shared" si="11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8" t="s">
        <v>75</v>
      </c>
      <c r="P422" s="48">
        <f>HEX2DEC(RIGHT(Table1323212753[[#This Row],[h1]],8))</f>
        <v>0</v>
      </c>
      <c r="Q422" s="48" t="s">
        <v>75</v>
      </c>
      <c r="R422" s="48">
        <f>HEX2DEC(RIGHT(Table1323212753[[#This Row],[h2]],8))</f>
        <v>0</v>
      </c>
    </row>
    <row r="423" spans="1:18">
      <c r="A423" s="15" t="str">
        <f t="shared" si="11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8" t="s">
        <v>75</v>
      </c>
      <c r="P423" s="48">
        <f>HEX2DEC(RIGHT(Table1323212753[[#This Row],[h1]],8))</f>
        <v>0</v>
      </c>
      <c r="Q423" s="48" t="s">
        <v>75</v>
      </c>
      <c r="R423" s="48">
        <f>HEX2DEC(RIGHT(Table1323212753[[#This Row],[h2]],8))</f>
        <v>0</v>
      </c>
    </row>
    <row r="424" spans="1:18">
      <c r="A424" s="15" t="str">
        <f t="shared" si="11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8" t="s">
        <v>75</v>
      </c>
      <c r="P424" s="48">
        <f>HEX2DEC(RIGHT(Table1323212753[[#This Row],[h1]],8))</f>
        <v>0</v>
      </c>
      <c r="Q424" s="48" t="s">
        <v>75</v>
      </c>
      <c r="R424" s="48">
        <f>HEX2DEC(RIGHT(Table1323212753[[#This Row],[h2]],8))</f>
        <v>0</v>
      </c>
    </row>
    <row r="425" spans="1:18">
      <c r="A425" s="15" t="str">
        <f t="shared" si="11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8" t="s">
        <v>75</v>
      </c>
      <c r="P425" s="48">
        <f>HEX2DEC(RIGHT(Table1323212753[[#This Row],[h1]],8))</f>
        <v>0</v>
      </c>
      <c r="Q425" s="48" t="s">
        <v>75</v>
      </c>
      <c r="R425" s="48">
        <f>HEX2DEC(RIGHT(Table1323212753[[#This Row],[h2]],8))</f>
        <v>0</v>
      </c>
    </row>
    <row r="426" spans="1:18">
      <c r="A426" s="15" t="str">
        <f t="shared" si="11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8" t="s">
        <v>75</v>
      </c>
      <c r="P426" s="48">
        <f>HEX2DEC(RIGHT(Table1323212753[[#This Row],[h1]],8))</f>
        <v>0</v>
      </c>
      <c r="Q426" s="48" t="s">
        <v>75</v>
      </c>
      <c r="R426" s="48">
        <f>HEX2DEC(RIGHT(Table1323212753[[#This Row],[h2]],8))</f>
        <v>0</v>
      </c>
    </row>
    <row r="427" spans="1:18">
      <c r="A427" s="15" t="str">
        <f t="shared" si="11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8" t="s">
        <v>75</v>
      </c>
      <c r="P427" s="48">
        <f>HEX2DEC(RIGHT(Table1323212753[[#This Row],[h1]],8))</f>
        <v>0</v>
      </c>
      <c r="Q427" s="48" t="s">
        <v>75</v>
      </c>
      <c r="R427" s="48">
        <f>HEX2DEC(RIGHT(Table1323212753[[#This Row],[h2]],8))</f>
        <v>0</v>
      </c>
    </row>
    <row r="428" spans="1:18">
      <c r="A428" s="15" t="str">
        <f t="shared" si="11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8" t="s">
        <v>75</v>
      </c>
      <c r="P428" s="48">
        <f>HEX2DEC(RIGHT(Table1323212753[[#This Row],[h1]],8))</f>
        <v>0</v>
      </c>
      <c r="Q428" s="48" t="s">
        <v>75</v>
      </c>
      <c r="R428" s="48">
        <f>HEX2DEC(RIGHT(Table1323212753[[#This Row],[h2]],8))</f>
        <v>0</v>
      </c>
    </row>
    <row r="429" spans="1:18">
      <c r="A429" s="15" t="str">
        <f t="shared" si="11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8" t="s">
        <v>75</v>
      </c>
      <c r="P429" s="48">
        <f>HEX2DEC(RIGHT(Table1323212753[[#This Row],[h1]],8))</f>
        <v>0</v>
      </c>
      <c r="Q429" s="48" t="s">
        <v>75</v>
      </c>
      <c r="R429" s="48">
        <f>HEX2DEC(RIGHT(Table1323212753[[#This Row],[h2]],8))</f>
        <v>0</v>
      </c>
    </row>
    <row r="430" spans="1:18">
      <c r="A430" s="15" t="str">
        <f t="shared" si="11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8" t="s">
        <v>75</v>
      </c>
      <c r="P430" s="48">
        <f>HEX2DEC(RIGHT(Table1323212753[[#This Row],[h1]],8))</f>
        <v>0</v>
      </c>
      <c r="Q430" s="48" t="s">
        <v>75</v>
      </c>
      <c r="R430" s="48">
        <f>HEX2DEC(RIGHT(Table1323212753[[#This Row],[h2]],8))</f>
        <v>0</v>
      </c>
    </row>
    <row r="431" spans="1:18">
      <c r="A431" s="15" t="str">
        <f t="shared" si="11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8" t="s">
        <v>75</v>
      </c>
      <c r="P431" s="48">
        <f>HEX2DEC(RIGHT(Table1323212753[[#This Row],[h1]],8))</f>
        <v>0</v>
      </c>
      <c r="Q431" s="48" t="s">
        <v>75</v>
      </c>
      <c r="R431" s="48">
        <f>HEX2DEC(RIGHT(Table1323212753[[#This Row],[h2]],8))</f>
        <v>0</v>
      </c>
    </row>
    <row r="432" spans="1:18">
      <c r="A432" s="15" t="str">
        <f t="shared" si="11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8" t="s">
        <v>75</v>
      </c>
      <c r="P432" s="48">
        <f>HEX2DEC(RIGHT(Table1323212753[[#This Row],[h1]],8))</f>
        <v>0</v>
      </c>
      <c r="Q432" s="48" t="s">
        <v>75</v>
      </c>
      <c r="R432" s="48">
        <f>HEX2DEC(RIGHT(Table1323212753[[#This Row],[h2]],8))</f>
        <v>0</v>
      </c>
    </row>
    <row r="433" spans="1:18">
      <c r="A433" s="15" t="str">
        <f t="shared" si="11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8" t="s">
        <v>75</v>
      </c>
      <c r="P433" s="48">
        <f>HEX2DEC(RIGHT(Table1323212753[[#This Row],[h1]],8))</f>
        <v>0</v>
      </c>
      <c r="Q433" s="48" t="s">
        <v>75</v>
      </c>
      <c r="R433" s="48">
        <f>HEX2DEC(RIGHT(Table1323212753[[#This Row],[h2]],8))</f>
        <v>0</v>
      </c>
    </row>
    <row r="434" spans="1:18">
      <c r="A434" s="15" t="str">
        <f t="shared" si="11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8" t="s">
        <v>75</v>
      </c>
      <c r="P434" s="48">
        <f>HEX2DEC(RIGHT(Table1323212753[[#This Row],[h1]],8))</f>
        <v>0</v>
      </c>
      <c r="Q434" s="48" t="s">
        <v>75</v>
      </c>
      <c r="R434" s="48">
        <f>HEX2DEC(RIGHT(Table1323212753[[#This Row],[h2]],8))</f>
        <v>0</v>
      </c>
    </row>
    <row r="435" spans="1:18">
      <c r="A435" s="15" t="str">
        <f t="shared" si="11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8" t="s">
        <v>75</v>
      </c>
      <c r="P435" s="48">
        <f>HEX2DEC(RIGHT(Table1323212753[[#This Row],[h1]],8))</f>
        <v>0</v>
      </c>
      <c r="Q435" s="48" t="s">
        <v>75</v>
      </c>
      <c r="R435" s="48">
        <f>HEX2DEC(RIGHT(Table1323212753[[#This Row],[h2]],8))</f>
        <v>0</v>
      </c>
    </row>
    <row r="436" spans="1:18">
      <c r="A436" s="15" t="str">
        <f t="shared" si="11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8" t="s">
        <v>75</v>
      </c>
      <c r="P436" s="48">
        <f>HEX2DEC(RIGHT(Table1323212753[[#This Row],[h1]],8))</f>
        <v>0</v>
      </c>
      <c r="Q436" s="48" t="s">
        <v>75</v>
      </c>
      <c r="R436" s="48">
        <f>HEX2DEC(RIGHT(Table1323212753[[#This Row],[h2]],8))</f>
        <v>0</v>
      </c>
    </row>
    <row r="437" spans="1:18">
      <c r="A437" s="15" t="str">
        <f t="shared" si="11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8" t="s">
        <v>75</v>
      </c>
      <c r="P437" s="48">
        <f>HEX2DEC(RIGHT(Table1323212753[[#This Row],[h1]],8))</f>
        <v>0</v>
      </c>
      <c r="Q437" s="48" t="s">
        <v>75</v>
      </c>
      <c r="R437" s="48">
        <f>HEX2DEC(RIGHT(Table1323212753[[#This Row],[h2]],8))</f>
        <v>0</v>
      </c>
    </row>
    <row r="438" spans="1:18">
      <c r="A438" s="15" t="str">
        <f t="shared" si="11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8" t="s">
        <v>75</v>
      </c>
      <c r="P438" s="48">
        <f>HEX2DEC(RIGHT(Table1323212753[[#This Row],[h1]],8))</f>
        <v>0</v>
      </c>
      <c r="Q438" s="48" t="s">
        <v>75</v>
      </c>
      <c r="R438" s="48">
        <f>HEX2DEC(RIGHT(Table1323212753[[#This Row],[h2]],8))</f>
        <v>0</v>
      </c>
    </row>
    <row r="439" spans="1:18">
      <c r="A439" s="15" t="str">
        <f t="shared" si="11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8" t="s">
        <v>75</v>
      </c>
      <c r="P439" s="48">
        <f>HEX2DEC(RIGHT(Table1323212753[[#This Row],[h1]],8))</f>
        <v>0</v>
      </c>
      <c r="Q439" s="48" t="s">
        <v>75</v>
      </c>
      <c r="R439" s="48">
        <f>HEX2DEC(RIGHT(Table1323212753[[#This Row],[h2]],8))</f>
        <v>0</v>
      </c>
    </row>
    <row r="440" spans="1:18">
      <c r="A440" s="15" t="str">
        <f t="shared" si="11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8" t="s">
        <v>75</v>
      </c>
      <c r="P440" s="48">
        <f>HEX2DEC(RIGHT(Table1323212753[[#This Row],[h1]],8))</f>
        <v>0</v>
      </c>
      <c r="Q440" s="48" t="s">
        <v>75</v>
      </c>
      <c r="R440" s="48">
        <f>HEX2DEC(RIGHT(Table1323212753[[#This Row],[h2]],8))</f>
        <v>0</v>
      </c>
    </row>
    <row r="441" spans="1:18">
      <c r="A441" s="15" t="str">
        <f t="shared" si="11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8" t="s">
        <v>75</v>
      </c>
      <c r="P441" s="48">
        <f>HEX2DEC(RIGHT(Table1323212753[[#This Row],[h1]],8))</f>
        <v>0</v>
      </c>
      <c r="Q441" s="48" t="s">
        <v>75</v>
      </c>
      <c r="R441" s="48">
        <f>HEX2DEC(RIGHT(Table1323212753[[#This Row],[h2]],8))</f>
        <v>0</v>
      </c>
    </row>
    <row r="442" spans="1:18">
      <c r="A442" s="15" t="str">
        <f t="shared" si="11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8" t="s">
        <v>75</v>
      </c>
      <c r="P442" s="48">
        <f>HEX2DEC(RIGHT(Table1323212753[[#This Row],[h1]],8))</f>
        <v>0</v>
      </c>
      <c r="Q442" s="48" t="s">
        <v>75</v>
      </c>
      <c r="R442" s="48">
        <f>HEX2DEC(RIGHT(Table1323212753[[#This Row],[h2]],8))</f>
        <v>0</v>
      </c>
    </row>
    <row r="443" spans="1:18">
      <c r="A443" s="15" t="str">
        <f t="shared" si="11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8" t="s">
        <v>75</v>
      </c>
      <c r="P443" s="48">
        <f>HEX2DEC(RIGHT(Table1323212753[[#This Row],[h1]],8))</f>
        <v>0</v>
      </c>
      <c r="Q443" s="48" t="s">
        <v>75</v>
      </c>
      <c r="R443" s="48">
        <f>HEX2DEC(RIGHT(Table1323212753[[#This Row],[h2]],8))</f>
        <v>0</v>
      </c>
    </row>
    <row r="444" spans="1:18">
      <c r="A444" s="15" t="str">
        <f t="shared" si="11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8" t="s">
        <v>75</v>
      </c>
      <c r="P444" s="48">
        <f>HEX2DEC(RIGHT(Table1323212753[[#This Row],[h1]],8))</f>
        <v>0</v>
      </c>
      <c r="Q444" s="48" t="s">
        <v>75</v>
      </c>
      <c r="R444" s="48">
        <f>HEX2DEC(RIGHT(Table1323212753[[#This Row],[h2]],8))</f>
        <v>0</v>
      </c>
    </row>
    <row r="445" spans="1:18">
      <c r="A445" s="15" t="str">
        <f t="shared" si="11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8" t="s">
        <v>75</v>
      </c>
      <c r="P445" s="48">
        <f>HEX2DEC(RIGHT(Table1323212753[[#This Row],[h1]],8))</f>
        <v>0</v>
      </c>
      <c r="Q445" s="48" t="s">
        <v>75</v>
      </c>
      <c r="R445" s="48">
        <f>HEX2DEC(RIGHT(Table1323212753[[#This Row],[h2]],8))</f>
        <v>0</v>
      </c>
    </row>
    <row r="446" spans="1:18">
      <c r="A446" s="15" t="str">
        <f t="shared" si="11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8" t="s">
        <v>75</v>
      </c>
      <c r="P446" s="48">
        <f>HEX2DEC(RIGHT(Table1323212753[[#This Row],[h1]],8))</f>
        <v>0</v>
      </c>
      <c r="Q446" s="48" t="s">
        <v>75</v>
      </c>
      <c r="R446" s="48">
        <f>HEX2DEC(RIGHT(Table1323212753[[#This Row],[h2]],8))</f>
        <v>0</v>
      </c>
    </row>
    <row r="447" spans="1:18">
      <c r="A447" s="15" t="str">
        <f t="shared" si="11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8" t="s">
        <v>75</v>
      </c>
      <c r="P447" s="48">
        <f>HEX2DEC(RIGHT(Table1323212753[[#This Row],[h1]],8))</f>
        <v>0</v>
      </c>
      <c r="Q447" s="48" t="s">
        <v>75</v>
      </c>
      <c r="R447" s="48">
        <f>HEX2DEC(RIGHT(Table1323212753[[#This Row],[h2]],8))</f>
        <v>0</v>
      </c>
    </row>
    <row r="448" spans="1:18">
      <c r="A448" s="15" t="str">
        <f t="shared" si="11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8" t="s">
        <v>75</v>
      </c>
      <c r="P448" s="48">
        <f>HEX2DEC(RIGHT(Table1323212753[[#This Row],[h1]],8))</f>
        <v>0</v>
      </c>
      <c r="Q448" s="48" t="s">
        <v>75</v>
      </c>
      <c r="R448" s="48">
        <f>HEX2DEC(RIGHT(Table1323212753[[#This Row],[h2]],8))</f>
        <v>0</v>
      </c>
    </row>
    <row r="449" spans="1:18">
      <c r="A449" s="15" t="str">
        <f t="shared" si="11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8" t="s">
        <v>75</v>
      </c>
      <c r="P449" s="48">
        <f>HEX2DEC(RIGHT(Table1323212753[[#This Row],[h1]],8))</f>
        <v>0</v>
      </c>
      <c r="Q449" s="48" t="s">
        <v>75</v>
      </c>
      <c r="R449" s="48">
        <f>HEX2DEC(RIGHT(Table1323212753[[#This Row],[h2]],8))</f>
        <v>0</v>
      </c>
    </row>
    <row r="450" spans="1:18">
      <c r="A450" s="15" t="str">
        <f t="shared" si="11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8" t="s">
        <v>75</v>
      </c>
      <c r="P450" s="48">
        <f>HEX2DEC(RIGHT(Table1323212753[[#This Row],[h1]],8))</f>
        <v>0</v>
      </c>
      <c r="Q450" s="48" t="s">
        <v>75</v>
      </c>
      <c r="R450" s="48">
        <f>HEX2DEC(RIGHT(Table1323212753[[#This Row],[h2]],8))</f>
        <v>0</v>
      </c>
    </row>
    <row r="451" spans="1:18">
      <c r="A451" s="15" t="str">
        <f t="shared" si="11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8" t="s">
        <v>75</v>
      </c>
      <c r="P451" s="48">
        <f>HEX2DEC(RIGHT(Table1323212753[[#This Row],[h1]],8))</f>
        <v>0</v>
      </c>
      <c r="Q451" s="48" t="s">
        <v>75</v>
      </c>
      <c r="R451" s="48">
        <f>HEX2DEC(RIGHT(Table1323212753[[#This Row],[h2]],8))</f>
        <v>0</v>
      </c>
    </row>
    <row r="452" spans="1:18">
      <c r="A452" s="15" t="str">
        <f t="shared" si="11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8" t="s">
        <v>75</v>
      </c>
      <c r="P452" s="48">
        <f>HEX2DEC(RIGHT(Table1323212753[[#This Row],[h1]],8))</f>
        <v>0</v>
      </c>
      <c r="Q452" s="48" t="s">
        <v>75</v>
      </c>
      <c r="R452" s="48">
        <f>HEX2DEC(RIGHT(Table1323212753[[#This Row],[h2]],8))</f>
        <v>0</v>
      </c>
    </row>
    <row r="453" spans="1:18">
      <c r="A453" s="15" t="str">
        <f t="shared" si="11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8" t="s">
        <v>75</v>
      </c>
      <c r="P453" s="48">
        <f>HEX2DEC(RIGHT(Table1323212753[[#This Row],[h1]],8))</f>
        <v>0</v>
      </c>
      <c r="Q453" s="48" t="s">
        <v>75</v>
      </c>
      <c r="R453" s="48">
        <f>HEX2DEC(RIGHT(Table1323212753[[#This Row],[h2]],8))</f>
        <v>0</v>
      </c>
    </row>
    <row r="454" spans="1:18">
      <c r="A454" s="15" t="str">
        <f t="shared" si="11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8" t="s">
        <v>75</v>
      </c>
      <c r="P454" s="48">
        <f>HEX2DEC(RIGHT(Table1323212753[[#This Row],[h1]],8))</f>
        <v>0</v>
      </c>
      <c r="Q454" s="48" t="s">
        <v>75</v>
      </c>
      <c r="R454" s="48">
        <f>HEX2DEC(RIGHT(Table1323212753[[#This Row],[h2]],8))</f>
        <v>0</v>
      </c>
    </row>
    <row r="455" spans="1:18">
      <c r="A455" s="15" t="str">
        <f t="shared" si="11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8" t="s">
        <v>75</v>
      </c>
      <c r="P455" s="48">
        <f>HEX2DEC(RIGHT(Table1323212753[[#This Row],[h1]],8))</f>
        <v>0</v>
      </c>
      <c r="Q455" s="48" t="s">
        <v>75</v>
      </c>
      <c r="R455" s="48">
        <f>HEX2DEC(RIGHT(Table1323212753[[#This Row],[h2]],8))</f>
        <v>0</v>
      </c>
    </row>
    <row r="456" spans="1:18">
      <c r="A456" s="15" t="str">
        <f t="shared" si="11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8" t="s">
        <v>75</v>
      </c>
      <c r="P456" s="48">
        <f>HEX2DEC(RIGHT(Table1323212753[[#This Row],[h1]],8))</f>
        <v>0</v>
      </c>
      <c r="Q456" s="48" t="s">
        <v>75</v>
      </c>
      <c r="R456" s="48">
        <f>HEX2DEC(RIGHT(Table1323212753[[#This Row],[h2]],8))</f>
        <v>0</v>
      </c>
    </row>
    <row r="457" spans="1:18">
      <c r="A457" s="15" t="str">
        <f t="shared" si="11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8" t="s">
        <v>75</v>
      </c>
      <c r="P457" s="48">
        <f>HEX2DEC(RIGHT(Table1323212753[[#This Row],[h1]],8))</f>
        <v>0</v>
      </c>
      <c r="Q457" s="48" t="s">
        <v>75</v>
      </c>
      <c r="R457" s="48">
        <f>HEX2DEC(RIGHT(Table1323212753[[#This Row],[h2]],8))</f>
        <v>0</v>
      </c>
    </row>
    <row r="458" spans="1:18">
      <c r="A458" s="15" t="str">
        <f t="shared" si="11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8" t="s">
        <v>75</v>
      </c>
      <c r="P458" s="48">
        <f>HEX2DEC(RIGHT(Table1323212753[[#This Row],[h1]],8))</f>
        <v>0</v>
      </c>
      <c r="Q458" s="48" t="s">
        <v>75</v>
      </c>
      <c r="R458" s="48">
        <f>HEX2DEC(RIGHT(Table1323212753[[#This Row],[h2]],8))</f>
        <v>0</v>
      </c>
    </row>
    <row r="459" spans="1:18">
      <c r="A459" s="15" t="str">
        <f t="shared" ref="A459:A522" si="12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8" t="s">
        <v>75</v>
      </c>
      <c r="P459" s="48">
        <f>HEX2DEC(RIGHT(Table1323212753[[#This Row],[h1]],8))</f>
        <v>0</v>
      </c>
      <c r="Q459" s="48" t="s">
        <v>75</v>
      </c>
      <c r="R459" s="48">
        <f>HEX2DEC(RIGHT(Table1323212753[[#This Row],[h2]],8))</f>
        <v>0</v>
      </c>
    </row>
    <row r="460" spans="1:18">
      <c r="A460" s="15" t="str">
        <f t="shared" si="12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8" t="s">
        <v>75</v>
      </c>
      <c r="P460" s="48">
        <f>HEX2DEC(RIGHT(Table1323212753[[#This Row],[h1]],8))</f>
        <v>0</v>
      </c>
      <c r="Q460" s="48" t="s">
        <v>75</v>
      </c>
      <c r="R460" s="48">
        <f>HEX2DEC(RIGHT(Table1323212753[[#This Row],[h2]],8))</f>
        <v>0</v>
      </c>
    </row>
    <row r="461" spans="1:18">
      <c r="A461" s="15" t="str">
        <f t="shared" si="12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8" t="s">
        <v>75</v>
      </c>
      <c r="P461" s="48">
        <f>HEX2DEC(RIGHT(Table1323212753[[#This Row],[h1]],8))</f>
        <v>0</v>
      </c>
      <c r="Q461" s="48" t="s">
        <v>75</v>
      </c>
      <c r="R461" s="48">
        <f>HEX2DEC(RIGHT(Table1323212753[[#This Row],[h2]],8))</f>
        <v>0</v>
      </c>
    </row>
    <row r="462" spans="1:18">
      <c r="A462" s="15" t="str">
        <f t="shared" si="12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8" t="s">
        <v>75</v>
      </c>
      <c r="P462" s="48">
        <f>HEX2DEC(RIGHT(Table1323212753[[#This Row],[h1]],8))</f>
        <v>0</v>
      </c>
      <c r="Q462" s="48" t="s">
        <v>75</v>
      </c>
      <c r="R462" s="48">
        <f>HEX2DEC(RIGHT(Table1323212753[[#This Row],[h2]],8))</f>
        <v>0</v>
      </c>
    </row>
    <row r="463" spans="1:18">
      <c r="A463" s="15" t="str">
        <f t="shared" si="12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8" t="s">
        <v>75</v>
      </c>
      <c r="P463" s="48">
        <f>HEX2DEC(RIGHT(Table1323212753[[#This Row],[h1]],8))</f>
        <v>0</v>
      </c>
      <c r="Q463" s="48" t="s">
        <v>75</v>
      </c>
      <c r="R463" s="48">
        <f>HEX2DEC(RIGHT(Table1323212753[[#This Row],[h2]],8))</f>
        <v>0</v>
      </c>
    </row>
    <row r="464" spans="1:18">
      <c r="A464" s="15" t="str">
        <f t="shared" si="12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8" t="s">
        <v>75</v>
      </c>
      <c r="P464" s="48">
        <f>HEX2DEC(RIGHT(Table1323212753[[#This Row],[h1]],8))</f>
        <v>0</v>
      </c>
      <c r="Q464" s="48" t="s">
        <v>75</v>
      </c>
      <c r="R464" s="48">
        <f>HEX2DEC(RIGHT(Table1323212753[[#This Row],[h2]],8))</f>
        <v>0</v>
      </c>
    </row>
    <row r="465" spans="1:18">
      <c r="A465" s="15" t="str">
        <f t="shared" si="12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8" t="s">
        <v>75</v>
      </c>
      <c r="P465" s="48">
        <f>HEX2DEC(RIGHT(Table1323212753[[#This Row],[h1]],8))</f>
        <v>0</v>
      </c>
      <c r="Q465" s="48" t="s">
        <v>75</v>
      </c>
      <c r="R465" s="48">
        <f>HEX2DEC(RIGHT(Table1323212753[[#This Row],[h2]],8))</f>
        <v>0</v>
      </c>
    </row>
    <row r="466" spans="1:18">
      <c r="A466" s="15" t="str">
        <f t="shared" si="12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8" t="s">
        <v>75</v>
      </c>
      <c r="P466" s="48">
        <f>HEX2DEC(RIGHT(Table1323212753[[#This Row],[h1]],8))</f>
        <v>0</v>
      </c>
      <c r="Q466" s="48" t="s">
        <v>75</v>
      </c>
      <c r="R466" s="48">
        <f>HEX2DEC(RIGHT(Table1323212753[[#This Row],[h2]],8))</f>
        <v>0</v>
      </c>
    </row>
    <row r="467" spans="1:18">
      <c r="A467" s="15" t="str">
        <f t="shared" si="12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8" t="s">
        <v>75</v>
      </c>
      <c r="P467" s="48">
        <f>HEX2DEC(RIGHT(Table1323212753[[#This Row],[h1]],8))</f>
        <v>0</v>
      </c>
      <c r="Q467" s="48" t="s">
        <v>75</v>
      </c>
      <c r="R467" s="48">
        <f>HEX2DEC(RIGHT(Table1323212753[[#This Row],[h2]],8))</f>
        <v>0</v>
      </c>
    </row>
    <row r="468" spans="1:18">
      <c r="A468" s="15" t="str">
        <f t="shared" si="12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8" t="s">
        <v>75</v>
      </c>
      <c r="P468" s="48">
        <f>HEX2DEC(RIGHT(Table1323212753[[#This Row],[h1]],8))</f>
        <v>0</v>
      </c>
      <c r="Q468" s="48" t="s">
        <v>75</v>
      </c>
      <c r="R468" s="48">
        <f>HEX2DEC(RIGHT(Table1323212753[[#This Row],[h2]],8))</f>
        <v>0</v>
      </c>
    </row>
    <row r="469" spans="1:18">
      <c r="A469" s="15" t="str">
        <f t="shared" si="12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8" t="s">
        <v>75</v>
      </c>
      <c r="P469" s="48">
        <f>HEX2DEC(RIGHT(Table1323212753[[#This Row],[h1]],8))</f>
        <v>0</v>
      </c>
      <c r="Q469" s="48" t="s">
        <v>75</v>
      </c>
      <c r="R469" s="48">
        <f>HEX2DEC(RIGHT(Table1323212753[[#This Row],[h2]],8))</f>
        <v>0</v>
      </c>
    </row>
    <row r="470" spans="1:18">
      <c r="A470" s="15" t="str">
        <f t="shared" si="12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8" t="s">
        <v>75</v>
      </c>
      <c r="P470" s="48">
        <f>HEX2DEC(RIGHT(Table1323212753[[#This Row],[h1]],8))</f>
        <v>0</v>
      </c>
      <c r="Q470" s="48" t="s">
        <v>75</v>
      </c>
      <c r="R470" s="48">
        <f>HEX2DEC(RIGHT(Table1323212753[[#This Row],[h2]],8))</f>
        <v>0</v>
      </c>
    </row>
    <row r="471" spans="1:18">
      <c r="A471" s="15" t="str">
        <f t="shared" si="12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8" t="s">
        <v>75</v>
      </c>
      <c r="P471" s="48">
        <f>HEX2DEC(RIGHT(Table1323212753[[#This Row],[h1]],8))</f>
        <v>0</v>
      </c>
      <c r="Q471" s="48" t="s">
        <v>75</v>
      </c>
      <c r="R471" s="48">
        <f>HEX2DEC(RIGHT(Table1323212753[[#This Row],[h2]],8))</f>
        <v>0</v>
      </c>
    </row>
    <row r="472" spans="1:18">
      <c r="A472" s="15" t="str">
        <f t="shared" si="12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8" t="s">
        <v>75</v>
      </c>
      <c r="P472" s="48">
        <f>HEX2DEC(RIGHT(Table1323212753[[#This Row],[h1]],8))</f>
        <v>0</v>
      </c>
      <c r="Q472" s="48" t="s">
        <v>75</v>
      </c>
      <c r="R472" s="48">
        <f>HEX2DEC(RIGHT(Table1323212753[[#This Row],[h2]],8))</f>
        <v>0</v>
      </c>
    </row>
    <row r="473" spans="1:18">
      <c r="A473" s="15" t="str">
        <f t="shared" si="12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8" t="s">
        <v>75</v>
      </c>
      <c r="P473" s="48">
        <f>HEX2DEC(RIGHT(Table1323212753[[#This Row],[h1]],8))</f>
        <v>0</v>
      </c>
      <c r="Q473" s="48" t="s">
        <v>75</v>
      </c>
      <c r="R473" s="48">
        <f>HEX2DEC(RIGHT(Table1323212753[[#This Row],[h2]],8))</f>
        <v>0</v>
      </c>
    </row>
    <row r="474" spans="1:18">
      <c r="A474" s="15" t="str">
        <f t="shared" si="12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8" t="s">
        <v>75</v>
      </c>
      <c r="P474" s="48">
        <f>HEX2DEC(RIGHT(Table1323212753[[#This Row],[h1]],8))</f>
        <v>0</v>
      </c>
      <c r="Q474" s="48" t="s">
        <v>75</v>
      </c>
      <c r="R474" s="48">
        <f>HEX2DEC(RIGHT(Table1323212753[[#This Row],[h2]],8))</f>
        <v>0</v>
      </c>
    </row>
    <row r="475" spans="1:18">
      <c r="A475" s="15" t="str">
        <f t="shared" si="12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8" t="s">
        <v>75</v>
      </c>
      <c r="P475" s="48">
        <f>HEX2DEC(RIGHT(Table1323212753[[#This Row],[h1]],8))</f>
        <v>0</v>
      </c>
      <c r="Q475" s="48" t="s">
        <v>75</v>
      </c>
      <c r="R475" s="48">
        <f>HEX2DEC(RIGHT(Table1323212753[[#This Row],[h2]],8))</f>
        <v>0</v>
      </c>
    </row>
    <row r="476" spans="1:18">
      <c r="A476" s="15" t="str">
        <f t="shared" si="12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8" t="s">
        <v>75</v>
      </c>
      <c r="P476" s="48">
        <f>HEX2DEC(RIGHT(Table1323212753[[#This Row],[h1]],8))</f>
        <v>0</v>
      </c>
      <c r="Q476" s="48" t="s">
        <v>75</v>
      </c>
      <c r="R476" s="48">
        <f>HEX2DEC(RIGHT(Table1323212753[[#This Row],[h2]],8))</f>
        <v>0</v>
      </c>
    </row>
    <row r="477" spans="1:18">
      <c r="A477" s="15" t="str">
        <f t="shared" si="12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8" t="s">
        <v>75</v>
      </c>
      <c r="P477" s="48">
        <f>HEX2DEC(RIGHT(Table1323212753[[#This Row],[h1]],8))</f>
        <v>0</v>
      </c>
      <c r="Q477" s="48" t="s">
        <v>75</v>
      </c>
      <c r="R477" s="48">
        <f>HEX2DEC(RIGHT(Table1323212753[[#This Row],[h2]],8))</f>
        <v>0</v>
      </c>
    </row>
    <row r="478" spans="1:18">
      <c r="A478" s="15" t="str">
        <f t="shared" si="12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8" t="s">
        <v>75</v>
      </c>
      <c r="P478" s="48">
        <f>HEX2DEC(RIGHT(Table1323212753[[#This Row],[h1]],8))</f>
        <v>0</v>
      </c>
      <c r="Q478" s="48" t="s">
        <v>75</v>
      </c>
      <c r="R478" s="48">
        <f>HEX2DEC(RIGHT(Table1323212753[[#This Row],[h2]],8))</f>
        <v>0</v>
      </c>
    </row>
    <row r="479" spans="1:18">
      <c r="A479" s="15" t="str">
        <f t="shared" si="12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8" t="s">
        <v>75</v>
      </c>
      <c r="P479" s="48">
        <f>HEX2DEC(RIGHT(Table1323212753[[#This Row],[h1]],8))</f>
        <v>0</v>
      </c>
      <c r="Q479" s="48" t="s">
        <v>75</v>
      </c>
      <c r="R479" s="48">
        <f>HEX2DEC(RIGHT(Table1323212753[[#This Row],[h2]],8))</f>
        <v>0</v>
      </c>
    </row>
    <row r="480" spans="1:18">
      <c r="A480" s="15" t="str">
        <f t="shared" si="12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8" t="s">
        <v>75</v>
      </c>
      <c r="P480" s="48">
        <f>HEX2DEC(RIGHT(Table1323212753[[#This Row],[h1]],8))</f>
        <v>0</v>
      </c>
      <c r="Q480" s="48" t="s">
        <v>75</v>
      </c>
      <c r="R480" s="48">
        <f>HEX2DEC(RIGHT(Table1323212753[[#This Row],[h2]],8))</f>
        <v>0</v>
      </c>
    </row>
    <row r="481" spans="1:18">
      <c r="A481" s="15" t="str">
        <f t="shared" si="12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8" t="s">
        <v>75</v>
      </c>
      <c r="P481" s="48">
        <f>HEX2DEC(RIGHT(Table1323212753[[#This Row],[h1]],8))</f>
        <v>0</v>
      </c>
      <c r="Q481" s="48" t="s">
        <v>75</v>
      </c>
      <c r="R481" s="48">
        <f>HEX2DEC(RIGHT(Table1323212753[[#This Row],[h2]],8))</f>
        <v>0</v>
      </c>
    </row>
    <row r="482" spans="1:18">
      <c r="A482" s="15" t="str">
        <f t="shared" si="12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8" t="s">
        <v>75</v>
      </c>
      <c r="P482" s="48">
        <f>HEX2DEC(RIGHT(Table1323212753[[#This Row],[h1]],8))</f>
        <v>0</v>
      </c>
      <c r="Q482" s="48" t="s">
        <v>75</v>
      </c>
      <c r="R482" s="48">
        <f>HEX2DEC(RIGHT(Table1323212753[[#This Row],[h2]],8))</f>
        <v>0</v>
      </c>
    </row>
    <row r="483" spans="1:18">
      <c r="A483" s="15" t="str">
        <f t="shared" si="12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8" t="s">
        <v>75</v>
      </c>
      <c r="P483" s="48">
        <f>HEX2DEC(RIGHT(Table1323212753[[#This Row],[h1]],8))</f>
        <v>0</v>
      </c>
      <c r="Q483" s="48" t="s">
        <v>75</v>
      </c>
      <c r="R483" s="48">
        <f>HEX2DEC(RIGHT(Table1323212753[[#This Row],[h2]],8))</f>
        <v>0</v>
      </c>
    </row>
    <row r="484" spans="1:18">
      <c r="A484" s="15" t="str">
        <f t="shared" si="12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8" t="s">
        <v>75</v>
      </c>
      <c r="P484" s="48">
        <f>HEX2DEC(RIGHT(Table1323212753[[#This Row],[h1]],8))</f>
        <v>0</v>
      </c>
      <c r="Q484" s="48" t="s">
        <v>75</v>
      </c>
      <c r="R484" s="48">
        <f>HEX2DEC(RIGHT(Table1323212753[[#This Row],[h2]],8))</f>
        <v>0</v>
      </c>
    </row>
    <row r="485" spans="1:18">
      <c r="A485" s="15" t="str">
        <f t="shared" si="12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8" t="s">
        <v>75</v>
      </c>
      <c r="P485" s="48">
        <f>HEX2DEC(RIGHT(Table1323212753[[#This Row],[h1]],8))</f>
        <v>0</v>
      </c>
      <c r="Q485" s="48" t="s">
        <v>75</v>
      </c>
      <c r="R485" s="48">
        <f>HEX2DEC(RIGHT(Table1323212753[[#This Row],[h2]],8))</f>
        <v>0</v>
      </c>
    </row>
    <row r="486" spans="1:18">
      <c r="A486" s="15" t="str">
        <f t="shared" si="12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8" t="s">
        <v>75</v>
      </c>
      <c r="P486" s="48">
        <f>HEX2DEC(RIGHT(Table1323212753[[#This Row],[h1]],8))</f>
        <v>0</v>
      </c>
      <c r="Q486" s="48" t="s">
        <v>75</v>
      </c>
      <c r="R486" s="48">
        <f>HEX2DEC(RIGHT(Table1323212753[[#This Row],[h2]],8))</f>
        <v>0</v>
      </c>
    </row>
    <row r="487" spans="1:18">
      <c r="A487" s="15" t="str">
        <f t="shared" si="12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8" t="s">
        <v>75</v>
      </c>
      <c r="P487" s="48">
        <f>HEX2DEC(RIGHT(Table1323212753[[#This Row],[h1]],8))</f>
        <v>0</v>
      </c>
      <c r="Q487" s="48" t="s">
        <v>75</v>
      </c>
      <c r="R487" s="48">
        <f>HEX2DEC(RIGHT(Table1323212753[[#This Row],[h2]],8))</f>
        <v>0</v>
      </c>
    </row>
    <row r="488" spans="1:18">
      <c r="A488" s="15" t="str">
        <f t="shared" si="12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8" t="s">
        <v>75</v>
      </c>
      <c r="P488" s="48">
        <f>HEX2DEC(RIGHT(Table1323212753[[#This Row],[h1]],8))</f>
        <v>0</v>
      </c>
      <c r="Q488" s="48" t="s">
        <v>75</v>
      </c>
      <c r="R488" s="48">
        <f>HEX2DEC(RIGHT(Table1323212753[[#This Row],[h2]],8))</f>
        <v>0</v>
      </c>
    </row>
    <row r="489" spans="1:18">
      <c r="A489" s="15" t="str">
        <f t="shared" si="12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8" t="s">
        <v>75</v>
      </c>
      <c r="P489" s="48">
        <f>HEX2DEC(RIGHT(Table1323212753[[#This Row],[h1]],8))</f>
        <v>0</v>
      </c>
      <c r="Q489" s="48" t="s">
        <v>75</v>
      </c>
      <c r="R489" s="48">
        <f>HEX2DEC(RIGHT(Table1323212753[[#This Row],[h2]],8))</f>
        <v>0</v>
      </c>
    </row>
    <row r="490" spans="1:18">
      <c r="A490" s="15" t="str">
        <f t="shared" si="12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8" t="s">
        <v>75</v>
      </c>
      <c r="P490" s="48">
        <f>HEX2DEC(RIGHT(Table1323212753[[#This Row],[h1]],8))</f>
        <v>0</v>
      </c>
      <c r="Q490" s="48" t="s">
        <v>75</v>
      </c>
      <c r="R490" s="48">
        <f>HEX2DEC(RIGHT(Table1323212753[[#This Row],[h2]],8))</f>
        <v>0</v>
      </c>
    </row>
    <row r="491" spans="1:18">
      <c r="A491" s="15" t="str">
        <f t="shared" si="12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8" t="s">
        <v>75</v>
      </c>
      <c r="P491" s="48">
        <f>HEX2DEC(RIGHT(Table1323212753[[#This Row],[h1]],8))</f>
        <v>0</v>
      </c>
      <c r="Q491" s="48" t="s">
        <v>75</v>
      </c>
      <c r="R491" s="48">
        <f>HEX2DEC(RIGHT(Table1323212753[[#This Row],[h2]],8))</f>
        <v>0</v>
      </c>
    </row>
    <row r="492" spans="1:18">
      <c r="A492" s="15" t="str">
        <f t="shared" si="12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8" t="s">
        <v>75</v>
      </c>
      <c r="P492" s="48">
        <f>HEX2DEC(RIGHT(Table1323212753[[#This Row],[h1]],8))</f>
        <v>0</v>
      </c>
      <c r="Q492" s="48" t="s">
        <v>75</v>
      </c>
      <c r="R492" s="48">
        <f>HEX2DEC(RIGHT(Table1323212753[[#This Row],[h2]],8))</f>
        <v>0</v>
      </c>
    </row>
    <row r="493" spans="1:18">
      <c r="A493" s="15" t="str">
        <f t="shared" si="12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8" t="s">
        <v>75</v>
      </c>
      <c r="P493" s="48">
        <f>HEX2DEC(RIGHT(Table1323212753[[#This Row],[h1]],8))</f>
        <v>0</v>
      </c>
      <c r="Q493" s="48" t="s">
        <v>75</v>
      </c>
      <c r="R493" s="48">
        <f>HEX2DEC(RIGHT(Table1323212753[[#This Row],[h2]],8))</f>
        <v>0</v>
      </c>
    </row>
    <row r="494" spans="1:18">
      <c r="A494" s="15" t="str">
        <f t="shared" si="12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8" t="s">
        <v>75</v>
      </c>
      <c r="P494" s="48">
        <f>HEX2DEC(RIGHT(Table1323212753[[#This Row],[h1]],8))</f>
        <v>0</v>
      </c>
      <c r="Q494" s="48" t="s">
        <v>75</v>
      </c>
      <c r="R494" s="48">
        <f>HEX2DEC(RIGHT(Table1323212753[[#This Row],[h2]],8))</f>
        <v>0</v>
      </c>
    </row>
    <row r="495" spans="1:18">
      <c r="A495" s="15" t="str">
        <f t="shared" si="12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8" t="s">
        <v>75</v>
      </c>
      <c r="P495" s="48">
        <f>HEX2DEC(RIGHT(Table1323212753[[#This Row],[h1]],8))</f>
        <v>0</v>
      </c>
      <c r="Q495" s="48" t="s">
        <v>75</v>
      </c>
      <c r="R495" s="48">
        <f>HEX2DEC(RIGHT(Table1323212753[[#This Row],[h2]],8))</f>
        <v>0</v>
      </c>
    </row>
    <row r="496" spans="1:18">
      <c r="A496" s="15" t="str">
        <f t="shared" si="12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8" t="s">
        <v>75</v>
      </c>
      <c r="P496" s="48">
        <f>HEX2DEC(RIGHT(Table1323212753[[#This Row],[h1]],8))</f>
        <v>0</v>
      </c>
      <c r="Q496" s="48" t="s">
        <v>75</v>
      </c>
      <c r="R496" s="48">
        <f>HEX2DEC(RIGHT(Table1323212753[[#This Row],[h2]],8))</f>
        <v>0</v>
      </c>
    </row>
    <row r="497" spans="1:18">
      <c r="A497" s="15" t="str">
        <f t="shared" si="12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8" t="s">
        <v>75</v>
      </c>
      <c r="P497" s="48">
        <f>HEX2DEC(RIGHT(Table1323212753[[#This Row],[h1]],8))</f>
        <v>0</v>
      </c>
      <c r="Q497" s="48" t="s">
        <v>75</v>
      </c>
      <c r="R497" s="48">
        <f>HEX2DEC(RIGHT(Table1323212753[[#This Row],[h2]],8))</f>
        <v>0</v>
      </c>
    </row>
    <row r="498" spans="1:18">
      <c r="A498" s="15" t="str">
        <f t="shared" si="12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8" t="s">
        <v>75</v>
      </c>
      <c r="P498" s="48">
        <f>HEX2DEC(RIGHT(Table1323212753[[#This Row],[h1]],8))</f>
        <v>0</v>
      </c>
      <c r="Q498" s="48" t="s">
        <v>75</v>
      </c>
      <c r="R498" s="48">
        <f>HEX2DEC(RIGHT(Table1323212753[[#This Row],[h2]],8))</f>
        <v>0</v>
      </c>
    </row>
    <row r="499" spans="1:18">
      <c r="A499" s="15" t="str">
        <f t="shared" si="12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8" t="s">
        <v>75</v>
      </c>
      <c r="P499" s="48">
        <f>HEX2DEC(RIGHT(Table1323212753[[#This Row],[h1]],8))</f>
        <v>0</v>
      </c>
      <c r="Q499" s="48" t="s">
        <v>75</v>
      </c>
      <c r="R499" s="48">
        <f>HEX2DEC(RIGHT(Table1323212753[[#This Row],[h2]],8))</f>
        <v>0</v>
      </c>
    </row>
    <row r="500" spans="1:18">
      <c r="A500" s="15" t="str">
        <f t="shared" si="12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8" t="s">
        <v>75</v>
      </c>
      <c r="P500" s="48">
        <f>HEX2DEC(RIGHT(Table1323212753[[#This Row],[h1]],8))</f>
        <v>0</v>
      </c>
      <c r="Q500" s="48" t="s">
        <v>75</v>
      </c>
      <c r="R500" s="48">
        <f>HEX2DEC(RIGHT(Table1323212753[[#This Row],[h2]],8))</f>
        <v>0</v>
      </c>
    </row>
    <row r="501" spans="1:18">
      <c r="A501" s="15" t="str">
        <f t="shared" si="12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8" t="s">
        <v>75</v>
      </c>
      <c r="P501" s="48">
        <f>HEX2DEC(RIGHT(Table1323212753[[#This Row],[h1]],8))</f>
        <v>0</v>
      </c>
      <c r="Q501" s="48" t="s">
        <v>75</v>
      </c>
      <c r="R501" s="48">
        <f>HEX2DEC(RIGHT(Table1323212753[[#This Row],[h2]],8))</f>
        <v>0</v>
      </c>
    </row>
    <row r="502" spans="1:18">
      <c r="A502" s="15" t="str">
        <f t="shared" si="12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8" t="s">
        <v>75</v>
      </c>
      <c r="P502" s="48">
        <f>HEX2DEC(RIGHT(Table1323212753[[#This Row],[h1]],8))</f>
        <v>0</v>
      </c>
      <c r="Q502" s="48" t="s">
        <v>75</v>
      </c>
      <c r="R502" s="48">
        <f>HEX2DEC(RIGHT(Table1323212753[[#This Row],[h2]],8))</f>
        <v>0</v>
      </c>
    </row>
    <row r="503" spans="1:18">
      <c r="A503" s="15" t="str">
        <f t="shared" si="12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8" t="s">
        <v>75</v>
      </c>
      <c r="P503" s="48">
        <f>HEX2DEC(RIGHT(Table1323212753[[#This Row],[h1]],8))</f>
        <v>0</v>
      </c>
      <c r="Q503" s="48" t="s">
        <v>75</v>
      </c>
      <c r="R503" s="48">
        <f>HEX2DEC(RIGHT(Table1323212753[[#This Row],[h2]],8))</f>
        <v>0</v>
      </c>
    </row>
    <row r="504" spans="1:18">
      <c r="A504" s="15" t="str">
        <f t="shared" si="12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8" t="s">
        <v>75</v>
      </c>
      <c r="P504" s="48">
        <f>HEX2DEC(RIGHT(Table1323212753[[#This Row],[h1]],8))</f>
        <v>0</v>
      </c>
      <c r="Q504" s="48" t="s">
        <v>75</v>
      </c>
      <c r="R504" s="48">
        <f>HEX2DEC(RIGHT(Table1323212753[[#This Row],[h2]],8))</f>
        <v>0</v>
      </c>
    </row>
    <row r="505" spans="1:18">
      <c r="A505" s="15" t="str">
        <f t="shared" si="12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8" t="s">
        <v>75</v>
      </c>
      <c r="P505" s="48">
        <f>HEX2DEC(RIGHT(Table1323212753[[#This Row],[h1]],8))</f>
        <v>0</v>
      </c>
      <c r="Q505" s="48" t="s">
        <v>75</v>
      </c>
      <c r="R505" s="48">
        <f>HEX2DEC(RIGHT(Table1323212753[[#This Row],[h2]],8))</f>
        <v>0</v>
      </c>
    </row>
    <row r="506" spans="1:18">
      <c r="A506" s="15" t="str">
        <f t="shared" si="12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8" t="s">
        <v>75</v>
      </c>
      <c r="P506" s="48">
        <f>HEX2DEC(RIGHT(Table1323212753[[#This Row],[h1]],8))</f>
        <v>0</v>
      </c>
      <c r="Q506" s="48" t="s">
        <v>75</v>
      </c>
      <c r="R506" s="48">
        <f>HEX2DEC(RIGHT(Table1323212753[[#This Row],[h2]],8))</f>
        <v>0</v>
      </c>
    </row>
    <row r="507" spans="1:18">
      <c r="A507" s="15" t="str">
        <f t="shared" si="12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8" t="s">
        <v>75</v>
      </c>
      <c r="P507" s="48">
        <f>HEX2DEC(RIGHT(Table1323212753[[#This Row],[h1]],8))</f>
        <v>0</v>
      </c>
      <c r="Q507" s="48" t="s">
        <v>75</v>
      </c>
      <c r="R507" s="48">
        <f>HEX2DEC(RIGHT(Table1323212753[[#This Row],[h2]],8))</f>
        <v>0</v>
      </c>
    </row>
    <row r="508" spans="1:18">
      <c r="A508" s="15" t="str">
        <f t="shared" si="12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8" t="s">
        <v>75</v>
      </c>
      <c r="P508" s="48">
        <f>HEX2DEC(RIGHT(Table1323212753[[#This Row],[h1]],8))</f>
        <v>0</v>
      </c>
      <c r="Q508" s="48" t="s">
        <v>75</v>
      </c>
      <c r="R508" s="48">
        <f>HEX2DEC(RIGHT(Table1323212753[[#This Row],[h2]],8))</f>
        <v>0</v>
      </c>
    </row>
    <row r="509" spans="1:18">
      <c r="A509" s="15" t="str">
        <f t="shared" si="12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8" t="s">
        <v>75</v>
      </c>
      <c r="P509" s="48">
        <f>HEX2DEC(RIGHT(Table1323212753[[#This Row],[h1]],8))</f>
        <v>0</v>
      </c>
      <c r="Q509" s="48" t="s">
        <v>75</v>
      </c>
      <c r="R509" s="48">
        <f>HEX2DEC(RIGHT(Table1323212753[[#This Row],[h2]],8))</f>
        <v>0</v>
      </c>
    </row>
    <row r="510" spans="1:18">
      <c r="A510" s="15" t="str">
        <f t="shared" si="12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8" t="s">
        <v>75</v>
      </c>
      <c r="P510" s="48">
        <f>HEX2DEC(RIGHT(Table1323212753[[#This Row],[h1]],8))</f>
        <v>0</v>
      </c>
      <c r="Q510" s="48" t="s">
        <v>75</v>
      </c>
      <c r="R510" s="48">
        <f>HEX2DEC(RIGHT(Table1323212753[[#This Row],[h2]],8))</f>
        <v>0</v>
      </c>
    </row>
    <row r="511" spans="1:18">
      <c r="A511" s="15" t="str">
        <f t="shared" si="12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8" t="s">
        <v>75</v>
      </c>
      <c r="P511" s="48">
        <f>HEX2DEC(RIGHT(Table1323212753[[#This Row],[h1]],8))</f>
        <v>0</v>
      </c>
      <c r="Q511" s="48" t="s">
        <v>75</v>
      </c>
      <c r="R511" s="48">
        <f>HEX2DEC(RIGHT(Table1323212753[[#This Row],[h2]],8))</f>
        <v>0</v>
      </c>
    </row>
    <row r="512" spans="1:18">
      <c r="A512" s="15" t="str">
        <f t="shared" si="12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8" t="s">
        <v>75</v>
      </c>
      <c r="P512" s="48">
        <f>HEX2DEC(RIGHT(Table1323212753[[#This Row],[h1]],8))</f>
        <v>0</v>
      </c>
      <c r="Q512" s="48" t="s">
        <v>75</v>
      </c>
      <c r="R512" s="48">
        <f>HEX2DEC(RIGHT(Table1323212753[[#This Row],[h2]],8))</f>
        <v>0</v>
      </c>
    </row>
    <row r="513" spans="1:18">
      <c r="A513" s="15" t="str">
        <f t="shared" si="12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8" t="s">
        <v>75</v>
      </c>
      <c r="P513" s="48">
        <f>HEX2DEC(RIGHT(Table1323212753[[#This Row],[h1]],8))</f>
        <v>0</v>
      </c>
      <c r="Q513" s="48" t="s">
        <v>75</v>
      </c>
      <c r="R513" s="48">
        <f>HEX2DEC(RIGHT(Table1323212753[[#This Row],[h2]],8))</f>
        <v>0</v>
      </c>
    </row>
    <row r="514" spans="1:18">
      <c r="A514" s="15" t="str">
        <f t="shared" si="12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8" t="s">
        <v>75</v>
      </c>
      <c r="P514" s="48">
        <f>HEX2DEC(RIGHT(Table1323212753[[#This Row],[h1]],8))</f>
        <v>0</v>
      </c>
      <c r="Q514" s="48" t="s">
        <v>75</v>
      </c>
      <c r="R514" s="48">
        <f>HEX2DEC(RIGHT(Table1323212753[[#This Row],[h2]],8))</f>
        <v>0</v>
      </c>
    </row>
    <row r="515" spans="1:18">
      <c r="A515" s="15" t="str">
        <f t="shared" si="12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8" t="s">
        <v>75</v>
      </c>
      <c r="P515" s="48">
        <f>HEX2DEC(RIGHT(Table1323212753[[#This Row],[h1]],8))</f>
        <v>0</v>
      </c>
      <c r="Q515" s="48" t="s">
        <v>75</v>
      </c>
      <c r="R515" s="48">
        <f>HEX2DEC(RIGHT(Table1323212753[[#This Row],[h2]],8))</f>
        <v>0</v>
      </c>
    </row>
    <row r="516" spans="1:18">
      <c r="A516" s="15" t="str">
        <f t="shared" si="12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8" t="s">
        <v>75</v>
      </c>
      <c r="P516" s="48">
        <f>HEX2DEC(RIGHT(Table1323212753[[#This Row],[h1]],8))</f>
        <v>0</v>
      </c>
      <c r="Q516" s="48" t="s">
        <v>75</v>
      </c>
      <c r="R516" s="48">
        <f>HEX2DEC(RIGHT(Table1323212753[[#This Row],[h2]],8))</f>
        <v>0</v>
      </c>
    </row>
    <row r="517" spans="1:18">
      <c r="A517" s="15" t="str">
        <f t="shared" si="12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8" t="s">
        <v>75</v>
      </c>
      <c r="P517" s="48">
        <f>HEX2DEC(RIGHT(Table1323212753[[#This Row],[h1]],8))</f>
        <v>0</v>
      </c>
      <c r="Q517" s="48" t="s">
        <v>75</v>
      </c>
      <c r="R517" s="48">
        <f>HEX2DEC(RIGHT(Table1323212753[[#This Row],[h2]],8))</f>
        <v>0</v>
      </c>
    </row>
    <row r="518" spans="1:18">
      <c r="A518" s="15" t="str">
        <f t="shared" si="12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8" t="s">
        <v>75</v>
      </c>
      <c r="P518" s="48">
        <f>HEX2DEC(RIGHT(Table1323212753[[#This Row],[h1]],8))</f>
        <v>0</v>
      </c>
      <c r="Q518" s="48" t="s">
        <v>75</v>
      </c>
      <c r="R518" s="48">
        <f>HEX2DEC(RIGHT(Table1323212753[[#This Row],[h2]],8))</f>
        <v>0</v>
      </c>
    </row>
    <row r="519" spans="1:18">
      <c r="A519" s="15" t="str">
        <f t="shared" si="12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8" t="s">
        <v>75</v>
      </c>
      <c r="P519" s="48">
        <f>HEX2DEC(RIGHT(Table1323212753[[#This Row],[h1]],8))</f>
        <v>0</v>
      </c>
      <c r="Q519" s="48" t="s">
        <v>75</v>
      </c>
      <c r="R519" s="48">
        <f>HEX2DEC(RIGHT(Table1323212753[[#This Row],[h2]],8))</f>
        <v>0</v>
      </c>
    </row>
    <row r="520" spans="1:18">
      <c r="A520" s="15" t="str">
        <f t="shared" si="12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8" t="s">
        <v>75</v>
      </c>
      <c r="P520" s="48">
        <f>HEX2DEC(RIGHT(Table1323212753[[#This Row],[h1]],8))</f>
        <v>0</v>
      </c>
      <c r="Q520" s="48" t="s">
        <v>75</v>
      </c>
      <c r="R520" s="48">
        <f>HEX2DEC(RIGHT(Table1323212753[[#This Row],[h2]],8))</f>
        <v>0</v>
      </c>
    </row>
    <row r="521" spans="1:18">
      <c r="A521" s="15" t="str">
        <f t="shared" si="12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8" t="s">
        <v>75</v>
      </c>
      <c r="P521" s="48">
        <f>HEX2DEC(RIGHT(Table1323212753[[#This Row],[h1]],8))</f>
        <v>0</v>
      </c>
      <c r="Q521" s="48" t="s">
        <v>75</v>
      </c>
      <c r="R521" s="48">
        <f>HEX2DEC(RIGHT(Table1323212753[[#This Row],[h2]],8))</f>
        <v>0</v>
      </c>
    </row>
    <row r="522" spans="1:18">
      <c r="A522" s="15" t="str">
        <f t="shared" si="12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8" t="s">
        <v>75</v>
      </c>
      <c r="P522" s="48">
        <f>HEX2DEC(RIGHT(Table1323212753[[#This Row],[h1]],8))</f>
        <v>0</v>
      </c>
      <c r="Q522" s="48" t="s">
        <v>75</v>
      </c>
      <c r="R522" s="48">
        <f>HEX2DEC(RIGHT(Table1323212753[[#This Row],[h2]],8))</f>
        <v>0</v>
      </c>
    </row>
    <row r="523" spans="1:18">
      <c r="A523" s="15" t="str">
        <f t="shared" ref="A523:A586" si="13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8" t="s">
        <v>75</v>
      </c>
      <c r="P523" s="48">
        <f>HEX2DEC(RIGHT(Table1323212753[[#This Row],[h1]],8))</f>
        <v>0</v>
      </c>
      <c r="Q523" s="48" t="s">
        <v>75</v>
      </c>
      <c r="R523" s="48">
        <f>HEX2DEC(RIGHT(Table1323212753[[#This Row],[h2]],8))</f>
        <v>0</v>
      </c>
    </row>
    <row r="524" spans="1:18">
      <c r="A524" s="15" t="str">
        <f t="shared" si="13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8" t="s">
        <v>75</v>
      </c>
      <c r="P524" s="48">
        <f>HEX2DEC(RIGHT(Table1323212753[[#This Row],[h1]],8))</f>
        <v>0</v>
      </c>
      <c r="Q524" s="48" t="s">
        <v>75</v>
      </c>
      <c r="R524" s="48">
        <f>HEX2DEC(RIGHT(Table1323212753[[#This Row],[h2]],8))</f>
        <v>0</v>
      </c>
    </row>
    <row r="525" spans="1:18">
      <c r="A525" s="15" t="str">
        <f t="shared" si="13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8" t="s">
        <v>75</v>
      </c>
      <c r="P525" s="48">
        <f>HEX2DEC(RIGHT(Table1323212753[[#This Row],[h1]],8))</f>
        <v>0</v>
      </c>
      <c r="Q525" s="48" t="s">
        <v>75</v>
      </c>
      <c r="R525" s="48">
        <f>HEX2DEC(RIGHT(Table1323212753[[#This Row],[h2]],8))</f>
        <v>0</v>
      </c>
    </row>
    <row r="526" spans="1:18">
      <c r="A526" s="15" t="str">
        <f t="shared" si="13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8" t="s">
        <v>75</v>
      </c>
      <c r="P526" s="48">
        <f>HEX2DEC(RIGHT(Table1323212753[[#This Row],[h1]],8))</f>
        <v>0</v>
      </c>
      <c r="Q526" s="48" t="s">
        <v>75</v>
      </c>
      <c r="R526" s="48">
        <f>HEX2DEC(RIGHT(Table1323212753[[#This Row],[h2]],8))</f>
        <v>0</v>
      </c>
    </row>
    <row r="527" spans="1:18">
      <c r="A527" s="15" t="str">
        <f t="shared" si="13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8" t="s">
        <v>75</v>
      </c>
      <c r="P527" s="48">
        <f>HEX2DEC(RIGHT(Table1323212753[[#This Row],[h1]],8))</f>
        <v>0</v>
      </c>
      <c r="Q527" s="48" t="s">
        <v>75</v>
      </c>
      <c r="R527" s="48">
        <f>HEX2DEC(RIGHT(Table1323212753[[#This Row],[h2]],8))</f>
        <v>0</v>
      </c>
    </row>
    <row r="528" spans="1:18">
      <c r="A528" s="15" t="str">
        <f t="shared" si="13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8" t="s">
        <v>75</v>
      </c>
      <c r="P528" s="48">
        <f>HEX2DEC(RIGHT(Table1323212753[[#This Row],[h1]],8))</f>
        <v>0</v>
      </c>
      <c r="Q528" s="48" t="s">
        <v>75</v>
      </c>
      <c r="R528" s="48">
        <f>HEX2DEC(RIGHT(Table1323212753[[#This Row],[h2]],8))</f>
        <v>0</v>
      </c>
    </row>
    <row r="529" spans="1:18">
      <c r="A529" s="15" t="str">
        <f t="shared" si="13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8" t="s">
        <v>75</v>
      </c>
      <c r="P529" s="48">
        <f>HEX2DEC(RIGHT(Table1323212753[[#This Row],[h1]],8))</f>
        <v>0</v>
      </c>
      <c r="Q529" s="48" t="s">
        <v>75</v>
      </c>
      <c r="R529" s="48">
        <f>HEX2DEC(RIGHT(Table1323212753[[#This Row],[h2]],8))</f>
        <v>0</v>
      </c>
    </row>
    <row r="530" spans="1:18">
      <c r="A530" s="15" t="str">
        <f t="shared" si="13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8" t="s">
        <v>75</v>
      </c>
      <c r="P530" s="48">
        <f>HEX2DEC(RIGHT(Table1323212753[[#This Row],[h1]],8))</f>
        <v>0</v>
      </c>
      <c r="Q530" s="48" t="s">
        <v>75</v>
      </c>
      <c r="R530" s="48">
        <f>HEX2DEC(RIGHT(Table1323212753[[#This Row],[h2]],8))</f>
        <v>0</v>
      </c>
    </row>
    <row r="531" spans="1:18">
      <c r="A531" s="15" t="str">
        <f t="shared" si="13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8" t="s">
        <v>75</v>
      </c>
      <c r="P531" s="48">
        <f>HEX2DEC(RIGHT(Table1323212753[[#This Row],[h1]],8))</f>
        <v>0</v>
      </c>
      <c r="Q531" s="48" t="s">
        <v>75</v>
      </c>
      <c r="R531" s="48">
        <f>HEX2DEC(RIGHT(Table1323212753[[#This Row],[h2]],8))</f>
        <v>0</v>
      </c>
    </row>
    <row r="532" spans="1:18">
      <c r="A532" s="15" t="str">
        <f t="shared" si="13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8" t="s">
        <v>75</v>
      </c>
      <c r="P532" s="48">
        <f>HEX2DEC(RIGHT(Table1323212753[[#This Row],[h1]],8))</f>
        <v>0</v>
      </c>
      <c r="Q532" s="48" t="s">
        <v>75</v>
      </c>
      <c r="R532" s="48">
        <f>HEX2DEC(RIGHT(Table1323212753[[#This Row],[h2]],8))</f>
        <v>0</v>
      </c>
    </row>
    <row r="533" spans="1:18">
      <c r="A533" s="15" t="str">
        <f t="shared" si="13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8" t="s">
        <v>75</v>
      </c>
      <c r="P533" s="48">
        <f>HEX2DEC(RIGHT(Table1323212753[[#This Row],[h1]],8))</f>
        <v>0</v>
      </c>
      <c r="Q533" s="48" t="s">
        <v>75</v>
      </c>
      <c r="R533" s="48">
        <f>HEX2DEC(RIGHT(Table1323212753[[#This Row],[h2]],8))</f>
        <v>0</v>
      </c>
    </row>
    <row r="534" spans="1:18">
      <c r="A534" s="15" t="str">
        <f t="shared" si="13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8" t="s">
        <v>75</v>
      </c>
      <c r="P534" s="48">
        <f>HEX2DEC(RIGHT(Table1323212753[[#This Row],[h1]],8))</f>
        <v>0</v>
      </c>
      <c r="Q534" s="48" t="s">
        <v>75</v>
      </c>
      <c r="R534" s="48">
        <f>HEX2DEC(RIGHT(Table1323212753[[#This Row],[h2]],8))</f>
        <v>0</v>
      </c>
    </row>
    <row r="535" spans="1:18">
      <c r="A535" s="15" t="str">
        <f t="shared" si="13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8" t="s">
        <v>75</v>
      </c>
      <c r="P535" s="48">
        <f>HEX2DEC(RIGHT(Table1323212753[[#This Row],[h1]],8))</f>
        <v>0</v>
      </c>
      <c r="Q535" s="48" t="s">
        <v>75</v>
      </c>
      <c r="R535" s="48">
        <f>HEX2DEC(RIGHT(Table1323212753[[#This Row],[h2]],8))</f>
        <v>0</v>
      </c>
    </row>
    <row r="536" spans="1:18">
      <c r="A536" s="15" t="str">
        <f t="shared" si="13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8" t="s">
        <v>75</v>
      </c>
      <c r="P536" s="48">
        <f>HEX2DEC(RIGHT(Table1323212753[[#This Row],[h1]],8))</f>
        <v>0</v>
      </c>
      <c r="Q536" s="48" t="s">
        <v>75</v>
      </c>
      <c r="R536" s="48">
        <f>HEX2DEC(RIGHT(Table1323212753[[#This Row],[h2]],8))</f>
        <v>0</v>
      </c>
    </row>
    <row r="537" spans="1:18">
      <c r="A537" s="15" t="str">
        <f t="shared" si="13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8" t="s">
        <v>75</v>
      </c>
      <c r="P537" s="48">
        <f>HEX2DEC(RIGHT(Table1323212753[[#This Row],[h1]],8))</f>
        <v>0</v>
      </c>
      <c r="Q537" s="48" t="s">
        <v>75</v>
      </c>
      <c r="R537" s="48">
        <f>HEX2DEC(RIGHT(Table1323212753[[#This Row],[h2]],8))</f>
        <v>0</v>
      </c>
    </row>
    <row r="538" spans="1:18">
      <c r="A538" s="15" t="str">
        <f t="shared" si="13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8" t="s">
        <v>75</v>
      </c>
      <c r="P538" s="48">
        <f>HEX2DEC(RIGHT(Table1323212753[[#This Row],[h1]],8))</f>
        <v>0</v>
      </c>
      <c r="Q538" s="48" t="s">
        <v>75</v>
      </c>
      <c r="R538" s="48">
        <f>HEX2DEC(RIGHT(Table1323212753[[#This Row],[h2]],8))</f>
        <v>0</v>
      </c>
    </row>
    <row r="539" spans="1:18">
      <c r="A539" s="15" t="str">
        <f t="shared" si="13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8" t="s">
        <v>75</v>
      </c>
      <c r="P539" s="48">
        <f>HEX2DEC(RIGHT(Table1323212753[[#This Row],[h1]],8))</f>
        <v>0</v>
      </c>
      <c r="Q539" s="48" t="s">
        <v>75</v>
      </c>
      <c r="R539" s="48">
        <f>HEX2DEC(RIGHT(Table1323212753[[#This Row],[h2]],8))</f>
        <v>0</v>
      </c>
    </row>
    <row r="540" spans="1:18">
      <c r="A540" s="15" t="str">
        <f t="shared" si="13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8" t="s">
        <v>75</v>
      </c>
      <c r="P540" s="48">
        <f>HEX2DEC(RIGHT(Table1323212753[[#This Row],[h1]],8))</f>
        <v>0</v>
      </c>
      <c r="Q540" s="48" t="s">
        <v>75</v>
      </c>
      <c r="R540" s="48">
        <f>HEX2DEC(RIGHT(Table1323212753[[#This Row],[h2]],8))</f>
        <v>0</v>
      </c>
    </row>
    <row r="541" spans="1:18">
      <c r="A541" s="15" t="str">
        <f t="shared" si="13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8" t="s">
        <v>75</v>
      </c>
      <c r="P541" s="48">
        <f>HEX2DEC(RIGHT(Table1323212753[[#This Row],[h1]],8))</f>
        <v>0</v>
      </c>
      <c r="Q541" s="48" t="s">
        <v>75</v>
      </c>
      <c r="R541" s="48">
        <f>HEX2DEC(RIGHT(Table1323212753[[#This Row],[h2]],8))</f>
        <v>0</v>
      </c>
    </row>
    <row r="542" spans="1:18">
      <c r="A542" s="15" t="str">
        <f t="shared" si="13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8" t="s">
        <v>75</v>
      </c>
      <c r="P542" s="48">
        <f>HEX2DEC(RIGHT(Table1323212753[[#This Row],[h1]],8))</f>
        <v>0</v>
      </c>
      <c r="Q542" s="48" t="s">
        <v>75</v>
      </c>
      <c r="R542" s="48">
        <f>HEX2DEC(RIGHT(Table1323212753[[#This Row],[h2]],8))</f>
        <v>0</v>
      </c>
    </row>
    <row r="543" spans="1:18">
      <c r="A543" s="15" t="str">
        <f t="shared" si="13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8" t="s">
        <v>75</v>
      </c>
      <c r="P543" s="48">
        <f>HEX2DEC(RIGHT(Table1323212753[[#This Row],[h1]],8))</f>
        <v>0</v>
      </c>
      <c r="Q543" s="48" t="s">
        <v>75</v>
      </c>
      <c r="R543" s="48">
        <f>HEX2DEC(RIGHT(Table1323212753[[#This Row],[h2]],8))</f>
        <v>0</v>
      </c>
    </row>
    <row r="544" spans="1:18">
      <c r="A544" s="15" t="str">
        <f t="shared" si="13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8" t="s">
        <v>75</v>
      </c>
      <c r="P544" s="48">
        <f>HEX2DEC(RIGHT(Table1323212753[[#This Row],[h1]],8))</f>
        <v>0</v>
      </c>
      <c r="Q544" s="48" t="s">
        <v>75</v>
      </c>
      <c r="R544" s="48">
        <f>HEX2DEC(RIGHT(Table1323212753[[#This Row],[h2]],8))</f>
        <v>0</v>
      </c>
    </row>
    <row r="545" spans="1:18">
      <c r="A545" s="15" t="str">
        <f t="shared" si="13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8" t="s">
        <v>75</v>
      </c>
      <c r="P545" s="48">
        <f>HEX2DEC(RIGHT(Table1323212753[[#This Row],[h1]],8))</f>
        <v>0</v>
      </c>
      <c r="Q545" s="48" t="s">
        <v>75</v>
      </c>
      <c r="R545" s="48">
        <f>HEX2DEC(RIGHT(Table1323212753[[#This Row],[h2]],8))</f>
        <v>0</v>
      </c>
    </row>
    <row r="546" spans="1:18">
      <c r="A546" s="15" t="str">
        <f t="shared" si="13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8" t="s">
        <v>75</v>
      </c>
      <c r="P546" s="48">
        <f>HEX2DEC(RIGHT(Table1323212753[[#This Row],[h1]],8))</f>
        <v>0</v>
      </c>
      <c r="Q546" s="48" t="s">
        <v>75</v>
      </c>
      <c r="R546" s="48">
        <f>HEX2DEC(RIGHT(Table1323212753[[#This Row],[h2]],8))</f>
        <v>0</v>
      </c>
    </row>
    <row r="547" spans="1:18">
      <c r="A547" s="15" t="str">
        <f t="shared" si="13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8" t="s">
        <v>75</v>
      </c>
      <c r="P547" s="48">
        <f>HEX2DEC(RIGHT(Table1323212753[[#This Row],[h1]],8))</f>
        <v>0</v>
      </c>
      <c r="Q547" s="48" t="s">
        <v>75</v>
      </c>
      <c r="R547" s="48">
        <f>HEX2DEC(RIGHT(Table1323212753[[#This Row],[h2]],8))</f>
        <v>0</v>
      </c>
    </row>
    <row r="548" spans="1:18">
      <c r="A548" s="15" t="str">
        <f t="shared" si="13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8" t="s">
        <v>75</v>
      </c>
      <c r="P548" s="48">
        <f>HEX2DEC(RIGHT(Table1323212753[[#This Row],[h1]],8))</f>
        <v>0</v>
      </c>
      <c r="Q548" s="48" t="s">
        <v>75</v>
      </c>
      <c r="R548" s="48">
        <f>HEX2DEC(RIGHT(Table1323212753[[#This Row],[h2]],8))</f>
        <v>0</v>
      </c>
    </row>
    <row r="549" spans="1:18">
      <c r="A549" s="15" t="str">
        <f t="shared" si="13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8" t="s">
        <v>75</v>
      </c>
      <c r="P549" s="48">
        <f>HEX2DEC(RIGHT(Table1323212753[[#This Row],[h1]],8))</f>
        <v>0</v>
      </c>
      <c r="Q549" s="48" t="s">
        <v>75</v>
      </c>
      <c r="R549" s="48">
        <f>HEX2DEC(RIGHT(Table1323212753[[#This Row],[h2]],8))</f>
        <v>0</v>
      </c>
    </row>
    <row r="550" spans="1:18">
      <c r="A550" s="15" t="str">
        <f t="shared" si="13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8" t="s">
        <v>75</v>
      </c>
      <c r="P550" s="48">
        <f>HEX2DEC(RIGHT(Table1323212753[[#This Row],[h1]],8))</f>
        <v>0</v>
      </c>
      <c r="Q550" s="48" t="s">
        <v>75</v>
      </c>
      <c r="R550" s="48">
        <f>HEX2DEC(RIGHT(Table1323212753[[#This Row],[h2]],8))</f>
        <v>0</v>
      </c>
    </row>
    <row r="551" spans="1:18">
      <c r="A551" s="15" t="str">
        <f t="shared" si="13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8" t="s">
        <v>75</v>
      </c>
      <c r="P551" s="48">
        <f>HEX2DEC(RIGHT(Table1323212753[[#This Row],[h1]],8))</f>
        <v>0</v>
      </c>
      <c r="Q551" s="48" t="s">
        <v>75</v>
      </c>
      <c r="R551" s="48">
        <f>HEX2DEC(RIGHT(Table1323212753[[#This Row],[h2]],8))</f>
        <v>0</v>
      </c>
    </row>
    <row r="552" spans="1:18">
      <c r="A552" s="15" t="str">
        <f t="shared" si="13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8" t="s">
        <v>75</v>
      </c>
      <c r="P552" s="48">
        <f>HEX2DEC(RIGHT(Table1323212753[[#This Row],[h1]],8))</f>
        <v>0</v>
      </c>
      <c r="Q552" s="48" t="s">
        <v>75</v>
      </c>
      <c r="R552" s="48">
        <f>HEX2DEC(RIGHT(Table1323212753[[#This Row],[h2]],8))</f>
        <v>0</v>
      </c>
    </row>
    <row r="553" spans="1:18">
      <c r="A553" s="15" t="str">
        <f t="shared" si="13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8" t="s">
        <v>75</v>
      </c>
      <c r="P553" s="48">
        <f>HEX2DEC(RIGHT(Table1323212753[[#This Row],[h1]],8))</f>
        <v>0</v>
      </c>
      <c r="Q553" s="48" t="s">
        <v>75</v>
      </c>
      <c r="R553" s="48">
        <f>HEX2DEC(RIGHT(Table1323212753[[#This Row],[h2]],8))</f>
        <v>0</v>
      </c>
    </row>
    <row r="554" spans="1:18">
      <c r="A554" s="15" t="str">
        <f t="shared" si="13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8" t="s">
        <v>75</v>
      </c>
      <c r="P554" s="48">
        <f>HEX2DEC(RIGHT(Table1323212753[[#This Row],[h1]],8))</f>
        <v>0</v>
      </c>
      <c r="Q554" s="48" t="s">
        <v>75</v>
      </c>
      <c r="R554" s="48">
        <f>HEX2DEC(RIGHT(Table1323212753[[#This Row],[h2]],8))</f>
        <v>0</v>
      </c>
    </row>
    <row r="555" spans="1:18">
      <c r="A555" s="15" t="str">
        <f t="shared" si="13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8" t="s">
        <v>75</v>
      </c>
      <c r="P555" s="48">
        <f>HEX2DEC(RIGHT(Table1323212753[[#This Row],[h1]],8))</f>
        <v>0</v>
      </c>
      <c r="Q555" s="48" t="s">
        <v>75</v>
      </c>
      <c r="R555" s="48">
        <f>HEX2DEC(RIGHT(Table1323212753[[#This Row],[h2]],8))</f>
        <v>0</v>
      </c>
    </row>
    <row r="556" spans="1:18">
      <c r="A556" s="15" t="str">
        <f t="shared" si="13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8" t="s">
        <v>75</v>
      </c>
      <c r="P556" s="48">
        <f>HEX2DEC(RIGHT(Table1323212753[[#This Row],[h1]],8))</f>
        <v>0</v>
      </c>
      <c r="Q556" s="48" t="s">
        <v>75</v>
      </c>
      <c r="R556" s="48">
        <f>HEX2DEC(RIGHT(Table1323212753[[#This Row],[h2]],8))</f>
        <v>0</v>
      </c>
    </row>
    <row r="557" spans="1:18">
      <c r="A557" s="15" t="str">
        <f t="shared" si="13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8" t="s">
        <v>75</v>
      </c>
      <c r="P557" s="48">
        <f>HEX2DEC(RIGHT(Table1323212753[[#This Row],[h1]],8))</f>
        <v>0</v>
      </c>
      <c r="Q557" s="48" t="s">
        <v>75</v>
      </c>
      <c r="R557" s="48">
        <f>HEX2DEC(RIGHT(Table1323212753[[#This Row],[h2]],8))</f>
        <v>0</v>
      </c>
    </row>
    <row r="558" spans="1:18">
      <c r="A558" s="15" t="str">
        <f t="shared" si="13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8" t="s">
        <v>75</v>
      </c>
      <c r="P558" s="48">
        <f>HEX2DEC(RIGHT(Table1323212753[[#This Row],[h1]],8))</f>
        <v>0</v>
      </c>
      <c r="Q558" s="48" t="s">
        <v>75</v>
      </c>
      <c r="R558" s="48">
        <f>HEX2DEC(RIGHT(Table1323212753[[#This Row],[h2]],8))</f>
        <v>0</v>
      </c>
    </row>
    <row r="559" spans="1:18">
      <c r="A559" s="15" t="str">
        <f t="shared" si="13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8" t="s">
        <v>75</v>
      </c>
      <c r="P559" s="48">
        <f>HEX2DEC(RIGHT(Table1323212753[[#This Row],[h1]],8))</f>
        <v>0</v>
      </c>
      <c r="Q559" s="48" t="s">
        <v>75</v>
      </c>
      <c r="R559" s="48">
        <f>HEX2DEC(RIGHT(Table1323212753[[#This Row],[h2]],8))</f>
        <v>0</v>
      </c>
    </row>
    <row r="560" spans="1:18">
      <c r="A560" s="15" t="str">
        <f t="shared" si="13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8" t="s">
        <v>75</v>
      </c>
      <c r="P560" s="48">
        <f>HEX2DEC(RIGHT(Table1323212753[[#This Row],[h1]],8))</f>
        <v>0</v>
      </c>
      <c r="Q560" s="48" t="s">
        <v>75</v>
      </c>
      <c r="R560" s="48">
        <f>HEX2DEC(RIGHT(Table1323212753[[#This Row],[h2]],8))</f>
        <v>0</v>
      </c>
    </row>
    <row r="561" spans="1:18">
      <c r="A561" s="15" t="str">
        <f t="shared" si="13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8" t="s">
        <v>75</v>
      </c>
      <c r="P561" s="48">
        <f>HEX2DEC(RIGHT(Table1323212753[[#This Row],[h1]],8))</f>
        <v>0</v>
      </c>
      <c r="Q561" s="48" t="s">
        <v>75</v>
      </c>
      <c r="R561" s="48">
        <f>HEX2DEC(RIGHT(Table1323212753[[#This Row],[h2]],8))</f>
        <v>0</v>
      </c>
    </row>
    <row r="562" spans="1:18">
      <c r="A562" s="15" t="str">
        <f t="shared" si="13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8" t="s">
        <v>75</v>
      </c>
      <c r="P562" s="48">
        <f>HEX2DEC(RIGHT(Table1323212753[[#This Row],[h1]],8))</f>
        <v>0</v>
      </c>
      <c r="Q562" s="48" t="s">
        <v>75</v>
      </c>
      <c r="R562" s="48">
        <f>HEX2DEC(RIGHT(Table1323212753[[#This Row],[h2]],8))</f>
        <v>0</v>
      </c>
    </row>
    <row r="563" spans="1:18">
      <c r="A563" s="15" t="str">
        <f t="shared" si="13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8" t="s">
        <v>75</v>
      </c>
      <c r="P563" s="48">
        <f>HEX2DEC(RIGHT(Table1323212753[[#This Row],[h1]],8))</f>
        <v>0</v>
      </c>
      <c r="Q563" s="48" t="s">
        <v>75</v>
      </c>
      <c r="R563" s="48">
        <f>HEX2DEC(RIGHT(Table1323212753[[#This Row],[h2]],8))</f>
        <v>0</v>
      </c>
    </row>
    <row r="564" spans="1:18">
      <c r="A564" s="15" t="str">
        <f t="shared" si="13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8" t="s">
        <v>75</v>
      </c>
      <c r="P564" s="48">
        <f>HEX2DEC(RIGHT(Table1323212753[[#This Row],[h1]],8))</f>
        <v>0</v>
      </c>
      <c r="Q564" s="48" t="s">
        <v>75</v>
      </c>
      <c r="R564" s="48">
        <f>HEX2DEC(RIGHT(Table1323212753[[#This Row],[h2]],8))</f>
        <v>0</v>
      </c>
    </row>
    <row r="565" spans="1:18">
      <c r="A565" s="15" t="str">
        <f t="shared" si="13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8" t="s">
        <v>75</v>
      </c>
      <c r="P565" s="48">
        <f>HEX2DEC(RIGHT(Table1323212753[[#This Row],[h1]],8))</f>
        <v>0</v>
      </c>
      <c r="Q565" s="48" t="s">
        <v>75</v>
      </c>
      <c r="R565" s="48">
        <f>HEX2DEC(RIGHT(Table1323212753[[#This Row],[h2]],8))</f>
        <v>0</v>
      </c>
    </row>
    <row r="566" spans="1:18">
      <c r="A566" s="15" t="str">
        <f t="shared" si="13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8" t="s">
        <v>75</v>
      </c>
      <c r="P566" s="48">
        <f>HEX2DEC(RIGHT(Table1323212753[[#This Row],[h1]],8))</f>
        <v>0</v>
      </c>
      <c r="Q566" s="48" t="s">
        <v>75</v>
      </c>
      <c r="R566" s="48">
        <f>HEX2DEC(RIGHT(Table1323212753[[#This Row],[h2]],8))</f>
        <v>0</v>
      </c>
    </row>
    <row r="567" spans="1:18">
      <c r="A567" s="15" t="str">
        <f t="shared" si="13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8" t="s">
        <v>75</v>
      </c>
      <c r="P567" s="48">
        <f>HEX2DEC(RIGHT(Table1323212753[[#This Row],[h1]],8))</f>
        <v>0</v>
      </c>
      <c r="Q567" s="48" t="s">
        <v>75</v>
      </c>
      <c r="R567" s="48">
        <f>HEX2DEC(RIGHT(Table1323212753[[#This Row],[h2]],8))</f>
        <v>0</v>
      </c>
    </row>
    <row r="568" spans="1:18">
      <c r="A568" s="15" t="str">
        <f t="shared" si="13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8" t="s">
        <v>75</v>
      </c>
      <c r="P568" s="48">
        <f>HEX2DEC(RIGHT(Table1323212753[[#This Row],[h1]],8))</f>
        <v>0</v>
      </c>
      <c r="Q568" s="48" t="s">
        <v>75</v>
      </c>
      <c r="R568" s="48">
        <f>HEX2DEC(RIGHT(Table1323212753[[#This Row],[h2]],8))</f>
        <v>0</v>
      </c>
    </row>
    <row r="569" spans="1:18">
      <c r="A569" s="15" t="str">
        <f t="shared" si="13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8" t="s">
        <v>75</v>
      </c>
      <c r="P569" s="48">
        <f>HEX2DEC(RIGHT(Table1323212753[[#This Row],[h1]],8))</f>
        <v>0</v>
      </c>
      <c r="Q569" s="48" t="s">
        <v>75</v>
      </c>
      <c r="R569" s="48">
        <f>HEX2DEC(RIGHT(Table1323212753[[#This Row],[h2]],8))</f>
        <v>0</v>
      </c>
    </row>
    <row r="570" spans="1:18">
      <c r="A570" s="15" t="str">
        <f t="shared" si="13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8" t="s">
        <v>75</v>
      </c>
      <c r="P570" s="48">
        <f>HEX2DEC(RIGHT(Table1323212753[[#This Row],[h1]],8))</f>
        <v>0</v>
      </c>
      <c r="Q570" s="48" t="s">
        <v>75</v>
      </c>
      <c r="R570" s="48">
        <f>HEX2DEC(RIGHT(Table1323212753[[#This Row],[h2]],8))</f>
        <v>0</v>
      </c>
    </row>
    <row r="571" spans="1:18">
      <c r="A571" s="15" t="str">
        <f t="shared" si="13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8" t="s">
        <v>75</v>
      </c>
      <c r="P571" s="48">
        <f>HEX2DEC(RIGHT(Table1323212753[[#This Row],[h1]],8))</f>
        <v>0</v>
      </c>
      <c r="Q571" s="48" t="s">
        <v>75</v>
      </c>
      <c r="R571" s="48">
        <f>HEX2DEC(RIGHT(Table1323212753[[#This Row],[h2]],8))</f>
        <v>0</v>
      </c>
    </row>
    <row r="572" spans="1:18">
      <c r="A572" s="15" t="str">
        <f t="shared" si="13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8" t="s">
        <v>75</v>
      </c>
      <c r="P572" s="48">
        <f>HEX2DEC(RIGHT(Table1323212753[[#This Row],[h1]],8))</f>
        <v>0</v>
      </c>
      <c r="Q572" s="48" t="s">
        <v>75</v>
      </c>
      <c r="R572" s="48">
        <f>HEX2DEC(RIGHT(Table1323212753[[#This Row],[h2]],8))</f>
        <v>0</v>
      </c>
    </row>
    <row r="573" spans="1:18">
      <c r="A573" s="15" t="str">
        <f t="shared" si="13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8" t="s">
        <v>75</v>
      </c>
      <c r="P573" s="48">
        <f>HEX2DEC(RIGHT(Table1323212753[[#This Row],[h1]],8))</f>
        <v>0</v>
      </c>
      <c r="Q573" s="48" t="s">
        <v>75</v>
      </c>
      <c r="R573" s="48">
        <f>HEX2DEC(RIGHT(Table1323212753[[#This Row],[h2]],8))</f>
        <v>0</v>
      </c>
    </row>
    <row r="574" spans="1:18">
      <c r="A574" s="15" t="str">
        <f t="shared" si="13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8" t="s">
        <v>75</v>
      </c>
      <c r="P574" s="48">
        <f>HEX2DEC(RIGHT(Table1323212753[[#This Row],[h1]],8))</f>
        <v>0</v>
      </c>
      <c r="Q574" s="48" t="s">
        <v>75</v>
      </c>
      <c r="R574" s="48">
        <f>HEX2DEC(RIGHT(Table1323212753[[#This Row],[h2]],8))</f>
        <v>0</v>
      </c>
    </row>
    <row r="575" spans="1:18">
      <c r="A575" s="15" t="str">
        <f t="shared" si="13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8" t="s">
        <v>75</v>
      </c>
      <c r="P575" s="48">
        <f>HEX2DEC(RIGHT(Table1323212753[[#This Row],[h1]],8))</f>
        <v>0</v>
      </c>
      <c r="Q575" s="48" t="s">
        <v>75</v>
      </c>
      <c r="R575" s="48">
        <f>HEX2DEC(RIGHT(Table1323212753[[#This Row],[h2]],8))</f>
        <v>0</v>
      </c>
    </row>
    <row r="576" spans="1:18">
      <c r="A576" s="15" t="str">
        <f t="shared" si="13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8" t="s">
        <v>75</v>
      </c>
      <c r="P576" s="48">
        <f>HEX2DEC(RIGHT(Table1323212753[[#This Row],[h1]],8))</f>
        <v>0</v>
      </c>
      <c r="Q576" s="48" t="s">
        <v>75</v>
      </c>
      <c r="R576" s="48">
        <f>HEX2DEC(RIGHT(Table1323212753[[#This Row],[h2]],8))</f>
        <v>0</v>
      </c>
    </row>
    <row r="577" spans="1:18">
      <c r="A577" s="15" t="str">
        <f t="shared" si="13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8" t="s">
        <v>75</v>
      </c>
      <c r="P577" s="48">
        <f>HEX2DEC(RIGHT(Table1323212753[[#This Row],[h1]],8))</f>
        <v>0</v>
      </c>
      <c r="Q577" s="48" t="s">
        <v>75</v>
      </c>
      <c r="R577" s="48">
        <f>HEX2DEC(RIGHT(Table1323212753[[#This Row],[h2]],8))</f>
        <v>0</v>
      </c>
    </row>
    <row r="578" spans="1:18">
      <c r="A578" s="15" t="str">
        <f t="shared" si="13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8" t="s">
        <v>75</v>
      </c>
      <c r="P578" s="48">
        <f>HEX2DEC(RIGHT(Table1323212753[[#This Row],[h1]],8))</f>
        <v>0</v>
      </c>
      <c r="Q578" s="48" t="s">
        <v>75</v>
      </c>
      <c r="R578" s="48">
        <f>HEX2DEC(RIGHT(Table1323212753[[#This Row],[h2]],8))</f>
        <v>0</v>
      </c>
    </row>
    <row r="579" spans="1:18">
      <c r="A579" s="15" t="str">
        <f t="shared" si="13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8" t="s">
        <v>75</v>
      </c>
      <c r="P579" s="48">
        <f>HEX2DEC(RIGHT(Table1323212753[[#This Row],[h1]],8))</f>
        <v>0</v>
      </c>
      <c r="Q579" s="48" t="s">
        <v>75</v>
      </c>
      <c r="R579" s="48">
        <f>HEX2DEC(RIGHT(Table1323212753[[#This Row],[h2]],8))</f>
        <v>0</v>
      </c>
    </row>
    <row r="580" spans="1:18">
      <c r="A580" s="15" t="str">
        <f t="shared" si="13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8" t="s">
        <v>75</v>
      </c>
      <c r="P580" s="48">
        <f>HEX2DEC(RIGHT(Table1323212753[[#This Row],[h1]],8))</f>
        <v>0</v>
      </c>
      <c r="Q580" s="48" t="s">
        <v>75</v>
      </c>
      <c r="R580" s="48">
        <f>HEX2DEC(RIGHT(Table1323212753[[#This Row],[h2]],8))</f>
        <v>0</v>
      </c>
    </row>
    <row r="581" spans="1:18">
      <c r="A581" s="15" t="str">
        <f t="shared" si="13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8" t="s">
        <v>75</v>
      </c>
      <c r="P581" s="48">
        <f>HEX2DEC(RIGHT(Table1323212753[[#This Row],[h1]],8))</f>
        <v>0</v>
      </c>
      <c r="Q581" s="48" t="s">
        <v>75</v>
      </c>
      <c r="R581" s="48">
        <f>HEX2DEC(RIGHT(Table1323212753[[#This Row],[h2]],8))</f>
        <v>0</v>
      </c>
    </row>
    <row r="582" spans="1:18">
      <c r="A582" s="15" t="str">
        <f t="shared" si="13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8" t="s">
        <v>75</v>
      </c>
      <c r="P582" s="48">
        <f>HEX2DEC(RIGHT(Table1323212753[[#This Row],[h1]],8))</f>
        <v>0</v>
      </c>
      <c r="Q582" s="48" t="s">
        <v>75</v>
      </c>
      <c r="R582" s="48">
        <f>HEX2DEC(RIGHT(Table1323212753[[#This Row],[h2]],8))</f>
        <v>0</v>
      </c>
    </row>
    <row r="583" spans="1:18">
      <c r="A583" s="15" t="str">
        <f t="shared" si="13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8" t="s">
        <v>75</v>
      </c>
      <c r="P583" s="48">
        <f>HEX2DEC(RIGHT(Table1323212753[[#This Row],[h1]],8))</f>
        <v>0</v>
      </c>
      <c r="Q583" s="48" t="s">
        <v>75</v>
      </c>
      <c r="R583" s="48">
        <f>HEX2DEC(RIGHT(Table1323212753[[#This Row],[h2]],8))</f>
        <v>0</v>
      </c>
    </row>
    <row r="584" spans="1:18">
      <c r="A584" s="15" t="str">
        <f t="shared" si="13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8" t="s">
        <v>75</v>
      </c>
      <c r="P584" s="48">
        <f>HEX2DEC(RIGHT(Table1323212753[[#This Row],[h1]],8))</f>
        <v>0</v>
      </c>
      <c r="Q584" s="48" t="s">
        <v>75</v>
      </c>
      <c r="R584" s="48">
        <f>HEX2DEC(RIGHT(Table1323212753[[#This Row],[h2]],8))</f>
        <v>0</v>
      </c>
    </row>
    <row r="585" spans="1:18">
      <c r="A585" s="15" t="str">
        <f t="shared" si="13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8" t="s">
        <v>75</v>
      </c>
      <c r="P585" s="48">
        <f>HEX2DEC(RIGHT(Table1323212753[[#This Row],[h1]],8))</f>
        <v>0</v>
      </c>
      <c r="Q585" s="48" t="s">
        <v>75</v>
      </c>
      <c r="R585" s="48">
        <f>HEX2DEC(RIGHT(Table1323212753[[#This Row],[h2]],8))</f>
        <v>0</v>
      </c>
    </row>
    <row r="586" spans="1:18">
      <c r="A586" s="15" t="str">
        <f t="shared" si="13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8" t="s">
        <v>75</v>
      </c>
      <c r="P586" s="48">
        <f>HEX2DEC(RIGHT(Table1323212753[[#This Row],[h1]],8))</f>
        <v>0</v>
      </c>
      <c r="Q586" s="48" t="s">
        <v>75</v>
      </c>
      <c r="R586" s="48">
        <f>HEX2DEC(RIGHT(Table1323212753[[#This Row],[h2]],8))</f>
        <v>0</v>
      </c>
    </row>
    <row r="587" spans="1:18">
      <c r="A587" s="15" t="str">
        <f t="shared" ref="A587:A650" si="14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8" t="s">
        <v>75</v>
      </c>
      <c r="P587" s="48">
        <f>HEX2DEC(RIGHT(Table1323212753[[#This Row],[h1]],8))</f>
        <v>0</v>
      </c>
      <c r="Q587" s="48" t="s">
        <v>75</v>
      </c>
      <c r="R587" s="48">
        <f>HEX2DEC(RIGHT(Table1323212753[[#This Row],[h2]],8))</f>
        <v>0</v>
      </c>
    </row>
    <row r="588" spans="1:18">
      <c r="A588" s="15" t="str">
        <f t="shared" si="14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8" t="s">
        <v>75</v>
      </c>
      <c r="P588" s="48">
        <f>HEX2DEC(RIGHT(Table1323212753[[#This Row],[h1]],8))</f>
        <v>0</v>
      </c>
      <c r="Q588" s="48" t="s">
        <v>75</v>
      </c>
      <c r="R588" s="48">
        <f>HEX2DEC(RIGHT(Table1323212753[[#This Row],[h2]],8))</f>
        <v>0</v>
      </c>
    </row>
    <row r="589" spans="1:18">
      <c r="A589" s="15" t="str">
        <f t="shared" si="14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8" t="s">
        <v>75</v>
      </c>
      <c r="P589" s="48">
        <f>HEX2DEC(RIGHT(Table1323212753[[#This Row],[h1]],8))</f>
        <v>0</v>
      </c>
      <c r="Q589" s="48" t="s">
        <v>75</v>
      </c>
      <c r="R589" s="48">
        <f>HEX2DEC(RIGHT(Table1323212753[[#This Row],[h2]],8))</f>
        <v>0</v>
      </c>
    </row>
    <row r="590" spans="1:18">
      <c r="A590" s="15" t="str">
        <f t="shared" si="14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8" t="s">
        <v>75</v>
      </c>
      <c r="P590" s="48">
        <f>HEX2DEC(RIGHT(Table1323212753[[#This Row],[h1]],8))</f>
        <v>0</v>
      </c>
      <c r="Q590" s="48" t="s">
        <v>75</v>
      </c>
      <c r="R590" s="48">
        <f>HEX2DEC(RIGHT(Table1323212753[[#This Row],[h2]],8))</f>
        <v>0</v>
      </c>
    </row>
    <row r="591" spans="1:18">
      <c r="A591" s="15" t="str">
        <f t="shared" si="14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8" t="s">
        <v>75</v>
      </c>
      <c r="P591" s="48">
        <f>HEX2DEC(RIGHT(Table1323212753[[#This Row],[h1]],8))</f>
        <v>0</v>
      </c>
      <c r="Q591" s="48" t="s">
        <v>75</v>
      </c>
      <c r="R591" s="48">
        <f>HEX2DEC(RIGHT(Table1323212753[[#This Row],[h2]],8))</f>
        <v>0</v>
      </c>
    </row>
    <row r="592" spans="1:18">
      <c r="A592" s="15" t="str">
        <f t="shared" si="14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8" t="s">
        <v>75</v>
      </c>
      <c r="P592" s="48">
        <f>HEX2DEC(RIGHT(Table1323212753[[#This Row],[h1]],8))</f>
        <v>0</v>
      </c>
      <c r="Q592" s="48" t="s">
        <v>75</v>
      </c>
      <c r="R592" s="48">
        <f>HEX2DEC(RIGHT(Table1323212753[[#This Row],[h2]],8))</f>
        <v>0</v>
      </c>
    </row>
    <row r="593" spans="1:18">
      <c r="A593" s="15" t="str">
        <f t="shared" si="14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8" t="s">
        <v>75</v>
      </c>
      <c r="P593" s="48">
        <f>HEX2DEC(RIGHT(Table1323212753[[#This Row],[h1]],8))</f>
        <v>0</v>
      </c>
      <c r="Q593" s="48" t="s">
        <v>75</v>
      </c>
      <c r="R593" s="48">
        <f>HEX2DEC(RIGHT(Table1323212753[[#This Row],[h2]],8))</f>
        <v>0</v>
      </c>
    </row>
    <row r="594" spans="1:18">
      <c r="A594" s="15" t="str">
        <f t="shared" si="14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8" t="s">
        <v>75</v>
      </c>
      <c r="P594" s="48">
        <f>HEX2DEC(RIGHT(Table1323212753[[#This Row],[h1]],8))</f>
        <v>0</v>
      </c>
      <c r="Q594" s="48" t="s">
        <v>75</v>
      </c>
      <c r="R594" s="48">
        <f>HEX2DEC(RIGHT(Table1323212753[[#This Row],[h2]],8))</f>
        <v>0</v>
      </c>
    </row>
    <row r="595" spans="1:18">
      <c r="A595" s="15" t="str">
        <f t="shared" si="14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8" t="s">
        <v>75</v>
      </c>
      <c r="P595" s="48">
        <f>HEX2DEC(RIGHT(Table1323212753[[#This Row],[h1]],8))</f>
        <v>0</v>
      </c>
      <c r="Q595" s="48" t="s">
        <v>75</v>
      </c>
      <c r="R595" s="48">
        <f>HEX2DEC(RIGHT(Table1323212753[[#This Row],[h2]],8))</f>
        <v>0</v>
      </c>
    </row>
    <row r="596" spans="1:18">
      <c r="A596" s="15" t="str">
        <f t="shared" si="14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8" t="s">
        <v>75</v>
      </c>
      <c r="P596" s="48">
        <f>HEX2DEC(RIGHT(Table1323212753[[#This Row],[h1]],8))</f>
        <v>0</v>
      </c>
      <c r="Q596" s="48" t="s">
        <v>75</v>
      </c>
      <c r="R596" s="48">
        <f>HEX2DEC(RIGHT(Table1323212753[[#This Row],[h2]],8))</f>
        <v>0</v>
      </c>
    </row>
    <row r="597" spans="1:18">
      <c r="A597" s="15" t="str">
        <f t="shared" si="14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8" t="s">
        <v>75</v>
      </c>
      <c r="P597" s="48">
        <f>HEX2DEC(RIGHT(Table1323212753[[#This Row],[h1]],8))</f>
        <v>0</v>
      </c>
      <c r="Q597" s="48" t="s">
        <v>75</v>
      </c>
      <c r="R597" s="48">
        <f>HEX2DEC(RIGHT(Table1323212753[[#This Row],[h2]],8))</f>
        <v>0</v>
      </c>
    </row>
    <row r="598" spans="1:18">
      <c r="A598" s="15" t="str">
        <f t="shared" si="14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8" t="s">
        <v>75</v>
      </c>
      <c r="P598" s="48">
        <f>HEX2DEC(RIGHT(Table1323212753[[#This Row],[h1]],8))</f>
        <v>0</v>
      </c>
      <c r="Q598" s="48" t="s">
        <v>75</v>
      </c>
      <c r="R598" s="48">
        <f>HEX2DEC(RIGHT(Table1323212753[[#This Row],[h2]],8))</f>
        <v>0</v>
      </c>
    </row>
    <row r="599" spans="1:18">
      <c r="A599" s="15" t="str">
        <f t="shared" si="14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8" t="s">
        <v>75</v>
      </c>
      <c r="P599" s="48">
        <f>HEX2DEC(RIGHT(Table1323212753[[#This Row],[h1]],8))</f>
        <v>0</v>
      </c>
      <c r="Q599" s="48" t="s">
        <v>75</v>
      </c>
      <c r="R599" s="48">
        <f>HEX2DEC(RIGHT(Table1323212753[[#This Row],[h2]],8))</f>
        <v>0</v>
      </c>
    </row>
    <row r="600" spans="1:18">
      <c r="A600" s="15" t="str">
        <f t="shared" si="14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8" t="s">
        <v>75</v>
      </c>
      <c r="P600" s="48">
        <f>HEX2DEC(RIGHT(Table1323212753[[#This Row],[h1]],8))</f>
        <v>0</v>
      </c>
      <c r="Q600" s="48" t="s">
        <v>75</v>
      </c>
      <c r="R600" s="48">
        <f>HEX2DEC(RIGHT(Table1323212753[[#This Row],[h2]],8))</f>
        <v>0</v>
      </c>
    </row>
    <row r="601" spans="1:18">
      <c r="A601" s="15" t="str">
        <f t="shared" si="14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8" t="s">
        <v>75</v>
      </c>
      <c r="P601" s="48">
        <f>HEX2DEC(RIGHT(Table1323212753[[#This Row],[h1]],8))</f>
        <v>0</v>
      </c>
      <c r="Q601" s="48" t="s">
        <v>75</v>
      </c>
      <c r="R601" s="48">
        <f>HEX2DEC(RIGHT(Table1323212753[[#This Row],[h2]],8))</f>
        <v>0</v>
      </c>
    </row>
    <row r="602" spans="1:18">
      <c r="A602" s="15" t="str">
        <f t="shared" si="14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8" t="s">
        <v>75</v>
      </c>
      <c r="P602" s="48">
        <f>HEX2DEC(RIGHT(Table1323212753[[#This Row],[h1]],8))</f>
        <v>0</v>
      </c>
      <c r="Q602" s="48" t="s">
        <v>75</v>
      </c>
      <c r="R602" s="48">
        <f>HEX2DEC(RIGHT(Table1323212753[[#This Row],[h2]],8))</f>
        <v>0</v>
      </c>
    </row>
    <row r="603" spans="1:18">
      <c r="A603" s="15" t="str">
        <f t="shared" si="14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8" t="s">
        <v>75</v>
      </c>
      <c r="P603" s="48">
        <f>HEX2DEC(RIGHT(Table1323212753[[#This Row],[h1]],8))</f>
        <v>0</v>
      </c>
      <c r="Q603" s="48" t="s">
        <v>75</v>
      </c>
      <c r="R603" s="48">
        <f>HEX2DEC(RIGHT(Table1323212753[[#This Row],[h2]],8))</f>
        <v>0</v>
      </c>
    </row>
    <row r="604" spans="1:18">
      <c r="A604" s="15" t="str">
        <f t="shared" si="14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8" t="s">
        <v>75</v>
      </c>
      <c r="P604" s="48">
        <f>HEX2DEC(RIGHT(Table1323212753[[#This Row],[h1]],8))</f>
        <v>0</v>
      </c>
      <c r="Q604" s="48" t="s">
        <v>75</v>
      </c>
      <c r="R604" s="48">
        <f>HEX2DEC(RIGHT(Table1323212753[[#This Row],[h2]],8))</f>
        <v>0</v>
      </c>
    </row>
    <row r="605" spans="1:18">
      <c r="A605" s="15" t="str">
        <f t="shared" si="14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8" t="s">
        <v>75</v>
      </c>
      <c r="P605" s="48">
        <f>HEX2DEC(RIGHT(Table1323212753[[#This Row],[h1]],8))</f>
        <v>0</v>
      </c>
      <c r="Q605" s="48" t="s">
        <v>75</v>
      </c>
      <c r="R605" s="48">
        <f>HEX2DEC(RIGHT(Table1323212753[[#This Row],[h2]],8))</f>
        <v>0</v>
      </c>
    </row>
    <row r="606" spans="1:18">
      <c r="A606" s="15" t="str">
        <f t="shared" si="14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8" t="s">
        <v>75</v>
      </c>
      <c r="P606" s="48">
        <f>HEX2DEC(RIGHT(Table1323212753[[#This Row],[h1]],8))</f>
        <v>0</v>
      </c>
      <c r="Q606" s="48" t="s">
        <v>75</v>
      </c>
      <c r="R606" s="48">
        <f>HEX2DEC(RIGHT(Table1323212753[[#This Row],[h2]],8))</f>
        <v>0</v>
      </c>
    </row>
    <row r="607" spans="1:18">
      <c r="A607" s="15" t="str">
        <f t="shared" si="14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8" t="s">
        <v>75</v>
      </c>
      <c r="P607" s="48">
        <f>HEX2DEC(RIGHT(Table1323212753[[#This Row],[h1]],8))</f>
        <v>0</v>
      </c>
      <c r="Q607" s="48" t="s">
        <v>75</v>
      </c>
      <c r="R607" s="48">
        <f>HEX2DEC(RIGHT(Table1323212753[[#This Row],[h2]],8))</f>
        <v>0</v>
      </c>
    </row>
    <row r="608" spans="1:18">
      <c r="A608" s="15" t="str">
        <f t="shared" si="14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8" t="s">
        <v>75</v>
      </c>
      <c r="P608" s="48">
        <f>HEX2DEC(RIGHT(Table1323212753[[#This Row],[h1]],8))</f>
        <v>0</v>
      </c>
      <c r="Q608" s="48" t="s">
        <v>75</v>
      </c>
      <c r="R608" s="48">
        <f>HEX2DEC(RIGHT(Table1323212753[[#This Row],[h2]],8))</f>
        <v>0</v>
      </c>
    </row>
    <row r="609" spans="1:18">
      <c r="A609" s="15" t="str">
        <f t="shared" si="14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8" t="s">
        <v>75</v>
      </c>
      <c r="P609" s="48">
        <f>HEX2DEC(RIGHT(Table1323212753[[#This Row],[h1]],8))</f>
        <v>0</v>
      </c>
      <c r="Q609" s="48" t="s">
        <v>75</v>
      </c>
      <c r="R609" s="48">
        <f>HEX2DEC(RIGHT(Table1323212753[[#This Row],[h2]],8))</f>
        <v>0</v>
      </c>
    </row>
    <row r="610" spans="1:18">
      <c r="A610" s="15" t="str">
        <f t="shared" si="14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8" t="s">
        <v>75</v>
      </c>
      <c r="P610" s="48">
        <f>HEX2DEC(RIGHT(Table1323212753[[#This Row],[h1]],8))</f>
        <v>0</v>
      </c>
      <c r="Q610" s="48" t="s">
        <v>75</v>
      </c>
      <c r="R610" s="48">
        <f>HEX2DEC(RIGHT(Table1323212753[[#This Row],[h2]],8))</f>
        <v>0</v>
      </c>
    </row>
    <row r="611" spans="1:18">
      <c r="A611" s="15" t="str">
        <f t="shared" si="14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8" t="s">
        <v>75</v>
      </c>
      <c r="P611" s="48">
        <f>HEX2DEC(RIGHT(Table1323212753[[#This Row],[h1]],8))</f>
        <v>0</v>
      </c>
      <c r="Q611" s="48" t="s">
        <v>75</v>
      </c>
      <c r="R611" s="48">
        <f>HEX2DEC(RIGHT(Table1323212753[[#This Row],[h2]],8))</f>
        <v>0</v>
      </c>
    </row>
    <row r="612" spans="1:18">
      <c r="A612" s="15" t="str">
        <f t="shared" si="14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8" t="s">
        <v>75</v>
      </c>
      <c r="P612" s="48">
        <f>HEX2DEC(RIGHT(Table1323212753[[#This Row],[h1]],8))</f>
        <v>0</v>
      </c>
      <c r="Q612" s="48" t="s">
        <v>75</v>
      </c>
      <c r="R612" s="48">
        <f>HEX2DEC(RIGHT(Table1323212753[[#This Row],[h2]],8))</f>
        <v>0</v>
      </c>
    </row>
    <row r="613" spans="1:18">
      <c r="A613" s="15" t="str">
        <f t="shared" si="14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8" t="s">
        <v>75</v>
      </c>
      <c r="P613" s="48">
        <f>HEX2DEC(RIGHT(Table1323212753[[#This Row],[h1]],8))</f>
        <v>0</v>
      </c>
      <c r="Q613" s="48" t="s">
        <v>75</v>
      </c>
      <c r="R613" s="48">
        <f>HEX2DEC(RIGHT(Table1323212753[[#This Row],[h2]],8))</f>
        <v>0</v>
      </c>
    </row>
    <row r="614" spans="1:18">
      <c r="A614" s="15" t="str">
        <f t="shared" si="14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8" t="s">
        <v>75</v>
      </c>
      <c r="P614" s="48">
        <f>HEX2DEC(RIGHT(Table1323212753[[#This Row],[h1]],8))</f>
        <v>0</v>
      </c>
      <c r="Q614" s="48" t="s">
        <v>75</v>
      </c>
      <c r="R614" s="48">
        <f>HEX2DEC(RIGHT(Table1323212753[[#This Row],[h2]],8))</f>
        <v>0</v>
      </c>
    </row>
    <row r="615" spans="1:18">
      <c r="A615" s="15" t="str">
        <f t="shared" si="14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8" t="s">
        <v>75</v>
      </c>
      <c r="P615" s="48">
        <f>HEX2DEC(RIGHT(Table1323212753[[#This Row],[h1]],8))</f>
        <v>0</v>
      </c>
      <c r="Q615" s="48" t="s">
        <v>75</v>
      </c>
      <c r="R615" s="48">
        <f>HEX2DEC(RIGHT(Table1323212753[[#This Row],[h2]],8))</f>
        <v>0</v>
      </c>
    </row>
    <row r="616" spans="1:18">
      <c r="A616" s="15" t="str">
        <f t="shared" si="14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8" t="s">
        <v>75</v>
      </c>
      <c r="P616" s="48">
        <f>HEX2DEC(RIGHT(Table1323212753[[#This Row],[h1]],8))</f>
        <v>0</v>
      </c>
      <c r="Q616" s="48" t="s">
        <v>75</v>
      </c>
      <c r="R616" s="48">
        <f>HEX2DEC(RIGHT(Table1323212753[[#This Row],[h2]],8))</f>
        <v>0</v>
      </c>
    </row>
    <row r="617" spans="1:18">
      <c r="A617" s="15" t="str">
        <f t="shared" si="14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8" t="s">
        <v>75</v>
      </c>
      <c r="P617" s="48">
        <f>HEX2DEC(RIGHT(Table1323212753[[#This Row],[h1]],8))</f>
        <v>0</v>
      </c>
      <c r="Q617" s="48" t="s">
        <v>75</v>
      </c>
      <c r="R617" s="48">
        <f>HEX2DEC(RIGHT(Table1323212753[[#This Row],[h2]],8))</f>
        <v>0</v>
      </c>
    </row>
    <row r="618" spans="1:18">
      <c r="A618" s="15" t="str">
        <f t="shared" si="14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8" t="s">
        <v>75</v>
      </c>
      <c r="P618" s="48">
        <f>HEX2DEC(RIGHT(Table1323212753[[#This Row],[h1]],8))</f>
        <v>0</v>
      </c>
      <c r="Q618" s="48" t="s">
        <v>75</v>
      </c>
      <c r="R618" s="48">
        <f>HEX2DEC(RIGHT(Table1323212753[[#This Row],[h2]],8))</f>
        <v>0</v>
      </c>
    </row>
    <row r="619" spans="1:18">
      <c r="A619" s="15" t="str">
        <f t="shared" si="14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8" t="s">
        <v>75</v>
      </c>
      <c r="P619" s="48">
        <f>HEX2DEC(RIGHT(Table1323212753[[#This Row],[h1]],8))</f>
        <v>0</v>
      </c>
      <c r="Q619" s="48" t="s">
        <v>75</v>
      </c>
      <c r="R619" s="48">
        <f>HEX2DEC(RIGHT(Table1323212753[[#This Row],[h2]],8))</f>
        <v>0</v>
      </c>
    </row>
    <row r="620" spans="1:18">
      <c r="A620" s="15" t="str">
        <f t="shared" si="14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8" t="s">
        <v>75</v>
      </c>
      <c r="P620" s="48">
        <f>HEX2DEC(RIGHT(Table1323212753[[#This Row],[h1]],8))</f>
        <v>0</v>
      </c>
      <c r="Q620" s="48" t="s">
        <v>75</v>
      </c>
      <c r="R620" s="48">
        <f>HEX2DEC(RIGHT(Table1323212753[[#This Row],[h2]],8))</f>
        <v>0</v>
      </c>
    </row>
    <row r="621" spans="1:18">
      <c r="A621" s="15" t="str">
        <f t="shared" si="14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8" t="s">
        <v>75</v>
      </c>
      <c r="P621" s="48">
        <f>HEX2DEC(RIGHT(Table1323212753[[#This Row],[h1]],8))</f>
        <v>0</v>
      </c>
      <c r="Q621" s="48" t="s">
        <v>75</v>
      </c>
      <c r="R621" s="48">
        <f>HEX2DEC(RIGHT(Table1323212753[[#This Row],[h2]],8))</f>
        <v>0</v>
      </c>
    </row>
    <row r="622" spans="1:18">
      <c r="A622" s="15" t="str">
        <f t="shared" si="14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8" t="s">
        <v>75</v>
      </c>
      <c r="P622" s="48">
        <f>HEX2DEC(RIGHT(Table1323212753[[#This Row],[h1]],8))</f>
        <v>0</v>
      </c>
      <c r="Q622" s="48" t="s">
        <v>75</v>
      </c>
      <c r="R622" s="48">
        <f>HEX2DEC(RIGHT(Table1323212753[[#This Row],[h2]],8))</f>
        <v>0</v>
      </c>
    </row>
    <row r="623" spans="1:18">
      <c r="A623" s="15" t="str">
        <f t="shared" si="14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8" t="s">
        <v>75</v>
      </c>
      <c r="P623" s="48">
        <f>HEX2DEC(RIGHT(Table1323212753[[#This Row],[h1]],8))</f>
        <v>0</v>
      </c>
      <c r="Q623" s="48" t="s">
        <v>75</v>
      </c>
      <c r="R623" s="48">
        <f>HEX2DEC(RIGHT(Table1323212753[[#This Row],[h2]],8))</f>
        <v>0</v>
      </c>
    </row>
    <row r="624" spans="1:18">
      <c r="A624" s="15" t="str">
        <f t="shared" si="14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8" t="s">
        <v>75</v>
      </c>
      <c r="P624" s="48">
        <f>HEX2DEC(RIGHT(Table1323212753[[#This Row],[h1]],8))</f>
        <v>0</v>
      </c>
      <c r="Q624" s="48" t="s">
        <v>75</v>
      </c>
      <c r="R624" s="48">
        <f>HEX2DEC(RIGHT(Table1323212753[[#This Row],[h2]],8))</f>
        <v>0</v>
      </c>
    </row>
    <row r="625" spans="1:18">
      <c r="A625" s="15" t="str">
        <f t="shared" si="14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8" t="s">
        <v>75</v>
      </c>
      <c r="P625" s="48">
        <f>HEX2DEC(RIGHT(Table1323212753[[#This Row],[h1]],8))</f>
        <v>0</v>
      </c>
      <c r="Q625" s="48" t="s">
        <v>75</v>
      </c>
      <c r="R625" s="48">
        <f>HEX2DEC(RIGHT(Table1323212753[[#This Row],[h2]],8))</f>
        <v>0</v>
      </c>
    </row>
    <row r="626" spans="1:18">
      <c r="A626" s="15" t="str">
        <f t="shared" si="14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8" t="s">
        <v>75</v>
      </c>
      <c r="P626" s="48">
        <f>HEX2DEC(RIGHT(Table1323212753[[#This Row],[h1]],8))</f>
        <v>0</v>
      </c>
      <c r="Q626" s="48" t="s">
        <v>75</v>
      </c>
      <c r="R626" s="48">
        <f>HEX2DEC(RIGHT(Table1323212753[[#This Row],[h2]],8))</f>
        <v>0</v>
      </c>
    </row>
    <row r="627" spans="1:18">
      <c r="A627" s="15" t="str">
        <f t="shared" si="14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8" t="s">
        <v>75</v>
      </c>
      <c r="P627" s="48">
        <f>HEX2DEC(RIGHT(Table1323212753[[#This Row],[h1]],8))</f>
        <v>0</v>
      </c>
      <c r="Q627" s="48" t="s">
        <v>75</v>
      </c>
      <c r="R627" s="48">
        <f>HEX2DEC(RIGHT(Table1323212753[[#This Row],[h2]],8))</f>
        <v>0</v>
      </c>
    </row>
    <row r="628" spans="1:18">
      <c r="A628" s="15" t="str">
        <f t="shared" si="14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8" t="s">
        <v>75</v>
      </c>
      <c r="P628" s="48">
        <f>HEX2DEC(RIGHT(Table1323212753[[#This Row],[h1]],8))</f>
        <v>0</v>
      </c>
      <c r="Q628" s="48" t="s">
        <v>75</v>
      </c>
      <c r="R628" s="48">
        <f>HEX2DEC(RIGHT(Table1323212753[[#This Row],[h2]],8))</f>
        <v>0</v>
      </c>
    </row>
    <row r="629" spans="1:18">
      <c r="A629" s="15" t="str">
        <f t="shared" si="14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8" t="s">
        <v>75</v>
      </c>
      <c r="P629" s="48">
        <f>HEX2DEC(RIGHT(Table1323212753[[#This Row],[h1]],8))</f>
        <v>0</v>
      </c>
      <c r="Q629" s="48" t="s">
        <v>75</v>
      </c>
      <c r="R629" s="48">
        <f>HEX2DEC(RIGHT(Table1323212753[[#This Row],[h2]],8))</f>
        <v>0</v>
      </c>
    </row>
    <row r="630" spans="1:18">
      <c r="A630" s="15" t="str">
        <f t="shared" si="14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8" t="s">
        <v>75</v>
      </c>
      <c r="P630" s="48">
        <f>HEX2DEC(RIGHT(Table1323212753[[#This Row],[h1]],8))</f>
        <v>0</v>
      </c>
      <c r="Q630" s="48" t="s">
        <v>75</v>
      </c>
      <c r="R630" s="48">
        <f>HEX2DEC(RIGHT(Table1323212753[[#This Row],[h2]],8))</f>
        <v>0</v>
      </c>
    </row>
    <row r="631" spans="1:18">
      <c r="A631" s="15" t="str">
        <f t="shared" si="14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8" t="s">
        <v>75</v>
      </c>
      <c r="P631" s="48">
        <f>HEX2DEC(RIGHT(Table1323212753[[#This Row],[h1]],8))</f>
        <v>0</v>
      </c>
      <c r="Q631" s="48" t="s">
        <v>75</v>
      </c>
      <c r="R631" s="48">
        <f>HEX2DEC(RIGHT(Table1323212753[[#This Row],[h2]],8))</f>
        <v>0</v>
      </c>
    </row>
    <row r="632" spans="1:18">
      <c r="A632" s="15" t="str">
        <f t="shared" si="14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8" t="s">
        <v>75</v>
      </c>
      <c r="P632" s="48">
        <f>HEX2DEC(RIGHT(Table1323212753[[#This Row],[h1]],8))</f>
        <v>0</v>
      </c>
      <c r="Q632" s="48" t="s">
        <v>75</v>
      </c>
      <c r="R632" s="48">
        <f>HEX2DEC(RIGHT(Table1323212753[[#This Row],[h2]],8))</f>
        <v>0</v>
      </c>
    </row>
    <row r="633" spans="1:18">
      <c r="A633" s="15" t="str">
        <f t="shared" si="14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8" t="s">
        <v>75</v>
      </c>
      <c r="P633" s="48">
        <f>HEX2DEC(RIGHT(Table1323212753[[#This Row],[h1]],8))</f>
        <v>0</v>
      </c>
      <c r="Q633" s="48" t="s">
        <v>75</v>
      </c>
      <c r="R633" s="48">
        <f>HEX2DEC(RIGHT(Table1323212753[[#This Row],[h2]],8))</f>
        <v>0</v>
      </c>
    </row>
    <row r="634" spans="1:18">
      <c r="A634" s="15" t="str">
        <f t="shared" si="14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8" t="s">
        <v>75</v>
      </c>
      <c r="P634" s="48">
        <f>HEX2DEC(RIGHT(Table1323212753[[#This Row],[h1]],8))</f>
        <v>0</v>
      </c>
      <c r="Q634" s="48" t="s">
        <v>75</v>
      </c>
      <c r="R634" s="48">
        <f>HEX2DEC(RIGHT(Table1323212753[[#This Row],[h2]],8))</f>
        <v>0</v>
      </c>
    </row>
    <row r="635" spans="1:18">
      <c r="A635" s="15" t="str">
        <f t="shared" si="14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8" t="s">
        <v>75</v>
      </c>
      <c r="P635" s="48">
        <f>HEX2DEC(RIGHT(Table1323212753[[#This Row],[h1]],8))</f>
        <v>0</v>
      </c>
      <c r="Q635" s="48" t="s">
        <v>75</v>
      </c>
      <c r="R635" s="48">
        <f>HEX2DEC(RIGHT(Table1323212753[[#This Row],[h2]],8))</f>
        <v>0</v>
      </c>
    </row>
    <row r="636" spans="1:18">
      <c r="A636" s="15" t="str">
        <f t="shared" si="14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8" t="s">
        <v>75</v>
      </c>
      <c r="P636" s="48">
        <f>HEX2DEC(RIGHT(Table1323212753[[#This Row],[h1]],8))</f>
        <v>0</v>
      </c>
      <c r="Q636" s="48" t="s">
        <v>75</v>
      </c>
      <c r="R636" s="48">
        <f>HEX2DEC(RIGHT(Table1323212753[[#This Row],[h2]],8))</f>
        <v>0</v>
      </c>
    </row>
    <row r="637" spans="1:18">
      <c r="A637" s="15" t="str">
        <f t="shared" si="14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8" t="s">
        <v>75</v>
      </c>
      <c r="P637" s="48">
        <f>HEX2DEC(RIGHT(Table1323212753[[#This Row],[h1]],8))</f>
        <v>0</v>
      </c>
      <c r="Q637" s="48" t="s">
        <v>75</v>
      </c>
      <c r="R637" s="48">
        <f>HEX2DEC(RIGHT(Table1323212753[[#This Row],[h2]],8))</f>
        <v>0</v>
      </c>
    </row>
    <row r="638" spans="1:18">
      <c r="A638" s="15" t="str">
        <f t="shared" si="14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8" t="s">
        <v>75</v>
      </c>
      <c r="P638" s="48">
        <f>HEX2DEC(RIGHT(Table1323212753[[#This Row],[h1]],8))</f>
        <v>0</v>
      </c>
      <c r="Q638" s="48" t="s">
        <v>75</v>
      </c>
      <c r="R638" s="48">
        <f>HEX2DEC(RIGHT(Table1323212753[[#This Row],[h2]],8))</f>
        <v>0</v>
      </c>
    </row>
    <row r="639" spans="1:18">
      <c r="A639" s="15" t="str">
        <f t="shared" si="14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8" t="s">
        <v>75</v>
      </c>
      <c r="P639" s="48">
        <f>HEX2DEC(RIGHT(Table1323212753[[#This Row],[h1]],8))</f>
        <v>0</v>
      </c>
      <c r="Q639" s="48" t="s">
        <v>75</v>
      </c>
      <c r="R639" s="48">
        <f>HEX2DEC(RIGHT(Table1323212753[[#This Row],[h2]],8))</f>
        <v>0</v>
      </c>
    </row>
    <row r="640" spans="1:18">
      <c r="A640" s="15" t="str">
        <f t="shared" si="14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8" t="s">
        <v>75</v>
      </c>
      <c r="P640" s="48">
        <f>HEX2DEC(RIGHT(Table1323212753[[#This Row],[h1]],8))</f>
        <v>0</v>
      </c>
      <c r="Q640" s="48" t="s">
        <v>75</v>
      </c>
      <c r="R640" s="48">
        <f>HEX2DEC(RIGHT(Table1323212753[[#This Row],[h2]],8))</f>
        <v>0</v>
      </c>
    </row>
    <row r="641" spans="1:18">
      <c r="A641" s="15" t="str">
        <f t="shared" si="14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8" t="s">
        <v>75</v>
      </c>
      <c r="P641" s="48">
        <f>HEX2DEC(RIGHT(Table1323212753[[#This Row],[h1]],8))</f>
        <v>0</v>
      </c>
      <c r="Q641" s="48" t="s">
        <v>75</v>
      </c>
      <c r="R641" s="48">
        <f>HEX2DEC(RIGHT(Table1323212753[[#This Row],[h2]],8))</f>
        <v>0</v>
      </c>
    </row>
    <row r="642" spans="1:18">
      <c r="A642" s="15" t="str">
        <f t="shared" si="14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8" t="s">
        <v>75</v>
      </c>
      <c r="P642" s="48">
        <f>HEX2DEC(RIGHT(Table1323212753[[#This Row],[h1]],8))</f>
        <v>0</v>
      </c>
      <c r="Q642" s="48" t="s">
        <v>75</v>
      </c>
      <c r="R642" s="48">
        <f>HEX2DEC(RIGHT(Table1323212753[[#This Row],[h2]],8))</f>
        <v>0</v>
      </c>
    </row>
    <row r="643" spans="1:18">
      <c r="A643" s="15" t="str">
        <f t="shared" si="14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8" t="s">
        <v>75</v>
      </c>
      <c r="P643" s="48">
        <f>HEX2DEC(RIGHT(Table1323212753[[#This Row],[h1]],8))</f>
        <v>0</v>
      </c>
      <c r="Q643" s="48" t="s">
        <v>75</v>
      </c>
      <c r="R643" s="48">
        <f>HEX2DEC(RIGHT(Table1323212753[[#This Row],[h2]],8))</f>
        <v>0</v>
      </c>
    </row>
    <row r="644" spans="1:18">
      <c r="A644" s="15" t="str">
        <f t="shared" si="14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8" t="s">
        <v>75</v>
      </c>
      <c r="P644" s="48">
        <f>HEX2DEC(RIGHT(Table1323212753[[#This Row],[h1]],8))</f>
        <v>0</v>
      </c>
      <c r="Q644" s="48" t="s">
        <v>75</v>
      </c>
      <c r="R644" s="48">
        <f>HEX2DEC(RIGHT(Table1323212753[[#This Row],[h2]],8))</f>
        <v>0</v>
      </c>
    </row>
    <row r="645" spans="1:18">
      <c r="A645" s="15" t="str">
        <f t="shared" si="14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8" t="s">
        <v>75</v>
      </c>
      <c r="P645" s="48">
        <f>HEX2DEC(RIGHT(Table1323212753[[#This Row],[h1]],8))</f>
        <v>0</v>
      </c>
      <c r="Q645" s="48" t="s">
        <v>75</v>
      </c>
      <c r="R645" s="48">
        <f>HEX2DEC(RIGHT(Table1323212753[[#This Row],[h2]],8))</f>
        <v>0</v>
      </c>
    </row>
    <row r="646" spans="1:18">
      <c r="A646" s="15" t="str">
        <f t="shared" si="14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8" t="s">
        <v>75</v>
      </c>
      <c r="P646" s="48">
        <f>HEX2DEC(RIGHT(Table1323212753[[#This Row],[h1]],8))</f>
        <v>0</v>
      </c>
      <c r="Q646" s="48" t="s">
        <v>75</v>
      </c>
      <c r="R646" s="48">
        <f>HEX2DEC(RIGHT(Table1323212753[[#This Row],[h2]],8))</f>
        <v>0</v>
      </c>
    </row>
    <row r="647" spans="1:18">
      <c r="A647" s="15" t="str">
        <f t="shared" si="14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8" t="s">
        <v>75</v>
      </c>
      <c r="P647" s="48">
        <f>HEX2DEC(RIGHT(Table1323212753[[#This Row],[h1]],8))</f>
        <v>0</v>
      </c>
      <c r="Q647" s="48" t="s">
        <v>75</v>
      </c>
      <c r="R647" s="48">
        <f>HEX2DEC(RIGHT(Table1323212753[[#This Row],[h2]],8))</f>
        <v>0</v>
      </c>
    </row>
    <row r="648" spans="1:18">
      <c r="A648" s="15" t="str">
        <f t="shared" si="14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8" t="s">
        <v>75</v>
      </c>
      <c r="P648" s="48">
        <f>HEX2DEC(RIGHT(Table1323212753[[#This Row],[h1]],8))</f>
        <v>0</v>
      </c>
      <c r="Q648" s="48" t="s">
        <v>75</v>
      </c>
      <c r="R648" s="48">
        <f>HEX2DEC(RIGHT(Table1323212753[[#This Row],[h2]],8))</f>
        <v>0</v>
      </c>
    </row>
    <row r="649" spans="1:18">
      <c r="A649" s="15" t="str">
        <f t="shared" si="14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8" t="s">
        <v>75</v>
      </c>
      <c r="P649" s="48">
        <f>HEX2DEC(RIGHT(Table1323212753[[#This Row],[h1]],8))</f>
        <v>0</v>
      </c>
      <c r="Q649" s="48" t="s">
        <v>75</v>
      </c>
      <c r="R649" s="48">
        <f>HEX2DEC(RIGHT(Table1323212753[[#This Row],[h2]],8))</f>
        <v>0</v>
      </c>
    </row>
    <row r="650" spans="1:18">
      <c r="A650" s="15" t="str">
        <f t="shared" si="14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8" t="s">
        <v>75</v>
      </c>
      <c r="P650" s="48">
        <f>HEX2DEC(RIGHT(Table1323212753[[#This Row],[h1]],8))</f>
        <v>0</v>
      </c>
      <c r="Q650" s="48" t="s">
        <v>75</v>
      </c>
      <c r="R650" s="48">
        <f>HEX2DEC(RIGHT(Table1323212753[[#This Row],[h2]],8))</f>
        <v>0</v>
      </c>
    </row>
    <row r="651" spans="1:18">
      <c r="A651" s="15" t="str">
        <f t="shared" ref="A651:A714" si="15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8" t="s">
        <v>75</v>
      </c>
      <c r="P651" s="48">
        <f>HEX2DEC(RIGHT(Table1323212753[[#This Row],[h1]],8))</f>
        <v>0</v>
      </c>
      <c r="Q651" s="48" t="s">
        <v>75</v>
      </c>
      <c r="R651" s="48">
        <f>HEX2DEC(RIGHT(Table1323212753[[#This Row],[h2]],8))</f>
        <v>0</v>
      </c>
    </row>
    <row r="652" spans="1:18">
      <c r="A652" s="15" t="str">
        <f t="shared" si="15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8" t="s">
        <v>75</v>
      </c>
      <c r="P652" s="48">
        <f>HEX2DEC(RIGHT(Table1323212753[[#This Row],[h1]],8))</f>
        <v>0</v>
      </c>
      <c r="Q652" s="48" t="s">
        <v>75</v>
      </c>
      <c r="R652" s="48">
        <f>HEX2DEC(RIGHT(Table1323212753[[#This Row],[h2]],8))</f>
        <v>0</v>
      </c>
    </row>
    <row r="653" spans="1:18">
      <c r="A653" s="15" t="str">
        <f t="shared" si="15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8" t="s">
        <v>75</v>
      </c>
      <c r="P653" s="48">
        <f>HEX2DEC(RIGHT(Table1323212753[[#This Row],[h1]],8))</f>
        <v>0</v>
      </c>
      <c r="Q653" s="48" t="s">
        <v>75</v>
      </c>
      <c r="R653" s="48">
        <f>HEX2DEC(RIGHT(Table1323212753[[#This Row],[h2]],8))</f>
        <v>0</v>
      </c>
    </row>
    <row r="654" spans="1:18">
      <c r="A654" s="15" t="str">
        <f t="shared" si="15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8" t="s">
        <v>75</v>
      </c>
      <c r="P654" s="48">
        <f>HEX2DEC(RIGHT(Table1323212753[[#This Row],[h1]],8))</f>
        <v>0</v>
      </c>
      <c r="Q654" s="48" t="s">
        <v>75</v>
      </c>
      <c r="R654" s="48">
        <f>HEX2DEC(RIGHT(Table1323212753[[#This Row],[h2]],8))</f>
        <v>0</v>
      </c>
    </row>
    <row r="655" spans="1:18">
      <c r="A655" s="15" t="str">
        <f t="shared" si="15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8" t="s">
        <v>75</v>
      </c>
      <c r="P655" s="48">
        <f>HEX2DEC(RIGHT(Table1323212753[[#This Row],[h1]],8))</f>
        <v>0</v>
      </c>
      <c r="Q655" s="48" t="s">
        <v>75</v>
      </c>
      <c r="R655" s="48">
        <f>HEX2DEC(RIGHT(Table1323212753[[#This Row],[h2]],8))</f>
        <v>0</v>
      </c>
    </row>
    <row r="656" spans="1:18">
      <c r="A656" s="15" t="str">
        <f t="shared" si="15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8" t="s">
        <v>75</v>
      </c>
      <c r="P656" s="48">
        <f>HEX2DEC(RIGHT(Table1323212753[[#This Row],[h1]],8))</f>
        <v>0</v>
      </c>
      <c r="Q656" s="48" t="s">
        <v>75</v>
      </c>
      <c r="R656" s="48">
        <f>HEX2DEC(RIGHT(Table1323212753[[#This Row],[h2]],8))</f>
        <v>0</v>
      </c>
    </row>
    <row r="657" spans="1:18">
      <c r="A657" s="15" t="str">
        <f t="shared" si="15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8" t="s">
        <v>75</v>
      </c>
      <c r="P657" s="48">
        <f>HEX2DEC(RIGHT(Table1323212753[[#This Row],[h1]],8))</f>
        <v>0</v>
      </c>
      <c r="Q657" s="48" t="s">
        <v>75</v>
      </c>
      <c r="R657" s="48">
        <f>HEX2DEC(RIGHT(Table1323212753[[#This Row],[h2]],8))</f>
        <v>0</v>
      </c>
    </row>
    <row r="658" spans="1:18">
      <c r="A658" s="15" t="str">
        <f t="shared" si="15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8" t="s">
        <v>75</v>
      </c>
      <c r="P658" s="48">
        <f>HEX2DEC(RIGHT(Table1323212753[[#This Row],[h1]],8))</f>
        <v>0</v>
      </c>
      <c r="Q658" s="48" t="s">
        <v>75</v>
      </c>
      <c r="R658" s="48">
        <f>HEX2DEC(RIGHT(Table1323212753[[#This Row],[h2]],8))</f>
        <v>0</v>
      </c>
    </row>
    <row r="659" spans="1:18">
      <c r="A659" s="15" t="str">
        <f t="shared" si="15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8" t="s">
        <v>75</v>
      </c>
      <c r="P659" s="48">
        <f>HEX2DEC(RIGHT(Table1323212753[[#This Row],[h1]],8))</f>
        <v>0</v>
      </c>
      <c r="Q659" s="48" t="s">
        <v>75</v>
      </c>
      <c r="R659" s="48">
        <f>HEX2DEC(RIGHT(Table1323212753[[#This Row],[h2]],8))</f>
        <v>0</v>
      </c>
    </row>
    <row r="660" spans="1:18">
      <c r="A660" s="15" t="str">
        <f t="shared" si="15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8" t="s">
        <v>75</v>
      </c>
      <c r="P660" s="48">
        <f>HEX2DEC(RIGHT(Table1323212753[[#This Row],[h1]],8))</f>
        <v>0</v>
      </c>
      <c r="Q660" s="48" t="s">
        <v>75</v>
      </c>
      <c r="R660" s="48">
        <f>HEX2DEC(RIGHT(Table1323212753[[#This Row],[h2]],8))</f>
        <v>0</v>
      </c>
    </row>
    <row r="661" spans="1:18">
      <c r="A661" s="15" t="str">
        <f t="shared" si="15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8" t="s">
        <v>75</v>
      </c>
      <c r="P661" s="48">
        <f>HEX2DEC(RIGHT(Table1323212753[[#This Row],[h1]],8))</f>
        <v>0</v>
      </c>
      <c r="Q661" s="48" t="s">
        <v>75</v>
      </c>
      <c r="R661" s="48">
        <f>HEX2DEC(RIGHT(Table1323212753[[#This Row],[h2]],8))</f>
        <v>0</v>
      </c>
    </row>
    <row r="662" spans="1:18">
      <c r="A662" s="15" t="str">
        <f t="shared" si="15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8" t="s">
        <v>75</v>
      </c>
      <c r="P662" s="48">
        <f>HEX2DEC(RIGHT(Table1323212753[[#This Row],[h1]],8))</f>
        <v>0</v>
      </c>
      <c r="Q662" s="48" t="s">
        <v>75</v>
      </c>
      <c r="R662" s="48">
        <f>HEX2DEC(RIGHT(Table1323212753[[#This Row],[h2]],8))</f>
        <v>0</v>
      </c>
    </row>
    <row r="663" spans="1:18">
      <c r="A663" s="15" t="str">
        <f t="shared" si="15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8" t="s">
        <v>75</v>
      </c>
      <c r="P663" s="48">
        <f>HEX2DEC(RIGHT(Table1323212753[[#This Row],[h1]],8))</f>
        <v>0</v>
      </c>
      <c r="Q663" s="48" t="s">
        <v>75</v>
      </c>
      <c r="R663" s="48">
        <f>HEX2DEC(RIGHT(Table1323212753[[#This Row],[h2]],8))</f>
        <v>0</v>
      </c>
    </row>
    <row r="664" spans="1:18">
      <c r="A664" s="15" t="str">
        <f t="shared" si="15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8" t="s">
        <v>75</v>
      </c>
      <c r="P664" s="48">
        <f>HEX2DEC(RIGHT(Table1323212753[[#This Row],[h1]],8))</f>
        <v>0</v>
      </c>
      <c r="Q664" s="48" t="s">
        <v>75</v>
      </c>
      <c r="R664" s="48">
        <f>HEX2DEC(RIGHT(Table1323212753[[#This Row],[h2]],8))</f>
        <v>0</v>
      </c>
    </row>
    <row r="665" spans="1:18">
      <c r="A665" s="15" t="str">
        <f t="shared" si="15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8" t="s">
        <v>75</v>
      </c>
      <c r="P665" s="48">
        <f>HEX2DEC(RIGHT(Table1323212753[[#This Row],[h1]],8))</f>
        <v>0</v>
      </c>
      <c r="Q665" s="48" t="s">
        <v>75</v>
      </c>
      <c r="R665" s="48">
        <f>HEX2DEC(RIGHT(Table1323212753[[#This Row],[h2]],8))</f>
        <v>0</v>
      </c>
    </row>
    <row r="666" spans="1:18">
      <c r="A666" s="15" t="str">
        <f t="shared" si="15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8" t="s">
        <v>75</v>
      </c>
      <c r="P666" s="48">
        <f>HEX2DEC(RIGHT(Table1323212753[[#This Row],[h1]],8))</f>
        <v>0</v>
      </c>
      <c r="Q666" s="48" t="s">
        <v>75</v>
      </c>
      <c r="R666" s="48">
        <f>HEX2DEC(RIGHT(Table1323212753[[#This Row],[h2]],8))</f>
        <v>0</v>
      </c>
    </row>
    <row r="667" spans="1:18">
      <c r="A667" s="15" t="str">
        <f t="shared" si="15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8" t="s">
        <v>75</v>
      </c>
      <c r="P667" s="48">
        <f>HEX2DEC(RIGHT(Table1323212753[[#This Row],[h1]],8))</f>
        <v>0</v>
      </c>
      <c r="Q667" s="48" t="s">
        <v>75</v>
      </c>
      <c r="R667" s="48">
        <f>HEX2DEC(RIGHT(Table1323212753[[#This Row],[h2]],8))</f>
        <v>0</v>
      </c>
    </row>
    <row r="668" spans="1:18">
      <c r="A668" s="15" t="str">
        <f t="shared" si="15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8" t="s">
        <v>75</v>
      </c>
      <c r="P668" s="48">
        <f>HEX2DEC(RIGHT(Table1323212753[[#This Row],[h1]],8))</f>
        <v>0</v>
      </c>
      <c r="Q668" s="48" t="s">
        <v>75</v>
      </c>
      <c r="R668" s="48">
        <f>HEX2DEC(RIGHT(Table1323212753[[#This Row],[h2]],8))</f>
        <v>0</v>
      </c>
    </row>
    <row r="669" spans="1:18">
      <c r="A669" s="15" t="str">
        <f t="shared" si="15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8" t="s">
        <v>75</v>
      </c>
      <c r="P669" s="48">
        <f>HEX2DEC(RIGHT(Table1323212753[[#This Row],[h1]],8))</f>
        <v>0</v>
      </c>
      <c r="Q669" s="48" t="s">
        <v>75</v>
      </c>
      <c r="R669" s="48">
        <f>HEX2DEC(RIGHT(Table1323212753[[#This Row],[h2]],8))</f>
        <v>0</v>
      </c>
    </row>
    <row r="670" spans="1:18">
      <c r="A670" s="15" t="str">
        <f t="shared" si="15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8" t="s">
        <v>75</v>
      </c>
      <c r="P670" s="48">
        <f>HEX2DEC(RIGHT(Table1323212753[[#This Row],[h1]],8))</f>
        <v>0</v>
      </c>
      <c r="Q670" s="48" t="s">
        <v>75</v>
      </c>
      <c r="R670" s="48">
        <f>HEX2DEC(RIGHT(Table1323212753[[#This Row],[h2]],8))</f>
        <v>0</v>
      </c>
    </row>
    <row r="671" spans="1:18">
      <c r="A671" s="15" t="str">
        <f t="shared" si="15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8" t="s">
        <v>75</v>
      </c>
      <c r="P671" s="48">
        <f>HEX2DEC(RIGHT(Table1323212753[[#This Row],[h1]],8))</f>
        <v>0</v>
      </c>
      <c r="Q671" s="48" t="s">
        <v>75</v>
      </c>
      <c r="R671" s="48">
        <f>HEX2DEC(RIGHT(Table1323212753[[#This Row],[h2]],8))</f>
        <v>0</v>
      </c>
    </row>
    <row r="672" spans="1:18">
      <c r="A672" s="15" t="str">
        <f t="shared" si="15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8" t="s">
        <v>75</v>
      </c>
      <c r="P672" s="48">
        <f>HEX2DEC(RIGHT(Table1323212753[[#This Row],[h1]],8))</f>
        <v>0</v>
      </c>
      <c r="Q672" s="48" t="s">
        <v>75</v>
      </c>
      <c r="R672" s="48">
        <f>HEX2DEC(RIGHT(Table1323212753[[#This Row],[h2]],8))</f>
        <v>0</v>
      </c>
    </row>
    <row r="673" spans="1:18">
      <c r="A673" s="15" t="str">
        <f t="shared" si="15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8" t="s">
        <v>75</v>
      </c>
      <c r="P673" s="48">
        <f>HEX2DEC(RIGHT(Table1323212753[[#This Row],[h1]],8))</f>
        <v>0</v>
      </c>
      <c r="Q673" s="48" t="s">
        <v>75</v>
      </c>
      <c r="R673" s="48">
        <f>HEX2DEC(RIGHT(Table1323212753[[#This Row],[h2]],8))</f>
        <v>0</v>
      </c>
    </row>
    <row r="674" spans="1:18">
      <c r="A674" s="15" t="str">
        <f t="shared" si="15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8" t="s">
        <v>75</v>
      </c>
      <c r="P674" s="48">
        <f>HEX2DEC(RIGHT(Table1323212753[[#This Row],[h1]],8))</f>
        <v>0</v>
      </c>
      <c r="Q674" s="48" t="s">
        <v>75</v>
      </c>
      <c r="R674" s="48">
        <f>HEX2DEC(RIGHT(Table1323212753[[#This Row],[h2]],8))</f>
        <v>0</v>
      </c>
    </row>
    <row r="675" spans="1:18">
      <c r="A675" s="15" t="str">
        <f t="shared" si="15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8" t="s">
        <v>75</v>
      </c>
      <c r="P675" s="48">
        <f>HEX2DEC(RIGHT(Table1323212753[[#This Row],[h1]],8))</f>
        <v>0</v>
      </c>
      <c r="Q675" s="48" t="s">
        <v>75</v>
      </c>
      <c r="R675" s="48">
        <f>HEX2DEC(RIGHT(Table1323212753[[#This Row],[h2]],8))</f>
        <v>0</v>
      </c>
    </row>
    <row r="676" spans="1:18">
      <c r="A676" s="15" t="str">
        <f t="shared" si="15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8" t="s">
        <v>75</v>
      </c>
      <c r="P676" s="48">
        <f>HEX2DEC(RIGHT(Table1323212753[[#This Row],[h1]],8))</f>
        <v>0</v>
      </c>
      <c r="Q676" s="48" t="s">
        <v>75</v>
      </c>
      <c r="R676" s="48">
        <f>HEX2DEC(RIGHT(Table1323212753[[#This Row],[h2]],8))</f>
        <v>0</v>
      </c>
    </row>
    <row r="677" spans="1:18">
      <c r="A677" s="15" t="str">
        <f t="shared" si="15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8" t="s">
        <v>75</v>
      </c>
      <c r="P677" s="48">
        <f>HEX2DEC(RIGHT(Table1323212753[[#This Row],[h1]],8))</f>
        <v>0</v>
      </c>
      <c r="Q677" s="48" t="s">
        <v>75</v>
      </c>
      <c r="R677" s="48">
        <f>HEX2DEC(RIGHT(Table1323212753[[#This Row],[h2]],8))</f>
        <v>0</v>
      </c>
    </row>
    <row r="678" spans="1:18">
      <c r="A678" s="15" t="str">
        <f t="shared" si="15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8" t="s">
        <v>75</v>
      </c>
      <c r="P678" s="48">
        <f>HEX2DEC(RIGHT(Table1323212753[[#This Row],[h1]],8))</f>
        <v>0</v>
      </c>
      <c r="Q678" s="48" t="s">
        <v>75</v>
      </c>
      <c r="R678" s="48">
        <f>HEX2DEC(RIGHT(Table1323212753[[#This Row],[h2]],8))</f>
        <v>0</v>
      </c>
    </row>
    <row r="679" spans="1:18">
      <c r="A679" s="15" t="str">
        <f t="shared" si="15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8" t="s">
        <v>75</v>
      </c>
      <c r="P679" s="48">
        <f>HEX2DEC(RIGHT(Table1323212753[[#This Row],[h1]],8))</f>
        <v>0</v>
      </c>
      <c r="Q679" s="48" t="s">
        <v>75</v>
      </c>
      <c r="R679" s="48">
        <f>HEX2DEC(RIGHT(Table1323212753[[#This Row],[h2]],8))</f>
        <v>0</v>
      </c>
    </row>
    <row r="680" spans="1:18">
      <c r="A680" s="15" t="str">
        <f t="shared" si="15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8" t="s">
        <v>75</v>
      </c>
      <c r="P680" s="48">
        <f>HEX2DEC(RIGHT(Table1323212753[[#This Row],[h1]],8))</f>
        <v>0</v>
      </c>
      <c r="Q680" s="48" t="s">
        <v>75</v>
      </c>
      <c r="R680" s="48">
        <f>HEX2DEC(RIGHT(Table1323212753[[#This Row],[h2]],8))</f>
        <v>0</v>
      </c>
    </row>
    <row r="681" spans="1:18">
      <c r="A681" s="15" t="str">
        <f t="shared" si="15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8" t="s">
        <v>75</v>
      </c>
      <c r="P681" s="48">
        <f>HEX2DEC(RIGHT(Table1323212753[[#This Row],[h1]],8))</f>
        <v>0</v>
      </c>
      <c r="Q681" s="48" t="s">
        <v>75</v>
      </c>
      <c r="R681" s="48">
        <f>HEX2DEC(RIGHT(Table1323212753[[#This Row],[h2]],8))</f>
        <v>0</v>
      </c>
    </row>
    <row r="682" spans="1:18">
      <c r="A682" s="15" t="str">
        <f t="shared" si="15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8" t="s">
        <v>75</v>
      </c>
      <c r="P682" s="48">
        <f>HEX2DEC(RIGHT(Table1323212753[[#This Row],[h1]],8))</f>
        <v>0</v>
      </c>
      <c r="Q682" s="48" t="s">
        <v>75</v>
      </c>
      <c r="R682" s="48">
        <f>HEX2DEC(RIGHT(Table1323212753[[#This Row],[h2]],8))</f>
        <v>0</v>
      </c>
    </row>
    <row r="683" spans="1:18">
      <c r="A683" s="15" t="str">
        <f t="shared" si="15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8" t="s">
        <v>75</v>
      </c>
      <c r="P683" s="48">
        <f>HEX2DEC(RIGHT(Table1323212753[[#This Row],[h1]],8))</f>
        <v>0</v>
      </c>
      <c r="Q683" s="48" t="s">
        <v>75</v>
      </c>
      <c r="R683" s="48">
        <f>HEX2DEC(RIGHT(Table1323212753[[#This Row],[h2]],8))</f>
        <v>0</v>
      </c>
    </row>
    <row r="684" spans="1:18">
      <c r="A684" s="15" t="str">
        <f t="shared" si="15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8" t="s">
        <v>75</v>
      </c>
      <c r="P684" s="48">
        <f>HEX2DEC(RIGHT(Table1323212753[[#This Row],[h1]],8))</f>
        <v>0</v>
      </c>
      <c r="Q684" s="48" t="s">
        <v>75</v>
      </c>
      <c r="R684" s="48">
        <f>HEX2DEC(RIGHT(Table1323212753[[#This Row],[h2]],8))</f>
        <v>0</v>
      </c>
    </row>
    <row r="685" spans="1:18">
      <c r="A685" s="15" t="str">
        <f t="shared" si="15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8" t="s">
        <v>75</v>
      </c>
      <c r="P685" s="48">
        <f>HEX2DEC(RIGHT(Table1323212753[[#This Row],[h1]],8))</f>
        <v>0</v>
      </c>
      <c r="Q685" s="48" t="s">
        <v>75</v>
      </c>
      <c r="R685" s="48">
        <f>HEX2DEC(RIGHT(Table1323212753[[#This Row],[h2]],8))</f>
        <v>0</v>
      </c>
    </row>
    <row r="686" spans="1:18">
      <c r="A686" s="15" t="str">
        <f t="shared" si="15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8" t="s">
        <v>75</v>
      </c>
      <c r="P686" s="48">
        <f>HEX2DEC(RIGHT(Table1323212753[[#This Row],[h1]],8))</f>
        <v>0</v>
      </c>
      <c r="Q686" s="48" t="s">
        <v>75</v>
      </c>
      <c r="R686" s="48">
        <f>HEX2DEC(RIGHT(Table1323212753[[#This Row],[h2]],8))</f>
        <v>0</v>
      </c>
    </row>
    <row r="687" spans="1:18">
      <c r="A687" s="15" t="str">
        <f t="shared" si="15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8" t="s">
        <v>75</v>
      </c>
      <c r="P687" s="48">
        <f>HEX2DEC(RIGHT(Table1323212753[[#This Row],[h1]],8))</f>
        <v>0</v>
      </c>
      <c r="Q687" s="48" t="s">
        <v>75</v>
      </c>
      <c r="R687" s="48">
        <f>HEX2DEC(RIGHT(Table1323212753[[#This Row],[h2]],8))</f>
        <v>0</v>
      </c>
    </row>
    <row r="688" spans="1:18">
      <c r="A688" s="15" t="str">
        <f t="shared" si="15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8" t="s">
        <v>75</v>
      </c>
      <c r="P688" s="48">
        <f>HEX2DEC(RIGHT(Table1323212753[[#This Row],[h1]],8))</f>
        <v>0</v>
      </c>
      <c r="Q688" s="48" t="s">
        <v>75</v>
      </c>
      <c r="R688" s="48">
        <f>HEX2DEC(RIGHT(Table1323212753[[#This Row],[h2]],8))</f>
        <v>0</v>
      </c>
    </row>
    <row r="689" spans="1:18">
      <c r="A689" s="15" t="str">
        <f t="shared" si="15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8" t="s">
        <v>75</v>
      </c>
      <c r="P689" s="48">
        <f>HEX2DEC(RIGHT(Table1323212753[[#This Row],[h1]],8))</f>
        <v>0</v>
      </c>
      <c r="Q689" s="48" t="s">
        <v>75</v>
      </c>
      <c r="R689" s="48">
        <f>HEX2DEC(RIGHT(Table1323212753[[#This Row],[h2]],8))</f>
        <v>0</v>
      </c>
    </row>
    <row r="690" spans="1:18">
      <c r="A690" s="15" t="str">
        <f t="shared" si="15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8" t="s">
        <v>75</v>
      </c>
      <c r="P690" s="48">
        <f>HEX2DEC(RIGHT(Table1323212753[[#This Row],[h1]],8))</f>
        <v>0</v>
      </c>
      <c r="Q690" s="48" t="s">
        <v>75</v>
      </c>
      <c r="R690" s="48">
        <f>HEX2DEC(RIGHT(Table1323212753[[#This Row],[h2]],8))</f>
        <v>0</v>
      </c>
    </row>
    <row r="691" spans="1:18">
      <c r="A691" s="15" t="str">
        <f t="shared" si="15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8" t="s">
        <v>75</v>
      </c>
      <c r="P691" s="48">
        <f>HEX2DEC(RIGHT(Table1323212753[[#This Row],[h1]],8))</f>
        <v>0</v>
      </c>
      <c r="Q691" s="48" t="s">
        <v>75</v>
      </c>
      <c r="R691" s="48">
        <f>HEX2DEC(RIGHT(Table1323212753[[#This Row],[h2]],8))</f>
        <v>0</v>
      </c>
    </row>
    <row r="692" spans="1:18">
      <c r="A692" s="15" t="str">
        <f t="shared" si="15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8" t="s">
        <v>75</v>
      </c>
      <c r="P692" s="48">
        <f>HEX2DEC(RIGHT(Table1323212753[[#This Row],[h1]],8))</f>
        <v>0</v>
      </c>
      <c r="Q692" s="48" t="s">
        <v>75</v>
      </c>
      <c r="R692" s="48">
        <f>HEX2DEC(RIGHT(Table1323212753[[#This Row],[h2]],8))</f>
        <v>0</v>
      </c>
    </row>
    <row r="693" spans="1:18">
      <c r="A693" s="15" t="str">
        <f t="shared" si="15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8" t="s">
        <v>75</v>
      </c>
      <c r="P693" s="48">
        <f>HEX2DEC(RIGHT(Table1323212753[[#This Row],[h1]],8))</f>
        <v>0</v>
      </c>
      <c r="Q693" s="48" t="s">
        <v>75</v>
      </c>
      <c r="R693" s="48">
        <f>HEX2DEC(RIGHT(Table1323212753[[#This Row],[h2]],8))</f>
        <v>0</v>
      </c>
    </row>
    <row r="694" spans="1:18">
      <c r="A694" s="15" t="str">
        <f t="shared" si="15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8" t="s">
        <v>75</v>
      </c>
      <c r="P694" s="48">
        <f>HEX2DEC(RIGHT(Table1323212753[[#This Row],[h1]],8))</f>
        <v>0</v>
      </c>
      <c r="Q694" s="48" t="s">
        <v>75</v>
      </c>
      <c r="R694" s="48">
        <f>HEX2DEC(RIGHT(Table1323212753[[#This Row],[h2]],8))</f>
        <v>0</v>
      </c>
    </row>
    <row r="695" spans="1:18">
      <c r="A695" s="15" t="str">
        <f t="shared" si="15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8" t="s">
        <v>75</v>
      </c>
      <c r="P695" s="48">
        <f>HEX2DEC(RIGHT(Table1323212753[[#This Row],[h1]],8))</f>
        <v>0</v>
      </c>
      <c r="Q695" s="48" t="s">
        <v>75</v>
      </c>
      <c r="R695" s="48">
        <f>HEX2DEC(RIGHT(Table1323212753[[#This Row],[h2]],8))</f>
        <v>0</v>
      </c>
    </row>
    <row r="696" spans="1:18">
      <c r="A696" s="15" t="str">
        <f t="shared" si="15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8" t="s">
        <v>75</v>
      </c>
      <c r="P696" s="48">
        <f>HEX2DEC(RIGHT(Table1323212753[[#This Row],[h1]],8))</f>
        <v>0</v>
      </c>
      <c r="Q696" s="48" t="s">
        <v>75</v>
      </c>
      <c r="R696" s="48">
        <f>HEX2DEC(RIGHT(Table1323212753[[#This Row],[h2]],8))</f>
        <v>0</v>
      </c>
    </row>
    <row r="697" spans="1:18">
      <c r="A697" s="15" t="str">
        <f t="shared" si="15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8" t="s">
        <v>75</v>
      </c>
      <c r="P697" s="48">
        <f>HEX2DEC(RIGHT(Table1323212753[[#This Row],[h1]],8))</f>
        <v>0</v>
      </c>
      <c r="Q697" s="48" t="s">
        <v>75</v>
      </c>
      <c r="R697" s="48">
        <f>HEX2DEC(RIGHT(Table1323212753[[#This Row],[h2]],8))</f>
        <v>0</v>
      </c>
    </row>
    <row r="698" spans="1:18">
      <c r="A698" s="15" t="str">
        <f t="shared" si="15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8" t="s">
        <v>75</v>
      </c>
      <c r="P698" s="48">
        <f>HEX2DEC(RIGHT(Table1323212753[[#This Row],[h1]],8))</f>
        <v>0</v>
      </c>
      <c r="Q698" s="48" t="s">
        <v>75</v>
      </c>
      <c r="R698" s="48">
        <f>HEX2DEC(RIGHT(Table1323212753[[#This Row],[h2]],8))</f>
        <v>0</v>
      </c>
    </row>
    <row r="699" spans="1:18">
      <c r="A699" s="15" t="str">
        <f t="shared" si="15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8" t="s">
        <v>75</v>
      </c>
      <c r="P699" s="48">
        <f>HEX2DEC(RIGHT(Table1323212753[[#This Row],[h1]],8))</f>
        <v>0</v>
      </c>
      <c r="Q699" s="48" t="s">
        <v>75</v>
      </c>
      <c r="R699" s="48">
        <f>HEX2DEC(RIGHT(Table1323212753[[#This Row],[h2]],8))</f>
        <v>0</v>
      </c>
    </row>
    <row r="700" spans="1:18">
      <c r="A700" s="15" t="str">
        <f t="shared" si="15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8" t="s">
        <v>75</v>
      </c>
      <c r="P700" s="48">
        <f>HEX2DEC(RIGHT(Table1323212753[[#This Row],[h1]],8))</f>
        <v>0</v>
      </c>
      <c r="Q700" s="48" t="s">
        <v>75</v>
      </c>
      <c r="R700" s="48">
        <f>HEX2DEC(RIGHT(Table1323212753[[#This Row],[h2]],8))</f>
        <v>0</v>
      </c>
    </row>
    <row r="701" spans="1:18">
      <c r="A701" s="15" t="str">
        <f t="shared" si="15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8" t="s">
        <v>75</v>
      </c>
      <c r="P701" s="48">
        <f>HEX2DEC(RIGHT(Table1323212753[[#This Row],[h1]],8))</f>
        <v>0</v>
      </c>
      <c r="Q701" s="48" t="s">
        <v>75</v>
      </c>
      <c r="R701" s="48">
        <f>HEX2DEC(RIGHT(Table1323212753[[#This Row],[h2]],8))</f>
        <v>0</v>
      </c>
    </row>
    <row r="702" spans="1:18">
      <c r="A702" s="15" t="str">
        <f t="shared" si="15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8" t="s">
        <v>75</v>
      </c>
      <c r="P702" s="48">
        <f>HEX2DEC(RIGHT(Table1323212753[[#This Row],[h1]],8))</f>
        <v>0</v>
      </c>
      <c r="Q702" s="48" t="s">
        <v>75</v>
      </c>
      <c r="R702" s="48">
        <f>HEX2DEC(RIGHT(Table1323212753[[#This Row],[h2]],8))</f>
        <v>0</v>
      </c>
    </row>
    <row r="703" spans="1:18">
      <c r="A703" s="15" t="str">
        <f t="shared" si="15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8" t="s">
        <v>75</v>
      </c>
      <c r="P703" s="48">
        <f>HEX2DEC(RIGHT(Table1323212753[[#This Row],[h1]],8))</f>
        <v>0</v>
      </c>
      <c r="Q703" s="48" t="s">
        <v>75</v>
      </c>
      <c r="R703" s="48">
        <f>HEX2DEC(RIGHT(Table1323212753[[#This Row],[h2]],8))</f>
        <v>0</v>
      </c>
    </row>
    <row r="704" spans="1:18">
      <c r="A704" s="15" t="str">
        <f t="shared" si="15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8" t="s">
        <v>75</v>
      </c>
      <c r="P704" s="48">
        <f>HEX2DEC(RIGHT(Table1323212753[[#This Row],[h1]],8))</f>
        <v>0</v>
      </c>
      <c r="Q704" s="48" t="s">
        <v>75</v>
      </c>
      <c r="R704" s="48">
        <f>HEX2DEC(RIGHT(Table1323212753[[#This Row],[h2]],8))</f>
        <v>0</v>
      </c>
    </row>
    <row r="705" spans="1:18">
      <c r="A705" s="15" t="str">
        <f t="shared" si="15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8" t="s">
        <v>75</v>
      </c>
      <c r="P705" s="48">
        <f>HEX2DEC(RIGHT(Table1323212753[[#This Row],[h1]],8))</f>
        <v>0</v>
      </c>
      <c r="Q705" s="48" t="s">
        <v>75</v>
      </c>
      <c r="R705" s="48">
        <f>HEX2DEC(RIGHT(Table1323212753[[#This Row],[h2]],8))</f>
        <v>0</v>
      </c>
    </row>
    <row r="706" spans="1:18">
      <c r="A706" s="15" t="str">
        <f t="shared" si="15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8" t="s">
        <v>75</v>
      </c>
      <c r="P706" s="48">
        <f>HEX2DEC(RIGHT(Table1323212753[[#This Row],[h1]],8))</f>
        <v>0</v>
      </c>
      <c r="Q706" s="48" t="s">
        <v>75</v>
      </c>
      <c r="R706" s="48">
        <f>HEX2DEC(RIGHT(Table1323212753[[#This Row],[h2]],8))</f>
        <v>0</v>
      </c>
    </row>
    <row r="707" spans="1:18">
      <c r="A707" s="15" t="str">
        <f t="shared" si="15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8" t="s">
        <v>75</v>
      </c>
      <c r="P707" s="48">
        <f>HEX2DEC(RIGHT(Table1323212753[[#This Row],[h1]],8))</f>
        <v>0</v>
      </c>
      <c r="Q707" s="48" t="s">
        <v>75</v>
      </c>
      <c r="R707" s="48">
        <f>HEX2DEC(RIGHT(Table1323212753[[#This Row],[h2]],8))</f>
        <v>0</v>
      </c>
    </row>
    <row r="708" spans="1:18">
      <c r="A708" s="15" t="str">
        <f t="shared" si="15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8" t="s">
        <v>75</v>
      </c>
      <c r="P708" s="48">
        <f>HEX2DEC(RIGHT(Table1323212753[[#This Row],[h1]],8))</f>
        <v>0</v>
      </c>
      <c r="Q708" s="48" t="s">
        <v>75</v>
      </c>
      <c r="R708" s="48">
        <f>HEX2DEC(RIGHT(Table1323212753[[#This Row],[h2]],8))</f>
        <v>0</v>
      </c>
    </row>
    <row r="709" spans="1:18">
      <c r="A709" s="15" t="str">
        <f t="shared" si="15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8" t="s">
        <v>75</v>
      </c>
      <c r="P709" s="48">
        <f>HEX2DEC(RIGHT(Table1323212753[[#This Row],[h1]],8))</f>
        <v>0</v>
      </c>
      <c r="Q709" s="48" t="s">
        <v>75</v>
      </c>
      <c r="R709" s="48">
        <f>HEX2DEC(RIGHT(Table1323212753[[#This Row],[h2]],8))</f>
        <v>0</v>
      </c>
    </row>
    <row r="710" spans="1:18">
      <c r="A710" s="15" t="str">
        <f t="shared" si="15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8" t="s">
        <v>75</v>
      </c>
      <c r="P710" s="48">
        <f>HEX2DEC(RIGHT(Table1323212753[[#This Row],[h1]],8))</f>
        <v>0</v>
      </c>
      <c r="Q710" s="48" t="s">
        <v>75</v>
      </c>
      <c r="R710" s="48">
        <f>HEX2DEC(RIGHT(Table1323212753[[#This Row],[h2]],8))</f>
        <v>0</v>
      </c>
    </row>
    <row r="711" spans="1:18">
      <c r="A711" s="15" t="str">
        <f t="shared" si="15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8" t="s">
        <v>75</v>
      </c>
      <c r="P711" s="48">
        <f>HEX2DEC(RIGHT(Table1323212753[[#This Row],[h1]],8))</f>
        <v>0</v>
      </c>
      <c r="Q711" s="48" t="s">
        <v>75</v>
      </c>
      <c r="R711" s="48">
        <f>HEX2DEC(RIGHT(Table1323212753[[#This Row],[h2]],8))</f>
        <v>0</v>
      </c>
    </row>
    <row r="712" spans="1:18">
      <c r="A712" s="15" t="str">
        <f t="shared" si="15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8" t="s">
        <v>75</v>
      </c>
      <c r="P712" s="48">
        <f>HEX2DEC(RIGHT(Table1323212753[[#This Row],[h1]],8))</f>
        <v>0</v>
      </c>
      <c r="Q712" s="48" t="s">
        <v>75</v>
      </c>
      <c r="R712" s="48">
        <f>HEX2DEC(RIGHT(Table1323212753[[#This Row],[h2]],8))</f>
        <v>0</v>
      </c>
    </row>
    <row r="713" spans="1:18">
      <c r="A713" s="15" t="str">
        <f t="shared" si="15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8" t="s">
        <v>75</v>
      </c>
      <c r="P713" s="48">
        <f>HEX2DEC(RIGHT(Table1323212753[[#This Row],[h1]],8))</f>
        <v>0</v>
      </c>
      <c r="Q713" s="48" t="s">
        <v>75</v>
      </c>
      <c r="R713" s="48">
        <f>HEX2DEC(RIGHT(Table1323212753[[#This Row],[h2]],8))</f>
        <v>0</v>
      </c>
    </row>
    <row r="714" spans="1:18">
      <c r="A714" s="15" t="str">
        <f t="shared" si="15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8" t="s">
        <v>75</v>
      </c>
      <c r="P714" s="48">
        <f>HEX2DEC(RIGHT(Table1323212753[[#This Row],[h1]],8))</f>
        <v>0</v>
      </c>
      <c r="Q714" s="48" t="s">
        <v>75</v>
      </c>
      <c r="R714" s="48">
        <f>HEX2DEC(RIGHT(Table1323212753[[#This Row],[h2]],8))</f>
        <v>0</v>
      </c>
    </row>
    <row r="715" spans="1:18">
      <c r="A715" s="15" t="str">
        <f t="shared" ref="A715:A778" si="16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8" t="s">
        <v>75</v>
      </c>
      <c r="P715" s="48">
        <f>HEX2DEC(RIGHT(Table1323212753[[#This Row],[h1]],8))</f>
        <v>0</v>
      </c>
      <c r="Q715" s="48" t="s">
        <v>75</v>
      </c>
      <c r="R715" s="48">
        <f>HEX2DEC(RIGHT(Table1323212753[[#This Row],[h2]],8))</f>
        <v>0</v>
      </c>
    </row>
    <row r="716" spans="1:18">
      <c r="A716" s="15" t="str">
        <f t="shared" si="16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8" t="s">
        <v>75</v>
      </c>
      <c r="P716" s="48">
        <f>HEX2DEC(RIGHT(Table1323212753[[#This Row],[h1]],8))</f>
        <v>0</v>
      </c>
      <c r="Q716" s="48" t="s">
        <v>75</v>
      </c>
      <c r="R716" s="48">
        <f>HEX2DEC(RIGHT(Table1323212753[[#This Row],[h2]],8))</f>
        <v>0</v>
      </c>
    </row>
    <row r="717" spans="1:18">
      <c r="A717" s="15" t="str">
        <f t="shared" si="16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8" t="s">
        <v>75</v>
      </c>
      <c r="P717" s="48">
        <f>HEX2DEC(RIGHT(Table1323212753[[#This Row],[h1]],8))</f>
        <v>0</v>
      </c>
      <c r="Q717" s="48" t="s">
        <v>75</v>
      </c>
      <c r="R717" s="48">
        <f>HEX2DEC(RIGHT(Table1323212753[[#This Row],[h2]],8))</f>
        <v>0</v>
      </c>
    </row>
    <row r="718" spans="1:18">
      <c r="A718" s="15" t="str">
        <f t="shared" si="16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8" t="s">
        <v>75</v>
      </c>
      <c r="P718" s="48">
        <f>HEX2DEC(RIGHT(Table1323212753[[#This Row],[h1]],8))</f>
        <v>0</v>
      </c>
      <c r="Q718" s="48" t="s">
        <v>75</v>
      </c>
      <c r="R718" s="48">
        <f>HEX2DEC(RIGHT(Table1323212753[[#This Row],[h2]],8))</f>
        <v>0</v>
      </c>
    </row>
    <row r="719" spans="1:18">
      <c r="A719" s="15" t="str">
        <f t="shared" si="16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8" t="s">
        <v>75</v>
      </c>
      <c r="P719" s="48">
        <f>HEX2DEC(RIGHT(Table1323212753[[#This Row],[h1]],8))</f>
        <v>0</v>
      </c>
      <c r="Q719" s="48" t="s">
        <v>75</v>
      </c>
      <c r="R719" s="48">
        <f>HEX2DEC(RIGHT(Table1323212753[[#This Row],[h2]],8))</f>
        <v>0</v>
      </c>
    </row>
    <row r="720" spans="1:18">
      <c r="A720" s="15" t="str">
        <f t="shared" si="16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8" t="s">
        <v>75</v>
      </c>
      <c r="P720" s="48">
        <f>HEX2DEC(RIGHT(Table1323212753[[#This Row],[h1]],8))</f>
        <v>0</v>
      </c>
      <c r="Q720" s="48" t="s">
        <v>75</v>
      </c>
      <c r="R720" s="48">
        <f>HEX2DEC(RIGHT(Table1323212753[[#This Row],[h2]],8))</f>
        <v>0</v>
      </c>
    </row>
    <row r="721" spans="1:18">
      <c r="A721" s="15" t="str">
        <f t="shared" si="16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8" t="s">
        <v>75</v>
      </c>
      <c r="P721" s="48">
        <f>HEX2DEC(RIGHT(Table1323212753[[#This Row],[h1]],8))</f>
        <v>0</v>
      </c>
      <c r="Q721" s="48" t="s">
        <v>75</v>
      </c>
      <c r="R721" s="48">
        <f>HEX2DEC(RIGHT(Table1323212753[[#This Row],[h2]],8))</f>
        <v>0</v>
      </c>
    </row>
    <row r="722" spans="1:18">
      <c r="A722" s="15" t="str">
        <f t="shared" si="16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8" t="s">
        <v>75</v>
      </c>
      <c r="P722" s="48">
        <f>HEX2DEC(RIGHT(Table1323212753[[#This Row],[h1]],8))</f>
        <v>0</v>
      </c>
      <c r="Q722" s="48" t="s">
        <v>75</v>
      </c>
      <c r="R722" s="48">
        <f>HEX2DEC(RIGHT(Table1323212753[[#This Row],[h2]],8))</f>
        <v>0</v>
      </c>
    </row>
    <row r="723" spans="1:18">
      <c r="A723" s="15" t="str">
        <f t="shared" si="16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8" t="s">
        <v>75</v>
      </c>
      <c r="P723" s="48">
        <f>HEX2DEC(RIGHT(Table1323212753[[#This Row],[h1]],8))</f>
        <v>0</v>
      </c>
      <c r="Q723" s="48" t="s">
        <v>75</v>
      </c>
      <c r="R723" s="48">
        <f>HEX2DEC(RIGHT(Table1323212753[[#This Row],[h2]],8))</f>
        <v>0</v>
      </c>
    </row>
    <row r="724" spans="1:18">
      <c r="A724" s="15" t="str">
        <f t="shared" si="16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8" t="s">
        <v>75</v>
      </c>
      <c r="P724" s="48">
        <f>HEX2DEC(RIGHT(Table1323212753[[#This Row],[h1]],8))</f>
        <v>0</v>
      </c>
      <c r="Q724" s="48" t="s">
        <v>75</v>
      </c>
      <c r="R724" s="48">
        <f>HEX2DEC(RIGHT(Table1323212753[[#This Row],[h2]],8))</f>
        <v>0</v>
      </c>
    </row>
    <row r="725" spans="1:18">
      <c r="A725" s="15" t="str">
        <f t="shared" si="16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8" t="s">
        <v>75</v>
      </c>
      <c r="P725" s="48">
        <f>HEX2DEC(RIGHT(Table1323212753[[#This Row],[h1]],8))</f>
        <v>0</v>
      </c>
      <c r="Q725" s="48" t="s">
        <v>75</v>
      </c>
      <c r="R725" s="48">
        <f>HEX2DEC(RIGHT(Table1323212753[[#This Row],[h2]],8))</f>
        <v>0</v>
      </c>
    </row>
    <row r="726" spans="1:18">
      <c r="A726" s="15" t="str">
        <f t="shared" si="16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8" t="s">
        <v>75</v>
      </c>
      <c r="P726" s="48">
        <f>HEX2DEC(RIGHT(Table1323212753[[#This Row],[h1]],8))</f>
        <v>0</v>
      </c>
      <c r="Q726" s="48" t="s">
        <v>75</v>
      </c>
      <c r="R726" s="48">
        <f>HEX2DEC(RIGHT(Table1323212753[[#This Row],[h2]],8))</f>
        <v>0</v>
      </c>
    </row>
    <row r="727" spans="1:18">
      <c r="A727" s="15" t="str">
        <f t="shared" si="16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8" t="s">
        <v>75</v>
      </c>
      <c r="P727" s="48">
        <f>HEX2DEC(RIGHT(Table1323212753[[#This Row],[h1]],8))</f>
        <v>0</v>
      </c>
      <c r="Q727" s="48" t="s">
        <v>75</v>
      </c>
      <c r="R727" s="48">
        <f>HEX2DEC(RIGHT(Table1323212753[[#This Row],[h2]],8))</f>
        <v>0</v>
      </c>
    </row>
    <row r="728" spans="1:18">
      <c r="A728" s="15" t="str">
        <f t="shared" si="16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8" t="s">
        <v>75</v>
      </c>
      <c r="P728" s="48">
        <f>HEX2DEC(RIGHT(Table1323212753[[#This Row],[h1]],8))</f>
        <v>0</v>
      </c>
      <c r="Q728" s="48" t="s">
        <v>75</v>
      </c>
      <c r="R728" s="48">
        <f>HEX2DEC(RIGHT(Table1323212753[[#This Row],[h2]],8))</f>
        <v>0</v>
      </c>
    </row>
    <row r="729" spans="1:18">
      <c r="A729" s="15" t="str">
        <f t="shared" si="16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8" t="s">
        <v>75</v>
      </c>
      <c r="P729" s="48">
        <f>HEX2DEC(RIGHT(Table1323212753[[#This Row],[h1]],8))</f>
        <v>0</v>
      </c>
      <c r="Q729" s="48" t="s">
        <v>75</v>
      </c>
      <c r="R729" s="48">
        <f>HEX2DEC(RIGHT(Table1323212753[[#This Row],[h2]],8))</f>
        <v>0</v>
      </c>
    </row>
    <row r="730" spans="1:18">
      <c r="A730" s="15" t="str">
        <f t="shared" si="16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8" t="s">
        <v>75</v>
      </c>
      <c r="P730" s="48">
        <f>HEX2DEC(RIGHT(Table1323212753[[#This Row],[h1]],8))</f>
        <v>0</v>
      </c>
      <c r="Q730" s="48" t="s">
        <v>75</v>
      </c>
      <c r="R730" s="48">
        <f>HEX2DEC(RIGHT(Table1323212753[[#This Row],[h2]],8))</f>
        <v>0</v>
      </c>
    </row>
    <row r="731" spans="1:18">
      <c r="A731" s="15" t="str">
        <f t="shared" si="16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8" t="s">
        <v>75</v>
      </c>
      <c r="P731" s="48">
        <f>HEX2DEC(RIGHT(Table1323212753[[#This Row],[h1]],8))</f>
        <v>0</v>
      </c>
      <c r="Q731" s="48" t="s">
        <v>75</v>
      </c>
      <c r="R731" s="48">
        <f>HEX2DEC(RIGHT(Table1323212753[[#This Row],[h2]],8))</f>
        <v>0</v>
      </c>
    </row>
    <row r="732" spans="1:18">
      <c r="A732" s="15" t="str">
        <f t="shared" si="16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8" t="s">
        <v>75</v>
      </c>
      <c r="P732" s="48">
        <f>HEX2DEC(RIGHT(Table1323212753[[#This Row],[h1]],8))</f>
        <v>0</v>
      </c>
      <c r="Q732" s="48" t="s">
        <v>75</v>
      </c>
      <c r="R732" s="48">
        <f>HEX2DEC(RIGHT(Table1323212753[[#This Row],[h2]],8))</f>
        <v>0</v>
      </c>
    </row>
    <row r="733" spans="1:18">
      <c r="A733" s="15" t="str">
        <f t="shared" si="16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8" t="s">
        <v>75</v>
      </c>
      <c r="P733" s="48">
        <f>HEX2DEC(RIGHT(Table1323212753[[#This Row],[h1]],8))</f>
        <v>0</v>
      </c>
      <c r="Q733" s="48" t="s">
        <v>75</v>
      </c>
      <c r="R733" s="48">
        <f>HEX2DEC(RIGHT(Table1323212753[[#This Row],[h2]],8))</f>
        <v>0</v>
      </c>
    </row>
    <row r="734" spans="1:18">
      <c r="A734" s="15" t="str">
        <f t="shared" si="16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8" t="s">
        <v>75</v>
      </c>
      <c r="P734" s="48">
        <f>HEX2DEC(RIGHT(Table1323212753[[#This Row],[h1]],8))</f>
        <v>0</v>
      </c>
      <c r="Q734" s="48" t="s">
        <v>75</v>
      </c>
      <c r="R734" s="48">
        <f>HEX2DEC(RIGHT(Table1323212753[[#This Row],[h2]],8))</f>
        <v>0</v>
      </c>
    </row>
    <row r="735" spans="1:18">
      <c r="A735" s="15" t="str">
        <f t="shared" si="16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8" t="s">
        <v>75</v>
      </c>
      <c r="P735" s="48">
        <f>HEX2DEC(RIGHT(Table1323212753[[#This Row],[h1]],8))</f>
        <v>0</v>
      </c>
      <c r="Q735" s="48" t="s">
        <v>75</v>
      </c>
      <c r="R735" s="48">
        <f>HEX2DEC(RIGHT(Table1323212753[[#This Row],[h2]],8))</f>
        <v>0</v>
      </c>
    </row>
    <row r="736" spans="1:18">
      <c r="A736" s="15" t="str">
        <f t="shared" si="16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8" t="s">
        <v>75</v>
      </c>
      <c r="P736" s="48">
        <f>HEX2DEC(RIGHT(Table1323212753[[#This Row],[h1]],8))</f>
        <v>0</v>
      </c>
      <c r="Q736" s="48" t="s">
        <v>75</v>
      </c>
      <c r="R736" s="48">
        <f>HEX2DEC(RIGHT(Table1323212753[[#This Row],[h2]],8))</f>
        <v>0</v>
      </c>
    </row>
    <row r="737" spans="1:18">
      <c r="A737" s="15" t="str">
        <f t="shared" si="16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8" t="s">
        <v>75</v>
      </c>
      <c r="P737" s="48">
        <f>HEX2DEC(RIGHT(Table1323212753[[#This Row],[h1]],8))</f>
        <v>0</v>
      </c>
      <c r="Q737" s="48" t="s">
        <v>75</v>
      </c>
      <c r="R737" s="48">
        <f>HEX2DEC(RIGHT(Table1323212753[[#This Row],[h2]],8))</f>
        <v>0</v>
      </c>
    </row>
    <row r="738" spans="1:18">
      <c r="A738" s="15" t="str">
        <f t="shared" si="16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8" t="s">
        <v>75</v>
      </c>
      <c r="P738" s="48">
        <f>HEX2DEC(RIGHT(Table1323212753[[#This Row],[h1]],8))</f>
        <v>0</v>
      </c>
      <c r="Q738" s="48" t="s">
        <v>75</v>
      </c>
      <c r="R738" s="48">
        <f>HEX2DEC(RIGHT(Table1323212753[[#This Row],[h2]],8))</f>
        <v>0</v>
      </c>
    </row>
    <row r="739" spans="1:18">
      <c r="A739" s="15" t="str">
        <f t="shared" si="16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8" t="s">
        <v>75</v>
      </c>
      <c r="P739" s="48">
        <f>HEX2DEC(RIGHT(Table1323212753[[#This Row],[h1]],8))</f>
        <v>0</v>
      </c>
      <c r="Q739" s="48" t="s">
        <v>75</v>
      </c>
      <c r="R739" s="48">
        <f>HEX2DEC(RIGHT(Table1323212753[[#This Row],[h2]],8))</f>
        <v>0</v>
      </c>
    </row>
    <row r="740" spans="1:18">
      <c r="A740" s="15" t="str">
        <f t="shared" si="16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8" t="s">
        <v>75</v>
      </c>
      <c r="P740" s="48">
        <f>HEX2DEC(RIGHT(Table1323212753[[#This Row],[h1]],8))</f>
        <v>0</v>
      </c>
      <c r="Q740" s="48" t="s">
        <v>75</v>
      </c>
      <c r="R740" s="48">
        <f>HEX2DEC(RIGHT(Table1323212753[[#This Row],[h2]],8))</f>
        <v>0</v>
      </c>
    </row>
    <row r="741" spans="1:18">
      <c r="A741" s="15" t="str">
        <f t="shared" si="16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8" t="s">
        <v>75</v>
      </c>
      <c r="P741" s="48">
        <f>HEX2DEC(RIGHT(Table1323212753[[#This Row],[h1]],8))</f>
        <v>0</v>
      </c>
      <c r="Q741" s="48" t="s">
        <v>75</v>
      </c>
      <c r="R741" s="48">
        <f>HEX2DEC(RIGHT(Table1323212753[[#This Row],[h2]],8))</f>
        <v>0</v>
      </c>
    </row>
    <row r="742" spans="1:18">
      <c r="A742" s="15" t="str">
        <f t="shared" si="16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8" t="s">
        <v>75</v>
      </c>
      <c r="P742" s="48">
        <f>HEX2DEC(RIGHT(Table1323212753[[#This Row],[h1]],8))</f>
        <v>0</v>
      </c>
      <c r="Q742" s="48" t="s">
        <v>75</v>
      </c>
      <c r="R742" s="48">
        <f>HEX2DEC(RIGHT(Table1323212753[[#This Row],[h2]],8))</f>
        <v>0</v>
      </c>
    </row>
    <row r="743" spans="1:18">
      <c r="A743" s="15" t="str">
        <f t="shared" si="16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8" t="s">
        <v>75</v>
      </c>
      <c r="P743" s="48">
        <f>HEX2DEC(RIGHT(Table1323212753[[#This Row],[h1]],8))</f>
        <v>0</v>
      </c>
      <c r="Q743" s="48" t="s">
        <v>75</v>
      </c>
      <c r="R743" s="48">
        <f>HEX2DEC(RIGHT(Table1323212753[[#This Row],[h2]],8))</f>
        <v>0</v>
      </c>
    </row>
    <row r="744" spans="1:18">
      <c r="A744" s="15" t="str">
        <f t="shared" si="16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8" t="s">
        <v>75</v>
      </c>
      <c r="P744" s="48">
        <f>HEX2DEC(RIGHT(Table1323212753[[#This Row],[h1]],8))</f>
        <v>0</v>
      </c>
      <c r="Q744" s="48" t="s">
        <v>75</v>
      </c>
      <c r="R744" s="48">
        <f>HEX2DEC(RIGHT(Table1323212753[[#This Row],[h2]],8))</f>
        <v>0</v>
      </c>
    </row>
    <row r="745" spans="1:18">
      <c r="A745" s="15" t="str">
        <f t="shared" si="16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8" t="s">
        <v>75</v>
      </c>
      <c r="P745" s="48">
        <f>HEX2DEC(RIGHT(Table1323212753[[#This Row],[h1]],8))</f>
        <v>0</v>
      </c>
      <c r="Q745" s="48" t="s">
        <v>75</v>
      </c>
      <c r="R745" s="48">
        <f>HEX2DEC(RIGHT(Table1323212753[[#This Row],[h2]],8))</f>
        <v>0</v>
      </c>
    </row>
    <row r="746" spans="1:18">
      <c r="A746" s="15" t="str">
        <f t="shared" si="16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8" t="s">
        <v>75</v>
      </c>
      <c r="P746" s="48">
        <f>HEX2DEC(RIGHT(Table1323212753[[#This Row],[h1]],8))</f>
        <v>0</v>
      </c>
      <c r="Q746" s="48" t="s">
        <v>75</v>
      </c>
      <c r="R746" s="48">
        <f>HEX2DEC(RIGHT(Table1323212753[[#This Row],[h2]],8))</f>
        <v>0</v>
      </c>
    </row>
    <row r="747" spans="1:18">
      <c r="A747" s="15" t="str">
        <f t="shared" si="16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8" t="s">
        <v>75</v>
      </c>
      <c r="P747" s="48">
        <f>HEX2DEC(RIGHT(Table1323212753[[#This Row],[h1]],8))</f>
        <v>0</v>
      </c>
      <c r="Q747" s="48" t="s">
        <v>75</v>
      </c>
      <c r="R747" s="48">
        <f>HEX2DEC(RIGHT(Table1323212753[[#This Row],[h2]],8))</f>
        <v>0</v>
      </c>
    </row>
    <row r="748" spans="1:18">
      <c r="A748" s="15" t="str">
        <f t="shared" si="16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8" t="s">
        <v>75</v>
      </c>
      <c r="P748" s="48">
        <f>HEX2DEC(RIGHT(Table1323212753[[#This Row],[h1]],8))</f>
        <v>0</v>
      </c>
      <c r="Q748" s="48" t="s">
        <v>75</v>
      </c>
      <c r="R748" s="48">
        <f>HEX2DEC(RIGHT(Table1323212753[[#This Row],[h2]],8))</f>
        <v>0</v>
      </c>
    </row>
    <row r="749" spans="1:18">
      <c r="A749" s="15" t="str">
        <f t="shared" si="16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8" t="s">
        <v>75</v>
      </c>
      <c r="P749" s="48">
        <f>HEX2DEC(RIGHT(Table1323212753[[#This Row],[h1]],8))</f>
        <v>0</v>
      </c>
      <c r="Q749" s="48" t="s">
        <v>75</v>
      </c>
      <c r="R749" s="48">
        <f>HEX2DEC(RIGHT(Table1323212753[[#This Row],[h2]],8))</f>
        <v>0</v>
      </c>
    </row>
    <row r="750" spans="1:18">
      <c r="A750" s="15" t="str">
        <f t="shared" si="16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8" t="s">
        <v>75</v>
      </c>
      <c r="P750" s="48">
        <f>HEX2DEC(RIGHT(Table1323212753[[#This Row],[h1]],8))</f>
        <v>0</v>
      </c>
      <c r="Q750" s="48" t="s">
        <v>75</v>
      </c>
      <c r="R750" s="48">
        <f>HEX2DEC(RIGHT(Table1323212753[[#This Row],[h2]],8))</f>
        <v>0</v>
      </c>
    </row>
    <row r="751" spans="1:18">
      <c r="A751" s="15" t="str">
        <f t="shared" si="16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8" t="s">
        <v>75</v>
      </c>
      <c r="P751" s="48">
        <f>HEX2DEC(RIGHT(Table1323212753[[#This Row],[h1]],8))</f>
        <v>0</v>
      </c>
      <c r="Q751" s="48" t="s">
        <v>75</v>
      </c>
      <c r="R751" s="48">
        <f>HEX2DEC(RIGHT(Table1323212753[[#This Row],[h2]],8))</f>
        <v>0</v>
      </c>
    </row>
    <row r="752" spans="1:18">
      <c r="A752" s="15" t="str">
        <f t="shared" si="16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8" t="s">
        <v>75</v>
      </c>
      <c r="P752" s="48">
        <f>HEX2DEC(RIGHT(Table1323212753[[#This Row],[h1]],8))</f>
        <v>0</v>
      </c>
      <c r="Q752" s="48" t="s">
        <v>75</v>
      </c>
      <c r="R752" s="48">
        <f>HEX2DEC(RIGHT(Table1323212753[[#This Row],[h2]],8))</f>
        <v>0</v>
      </c>
    </row>
    <row r="753" spans="1:18">
      <c r="A753" s="15" t="str">
        <f t="shared" si="16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8" t="s">
        <v>75</v>
      </c>
      <c r="P753" s="48">
        <f>HEX2DEC(RIGHT(Table1323212753[[#This Row],[h1]],8))</f>
        <v>0</v>
      </c>
      <c r="Q753" s="48" t="s">
        <v>75</v>
      </c>
      <c r="R753" s="48">
        <f>HEX2DEC(RIGHT(Table1323212753[[#This Row],[h2]],8))</f>
        <v>0</v>
      </c>
    </row>
    <row r="754" spans="1:18">
      <c r="A754" s="15" t="str">
        <f t="shared" si="16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8" t="s">
        <v>75</v>
      </c>
      <c r="P754" s="48">
        <f>HEX2DEC(RIGHT(Table1323212753[[#This Row],[h1]],8))</f>
        <v>0</v>
      </c>
      <c r="Q754" s="48" t="s">
        <v>75</v>
      </c>
      <c r="R754" s="48">
        <f>HEX2DEC(RIGHT(Table1323212753[[#This Row],[h2]],8))</f>
        <v>0</v>
      </c>
    </row>
    <row r="755" spans="1:18">
      <c r="A755" s="15" t="str">
        <f t="shared" si="16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8" t="s">
        <v>75</v>
      </c>
      <c r="P755" s="48">
        <f>HEX2DEC(RIGHT(Table1323212753[[#This Row],[h1]],8))</f>
        <v>0</v>
      </c>
      <c r="Q755" s="48" t="s">
        <v>75</v>
      </c>
      <c r="R755" s="48">
        <f>HEX2DEC(RIGHT(Table1323212753[[#This Row],[h2]],8))</f>
        <v>0</v>
      </c>
    </row>
    <row r="756" spans="1:18">
      <c r="A756" s="15" t="str">
        <f t="shared" si="16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8" t="s">
        <v>75</v>
      </c>
      <c r="P756" s="48">
        <f>HEX2DEC(RIGHT(Table1323212753[[#This Row],[h1]],8))</f>
        <v>0</v>
      </c>
      <c r="Q756" s="48" t="s">
        <v>75</v>
      </c>
      <c r="R756" s="48">
        <f>HEX2DEC(RIGHT(Table1323212753[[#This Row],[h2]],8))</f>
        <v>0</v>
      </c>
    </row>
    <row r="757" spans="1:18">
      <c r="A757" s="15" t="str">
        <f t="shared" si="16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8" t="s">
        <v>75</v>
      </c>
      <c r="P757" s="48">
        <f>HEX2DEC(RIGHT(Table1323212753[[#This Row],[h1]],8))</f>
        <v>0</v>
      </c>
      <c r="Q757" s="48" t="s">
        <v>75</v>
      </c>
      <c r="R757" s="48">
        <f>HEX2DEC(RIGHT(Table1323212753[[#This Row],[h2]],8))</f>
        <v>0</v>
      </c>
    </row>
    <row r="758" spans="1:18">
      <c r="A758" s="15" t="str">
        <f t="shared" si="16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8" t="s">
        <v>75</v>
      </c>
      <c r="P758" s="48">
        <f>HEX2DEC(RIGHT(Table1323212753[[#This Row],[h1]],8))</f>
        <v>0</v>
      </c>
      <c r="Q758" s="48" t="s">
        <v>75</v>
      </c>
      <c r="R758" s="48">
        <f>HEX2DEC(RIGHT(Table1323212753[[#This Row],[h2]],8))</f>
        <v>0</v>
      </c>
    </row>
    <row r="759" spans="1:18">
      <c r="A759" s="15" t="str">
        <f t="shared" si="16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8" t="s">
        <v>75</v>
      </c>
      <c r="P759" s="48">
        <f>HEX2DEC(RIGHT(Table1323212753[[#This Row],[h1]],8))</f>
        <v>0</v>
      </c>
      <c r="Q759" s="48" t="s">
        <v>75</v>
      </c>
      <c r="R759" s="48">
        <f>HEX2DEC(RIGHT(Table1323212753[[#This Row],[h2]],8))</f>
        <v>0</v>
      </c>
    </row>
    <row r="760" spans="1:18">
      <c r="A760" s="15" t="str">
        <f t="shared" si="16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8" t="s">
        <v>75</v>
      </c>
      <c r="P760" s="48">
        <f>HEX2DEC(RIGHT(Table1323212753[[#This Row],[h1]],8))</f>
        <v>0</v>
      </c>
      <c r="Q760" s="48" t="s">
        <v>75</v>
      </c>
      <c r="R760" s="48">
        <f>HEX2DEC(RIGHT(Table1323212753[[#This Row],[h2]],8))</f>
        <v>0</v>
      </c>
    </row>
    <row r="761" spans="1:18">
      <c r="A761" s="15" t="str">
        <f t="shared" si="16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8" t="s">
        <v>75</v>
      </c>
      <c r="P761" s="48">
        <f>HEX2DEC(RIGHT(Table1323212753[[#This Row],[h1]],8))</f>
        <v>0</v>
      </c>
      <c r="Q761" s="48" t="s">
        <v>75</v>
      </c>
      <c r="R761" s="48">
        <f>HEX2DEC(RIGHT(Table1323212753[[#This Row],[h2]],8))</f>
        <v>0</v>
      </c>
    </row>
    <row r="762" spans="1:18">
      <c r="A762" s="15" t="str">
        <f t="shared" si="16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8" t="s">
        <v>75</v>
      </c>
      <c r="P762" s="48">
        <f>HEX2DEC(RIGHT(Table1323212753[[#This Row],[h1]],8))</f>
        <v>0</v>
      </c>
      <c r="Q762" s="48" t="s">
        <v>75</v>
      </c>
      <c r="R762" s="48">
        <f>HEX2DEC(RIGHT(Table1323212753[[#This Row],[h2]],8))</f>
        <v>0</v>
      </c>
    </row>
    <row r="763" spans="1:18">
      <c r="A763" s="15" t="str">
        <f t="shared" si="16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8" t="s">
        <v>75</v>
      </c>
      <c r="P763" s="48">
        <f>HEX2DEC(RIGHT(Table1323212753[[#This Row],[h1]],8))</f>
        <v>0</v>
      </c>
      <c r="Q763" s="48" t="s">
        <v>75</v>
      </c>
      <c r="R763" s="48">
        <f>HEX2DEC(RIGHT(Table1323212753[[#This Row],[h2]],8))</f>
        <v>0</v>
      </c>
    </row>
    <row r="764" spans="1:18">
      <c r="A764" s="15" t="str">
        <f t="shared" si="16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8" t="s">
        <v>75</v>
      </c>
      <c r="P764" s="48">
        <f>HEX2DEC(RIGHT(Table1323212753[[#This Row],[h1]],8))</f>
        <v>0</v>
      </c>
      <c r="Q764" s="48" t="s">
        <v>75</v>
      </c>
      <c r="R764" s="48">
        <f>HEX2DEC(RIGHT(Table1323212753[[#This Row],[h2]],8))</f>
        <v>0</v>
      </c>
    </row>
    <row r="765" spans="1:18">
      <c r="A765" s="15" t="str">
        <f t="shared" si="16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8" t="s">
        <v>75</v>
      </c>
      <c r="P765" s="48">
        <f>HEX2DEC(RIGHT(Table1323212753[[#This Row],[h1]],8))</f>
        <v>0</v>
      </c>
      <c r="Q765" s="48" t="s">
        <v>75</v>
      </c>
      <c r="R765" s="48">
        <f>HEX2DEC(RIGHT(Table1323212753[[#This Row],[h2]],8))</f>
        <v>0</v>
      </c>
    </row>
    <row r="766" spans="1:18">
      <c r="A766" s="15" t="str">
        <f t="shared" si="16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8" t="s">
        <v>75</v>
      </c>
      <c r="P766" s="48">
        <f>HEX2DEC(RIGHT(Table1323212753[[#This Row],[h1]],8))</f>
        <v>0</v>
      </c>
      <c r="Q766" s="48" t="s">
        <v>75</v>
      </c>
      <c r="R766" s="48">
        <f>HEX2DEC(RIGHT(Table1323212753[[#This Row],[h2]],8))</f>
        <v>0</v>
      </c>
    </row>
    <row r="767" spans="1:18">
      <c r="A767" s="15" t="str">
        <f t="shared" si="16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8" t="s">
        <v>75</v>
      </c>
      <c r="P767" s="48">
        <f>HEX2DEC(RIGHT(Table1323212753[[#This Row],[h1]],8))</f>
        <v>0</v>
      </c>
      <c r="Q767" s="48" t="s">
        <v>75</v>
      </c>
      <c r="R767" s="48">
        <f>HEX2DEC(RIGHT(Table1323212753[[#This Row],[h2]],8))</f>
        <v>0</v>
      </c>
    </row>
    <row r="768" spans="1:18">
      <c r="A768" s="15" t="str">
        <f t="shared" si="16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8" t="s">
        <v>75</v>
      </c>
      <c r="P768" s="48">
        <f>HEX2DEC(RIGHT(Table1323212753[[#This Row],[h1]],8))</f>
        <v>0</v>
      </c>
      <c r="Q768" s="48" t="s">
        <v>75</v>
      </c>
      <c r="R768" s="48">
        <f>HEX2DEC(RIGHT(Table1323212753[[#This Row],[h2]],8))</f>
        <v>0</v>
      </c>
    </row>
    <row r="769" spans="1:18">
      <c r="A769" s="15" t="str">
        <f t="shared" si="16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8" t="s">
        <v>75</v>
      </c>
      <c r="P769" s="48">
        <f>HEX2DEC(RIGHT(Table1323212753[[#This Row],[h1]],8))</f>
        <v>0</v>
      </c>
      <c r="Q769" s="48" t="s">
        <v>75</v>
      </c>
      <c r="R769" s="48">
        <f>HEX2DEC(RIGHT(Table1323212753[[#This Row],[h2]],8))</f>
        <v>0</v>
      </c>
    </row>
    <row r="770" spans="1:18">
      <c r="A770" s="15" t="str">
        <f t="shared" si="16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8" t="s">
        <v>75</v>
      </c>
      <c r="P770" s="48">
        <f>HEX2DEC(RIGHT(Table1323212753[[#This Row],[h1]],8))</f>
        <v>0</v>
      </c>
      <c r="Q770" s="48" t="s">
        <v>75</v>
      </c>
      <c r="R770" s="48">
        <f>HEX2DEC(RIGHT(Table1323212753[[#This Row],[h2]],8))</f>
        <v>0</v>
      </c>
    </row>
    <row r="771" spans="1:18">
      <c r="A771" s="15" t="str">
        <f t="shared" si="16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8" t="s">
        <v>75</v>
      </c>
      <c r="P771" s="48">
        <f>HEX2DEC(RIGHT(Table1323212753[[#This Row],[h1]],8))</f>
        <v>0</v>
      </c>
      <c r="Q771" s="48" t="s">
        <v>75</v>
      </c>
      <c r="R771" s="48">
        <f>HEX2DEC(RIGHT(Table1323212753[[#This Row],[h2]],8))</f>
        <v>0</v>
      </c>
    </row>
    <row r="772" spans="1:18">
      <c r="A772" s="15" t="str">
        <f t="shared" si="16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8" t="s">
        <v>75</v>
      </c>
      <c r="P772" s="48">
        <f>HEX2DEC(RIGHT(Table1323212753[[#This Row],[h1]],8))</f>
        <v>0</v>
      </c>
      <c r="Q772" s="48" t="s">
        <v>75</v>
      </c>
      <c r="R772" s="48">
        <f>HEX2DEC(RIGHT(Table1323212753[[#This Row],[h2]],8))</f>
        <v>0</v>
      </c>
    </row>
    <row r="773" spans="1:18">
      <c r="A773" s="15" t="str">
        <f t="shared" si="16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8" t="s">
        <v>75</v>
      </c>
      <c r="P773" s="48">
        <f>HEX2DEC(RIGHT(Table1323212753[[#This Row],[h1]],8))</f>
        <v>0</v>
      </c>
      <c r="Q773" s="48" t="s">
        <v>75</v>
      </c>
      <c r="R773" s="48">
        <f>HEX2DEC(RIGHT(Table1323212753[[#This Row],[h2]],8))</f>
        <v>0</v>
      </c>
    </row>
    <row r="774" spans="1:18">
      <c r="A774" s="15" t="str">
        <f t="shared" si="16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8" t="s">
        <v>75</v>
      </c>
      <c r="P774" s="48">
        <f>HEX2DEC(RIGHT(Table1323212753[[#This Row],[h1]],8))</f>
        <v>0</v>
      </c>
      <c r="Q774" s="48" t="s">
        <v>75</v>
      </c>
      <c r="R774" s="48">
        <f>HEX2DEC(RIGHT(Table1323212753[[#This Row],[h2]],8))</f>
        <v>0</v>
      </c>
    </row>
    <row r="775" spans="1:18">
      <c r="A775" s="15" t="str">
        <f t="shared" si="16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8" t="s">
        <v>75</v>
      </c>
      <c r="P775" s="48">
        <f>HEX2DEC(RIGHT(Table1323212753[[#This Row],[h1]],8))</f>
        <v>0</v>
      </c>
      <c r="Q775" s="48" t="s">
        <v>75</v>
      </c>
      <c r="R775" s="48">
        <f>HEX2DEC(RIGHT(Table1323212753[[#This Row],[h2]],8))</f>
        <v>0</v>
      </c>
    </row>
    <row r="776" spans="1:18">
      <c r="A776" s="15" t="str">
        <f t="shared" si="16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8" t="s">
        <v>75</v>
      </c>
      <c r="P776" s="48">
        <f>HEX2DEC(RIGHT(Table1323212753[[#This Row],[h1]],8))</f>
        <v>0</v>
      </c>
      <c r="Q776" s="48" t="s">
        <v>75</v>
      </c>
      <c r="R776" s="48">
        <f>HEX2DEC(RIGHT(Table1323212753[[#This Row],[h2]],8))</f>
        <v>0</v>
      </c>
    </row>
    <row r="777" spans="1:18">
      <c r="A777" s="15" t="str">
        <f t="shared" si="16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8" t="s">
        <v>75</v>
      </c>
      <c r="P777" s="48">
        <f>HEX2DEC(RIGHT(Table1323212753[[#This Row],[h1]],8))</f>
        <v>0</v>
      </c>
      <c r="Q777" s="48" t="s">
        <v>75</v>
      </c>
      <c r="R777" s="48">
        <f>HEX2DEC(RIGHT(Table1323212753[[#This Row],[h2]],8))</f>
        <v>0</v>
      </c>
    </row>
    <row r="778" spans="1:18">
      <c r="A778" s="15" t="str">
        <f t="shared" si="16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8" t="s">
        <v>75</v>
      </c>
      <c r="P778" s="48">
        <f>HEX2DEC(RIGHT(Table1323212753[[#This Row],[h1]],8))</f>
        <v>0</v>
      </c>
      <c r="Q778" s="48" t="s">
        <v>75</v>
      </c>
      <c r="R778" s="48">
        <f>HEX2DEC(RIGHT(Table1323212753[[#This Row],[h2]],8))</f>
        <v>0</v>
      </c>
    </row>
    <row r="779" spans="1:18">
      <c r="A779" s="15" t="str">
        <f t="shared" ref="A779:A842" si="17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8" t="s">
        <v>75</v>
      </c>
      <c r="P779" s="48">
        <f>HEX2DEC(RIGHT(Table1323212753[[#This Row],[h1]],8))</f>
        <v>0</v>
      </c>
      <c r="Q779" s="48" t="s">
        <v>75</v>
      </c>
      <c r="R779" s="48">
        <f>HEX2DEC(RIGHT(Table1323212753[[#This Row],[h2]],8))</f>
        <v>0</v>
      </c>
    </row>
    <row r="780" spans="1:18">
      <c r="A780" s="15" t="str">
        <f t="shared" si="17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8" t="s">
        <v>75</v>
      </c>
      <c r="P780" s="48">
        <f>HEX2DEC(RIGHT(Table1323212753[[#This Row],[h1]],8))</f>
        <v>0</v>
      </c>
      <c r="Q780" s="48" t="s">
        <v>75</v>
      </c>
      <c r="R780" s="48">
        <f>HEX2DEC(RIGHT(Table1323212753[[#This Row],[h2]],8))</f>
        <v>0</v>
      </c>
    </row>
    <row r="781" spans="1:18">
      <c r="A781" s="15" t="str">
        <f t="shared" si="17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8" t="s">
        <v>75</v>
      </c>
      <c r="P781" s="48">
        <f>HEX2DEC(RIGHT(Table1323212753[[#This Row],[h1]],8))</f>
        <v>0</v>
      </c>
      <c r="Q781" s="48" t="s">
        <v>75</v>
      </c>
      <c r="R781" s="48">
        <f>HEX2DEC(RIGHT(Table1323212753[[#This Row],[h2]],8))</f>
        <v>0</v>
      </c>
    </row>
    <row r="782" spans="1:18">
      <c r="A782" s="15" t="str">
        <f t="shared" si="17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8" t="s">
        <v>75</v>
      </c>
      <c r="P782" s="48">
        <f>HEX2DEC(RIGHT(Table1323212753[[#This Row],[h1]],8))</f>
        <v>0</v>
      </c>
      <c r="Q782" s="48" t="s">
        <v>75</v>
      </c>
      <c r="R782" s="48">
        <f>HEX2DEC(RIGHT(Table1323212753[[#This Row],[h2]],8))</f>
        <v>0</v>
      </c>
    </row>
    <row r="783" spans="1:18">
      <c r="A783" s="15" t="str">
        <f t="shared" si="17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8" t="s">
        <v>75</v>
      </c>
      <c r="P783" s="48">
        <f>HEX2DEC(RIGHT(Table1323212753[[#This Row],[h1]],8))</f>
        <v>0</v>
      </c>
      <c r="Q783" s="48" t="s">
        <v>75</v>
      </c>
      <c r="R783" s="48">
        <f>HEX2DEC(RIGHT(Table1323212753[[#This Row],[h2]],8))</f>
        <v>0</v>
      </c>
    </row>
    <row r="784" spans="1:18">
      <c r="A784" s="15" t="str">
        <f t="shared" si="17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8" t="s">
        <v>75</v>
      </c>
      <c r="P784" s="48">
        <f>HEX2DEC(RIGHT(Table1323212753[[#This Row],[h1]],8))</f>
        <v>0</v>
      </c>
      <c r="Q784" s="48" t="s">
        <v>75</v>
      </c>
      <c r="R784" s="48">
        <f>HEX2DEC(RIGHT(Table1323212753[[#This Row],[h2]],8))</f>
        <v>0</v>
      </c>
    </row>
    <row r="785" spans="1:18">
      <c r="A785" s="15" t="str">
        <f t="shared" si="17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8" t="s">
        <v>75</v>
      </c>
      <c r="P785" s="48">
        <f>HEX2DEC(RIGHT(Table1323212753[[#This Row],[h1]],8))</f>
        <v>0</v>
      </c>
      <c r="Q785" s="48" t="s">
        <v>75</v>
      </c>
      <c r="R785" s="48">
        <f>HEX2DEC(RIGHT(Table1323212753[[#This Row],[h2]],8))</f>
        <v>0</v>
      </c>
    </row>
    <row r="786" spans="1:18">
      <c r="A786" s="15" t="str">
        <f t="shared" si="17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8" t="s">
        <v>75</v>
      </c>
      <c r="P786" s="48">
        <f>HEX2DEC(RIGHT(Table1323212753[[#This Row],[h1]],8))</f>
        <v>0</v>
      </c>
      <c r="Q786" s="48" t="s">
        <v>75</v>
      </c>
      <c r="R786" s="48">
        <f>HEX2DEC(RIGHT(Table1323212753[[#This Row],[h2]],8))</f>
        <v>0</v>
      </c>
    </row>
    <row r="787" spans="1:18">
      <c r="A787" s="15" t="str">
        <f t="shared" si="17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8" t="s">
        <v>75</v>
      </c>
      <c r="P787" s="48">
        <f>HEX2DEC(RIGHT(Table1323212753[[#This Row],[h1]],8))</f>
        <v>0</v>
      </c>
      <c r="Q787" s="48" t="s">
        <v>75</v>
      </c>
      <c r="R787" s="48">
        <f>HEX2DEC(RIGHT(Table1323212753[[#This Row],[h2]],8))</f>
        <v>0</v>
      </c>
    </row>
    <row r="788" spans="1:18">
      <c r="A788" s="15" t="str">
        <f t="shared" si="17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8" t="s">
        <v>75</v>
      </c>
      <c r="P788" s="48">
        <f>HEX2DEC(RIGHT(Table1323212753[[#This Row],[h1]],8))</f>
        <v>0</v>
      </c>
      <c r="Q788" s="48" t="s">
        <v>75</v>
      </c>
      <c r="R788" s="48">
        <f>HEX2DEC(RIGHT(Table1323212753[[#This Row],[h2]],8))</f>
        <v>0</v>
      </c>
    </row>
    <row r="789" spans="1:18">
      <c r="A789" s="15" t="str">
        <f t="shared" si="17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8" t="s">
        <v>75</v>
      </c>
      <c r="P789" s="48">
        <f>HEX2DEC(RIGHT(Table1323212753[[#This Row],[h1]],8))</f>
        <v>0</v>
      </c>
      <c r="Q789" s="48" t="s">
        <v>75</v>
      </c>
      <c r="R789" s="48">
        <f>HEX2DEC(RIGHT(Table1323212753[[#This Row],[h2]],8))</f>
        <v>0</v>
      </c>
    </row>
    <row r="790" spans="1:18">
      <c r="A790" s="15" t="str">
        <f t="shared" si="17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8" t="s">
        <v>75</v>
      </c>
      <c r="P790" s="48">
        <f>HEX2DEC(RIGHT(Table1323212753[[#This Row],[h1]],8))</f>
        <v>0</v>
      </c>
      <c r="Q790" s="48" t="s">
        <v>75</v>
      </c>
      <c r="R790" s="48">
        <f>HEX2DEC(RIGHT(Table1323212753[[#This Row],[h2]],8))</f>
        <v>0</v>
      </c>
    </row>
    <row r="791" spans="1:18">
      <c r="A791" s="15" t="str">
        <f t="shared" si="17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8" t="s">
        <v>75</v>
      </c>
      <c r="P791" s="48">
        <f>HEX2DEC(RIGHT(Table1323212753[[#This Row],[h1]],8))</f>
        <v>0</v>
      </c>
      <c r="Q791" s="48" t="s">
        <v>75</v>
      </c>
      <c r="R791" s="48">
        <f>HEX2DEC(RIGHT(Table1323212753[[#This Row],[h2]],8))</f>
        <v>0</v>
      </c>
    </row>
    <row r="792" spans="1:18">
      <c r="A792" s="15" t="str">
        <f t="shared" si="17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8" t="s">
        <v>75</v>
      </c>
      <c r="P792" s="48">
        <f>HEX2DEC(RIGHT(Table1323212753[[#This Row],[h1]],8))</f>
        <v>0</v>
      </c>
      <c r="Q792" s="48" t="s">
        <v>75</v>
      </c>
      <c r="R792" s="48">
        <f>HEX2DEC(RIGHT(Table1323212753[[#This Row],[h2]],8))</f>
        <v>0</v>
      </c>
    </row>
    <row r="793" spans="1:18">
      <c r="A793" s="15" t="str">
        <f t="shared" si="17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8" t="s">
        <v>75</v>
      </c>
      <c r="P793" s="48">
        <f>HEX2DEC(RIGHT(Table1323212753[[#This Row],[h1]],8))</f>
        <v>0</v>
      </c>
      <c r="Q793" s="48" t="s">
        <v>75</v>
      </c>
      <c r="R793" s="48">
        <f>HEX2DEC(RIGHT(Table1323212753[[#This Row],[h2]],8))</f>
        <v>0</v>
      </c>
    </row>
    <row r="794" spans="1:18">
      <c r="A794" s="15" t="str">
        <f t="shared" si="17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8" t="s">
        <v>75</v>
      </c>
      <c r="P794" s="48">
        <f>HEX2DEC(RIGHT(Table1323212753[[#This Row],[h1]],8))</f>
        <v>0</v>
      </c>
      <c r="Q794" s="48" t="s">
        <v>75</v>
      </c>
      <c r="R794" s="48">
        <f>HEX2DEC(RIGHT(Table1323212753[[#This Row],[h2]],8))</f>
        <v>0</v>
      </c>
    </row>
    <row r="795" spans="1:18">
      <c r="A795" s="15" t="str">
        <f t="shared" si="17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8" t="s">
        <v>75</v>
      </c>
      <c r="P795" s="48">
        <f>HEX2DEC(RIGHT(Table1323212753[[#This Row],[h1]],8))</f>
        <v>0</v>
      </c>
      <c r="Q795" s="48" t="s">
        <v>75</v>
      </c>
      <c r="R795" s="48">
        <f>HEX2DEC(RIGHT(Table1323212753[[#This Row],[h2]],8))</f>
        <v>0</v>
      </c>
    </row>
    <row r="796" spans="1:18">
      <c r="A796" s="15" t="str">
        <f t="shared" si="17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8" t="s">
        <v>75</v>
      </c>
      <c r="P796" s="48">
        <f>HEX2DEC(RIGHT(Table1323212753[[#This Row],[h1]],8))</f>
        <v>0</v>
      </c>
      <c r="Q796" s="48" t="s">
        <v>75</v>
      </c>
      <c r="R796" s="48">
        <f>HEX2DEC(RIGHT(Table1323212753[[#This Row],[h2]],8))</f>
        <v>0</v>
      </c>
    </row>
    <row r="797" spans="1:18">
      <c r="A797" s="15" t="str">
        <f t="shared" si="17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8" t="s">
        <v>75</v>
      </c>
      <c r="P797" s="48">
        <f>HEX2DEC(RIGHT(Table1323212753[[#This Row],[h1]],8))</f>
        <v>0</v>
      </c>
      <c r="Q797" s="48" t="s">
        <v>75</v>
      </c>
      <c r="R797" s="48">
        <f>HEX2DEC(RIGHT(Table1323212753[[#This Row],[h2]],8))</f>
        <v>0</v>
      </c>
    </row>
    <row r="798" spans="1:18">
      <c r="A798" s="15" t="str">
        <f t="shared" si="17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8" t="s">
        <v>75</v>
      </c>
      <c r="P798" s="48">
        <f>HEX2DEC(RIGHT(Table1323212753[[#This Row],[h1]],8))</f>
        <v>0</v>
      </c>
      <c r="Q798" s="48" t="s">
        <v>75</v>
      </c>
      <c r="R798" s="48">
        <f>HEX2DEC(RIGHT(Table1323212753[[#This Row],[h2]],8))</f>
        <v>0</v>
      </c>
    </row>
    <row r="799" spans="1:18">
      <c r="A799" s="15" t="str">
        <f t="shared" si="17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8" t="s">
        <v>75</v>
      </c>
      <c r="P799" s="48">
        <f>HEX2DEC(RIGHT(Table1323212753[[#This Row],[h1]],8))</f>
        <v>0</v>
      </c>
      <c r="Q799" s="48" t="s">
        <v>75</v>
      </c>
      <c r="R799" s="48">
        <f>HEX2DEC(RIGHT(Table1323212753[[#This Row],[h2]],8))</f>
        <v>0</v>
      </c>
    </row>
    <row r="800" spans="1:18">
      <c r="A800" s="15" t="str">
        <f t="shared" si="17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8" t="s">
        <v>75</v>
      </c>
      <c r="P800" s="48">
        <f>HEX2DEC(RIGHT(Table1323212753[[#This Row],[h1]],8))</f>
        <v>0</v>
      </c>
      <c r="Q800" s="48" t="s">
        <v>75</v>
      </c>
      <c r="R800" s="48">
        <f>HEX2DEC(RIGHT(Table1323212753[[#This Row],[h2]],8))</f>
        <v>0</v>
      </c>
    </row>
    <row r="801" spans="1:18">
      <c r="A801" s="15" t="str">
        <f t="shared" si="17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8" t="s">
        <v>75</v>
      </c>
      <c r="P801" s="48">
        <f>HEX2DEC(RIGHT(Table1323212753[[#This Row],[h1]],8))</f>
        <v>0</v>
      </c>
      <c r="Q801" s="48" t="s">
        <v>75</v>
      </c>
      <c r="R801" s="48">
        <f>HEX2DEC(RIGHT(Table1323212753[[#This Row],[h2]],8))</f>
        <v>0</v>
      </c>
    </row>
    <row r="802" spans="1:18">
      <c r="A802" s="15" t="str">
        <f t="shared" si="17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8" t="s">
        <v>75</v>
      </c>
      <c r="P802" s="48">
        <f>HEX2DEC(RIGHT(Table1323212753[[#This Row],[h1]],8))</f>
        <v>0</v>
      </c>
      <c r="Q802" s="48" t="s">
        <v>75</v>
      </c>
      <c r="R802" s="48">
        <f>HEX2DEC(RIGHT(Table1323212753[[#This Row],[h2]],8))</f>
        <v>0</v>
      </c>
    </row>
    <row r="803" spans="1:18">
      <c r="A803" s="15" t="str">
        <f t="shared" si="17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8" t="s">
        <v>75</v>
      </c>
      <c r="P803" s="48">
        <f>HEX2DEC(RIGHT(Table1323212753[[#This Row],[h1]],8))</f>
        <v>0</v>
      </c>
      <c r="Q803" s="48" t="s">
        <v>75</v>
      </c>
      <c r="R803" s="48">
        <f>HEX2DEC(RIGHT(Table1323212753[[#This Row],[h2]],8))</f>
        <v>0</v>
      </c>
    </row>
    <row r="804" spans="1:18">
      <c r="A804" s="15" t="str">
        <f t="shared" si="17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8" t="s">
        <v>75</v>
      </c>
      <c r="P804" s="48">
        <f>HEX2DEC(RIGHT(Table1323212753[[#This Row],[h1]],8))</f>
        <v>0</v>
      </c>
      <c r="Q804" s="48" t="s">
        <v>75</v>
      </c>
      <c r="R804" s="48">
        <f>HEX2DEC(RIGHT(Table1323212753[[#This Row],[h2]],8))</f>
        <v>0</v>
      </c>
    </row>
    <row r="805" spans="1:18">
      <c r="A805" s="15" t="str">
        <f t="shared" si="17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8" t="s">
        <v>75</v>
      </c>
      <c r="P805" s="48">
        <f>HEX2DEC(RIGHT(Table1323212753[[#This Row],[h1]],8))</f>
        <v>0</v>
      </c>
      <c r="Q805" s="48" t="s">
        <v>75</v>
      </c>
      <c r="R805" s="48">
        <f>HEX2DEC(RIGHT(Table1323212753[[#This Row],[h2]],8))</f>
        <v>0</v>
      </c>
    </row>
    <row r="806" spans="1:18">
      <c r="A806" s="15" t="str">
        <f t="shared" si="17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8" t="s">
        <v>75</v>
      </c>
      <c r="P806" s="48">
        <f>HEX2DEC(RIGHT(Table1323212753[[#This Row],[h1]],8))</f>
        <v>0</v>
      </c>
      <c r="Q806" s="48" t="s">
        <v>75</v>
      </c>
      <c r="R806" s="48">
        <f>HEX2DEC(RIGHT(Table1323212753[[#This Row],[h2]],8))</f>
        <v>0</v>
      </c>
    </row>
    <row r="807" spans="1:18">
      <c r="A807" s="15" t="str">
        <f t="shared" si="17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8" t="s">
        <v>75</v>
      </c>
      <c r="P807" s="48">
        <f>HEX2DEC(RIGHT(Table1323212753[[#This Row],[h1]],8))</f>
        <v>0</v>
      </c>
      <c r="Q807" s="48" t="s">
        <v>75</v>
      </c>
      <c r="R807" s="48">
        <f>HEX2DEC(RIGHT(Table1323212753[[#This Row],[h2]],8))</f>
        <v>0</v>
      </c>
    </row>
    <row r="808" spans="1:18">
      <c r="A808" s="15" t="str">
        <f t="shared" si="17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8" t="s">
        <v>75</v>
      </c>
      <c r="P808" s="48">
        <f>HEX2DEC(RIGHT(Table1323212753[[#This Row],[h1]],8))</f>
        <v>0</v>
      </c>
      <c r="Q808" s="48" t="s">
        <v>75</v>
      </c>
      <c r="R808" s="48">
        <f>HEX2DEC(RIGHT(Table1323212753[[#This Row],[h2]],8))</f>
        <v>0</v>
      </c>
    </row>
    <row r="809" spans="1:18">
      <c r="A809" s="15" t="str">
        <f t="shared" si="17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8" t="s">
        <v>75</v>
      </c>
      <c r="P809" s="48">
        <f>HEX2DEC(RIGHT(Table1323212753[[#This Row],[h1]],8))</f>
        <v>0</v>
      </c>
      <c r="Q809" s="48" t="s">
        <v>75</v>
      </c>
      <c r="R809" s="48">
        <f>HEX2DEC(RIGHT(Table1323212753[[#This Row],[h2]],8))</f>
        <v>0</v>
      </c>
    </row>
    <row r="810" spans="1:18">
      <c r="A810" s="15" t="str">
        <f t="shared" si="17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8" t="s">
        <v>75</v>
      </c>
      <c r="P810" s="48">
        <f>HEX2DEC(RIGHT(Table1323212753[[#This Row],[h1]],8))</f>
        <v>0</v>
      </c>
      <c r="Q810" s="48" t="s">
        <v>75</v>
      </c>
      <c r="R810" s="48">
        <f>HEX2DEC(RIGHT(Table1323212753[[#This Row],[h2]],8))</f>
        <v>0</v>
      </c>
    </row>
    <row r="811" spans="1:18">
      <c r="A811" s="15" t="str">
        <f t="shared" si="17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8" t="s">
        <v>75</v>
      </c>
      <c r="P811" s="48">
        <f>HEX2DEC(RIGHT(Table1323212753[[#This Row],[h1]],8))</f>
        <v>0</v>
      </c>
      <c r="Q811" s="48" t="s">
        <v>75</v>
      </c>
      <c r="R811" s="48">
        <f>HEX2DEC(RIGHT(Table1323212753[[#This Row],[h2]],8))</f>
        <v>0</v>
      </c>
    </row>
    <row r="812" spans="1:18">
      <c r="A812" s="15" t="str">
        <f t="shared" si="17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8" t="s">
        <v>75</v>
      </c>
      <c r="P812" s="48">
        <f>HEX2DEC(RIGHT(Table1323212753[[#This Row],[h1]],8))</f>
        <v>0</v>
      </c>
      <c r="Q812" s="48" t="s">
        <v>75</v>
      </c>
      <c r="R812" s="48">
        <f>HEX2DEC(RIGHT(Table1323212753[[#This Row],[h2]],8))</f>
        <v>0</v>
      </c>
    </row>
    <row r="813" spans="1:18">
      <c r="A813" s="15" t="str">
        <f t="shared" si="17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8" t="s">
        <v>75</v>
      </c>
      <c r="P813" s="48">
        <f>HEX2DEC(RIGHT(Table1323212753[[#This Row],[h1]],8))</f>
        <v>0</v>
      </c>
      <c r="Q813" s="48" t="s">
        <v>75</v>
      </c>
      <c r="R813" s="48">
        <f>HEX2DEC(RIGHT(Table1323212753[[#This Row],[h2]],8))</f>
        <v>0</v>
      </c>
    </row>
    <row r="814" spans="1:18">
      <c r="A814" s="15" t="str">
        <f t="shared" si="17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8" t="s">
        <v>75</v>
      </c>
      <c r="P814" s="48">
        <f>HEX2DEC(RIGHT(Table1323212753[[#This Row],[h1]],8))</f>
        <v>0</v>
      </c>
      <c r="Q814" s="48" t="s">
        <v>75</v>
      </c>
      <c r="R814" s="48">
        <f>HEX2DEC(RIGHT(Table1323212753[[#This Row],[h2]],8))</f>
        <v>0</v>
      </c>
    </row>
    <row r="815" spans="1:18">
      <c r="A815" s="15" t="str">
        <f t="shared" si="17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8" t="s">
        <v>75</v>
      </c>
      <c r="P815" s="48">
        <f>HEX2DEC(RIGHT(Table1323212753[[#This Row],[h1]],8))</f>
        <v>0</v>
      </c>
      <c r="Q815" s="48" t="s">
        <v>75</v>
      </c>
      <c r="R815" s="48">
        <f>HEX2DEC(RIGHT(Table1323212753[[#This Row],[h2]],8))</f>
        <v>0</v>
      </c>
    </row>
    <row r="816" spans="1:18">
      <c r="A816" s="15" t="str">
        <f t="shared" si="17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8" t="s">
        <v>75</v>
      </c>
      <c r="P816" s="48">
        <f>HEX2DEC(RIGHT(Table1323212753[[#This Row],[h1]],8))</f>
        <v>0</v>
      </c>
      <c r="Q816" s="48" t="s">
        <v>75</v>
      </c>
      <c r="R816" s="48">
        <f>HEX2DEC(RIGHT(Table1323212753[[#This Row],[h2]],8))</f>
        <v>0</v>
      </c>
    </row>
    <row r="817" spans="1:18">
      <c r="A817" s="15" t="str">
        <f t="shared" si="17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8" t="s">
        <v>75</v>
      </c>
      <c r="P817" s="48">
        <f>HEX2DEC(RIGHT(Table1323212753[[#This Row],[h1]],8))</f>
        <v>0</v>
      </c>
      <c r="Q817" s="48" t="s">
        <v>75</v>
      </c>
      <c r="R817" s="48">
        <f>HEX2DEC(RIGHT(Table1323212753[[#This Row],[h2]],8))</f>
        <v>0</v>
      </c>
    </row>
    <row r="818" spans="1:18">
      <c r="A818" s="15" t="str">
        <f t="shared" si="17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8" t="s">
        <v>75</v>
      </c>
      <c r="P818" s="48">
        <f>HEX2DEC(RIGHT(Table1323212753[[#This Row],[h1]],8))</f>
        <v>0</v>
      </c>
      <c r="Q818" s="48" t="s">
        <v>75</v>
      </c>
      <c r="R818" s="48">
        <f>HEX2DEC(RIGHT(Table1323212753[[#This Row],[h2]],8))</f>
        <v>0</v>
      </c>
    </row>
    <row r="819" spans="1:18">
      <c r="A819" s="15" t="str">
        <f t="shared" si="17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8" t="s">
        <v>75</v>
      </c>
      <c r="P819" s="48">
        <f>HEX2DEC(RIGHT(Table1323212753[[#This Row],[h1]],8))</f>
        <v>0</v>
      </c>
      <c r="Q819" s="48" t="s">
        <v>75</v>
      </c>
      <c r="R819" s="48">
        <f>HEX2DEC(RIGHT(Table1323212753[[#This Row],[h2]],8))</f>
        <v>0</v>
      </c>
    </row>
    <row r="820" spans="1:18">
      <c r="A820" s="15" t="str">
        <f t="shared" si="17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8" t="s">
        <v>75</v>
      </c>
      <c r="P820" s="48">
        <f>HEX2DEC(RIGHT(Table1323212753[[#This Row],[h1]],8))</f>
        <v>0</v>
      </c>
      <c r="Q820" s="48" t="s">
        <v>75</v>
      </c>
      <c r="R820" s="48">
        <f>HEX2DEC(RIGHT(Table1323212753[[#This Row],[h2]],8))</f>
        <v>0</v>
      </c>
    </row>
    <row r="821" spans="1:18">
      <c r="A821" s="15" t="str">
        <f t="shared" si="17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8" t="s">
        <v>75</v>
      </c>
      <c r="P821" s="48">
        <f>HEX2DEC(RIGHT(Table1323212753[[#This Row],[h1]],8))</f>
        <v>0</v>
      </c>
      <c r="Q821" s="48" t="s">
        <v>75</v>
      </c>
      <c r="R821" s="48">
        <f>HEX2DEC(RIGHT(Table1323212753[[#This Row],[h2]],8))</f>
        <v>0</v>
      </c>
    </row>
    <row r="822" spans="1:18">
      <c r="A822" s="15" t="str">
        <f t="shared" si="17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8" t="s">
        <v>75</v>
      </c>
      <c r="P822" s="48">
        <f>HEX2DEC(RIGHT(Table1323212753[[#This Row],[h1]],8))</f>
        <v>0</v>
      </c>
      <c r="Q822" s="48" t="s">
        <v>75</v>
      </c>
      <c r="R822" s="48">
        <f>HEX2DEC(RIGHT(Table1323212753[[#This Row],[h2]],8))</f>
        <v>0</v>
      </c>
    </row>
    <row r="823" spans="1:18">
      <c r="A823" s="15" t="str">
        <f t="shared" si="17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8" t="s">
        <v>75</v>
      </c>
      <c r="P823" s="48">
        <f>HEX2DEC(RIGHT(Table1323212753[[#This Row],[h1]],8))</f>
        <v>0</v>
      </c>
      <c r="Q823" s="48" t="s">
        <v>75</v>
      </c>
      <c r="R823" s="48">
        <f>HEX2DEC(RIGHT(Table1323212753[[#This Row],[h2]],8))</f>
        <v>0</v>
      </c>
    </row>
    <row r="824" spans="1:18">
      <c r="A824" s="15" t="str">
        <f t="shared" si="17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8" t="s">
        <v>75</v>
      </c>
      <c r="P824" s="48">
        <f>HEX2DEC(RIGHT(Table1323212753[[#This Row],[h1]],8))</f>
        <v>0</v>
      </c>
      <c r="Q824" s="48" t="s">
        <v>75</v>
      </c>
      <c r="R824" s="48">
        <f>HEX2DEC(RIGHT(Table1323212753[[#This Row],[h2]],8))</f>
        <v>0</v>
      </c>
    </row>
    <row r="825" spans="1:18">
      <c r="A825" s="15" t="str">
        <f t="shared" si="17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8" t="s">
        <v>75</v>
      </c>
      <c r="P825" s="48">
        <f>HEX2DEC(RIGHT(Table1323212753[[#This Row],[h1]],8))</f>
        <v>0</v>
      </c>
      <c r="Q825" s="48" t="s">
        <v>75</v>
      </c>
      <c r="R825" s="48">
        <f>HEX2DEC(RIGHT(Table1323212753[[#This Row],[h2]],8))</f>
        <v>0</v>
      </c>
    </row>
    <row r="826" spans="1:18">
      <c r="A826" s="15" t="str">
        <f t="shared" si="17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8" t="s">
        <v>75</v>
      </c>
      <c r="P826" s="48">
        <f>HEX2DEC(RIGHT(Table1323212753[[#This Row],[h1]],8))</f>
        <v>0</v>
      </c>
      <c r="Q826" s="48" t="s">
        <v>75</v>
      </c>
      <c r="R826" s="48">
        <f>HEX2DEC(RIGHT(Table1323212753[[#This Row],[h2]],8))</f>
        <v>0</v>
      </c>
    </row>
    <row r="827" spans="1:18">
      <c r="A827" s="15" t="str">
        <f t="shared" si="17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8" t="s">
        <v>75</v>
      </c>
      <c r="P827" s="48">
        <f>HEX2DEC(RIGHT(Table1323212753[[#This Row],[h1]],8))</f>
        <v>0</v>
      </c>
      <c r="Q827" s="48" t="s">
        <v>75</v>
      </c>
      <c r="R827" s="48">
        <f>HEX2DEC(RIGHT(Table1323212753[[#This Row],[h2]],8))</f>
        <v>0</v>
      </c>
    </row>
    <row r="828" spans="1:18">
      <c r="A828" s="15" t="str">
        <f t="shared" si="17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8" t="s">
        <v>75</v>
      </c>
      <c r="P828" s="48">
        <f>HEX2DEC(RIGHT(Table1323212753[[#This Row],[h1]],8))</f>
        <v>0</v>
      </c>
      <c r="Q828" s="48" t="s">
        <v>75</v>
      </c>
      <c r="R828" s="48">
        <f>HEX2DEC(RIGHT(Table1323212753[[#This Row],[h2]],8))</f>
        <v>0</v>
      </c>
    </row>
    <row r="829" spans="1:18">
      <c r="A829" s="15" t="str">
        <f t="shared" si="17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8" t="s">
        <v>75</v>
      </c>
      <c r="P829" s="48">
        <f>HEX2DEC(RIGHT(Table1323212753[[#This Row],[h1]],8))</f>
        <v>0</v>
      </c>
      <c r="Q829" s="48" t="s">
        <v>75</v>
      </c>
      <c r="R829" s="48">
        <f>HEX2DEC(RIGHT(Table1323212753[[#This Row],[h2]],8))</f>
        <v>0</v>
      </c>
    </row>
    <row r="830" spans="1:18">
      <c r="A830" s="15" t="str">
        <f t="shared" si="17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8" t="s">
        <v>75</v>
      </c>
      <c r="P830" s="48">
        <f>HEX2DEC(RIGHT(Table1323212753[[#This Row],[h1]],8))</f>
        <v>0</v>
      </c>
      <c r="Q830" s="48" t="s">
        <v>75</v>
      </c>
      <c r="R830" s="48">
        <f>HEX2DEC(RIGHT(Table1323212753[[#This Row],[h2]],8))</f>
        <v>0</v>
      </c>
    </row>
    <row r="831" spans="1:18">
      <c r="A831" s="15" t="str">
        <f t="shared" si="17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8" t="s">
        <v>75</v>
      </c>
      <c r="P831" s="48">
        <f>HEX2DEC(RIGHT(Table1323212753[[#This Row],[h1]],8))</f>
        <v>0</v>
      </c>
      <c r="Q831" s="48" t="s">
        <v>75</v>
      </c>
      <c r="R831" s="48">
        <f>HEX2DEC(RIGHT(Table1323212753[[#This Row],[h2]],8))</f>
        <v>0</v>
      </c>
    </row>
    <row r="832" spans="1:18">
      <c r="A832" s="15" t="str">
        <f t="shared" si="17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8" t="s">
        <v>75</v>
      </c>
      <c r="P832" s="48">
        <f>HEX2DEC(RIGHT(Table1323212753[[#This Row],[h1]],8))</f>
        <v>0</v>
      </c>
      <c r="Q832" s="48" t="s">
        <v>75</v>
      </c>
      <c r="R832" s="48">
        <f>HEX2DEC(RIGHT(Table1323212753[[#This Row],[h2]],8))</f>
        <v>0</v>
      </c>
    </row>
    <row r="833" spans="1:18">
      <c r="A833" s="15" t="str">
        <f t="shared" si="17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8" t="s">
        <v>75</v>
      </c>
      <c r="P833" s="48">
        <f>HEX2DEC(RIGHT(Table1323212753[[#This Row],[h1]],8))</f>
        <v>0</v>
      </c>
      <c r="Q833" s="48" t="s">
        <v>75</v>
      </c>
      <c r="R833" s="48">
        <f>HEX2DEC(RIGHT(Table1323212753[[#This Row],[h2]],8))</f>
        <v>0</v>
      </c>
    </row>
    <row r="834" spans="1:18">
      <c r="A834" s="15" t="str">
        <f t="shared" si="17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8" t="s">
        <v>75</v>
      </c>
      <c r="P834" s="48">
        <f>HEX2DEC(RIGHT(Table1323212753[[#This Row],[h1]],8))</f>
        <v>0</v>
      </c>
      <c r="Q834" s="48" t="s">
        <v>75</v>
      </c>
      <c r="R834" s="48">
        <f>HEX2DEC(RIGHT(Table1323212753[[#This Row],[h2]],8))</f>
        <v>0</v>
      </c>
    </row>
    <row r="835" spans="1:18">
      <c r="A835" s="15" t="str">
        <f t="shared" si="17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8" t="s">
        <v>75</v>
      </c>
      <c r="P835" s="48">
        <f>HEX2DEC(RIGHT(Table1323212753[[#This Row],[h1]],8))</f>
        <v>0</v>
      </c>
      <c r="Q835" s="48" t="s">
        <v>75</v>
      </c>
      <c r="R835" s="48">
        <f>HEX2DEC(RIGHT(Table1323212753[[#This Row],[h2]],8))</f>
        <v>0</v>
      </c>
    </row>
    <row r="836" spans="1:18">
      <c r="A836" s="15" t="str">
        <f t="shared" si="17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8" t="s">
        <v>75</v>
      </c>
      <c r="P836" s="48">
        <f>HEX2DEC(RIGHT(Table1323212753[[#This Row],[h1]],8))</f>
        <v>0</v>
      </c>
      <c r="Q836" s="48" t="s">
        <v>75</v>
      </c>
      <c r="R836" s="48">
        <f>HEX2DEC(RIGHT(Table1323212753[[#This Row],[h2]],8))</f>
        <v>0</v>
      </c>
    </row>
    <row r="837" spans="1:18">
      <c r="A837" s="15" t="str">
        <f t="shared" si="17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8" t="s">
        <v>75</v>
      </c>
      <c r="P837" s="48">
        <f>HEX2DEC(RIGHT(Table1323212753[[#This Row],[h1]],8))</f>
        <v>0</v>
      </c>
      <c r="Q837" s="48" t="s">
        <v>75</v>
      </c>
      <c r="R837" s="48">
        <f>HEX2DEC(RIGHT(Table1323212753[[#This Row],[h2]],8))</f>
        <v>0</v>
      </c>
    </row>
    <row r="838" spans="1:18">
      <c r="A838" s="15" t="str">
        <f t="shared" si="17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8" t="s">
        <v>75</v>
      </c>
      <c r="P838" s="48">
        <f>HEX2DEC(RIGHT(Table1323212753[[#This Row],[h1]],8))</f>
        <v>0</v>
      </c>
      <c r="Q838" s="48" t="s">
        <v>75</v>
      </c>
      <c r="R838" s="48">
        <f>HEX2DEC(RIGHT(Table1323212753[[#This Row],[h2]],8))</f>
        <v>0</v>
      </c>
    </row>
    <row r="839" spans="1:18">
      <c r="A839" s="15" t="str">
        <f t="shared" si="17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8" t="s">
        <v>75</v>
      </c>
      <c r="P839" s="48">
        <f>HEX2DEC(RIGHT(Table1323212753[[#This Row],[h1]],8))</f>
        <v>0</v>
      </c>
      <c r="Q839" s="48" t="s">
        <v>75</v>
      </c>
      <c r="R839" s="48">
        <f>HEX2DEC(RIGHT(Table1323212753[[#This Row],[h2]],8))</f>
        <v>0</v>
      </c>
    </row>
    <row r="840" spans="1:18">
      <c r="A840" s="15" t="str">
        <f t="shared" si="17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8" t="s">
        <v>75</v>
      </c>
      <c r="P840" s="48">
        <f>HEX2DEC(RIGHT(Table1323212753[[#This Row],[h1]],8))</f>
        <v>0</v>
      </c>
      <c r="Q840" s="48" t="s">
        <v>75</v>
      </c>
      <c r="R840" s="48">
        <f>HEX2DEC(RIGHT(Table1323212753[[#This Row],[h2]],8))</f>
        <v>0</v>
      </c>
    </row>
    <row r="841" spans="1:18">
      <c r="A841" s="15" t="str">
        <f t="shared" si="17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8" t="s">
        <v>75</v>
      </c>
      <c r="P841" s="48">
        <f>HEX2DEC(RIGHT(Table1323212753[[#This Row],[h1]],8))</f>
        <v>0</v>
      </c>
      <c r="Q841" s="48" t="s">
        <v>75</v>
      </c>
      <c r="R841" s="48">
        <f>HEX2DEC(RIGHT(Table1323212753[[#This Row],[h2]],8))</f>
        <v>0</v>
      </c>
    </row>
    <row r="842" spans="1:18">
      <c r="A842" s="15" t="str">
        <f t="shared" si="17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8" t="s">
        <v>75</v>
      </c>
      <c r="P842" s="48">
        <f>HEX2DEC(RIGHT(Table1323212753[[#This Row],[h1]],8))</f>
        <v>0</v>
      </c>
      <c r="Q842" s="48" t="s">
        <v>75</v>
      </c>
      <c r="R842" s="48">
        <f>HEX2DEC(RIGHT(Table1323212753[[#This Row],[h2]],8))</f>
        <v>0</v>
      </c>
    </row>
    <row r="843" spans="1:18">
      <c r="A843" s="15" t="str">
        <f t="shared" ref="A843:A906" si="18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8" t="s">
        <v>75</v>
      </c>
      <c r="P843" s="48">
        <f>HEX2DEC(RIGHT(Table1323212753[[#This Row],[h1]],8))</f>
        <v>0</v>
      </c>
      <c r="Q843" s="48" t="s">
        <v>75</v>
      </c>
      <c r="R843" s="48">
        <f>HEX2DEC(RIGHT(Table1323212753[[#This Row],[h2]],8))</f>
        <v>0</v>
      </c>
    </row>
    <row r="844" spans="1:18">
      <c r="A844" s="15" t="str">
        <f t="shared" si="18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8" t="s">
        <v>75</v>
      </c>
      <c r="P844" s="48">
        <f>HEX2DEC(RIGHT(Table1323212753[[#This Row],[h1]],8))</f>
        <v>0</v>
      </c>
      <c r="Q844" s="48" t="s">
        <v>75</v>
      </c>
      <c r="R844" s="48">
        <f>HEX2DEC(RIGHT(Table1323212753[[#This Row],[h2]],8))</f>
        <v>0</v>
      </c>
    </row>
    <row r="845" spans="1:18">
      <c r="A845" s="15" t="str">
        <f t="shared" si="18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8" t="s">
        <v>75</v>
      </c>
      <c r="P845" s="48">
        <f>HEX2DEC(RIGHT(Table1323212753[[#This Row],[h1]],8))</f>
        <v>0</v>
      </c>
      <c r="Q845" s="48" t="s">
        <v>75</v>
      </c>
      <c r="R845" s="48">
        <f>HEX2DEC(RIGHT(Table1323212753[[#This Row],[h2]],8))</f>
        <v>0</v>
      </c>
    </row>
    <row r="846" spans="1:18">
      <c r="A846" s="15" t="str">
        <f t="shared" si="18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8" t="s">
        <v>75</v>
      </c>
      <c r="P846" s="48">
        <f>HEX2DEC(RIGHT(Table1323212753[[#This Row],[h1]],8))</f>
        <v>0</v>
      </c>
      <c r="Q846" s="48" t="s">
        <v>75</v>
      </c>
      <c r="R846" s="48">
        <f>HEX2DEC(RIGHT(Table1323212753[[#This Row],[h2]],8))</f>
        <v>0</v>
      </c>
    </row>
    <row r="847" spans="1:18">
      <c r="A847" s="15" t="str">
        <f t="shared" si="18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8" t="s">
        <v>75</v>
      </c>
      <c r="P847" s="48">
        <f>HEX2DEC(RIGHT(Table1323212753[[#This Row],[h1]],8))</f>
        <v>0</v>
      </c>
      <c r="Q847" s="48" t="s">
        <v>75</v>
      </c>
      <c r="R847" s="48">
        <f>HEX2DEC(RIGHT(Table1323212753[[#This Row],[h2]],8))</f>
        <v>0</v>
      </c>
    </row>
    <row r="848" spans="1:18">
      <c r="A848" s="15" t="str">
        <f t="shared" si="18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8" t="s">
        <v>75</v>
      </c>
      <c r="P848" s="48">
        <f>HEX2DEC(RIGHT(Table1323212753[[#This Row],[h1]],8))</f>
        <v>0</v>
      </c>
      <c r="Q848" s="48" t="s">
        <v>75</v>
      </c>
      <c r="R848" s="48">
        <f>HEX2DEC(RIGHT(Table1323212753[[#This Row],[h2]],8))</f>
        <v>0</v>
      </c>
    </row>
    <row r="849" spans="1:18">
      <c r="A849" s="15" t="str">
        <f t="shared" si="18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8" t="s">
        <v>75</v>
      </c>
      <c r="P849" s="48">
        <f>HEX2DEC(RIGHT(Table1323212753[[#This Row],[h1]],8))</f>
        <v>0</v>
      </c>
      <c r="Q849" s="48" t="s">
        <v>75</v>
      </c>
      <c r="R849" s="48">
        <f>HEX2DEC(RIGHT(Table1323212753[[#This Row],[h2]],8))</f>
        <v>0</v>
      </c>
    </row>
    <row r="850" spans="1:18">
      <c r="A850" s="15" t="str">
        <f t="shared" si="18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8" t="s">
        <v>75</v>
      </c>
      <c r="P850" s="48">
        <f>HEX2DEC(RIGHT(Table1323212753[[#This Row],[h1]],8))</f>
        <v>0</v>
      </c>
      <c r="Q850" s="48" t="s">
        <v>75</v>
      </c>
      <c r="R850" s="48">
        <f>HEX2DEC(RIGHT(Table1323212753[[#This Row],[h2]],8))</f>
        <v>0</v>
      </c>
    </row>
    <row r="851" spans="1:18">
      <c r="A851" s="15" t="str">
        <f t="shared" si="18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8" t="s">
        <v>75</v>
      </c>
      <c r="P851" s="48">
        <f>HEX2DEC(RIGHT(Table1323212753[[#This Row],[h1]],8))</f>
        <v>0</v>
      </c>
      <c r="Q851" s="48" t="s">
        <v>75</v>
      </c>
      <c r="R851" s="48">
        <f>HEX2DEC(RIGHT(Table1323212753[[#This Row],[h2]],8))</f>
        <v>0</v>
      </c>
    </row>
    <row r="852" spans="1:18">
      <c r="A852" s="15" t="str">
        <f t="shared" si="18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8" t="s">
        <v>75</v>
      </c>
      <c r="P852" s="48">
        <f>HEX2DEC(RIGHT(Table1323212753[[#This Row],[h1]],8))</f>
        <v>0</v>
      </c>
      <c r="Q852" s="48" t="s">
        <v>75</v>
      </c>
      <c r="R852" s="48">
        <f>HEX2DEC(RIGHT(Table1323212753[[#This Row],[h2]],8))</f>
        <v>0</v>
      </c>
    </row>
    <row r="853" spans="1:18">
      <c r="A853" s="15" t="str">
        <f t="shared" si="18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8" t="s">
        <v>75</v>
      </c>
      <c r="P853" s="48">
        <f>HEX2DEC(RIGHT(Table1323212753[[#This Row],[h1]],8))</f>
        <v>0</v>
      </c>
      <c r="Q853" s="48" t="s">
        <v>75</v>
      </c>
      <c r="R853" s="48">
        <f>HEX2DEC(RIGHT(Table1323212753[[#This Row],[h2]],8))</f>
        <v>0</v>
      </c>
    </row>
    <row r="854" spans="1:18">
      <c r="A854" s="15" t="str">
        <f t="shared" si="18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8" t="s">
        <v>75</v>
      </c>
      <c r="P854" s="48">
        <f>HEX2DEC(RIGHT(Table1323212753[[#This Row],[h1]],8))</f>
        <v>0</v>
      </c>
      <c r="Q854" s="48" t="s">
        <v>75</v>
      </c>
      <c r="R854" s="48">
        <f>HEX2DEC(RIGHT(Table1323212753[[#This Row],[h2]],8))</f>
        <v>0</v>
      </c>
    </row>
    <row r="855" spans="1:18">
      <c r="A855" s="15" t="str">
        <f t="shared" si="18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8" t="s">
        <v>75</v>
      </c>
      <c r="P855" s="48">
        <f>HEX2DEC(RIGHT(Table1323212753[[#This Row],[h1]],8))</f>
        <v>0</v>
      </c>
      <c r="Q855" s="48" t="s">
        <v>75</v>
      </c>
      <c r="R855" s="48">
        <f>HEX2DEC(RIGHT(Table1323212753[[#This Row],[h2]],8))</f>
        <v>0</v>
      </c>
    </row>
    <row r="856" spans="1:18">
      <c r="A856" s="15" t="str">
        <f t="shared" si="18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8" t="s">
        <v>75</v>
      </c>
      <c r="P856" s="48">
        <f>HEX2DEC(RIGHT(Table1323212753[[#This Row],[h1]],8))</f>
        <v>0</v>
      </c>
      <c r="Q856" s="48" t="s">
        <v>75</v>
      </c>
      <c r="R856" s="48">
        <f>HEX2DEC(RIGHT(Table1323212753[[#This Row],[h2]],8))</f>
        <v>0</v>
      </c>
    </row>
    <row r="857" spans="1:18">
      <c r="A857" s="15" t="str">
        <f t="shared" si="18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8" t="s">
        <v>75</v>
      </c>
      <c r="P857" s="48">
        <f>HEX2DEC(RIGHT(Table1323212753[[#This Row],[h1]],8))</f>
        <v>0</v>
      </c>
      <c r="Q857" s="48" t="s">
        <v>75</v>
      </c>
      <c r="R857" s="48">
        <f>HEX2DEC(RIGHT(Table1323212753[[#This Row],[h2]],8))</f>
        <v>0</v>
      </c>
    </row>
    <row r="858" spans="1:18">
      <c r="A858" s="15" t="str">
        <f t="shared" si="18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8" t="s">
        <v>75</v>
      </c>
      <c r="P858" s="48">
        <f>HEX2DEC(RIGHT(Table1323212753[[#This Row],[h1]],8))</f>
        <v>0</v>
      </c>
      <c r="Q858" s="48" t="s">
        <v>75</v>
      </c>
      <c r="R858" s="48">
        <f>HEX2DEC(RIGHT(Table1323212753[[#This Row],[h2]],8))</f>
        <v>0</v>
      </c>
    </row>
    <row r="859" spans="1:18">
      <c r="A859" s="15" t="str">
        <f t="shared" si="18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8" t="s">
        <v>75</v>
      </c>
      <c r="P859" s="48">
        <f>HEX2DEC(RIGHT(Table1323212753[[#This Row],[h1]],8))</f>
        <v>0</v>
      </c>
      <c r="Q859" s="48" t="s">
        <v>75</v>
      </c>
      <c r="R859" s="48">
        <f>HEX2DEC(RIGHT(Table1323212753[[#This Row],[h2]],8))</f>
        <v>0</v>
      </c>
    </row>
    <row r="860" spans="1:18">
      <c r="A860" s="15" t="str">
        <f t="shared" si="18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8" t="s">
        <v>75</v>
      </c>
      <c r="P860" s="48">
        <f>HEX2DEC(RIGHT(Table1323212753[[#This Row],[h1]],8))</f>
        <v>0</v>
      </c>
      <c r="Q860" s="48" t="s">
        <v>75</v>
      </c>
      <c r="R860" s="48">
        <f>HEX2DEC(RIGHT(Table1323212753[[#This Row],[h2]],8))</f>
        <v>0</v>
      </c>
    </row>
    <row r="861" spans="1:18">
      <c r="A861" s="15" t="str">
        <f t="shared" si="18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8" t="s">
        <v>75</v>
      </c>
      <c r="P861" s="48">
        <f>HEX2DEC(RIGHT(Table1323212753[[#This Row],[h1]],8))</f>
        <v>0</v>
      </c>
      <c r="Q861" s="48" t="s">
        <v>75</v>
      </c>
      <c r="R861" s="48">
        <f>HEX2DEC(RIGHT(Table1323212753[[#This Row],[h2]],8))</f>
        <v>0</v>
      </c>
    </row>
    <row r="862" spans="1:18">
      <c r="A862" s="15" t="str">
        <f t="shared" si="18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8" t="s">
        <v>75</v>
      </c>
      <c r="P862" s="48">
        <f>HEX2DEC(RIGHT(Table1323212753[[#This Row],[h1]],8))</f>
        <v>0</v>
      </c>
      <c r="Q862" s="48" t="s">
        <v>75</v>
      </c>
      <c r="R862" s="48">
        <f>HEX2DEC(RIGHT(Table1323212753[[#This Row],[h2]],8))</f>
        <v>0</v>
      </c>
    </row>
    <row r="863" spans="1:18">
      <c r="A863" s="15" t="str">
        <f t="shared" si="18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8" t="s">
        <v>75</v>
      </c>
      <c r="P863" s="48">
        <f>HEX2DEC(RIGHT(Table1323212753[[#This Row],[h1]],8))</f>
        <v>0</v>
      </c>
      <c r="Q863" s="48" t="s">
        <v>75</v>
      </c>
      <c r="R863" s="48">
        <f>HEX2DEC(RIGHT(Table1323212753[[#This Row],[h2]],8))</f>
        <v>0</v>
      </c>
    </row>
    <row r="864" spans="1:18">
      <c r="A864" s="15" t="str">
        <f t="shared" si="18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8" t="s">
        <v>75</v>
      </c>
      <c r="P864" s="48">
        <f>HEX2DEC(RIGHT(Table1323212753[[#This Row],[h1]],8))</f>
        <v>0</v>
      </c>
      <c r="Q864" s="48" t="s">
        <v>75</v>
      </c>
      <c r="R864" s="48">
        <f>HEX2DEC(RIGHT(Table1323212753[[#This Row],[h2]],8))</f>
        <v>0</v>
      </c>
    </row>
    <row r="865" spans="1:18">
      <c r="A865" s="15" t="str">
        <f t="shared" si="18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8" t="s">
        <v>75</v>
      </c>
      <c r="P865" s="48">
        <f>HEX2DEC(RIGHT(Table1323212753[[#This Row],[h1]],8))</f>
        <v>0</v>
      </c>
      <c r="Q865" s="48" t="s">
        <v>75</v>
      </c>
      <c r="R865" s="48">
        <f>HEX2DEC(RIGHT(Table1323212753[[#This Row],[h2]],8))</f>
        <v>0</v>
      </c>
    </row>
    <row r="866" spans="1:18">
      <c r="A866" s="15" t="str">
        <f t="shared" si="18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8" t="s">
        <v>75</v>
      </c>
      <c r="P866" s="48">
        <f>HEX2DEC(RIGHT(Table1323212753[[#This Row],[h1]],8))</f>
        <v>0</v>
      </c>
      <c r="Q866" s="48" t="s">
        <v>75</v>
      </c>
      <c r="R866" s="48">
        <f>HEX2DEC(RIGHT(Table1323212753[[#This Row],[h2]],8))</f>
        <v>0</v>
      </c>
    </row>
    <row r="867" spans="1:18">
      <c r="A867" s="15" t="str">
        <f t="shared" si="18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8" t="s">
        <v>75</v>
      </c>
      <c r="P867" s="48">
        <f>HEX2DEC(RIGHT(Table1323212753[[#This Row],[h1]],8))</f>
        <v>0</v>
      </c>
      <c r="Q867" s="48" t="s">
        <v>75</v>
      </c>
      <c r="R867" s="48">
        <f>HEX2DEC(RIGHT(Table1323212753[[#This Row],[h2]],8))</f>
        <v>0</v>
      </c>
    </row>
    <row r="868" spans="1:18">
      <c r="A868" s="15" t="str">
        <f t="shared" si="18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8" t="s">
        <v>75</v>
      </c>
      <c r="P868" s="48">
        <f>HEX2DEC(RIGHT(Table1323212753[[#This Row],[h1]],8))</f>
        <v>0</v>
      </c>
      <c r="Q868" s="48" t="s">
        <v>75</v>
      </c>
      <c r="R868" s="48">
        <f>HEX2DEC(RIGHT(Table1323212753[[#This Row],[h2]],8))</f>
        <v>0</v>
      </c>
    </row>
    <row r="869" spans="1:18">
      <c r="A869" s="15" t="str">
        <f t="shared" si="18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8" t="s">
        <v>75</v>
      </c>
      <c r="P869" s="48">
        <f>HEX2DEC(RIGHT(Table1323212753[[#This Row],[h1]],8))</f>
        <v>0</v>
      </c>
      <c r="Q869" s="48" t="s">
        <v>75</v>
      </c>
      <c r="R869" s="48">
        <f>HEX2DEC(RIGHT(Table1323212753[[#This Row],[h2]],8))</f>
        <v>0</v>
      </c>
    </row>
    <row r="870" spans="1:18">
      <c r="A870" s="15" t="str">
        <f t="shared" si="18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8" t="s">
        <v>75</v>
      </c>
      <c r="P870" s="48">
        <f>HEX2DEC(RIGHT(Table1323212753[[#This Row],[h1]],8))</f>
        <v>0</v>
      </c>
      <c r="Q870" s="48" t="s">
        <v>75</v>
      </c>
      <c r="R870" s="48">
        <f>HEX2DEC(RIGHT(Table1323212753[[#This Row],[h2]],8))</f>
        <v>0</v>
      </c>
    </row>
    <row r="871" spans="1:18">
      <c r="A871" s="15" t="str">
        <f t="shared" si="18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8" t="s">
        <v>75</v>
      </c>
      <c r="P871" s="48">
        <f>HEX2DEC(RIGHT(Table1323212753[[#This Row],[h1]],8))</f>
        <v>0</v>
      </c>
      <c r="Q871" s="48" t="s">
        <v>75</v>
      </c>
      <c r="R871" s="48">
        <f>HEX2DEC(RIGHT(Table1323212753[[#This Row],[h2]],8))</f>
        <v>0</v>
      </c>
    </row>
    <row r="872" spans="1:18">
      <c r="A872" s="15" t="str">
        <f t="shared" si="18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8" t="s">
        <v>75</v>
      </c>
      <c r="P872" s="48">
        <f>HEX2DEC(RIGHT(Table1323212753[[#This Row],[h1]],8))</f>
        <v>0</v>
      </c>
      <c r="Q872" s="48" t="s">
        <v>75</v>
      </c>
      <c r="R872" s="48">
        <f>HEX2DEC(RIGHT(Table1323212753[[#This Row],[h2]],8))</f>
        <v>0</v>
      </c>
    </row>
    <row r="873" spans="1:18">
      <c r="A873" s="15" t="str">
        <f t="shared" si="18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8" t="s">
        <v>75</v>
      </c>
      <c r="P873" s="48">
        <f>HEX2DEC(RIGHT(Table1323212753[[#This Row],[h1]],8))</f>
        <v>0</v>
      </c>
      <c r="Q873" s="48" t="s">
        <v>75</v>
      </c>
      <c r="R873" s="48">
        <f>HEX2DEC(RIGHT(Table1323212753[[#This Row],[h2]],8))</f>
        <v>0</v>
      </c>
    </row>
    <row r="874" spans="1:18">
      <c r="A874" s="15" t="str">
        <f t="shared" si="18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8" t="s">
        <v>75</v>
      </c>
      <c r="P874" s="48">
        <f>HEX2DEC(RIGHT(Table1323212753[[#This Row],[h1]],8))</f>
        <v>0</v>
      </c>
      <c r="Q874" s="48" t="s">
        <v>75</v>
      </c>
      <c r="R874" s="48">
        <f>HEX2DEC(RIGHT(Table1323212753[[#This Row],[h2]],8))</f>
        <v>0</v>
      </c>
    </row>
    <row r="875" spans="1:18">
      <c r="A875" s="15" t="str">
        <f t="shared" si="18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8" t="s">
        <v>75</v>
      </c>
      <c r="P875" s="48">
        <f>HEX2DEC(RIGHT(Table1323212753[[#This Row],[h1]],8))</f>
        <v>0</v>
      </c>
      <c r="Q875" s="48" t="s">
        <v>75</v>
      </c>
      <c r="R875" s="48">
        <f>HEX2DEC(RIGHT(Table1323212753[[#This Row],[h2]],8))</f>
        <v>0</v>
      </c>
    </row>
    <row r="876" spans="1:18">
      <c r="A876" s="15" t="str">
        <f t="shared" si="18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8" t="s">
        <v>75</v>
      </c>
      <c r="P876" s="48">
        <f>HEX2DEC(RIGHT(Table1323212753[[#This Row],[h1]],8))</f>
        <v>0</v>
      </c>
      <c r="Q876" s="48" t="s">
        <v>75</v>
      </c>
      <c r="R876" s="48">
        <f>HEX2DEC(RIGHT(Table1323212753[[#This Row],[h2]],8))</f>
        <v>0</v>
      </c>
    </row>
    <row r="877" spans="1:18">
      <c r="A877" s="15" t="str">
        <f t="shared" si="18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8" t="s">
        <v>75</v>
      </c>
      <c r="P877" s="48">
        <f>HEX2DEC(RIGHT(Table1323212753[[#This Row],[h1]],8))</f>
        <v>0</v>
      </c>
      <c r="Q877" s="48" t="s">
        <v>75</v>
      </c>
      <c r="R877" s="48">
        <f>HEX2DEC(RIGHT(Table1323212753[[#This Row],[h2]],8))</f>
        <v>0</v>
      </c>
    </row>
    <row r="878" spans="1:18">
      <c r="A878" s="15" t="str">
        <f t="shared" si="18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8" t="s">
        <v>75</v>
      </c>
      <c r="P878" s="48">
        <f>HEX2DEC(RIGHT(Table1323212753[[#This Row],[h1]],8))</f>
        <v>0</v>
      </c>
      <c r="Q878" s="48" t="s">
        <v>75</v>
      </c>
      <c r="R878" s="48">
        <f>HEX2DEC(RIGHT(Table1323212753[[#This Row],[h2]],8))</f>
        <v>0</v>
      </c>
    </row>
    <row r="879" spans="1:18">
      <c r="A879" s="15" t="str">
        <f t="shared" si="18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8" t="s">
        <v>75</v>
      </c>
      <c r="P879" s="48">
        <f>HEX2DEC(RIGHT(Table1323212753[[#This Row],[h1]],8))</f>
        <v>0</v>
      </c>
      <c r="Q879" s="48" t="s">
        <v>75</v>
      </c>
      <c r="R879" s="48">
        <f>HEX2DEC(RIGHT(Table1323212753[[#This Row],[h2]],8))</f>
        <v>0</v>
      </c>
    </row>
    <row r="880" spans="1:18">
      <c r="A880" s="15" t="str">
        <f t="shared" si="18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8" t="s">
        <v>75</v>
      </c>
      <c r="P880" s="48">
        <f>HEX2DEC(RIGHT(Table1323212753[[#This Row],[h1]],8))</f>
        <v>0</v>
      </c>
      <c r="Q880" s="48" t="s">
        <v>75</v>
      </c>
      <c r="R880" s="48">
        <f>HEX2DEC(RIGHT(Table1323212753[[#This Row],[h2]],8))</f>
        <v>0</v>
      </c>
    </row>
    <row r="881" spans="1:18">
      <c r="A881" s="15" t="str">
        <f t="shared" si="18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8" t="s">
        <v>75</v>
      </c>
      <c r="P881" s="48">
        <f>HEX2DEC(RIGHT(Table1323212753[[#This Row],[h1]],8))</f>
        <v>0</v>
      </c>
      <c r="Q881" s="48" t="s">
        <v>75</v>
      </c>
      <c r="R881" s="48">
        <f>HEX2DEC(RIGHT(Table1323212753[[#This Row],[h2]],8))</f>
        <v>0</v>
      </c>
    </row>
    <row r="882" spans="1:18">
      <c r="A882" s="15" t="str">
        <f t="shared" si="18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8" t="s">
        <v>75</v>
      </c>
      <c r="P882" s="48">
        <f>HEX2DEC(RIGHT(Table1323212753[[#This Row],[h1]],8))</f>
        <v>0</v>
      </c>
      <c r="Q882" s="48" t="s">
        <v>75</v>
      </c>
      <c r="R882" s="48">
        <f>HEX2DEC(RIGHT(Table1323212753[[#This Row],[h2]],8))</f>
        <v>0</v>
      </c>
    </row>
    <row r="883" spans="1:18">
      <c r="A883" s="15" t="str">
        <f t="shared" si="18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8" t="s">
        <v>75</v>
      </c>
      <c r="P883" s="48">
        <f>HEX2DEC(RIGHT(Table1323212753[[#This Row],[h1]],8))</f>
        <v>0</v>
      </c>
      <c r="Q883" s="48" t="s">
        <v>75</v>
      </c>
      <c r="R883" s="48">
        <f>HEX2DEC(RIGHT(Table1323212753[[#This Row],[h2]],8))</f>
        <v>0</v>
      </c>
    </row>
    <row r="884" spans="1:18">
      <c r="A884" s="15" t="str">
        <f t="shared" si="18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8" t="s">
        <v>75</v>
      </c>
      <c r="P884" s="48">
        <f>HEX2DEC(RIGHT(Table1323212753[[#This Row],[h1]],8))</f>
        <v>0</v>
      </c>
      <c r="Q884" s="48" t="s">
        <v>75</v>
      </c>
      <c r="R884" s="48">
        <f>HEX2DEC(RIGHT(Table1323212753[[#This Row],[h2]],8))</f>
        <v>0</v>
      </c>
    </row>
    <row r="885" spans="1:18">
      <c r="A885" s="15" t="str">
        <f t="shared" si="18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8" t="s">
        <v>75</v>
      </c>
      <c r="P885" s="48">
        <f>HEX2DEC(RIGHT(Table1323212753[[#This Row],[h1]],8))</f>
        <v>0</v>
      </c>
      <c r="Q885" s="48" t="s">
        <v>75</v>
      </c>
      <c r="R885" s="48">
        <f>HEX2DEC(RIGHT(Table1323212753[[#This Row],[h2]],8))</f>
        <v>0</v>
      </c>
    </row>
    <row r="886" spans="1:18">
      <c r="A886" s="15" t="str">
        <f t="shared" si="18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8" t="s">
        <v>75</v>
      </c>
      <c r="P886" s="48">
        <f>HEX2DEC(RIGHT(Table1323212753[[#This Row],[h1]],8))</f>
        <v>0</v>
      </c>
      <c r="Q886" s="48" t="s">
        <v>75</v>
      </c>
      <c r="R886" s="48">
        <f>HEX2DEC(RIGHT(Table1323212753[[#This Row],[h2]],8))</f>
        <v>0</v>
      </c>
    </row>
    <row r="887" spans="1:18">
      <c r="A887" s="15" t="str">
        <f t="shared" si="18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8" t="s">
        <v>75</v>
      </c>
      <c r="P887" s="48">
        <f>HEX2DEC(RIGHT(Table1323212753[[#This Row],[h1]],8))</f>
        <v>0</v>
      </c>
      <c r="Q887" s="48" t="s">
        <v>75</v>
      </c>
      <c r="R887" s="48">
        <f>HEX2DEC(RIGHT(Table1323212753[[#This Row],[h2]],8))</f>
        <v>0</v>
      </c>
    </row>
    <row r="888" spans="1:18">
      <c r="A888" s="15" t="str">
        <f t="shared" si="18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8" t="s">
        <v>75</v>
      </c>
      <c r="P888" s="48">
        <f>HEX2DEC(RIGHT(Table1323212753[[#This Row],[h1]],8))</f>
        <v>0</v>
      </c>
      <c r="Q888" s="48" t="s">
        <v>75</v>
      </c>
      <c r="R888" s="48">
        <f>HEX2DEC(RIGHT(Table1323212753[[#This Row],[h2]],8))</f>
        <v>0</v>
      </c>
    </row>
    <row r="889" spans="1:18">
      <c r="A889" s="15" t="str">
        <f t="shared" si="18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8" t="s">
        <v>75</v>
      </c>
      <c r="P889" s="48">
        <f>HEX2DEC(RIGHT(Table1323212753[[#This Row],[h1]],8))</f>
        <v>0</v>
      </c>
      <c r="Q889" s="48" t="s">
        <v>75</v>
      </c>
      <c r="R889" s="48">
        <f>HEX2DEC(RIGHT(Table1323212753[[#This Row],[h2]],8))</f>
        <v>0</v>
      </c>
    </row>
    <row r="890" spans="1:18">
      <c r="A890" s="15" t="str">
        <f t="shared" si="18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8" t="s">
        <v>75</v>
      </c>
      <c r="P890" s="48">
        <f>HEX2DEC(RIGHT(Table1323212753[[#This Row],[h1]],8))</f>
        <v>0</v>
      </c>
      <c r="Q890" s="48" t="s">
        <v>75</v>
      </c>
      <c r="R890" s="48">
        <f>HEX2DEC(RIGHT(Table1323212753[[#This Row],[h2]],8))</f>
        <v>0</v>
      </c>
    </row>
    <row r="891" spans="1:18">
      <c r="A891" s="15" t="str">
        <f t="shared" si="18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8" t="s">
        <v>75</v>
      </c>
      <c r="P891" s="48">
        <f>HEX2DEC(RIGHT(Table1323212753[[#This Row],[h1]],8))</f>
        <v>0</v>
      </c>
      <c r="Q891" s="48" t="s">
        <v>75</v>
      </c>
      <c r="R891" s="48">
        <f>HEX2DEC(RIGHT(Table1323212753[[#This Row],[h2]],8))</f>
        <v>0</v>
      </c>
    </row>
    <row r="892" spans="1:18">
      <c r="A892" s="15" t="str">
        <f t="shared" si="18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8" t="s">
        <v>75</v>
      </c>
      <c r="P892" s="48">
        <f>HEX2DEC(RIGHT(Table1323212753[[#This Row],[h1]],8))</f>
        <v>0</v>
      </c>
      <c r="Q892" s="48" t="s">
        <v>75</v>
      </c>
      <c r="R892" s="48">
        <f>HEX2DEC(RIGHT(Table1323212753[[#This Row],[h2]],8))</f>
        <v>0</v>
      </c>
    </row>
    <row r="893" spans="1:18">
      <c r="A893" s="15" t="str">
        <f t="shared" si="18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8" t="s">
        <v>75</v>
      </c>
      <c r="P893" s="48">
        <f>HEX2DEC(RIGHT(Table1323212753[[#This Row],[h1]],8))</f>
        <v>0</v>
      </c>
      <c r="Q893" s="48" t="s">
        <v>75</v>
      </c>
      <c r="R893" s="48">
        <f>HEX2DEC(RIGHT(Table1323212753[[#This Row],[h2]],8))</f>
        <v>0</v>
      </c>
    </row>
    <row r="894" spans="1:18">
      <c r="A894" s="15" t="str">
        <f t="shared" si="18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8" t="s">
        <v>75</v>
      </c>
      <c r="P894" s="48">
        <f>HEX2DEC(RIGHT(Table1323212753[[#This Row],[h1]],8))</f>
        <v>0</v>
      </c>
      <c r="Q894" s="48" t="s">
        <v>75</v>
      </c>
      <c r="R894" s="48">
        <f>HEX2DEC(RIGHT(Table1323212753[[#This Row],[h2]],8))</f>
        <v>0</v>
      </c>
    </row>
    <row r="895" spans="1:18">
      <c r="A895" s="15" t="str">
        <f t="shared" si="18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8" t="s">
        <v>75</v>
      </c>
      <c r="P895" s="48">
        <f>HEX2DEC(RIGHT(Table1323212753[[#This Row],[h1]],8))</f>
        <v>0</v>
      </c>
      <c r="Q895" s="48" t="s">
        <v>75</v>
      </c>
      <c r="R895" s="48">
        <f>HEX2DEC(RIGHT(Table1323212753[[#This Row],[h2]],8))</f>
        <v>0</v>
      </c>
    </row>
    <row r="896" spans="1:18">
      <c r="A896" s="15" t="str">
        <f t="shared" si="18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8" t="s">
        <v>75</v>
      </c>
      <c r="P896" s="48">
        <f>HEX2DEC(RIGHT(Table1323212753[[#This Row],[h1]],8))</f>
        <v>0</v>
      </c>
      <c r="Q896" s="48" t="s">
        <v>75</v>
      </c>
      <c r="R896" s="48">
        <f>HEX2DEC(RIGHT(Table1323212753[[#This Row],[h2]],8))</f>
        <v>0</v>
      </c>
    </row>
    <row r="897" spans="1:18">
      <c r="A897" s="15" t="str">
        <f t="shared" si="18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8" t="s">
        <v>75</v>
      </c>
      <c r="P897" s="48">
        <f>HEX2DEC(RIGHT(Table1323212753[[#This Row],[h1]],8))</f>
        <v>0</v>
      </c>
      <c r="Q897" s="48" t="s">
        <v>75</v>
      </c>
      <c r="R897" s="48">
        <f>HEX2DEC(RIGHT(Table1323212753[[#This Row],[h2]],8))</f>
        <v>0</v>
      </c>
    </row>
    <row r="898" spans="1:18">
      <c r="A898" s="15" t="str">
        <f t="shared" si="18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8" t="s">
        <v>75</v>
      </c>
      <c r="P898" s="48">
        <f>HEX2DEC(RIGHT(Table1323212753[[#This Row],[h1]],8))</f>
        <v>0</v>
      </c>
      <c r="Q898" s="48" t="s">
        <v>75</v>
      </c>
      <c r="R898" s="48">
        <f>HEX2DEC(RIGHT(Table1323212753[[#This Row],[h2]],8))</f>
        <v>0</v>
      </c>
    </row>
    <row r="899" spans="1:18">
      <c r="A899" s="15" t="str">
        <f t="shared" si="18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8" t="s">
        <v>75</v>
      </c>
      <c r="P899" s="48">
        <f>HEX2DEC(RIGHT(Table1323212753[[#This Row],[h1]],8))</f>
        <v>0</v>
      </c>
      <c r="Q899" s="48" t="s">
        <v>75</v>
      </c>
      <c r="R899" s="48">
        <f>HEX2DEC(RIGHT(Table1323212753[[#This Row],[h2]],8))</f>
        <v>0</v>
      </c>
    </row>
    <row r="900" spans="1:18">
      <c r="A900" s="15" t="str">
        <f t="shared" si="18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8" t="s">
        <v>75</v>
      </c>
      <c r="P900" s="48">
        <f>HEX2DEC(RIGHT(Table1323212753[[#This Row],[h1]],8))</f>
        <v>0</v>
      </c>
      <c r="Q900" s="48" t="s">
        <v>75</v>
      </c>
      <c r="R900" s="48">
        <f>HEX2DEC(RIGHT(Table1323212753[[#This Row],[h2]],8))</f>
        <v>0</v>
      </c>
    </row>
    <row r="901" spans="1:18">
      <c r="A901" s="15" t="str">
        <f t="shared" si="18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8" t="s">
        <v>75</v>
      </c>
      <c r="P901" s="48">
        <f>HEX2DEC(RIGHT(Table1323212753[[#This Row],[h1]],8))</f>
        <v>0</v>
      </c>
      <c r="Q901" s="48" t="s">
        <v>75</v>
      </c>
      <c r="R901" s="48">
        <f>HEX2DEC(RIGHT(Table1323212753[[#This Row],[h2]],8))</f>
        <v>0</v>
      </c>
    </row>
    <row r="902" spans="1:18">
      <c r="A902" s="15" t="str">
        <f t="shared" si="18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8" t="s">
        <v>75</v>
      </c>
      <c r="P902" s="48">
        <f>HEX2DEC(RIGHT(Table1323212753[[#This Row],[h1]],8))</f>
        <v>0</v>
      </c>
      <c r="Q902" s="48" t="s">
        <v>75</v>
      </c>
      <c r="R902" s="48">
        <f>HEX2DEC(RIGHT(Table1323212753[[#This Row],[h2]],8))</f>
        <v>0</v>
      </c>
    </row>
    <row r="903" spans="1:18">
      <c r="A903" s="15" t="str">
        <f t="shared" si="18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8" t="s">
        <v>75</v>
      </c>
      <c r="P903" s="48">
        <f>HEX2DEC(RIGHT(Table1323212753[[#This Row],[h1]],8))</f>
        <v>0</v>
      </c>
      <c r="Q903" s="48" t="s">
        <v>75</v>
      </c>
      <c r="R903" s="48">
        <f>HEX2DEC(RIGHT(Table1323212753[[#This Row],[h2]],8))</f>
        <v>0</v>
      </c>
    </row>
    <row r="904" spans="1:18">
      <c r="A904" s="15" t="str">
        <f t="shared" si="18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8" t="s">
        <v>75</v>
      </c>
      <c r="P904" s="48">
        <f>HEX2DEC(RIGHT(Table1323212753[[#This Row],[h1]],8))</f>
        <v>0</v>
      </c>
      <c r="Q904" s="48" t="s">
        <v>75</v>
      </c>
      <c r="R904" s="48">
        <f>HEX2DEC(RIGHT(Table1323212753[[#This Row],[h2]],8))</f>
        <v>0</v>
      </c>
    </row>
    <row r="905" spans="1:18">
      <c r="A905" s="15" t="str">
        <f t="shared" si="18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8" t="s">
        <v>75</v>
      </c>
      <c r="P905" s="48">
        <f>HEX2DEC(RIGHT(Table1323212753[[#This Row],[h1]],8))</f>
        <v>0</v>
      </c>
      <c r="Q905" s="48" t="s">
        <v>75</v>
      </c>
      <c r="R905" s="48">
        <f>HEX2DEC(RIGHT(Table1323212753[[#This Row],[h2]],8))</f>
        <v>0</v>
      </c>
    </row>
    <row r="906" spans="1:18">
      <c r="A906" s="15" t="str">
        <f t="shared" si="18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8" t="s">
        <v>75</v>
      </c>
      <c r="P906" s="48">
        <f>HEX2DEC(RIGHT(Table1323212753[[#This Row],[h1]],8))</f>
        <v>0</v>
      </c>
      <c r="Q906" s="48" t="s">
        <v>75</v>
      </c>
      <c r="R906" s="48">
        <f>HEX2DEC(RIGHT(Table1323212753[[#This Row],[h2]],8))</f>
        <v>0</v>
      </c>
    </row>
    <row r="907" spans="1:18">
      <c r="A907" s="15" t="str">
        <f t="shared" ref="A907:A970" si="19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8" t="s">
        <v>75</v>
      </c>
      <c r="P907" s="48">
        <f>HEX2DEC(RIGHT(Table1323212753[[#This Row],[h1]],8))</f>
        <v>0</v>
      </c>
      <c r="Q907" s="48" t="s">
        <v>75</v>
      </c>
      <c r="R907" s="48">
        <f>HEX2DEC(RIGHT(Table1323212753[[#This Row],[h2]],8))</f>
        <v>0</v>
      </c>
    </row>
    <row r="908" spans="1:18">
      <c r="A908" s="15" t="str">
        <f t="shared" si="19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8" t="s">
        <v>75</v>
      </c>
      <c r="P908" s="48">
        <f>HEX2DEC(RIGHT(Table1323212753[[#This Row],[h1]],8))</f>
        <v>0</v>
      </c>
      <c r="Q908" s="48" t="s">
        <v>75</v>
      </c>
      <c r="R908" s="48">
        <f>HEX2DEC(RIGHT(Table1323212753[[#This Row],[h2]],8))</f>
        <v>0</v>
      </c>
    </row>
    <row r="909" spans="1:18">
      <c r="A909" s="15" t="str">
        <f t="shared" si="19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8" t="s">
        <v>75</v>
      </c>
      <c r="P909" s="48">
        <f>HEX2DEC(RIGHT(Table1323212753[[#This Row],[h1]],8))</f>
        <v>0</v>
      </c>
      <c r="Q909" s="48" t="s">
        <v>75</v>
      </c>
      <c r="R909" s="48">
        <f>HEX2DEC(RIGHT(Table1323212753[[#This Row],[h2]],8))</f>
        <v>0</v>
      </c>
    </row>
    <row r="910" spans="1:18">
      <c r="A910" s="15" t="str">
        <f t="shared" si="19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8" t="s">
        <v>75</v>
      </c>
      <c r="P910" s="48">
        <f>HEX2DEC(RIGHT(Table1323212753[[#This Row],[h1]],8))</f>
        <v>0</v>
      </c>
      <c r="Q910" s="48" t="s">
        <v>75</v>
      </c>
      <c r="R910" s="48">
        <f>HEX2DEC(RIGHT(Table1323212753[[#This Row],[h2]],8))</f>
        <v>0</v>
      </c>
    </row>
    <row r="911" spans="1:18">
      <c r="A911" s="15" t="str">
        <f t="shared" si="19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8" t="s">
        <v>75</v>
      </c>
      <c r="P911" s="48">
        <f>HEX2DEC(RIGHT(Table1323212753[[#This Row],[h1]],8))</f>
        <v>0</v>
      </c>
      <c r="Q911" s="48" t="s">
        <v>75</v>
      </c>
      <c r="R911" s="48">
        <f>HEX2DEC(RIGHT(Table1323212753[[#This Row],[h2]],8))</f>
        <v>0</v>
      </c>
    </row>
    <row r="912" spans="1:18">
      <c r="A912" s="15" t="str">
        <f t="shared" si="19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8" t="s">
        <v>75</v>
      </c>
      <c r="P912" s="48">
        <f>HEX2DEC(RIGHT(Table1323212753[[#This Row],[h1]],8))</f>
        <v>0</v>
      </c>
      <c r="Q912" s="48" t="s">
        <v>75</v>
      </c>
      <c r="R912" s="48">
        <f>HEX2DEC(RIGHT(Table1323212753[[#This Row],[h2]],8))</f>
        <v>0</v>
      </c>
    </row>
    <row r="913" spans="1:18">
      <c r="A913" s="15" t="str">
        <f t="shared" si="19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8" t="s">
        <v>75</v>
      </c>
      <c r="P913" s="48">
        <f>HEX2DEC(RIGHT(Table1323212753[[#This Row],[h1]],8))</f>
        <v>0</v>
      </c>
      <c r="Q913" s="48" t="s">
        <v>75</v>
      </c>
      <c r="R913" s="48">
        <f>HEX2DEC(RIGHT(Table1323212753[[#This Row],[h2]],8))</f>
        <v>0</v>
      </c>
    </row>
    <row r="914" spans="1:18">
      <c r="A914" s="15" t="str">
        <f t="shared" si="19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8" t="s">
        <v>75</v>
      </c>
      <c r="P914" s="48">
        <f>HEX2DEC(RIGHT(Table1323212753[[#This Row],[h1]],8))</f>
        <v>0</v>
      </c>
      <c r="Q914" s="48" t="s">
        <v>75</v>
      </c>
      <c r="R914" s="48">
        <f>HEX2DEC(RIGHT(Table1323212753[[#This Row],[h2]],8))</f>
        <v>0</v>
      </c>
    </row>
    <row r="915" spans="1:18">
      <c r="A915" s="15" t="str">
        <f t="shared" si="19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8" t="s">
        <v>75</v>
      </c>
      <c r="P915" s="48">
        <f>HEX2DEC(RIGHT(Table1323212753[[#This Row],[h1]],8))</f>
        <v>0</v>
      </c>
      <c r="Q915" s="48" t="s">
        <v>75</v>
      </c>
      <c r="R915" s="48">
        <f>HEX2DEC(RIGHT(Table1323212753[[#This Row],[h2]],8))</f>
        <v>0</v>
      </c>
    </row>
    <row r="916" spans="1:18">
      <c r="A916" s="15" t="str">
        <f t="shared" si="19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8" t="s">
        <v>75</v>
      </c>
      <c r="P916" s="48">
        <f>HEX2DEC(RIGHT(Table1323212753[[#This Row],[h1]],8))</f>
        <v>0</v>
      </c>
      <c r="Q916" s="48" t="s">
        <v>75</v>
      </c>
      <c r="R916" s="48">
        <f>HEX2DEC(RIGHT(Table1323212753[[#This Row],[h2]],8))</f>
        <v>0</v>
      </c>
    </row>
    <row r="917" spans="1:18">
      <c r="A917" s="15" t="str">
        <f t="shared" si="19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8" t="s">
        <v>75</v>
      </c>
      <c r="P917" s="48">
        <f>HEX2DEC(RIGHT(Table1323212753[[#This Row],[h1]],8))</f>
        <v>0</v>
      </c>
      <c r="Q917" s="48" t="s">
        <v>75</v>
      </c>
      <c r="R917" s="48">
        <f>HEX2DEC(RIGHT(Table1323212753[[#This Row],[h2]],8))</f>
        <v>0</v>
      </c>
    </row>
    <row r="918" spans="1:18">
      <c r="A918" s="15" t="str">
        <f t="shared" si="19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8" t="s">
        <v>75</v>
      </c>
      <c r="P918" s="48">
        <f>HEX2DEC(RIGHT(Table1323212753[[#This Row],[h1]],8))</f>
        <v>0</v>
      </c>
      <c r="Q918" s="48" t="s">
        <v>75</v>
      </c>
      <c r="R918" s="48">
        <f>HEX2DEC(RIGHT(Table1323212753[[#This Row],[h2]],8))</f>
        <v>0</v>
      </c>
    </row>
    <row r="919" spans="1:18">
      <c r="A919" s="15" t="str">
        <f t="shared" si="19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8" t="s">
        <v>75</v>
      </c>
      <c r="P919" s="48">
        <f>HEX2DEC(RIGHT(Table1323212753[[#This Row],[h1]],8))</f>
        <v>0</v>
      </c>
      <c r="Q919" s="48" t="s">
        <v>75</v>
      </c>
      <c r="R919" s="48">
        <f>HEX2DEC(RIGHT(Table1323212753[[#This Row],[h2]],8))</f>
        <v>0</v>
      </c>
    </row>
    <row r="920" spans="1:18">
      <c r="A920" s="15" t="str">
        <f t="shared" si="19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8" t="s">
        <v>75</v>
      </c>
      <c r="P920" s="48">
        <f>HEX2DEC(RIGHT(Table1323212753[[#This Row],[h1]],8))</f>
        <v>0</v>
      </c>
      <c r="Q920" s="48" t="s">
        <v>75</v>
      </c>
      <c r="R920" s="48">
        <f>HEX2DEC(RIGHT(Table1323212753[[#This Row],[h2]],8))</f>
        <v>0</v>
      </c>
    </row>
    <row r="921" spans="1:18">
      <c r="A921" s="15" t="str">
        <f t="shared" si="19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8" t="s">
        <v>75</v>
      </c>
      <c r="P921" s="48">
        <f>HEX2DEC(RIGHT(Table1323212753[[#This Row],[h1]],8))</f>
        <v>0</v>
      </c>
      <c r="Q921" s="48" t="s">
        <v>75</v>
      </c>
      <c r="R921" s="48">
        <f>HEX2DEC(RIGHT(Table1323212753[[#This Row],[h2]],8))</f>
        <v>0</v>
      </c>
    </row>
    <row r="922" spans="1:18">
      <c r="A922" s="15" t="str">
        <f t="shared" si="19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8" t="s">
        <v>75</v>
      </c>
      <c r="P922" s="48">
        <f>HEX2DEC(RIGHT(Table1323212753[[#This Row],[h1]],8))</f>
        <v>0</v>
      </c>
      <c r="Q922" s="48" t="s">
        <v>75</v>
      </c>
      <c r="R922" s="48">
        <f>HEX2DEC(RIGHT(Table1323212753[[#This Row],[h2]],8))</f>
        <v>0</v>
      </c>
    </row>
    <row r="923" spans="1:18">
      <c r="A923" s="15" t="str">
        <f t="shared" si="19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8" t="s">
        <v>75</v>
      </c>
      <c r="P923" s="48">
        <f>HEX2DEC(RIGHT(Table1323212753[[#This Row],[h1]],8))</f>
        <v>0</v>
      </c>
      <c r="Q923" s="48" t="s">
        <v>75</v>
      </c>
      <c r="R923" s="48">
        <f>HEX2DEC(RIGHT(Table1323212753[[#This Row],[h2]],8))</f>
        <v>0</v>
      </c>
    </row>
    <row r="924" spans="1:18">
      <c r="A924" s="15" t="str">
        <f t="shared" si="19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8" t="s">
        <v>75</v>
      </c>
      <c r="P924" s="48">
        <f>HEX2DEC(RIGHT(Table1323212753[[#This Row],[h1]],8))</f>
        <v>0</v>
      </c>
      <c r="Q924" s="48" t="s">
        <v>75</v>
      </c>
      <c r="R924" s="48">
        <f>HEX2DEC(RIGHT(Table1323212753[[#This Row],[h2]],8))</f>
        <v>0</v>
      </c>
    </row>
    <row r="925" spans="1:18">
      <c r="A925" s="15" t="str">
        <f t="shared" si="19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8" t="s">
        <v>75</v>
      </c>
      <c r="P925" s="48">
        <f>HEX2DEC(RIGHT(Table1323212753[[#This Row],[h1]],8))</f>
        <v>0</v>
      </c>
      <c r="Q925" s="48" t="s">
        <v>75</v>
      </c>
      <c r="R925" s="48">
        <f>HEX2DEC(RIGHT(Table1323212753[[#This Row],[h2]],8))</f>
        <v>0</v>
      </c>
    </row>
    <row r="926" spans="1:18">
      <c r="A926" s="15" t="str">
        <f t="shared" si="19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8" t="s">
        <v>75</v>
      </c>
      <c r="P926" s="48">
        <f>HEX2DEC(RIGHT(Table1323212753[[#This Row],[h1]],8))</f>
        <v>0</v>
      </c>
      <c r="Q926" s="48" t="s">
        <v>75</v>
      </c>
      <c r="R926" s="48">
        <f>HEX2DEC(RIGHT(Table1323212753[[#This Row],[h2]],8))</f>
        <v>0</v>
      </c>
    </row>
    <row r="927" spans="1:18">
      <c r="A927" s="15" t="str">
        <f t="shared" si="19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8" t="s">
        <v>75</v>
      </c>
      <c r="P927" s="48">
        <f>HEX2DEC(RIGHT(Table1323212753[[#This Row],[h1]],8))</f>
        <v>0</v>
      </c>
      <c r="Q927" s="48" t="s">
        <v>75</v>
      </c>
      <c r="R927" s="48">
        <f>HEX2DEC(RIGHT(Table1323212753[[#This Row],[h2]],8))</f>
        <v>0</v>
      </c>
    </row>
    <row r="928" spans="1:18">
      <c r="A928" s="15" t="str">
        <f t="shared" si="19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8" t="s">
        <v>75</v>
      </c>
      <c r="P928" s="48">
        <f>HEX2DEC(RIGHT(Table1323212753[[#This Row],[h1]],8))</f>
        <v>0</v>
      </c>
      <c r="Q928" s="48" t="s">
        <v>75</v>
      </c>
      <c r="R928" s="48">
        <f>HEX2DEC(RIGHT(Table1323212753[[#This Row],[h2]],8))</f>
        <v>0</v>
      </c>
    </row>
    <row r="929" spans="1:18">
      <c r="A929" s="15" t="str">
        <f t="shared" si="19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8" t="s">
        <v>75</v>
      </c>
      <c r="P929" s="48">
        <f>HEX2DEC(RIGHT(Table1323212753[[#This Row],[h1]],8))</f>
        <v>0</v>
      </c>
      <c r="Q929" s="48" t="s">
        <v>75</v>
      </c>
      <c r="R929" s="48">
        <f>HEX2DEC(RIGHT(Table1323212753[[#This Row],[h2]],8))</f>
        <v>0</v>
      </c>
    </row>
    <row r="930" spans="1:18">
      <c r="A930" s="15" t="str">
        <f t="shared" si="19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8" t="s">
        <v>75</v>
      </c>
      <c r="P930" s="48">
        <f>HEX2DEC(RIGHT(Table1323212753[[#This Row],[h1]],8))</f>
        <v>0</v>
      </c>
      <c r="Q930" s="48" t="s">
        <v>75</v>
      </c>
      <c r="R930" s="48">
        <f>HEX2DEC(RIGHT(Table1323212753[[#This Row],[h2]],8))</f>
        <v>0</v>
      </c>
    </row>
    <row r="931" spans="1:18">
      <c r="A931" s="15" t="str">
        <f t="shared" si="19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8" t="s">
        <v>75</v>
      </c>
      <c r="P931" s="48">
        <f>HEX2DEC(RIGHT(Table1323212753[[#This Row],[h1]],8))</f>
        <v>0</v>
      </c>
      <c r="Q931" s="48" t="s">
        <v>75</v>
      </c>
      <c r="R931" s="48">
        <f>HEX2DEC(RIGHT(Table1323212753[[#This Row],[h2]],8))</f>
        <v>0</v>
      </c>
    </row>
    <row r="932" spans="1:18">
      <c r="A932" s="15" t="str">
        <f t="shared" si="19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8" t="s">
        <v>75</v>
      </c>
      <c r="P932" s="48">
        <f>HEX2DEC(RIGHT(Table1323212753[[#This Row],[h1]],8))</f>
        <v>0</v>
      </c>
      <c r="Q932" s="48" t="s">
        <v>75</v>
      </c>
      <c r="R932" s="48">
        <f>HEX2DEC(RIGHT(Table1323212753[[#This Row],[h2]],8))</f>
        <v>0</v>
      </c>
    </row>
    <row r="933" spans="1:18">
      <c r="A933" s="15" t="str">
        <f t="shared" si="19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8" t="s">
        <v>75</v>
      </c>
      <c r="P933" s="48">
        <f>HEX2DEC(RIGHT(Table1323212753[[#This Row],[h1]],8))</f>
        <v>0</v>
      </c>
      <c r="Q933" s="48" t="s">
        <v>75</v>
      </c>
      <c r="R933" s="48">
        <f>HEX2DEC(RIGHT(Table1323212753[[#This Row],[h2]],8))</f>
        <v>0</v>
      </c>
    </row>
    <row r="934" spans="1:18">
      <c r="A934" s="15" t="str">
        <f t="shared" si="19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8" t="s">
        <v>75</v>
      </c>
      <c r="P934" s="48">
        <f>HEX2DEC(RIGHT(Table1323212753[[#This Row],[h1]],8))</f>
        <v>0</v>
      </c>
      <c r="Q934" s="48" t="s">
        <v>75</v>
      </c>
      <c r="R934" s="48">
        <f>HEX2DEC(RIGHT(Table1323212753[[#This Row],[h2]],8))</f>
        <v>0</v>
      </c>
    </row>
    <row r="935" spans="1:18">
      <c r="A935" s="15" t="str">
        <f t="shared" si="19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8" t="s">
        <v>75</v>
      </c>
      <c r="P935" s="48">
        <f>HEX2DEC(RIGHT(Table1323212753[[#This Row],[h1]],8))</f>
        <v>0</v>
      </c>
      <c r="Q935" s="48" t="s">
        <v>75</v>
      </c>
      <c r="R935" s="48">
        <f>HEX2DEC(RIGHT(Table1323212753[[#This Row],[h2]],8))</f>
        <v>0</v>
      </c>
    </row>
    <row r="936" spans="1:18">
      <c r="A936" s="15" t="str">
        <f t="shared" si="19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8" t="s">
        <v>75</v>
      </c>
      <c r="P936" s="48">
        <f>HEX2DEC(RIGHT(Table1323212753[[#This Row],[h1]],8))</f>
        <v>0</v>
      </c>
      <c r="Q936" s="48" t="s">
        <v>75</v>
      </c>
      <c r="R936" s="48">
        <f>HEX2DEC(RIGHT(Table1323212753[[#This Row],[h2]],8))</f>
        <v>0</v>
      </c>
    </row>
    <row r="937" spans="1:18">
      <c r="A937" s="15" t="str">
        <f t="shared" si="19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8" t="s">
        <v>75</v>
      </c>
      <c r="P937" s="48">
        <f>HEX2DEC(RIGHT(Table1323212753[[#This Row],[h1]],8))</f>
        <v>0</v>
      </c>
      <c r="Q937" s="48" t="s">
        <v>75</v>
      </c>
      <c r="R937" s="48">
        <f>HEX2DEC(RIGHT(Table1323212753[[#This Row],[h2]],8))</f>
        <v>0</v>
      </c>
    </row>
    <row r="938" spans="1:18">
      <c r="A938" s="15" t="str">
        <f t="shared" si="19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8" t="s">
        <v>75</v>
      </c>
      <c r="P938" s="48">
        <f>HEX2DEC(RIGHT(Table1323212753[[#This Row],[h1]],8))</f>
        <v>0</v>
      </c>
      <c r="Q938" s="48" t="s">
        <v>75</v>
      </c>
      <c r="R938" s="48">
        <f>HEX2DEC(RIGHT(Table1323212753[[#This Row],[h2]],8))</f>
        <v>0</v>
      </c>
    </row>
    <row r="939" spans="1:18">
      <c r="A939" s="15" t="str">
        <f t="shared" si="19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8" t="s">
        <v>75</v>
      </c>
      <c r="P939" s="48">
        <f>HEX2DEC(RIGHT(Table1323212753[[#This Row],[h1]],8))</f>
        <v>0</v>
      </c>
      <c r="Q939" s="48" t="s">
        <v>75</v>
      </c>
      <c r="R939" s="48">
        <f>HEX2DEC(RIGHT(Table1323212753[[#This Row],[h2]],8))</f>
        <v>0</v>
      </c>
    </row>
    <row r="940" spans="1:18">
      <c r="A940" s="15" t="str">
        <f t="shared" si="19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8" t="s">
        <v>75</v>
      </c>
      <c r="P940" s="48">
        <f>HEX2DEC(RIGHT(Table1323212753[[#This Row],[h1]],8))</f>
        <v>0</v>
      </c>
      <c r="Q940" s="48" t="s">
        <v>75</v>
      </c>
      <c r="R940" s="48">
        <f>HEX2DEC(RIGHT(Table1323212753[[#This Row],[h2]],8))</f>
        <v>0</v>
      </c>
    </row>
    <row r="941" spans="1:18">
      <c r="A941" s="15" t="str">
        <f t="shared" si="19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8" t="s">
        <v>75</v>
      </c>
      <c r="P941" s="48">
        <f>HEX2DEC(RIGHT(Table1323212753[[#This Row],[h1]],8))</f>
        <v>0</v>
      </c>
      <c r="Q941" s="48" t="s">
        <v>75</v>
      </c>
      <c r="R941" s="48">
        <f>HEX2DEC(RIGHT(Table1323212753[[#This Row],[h2]],8))</f>
        <v>0</v>
      </c>
    </row>
    <row r="942" spans="1:18">
      <c r="A942" s="15" t="str">
        <f t="shared" si="19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8" t="s">
        <v>75</v>
      </c>
      <c r="P942" s="48">
        <f>HEX2DEC(RIGHT(Table1323212753[[#This Row],[h1]],8))</f>
        <v>0</v>
      </c>
      <c r="Q942" s="48" t="s">
        <v>75</v>
      </c>
      <c r="R942" s="48">
        <f>HEX2DEC(RIGHT(Table1323212753[[#This Row],[h2]],8))</f>
        <v>0</v>
      </c>
    </row>
    <row r="943" spans="1:18">
      <c r="A943" s="15" t="str">
        <f t="shared" si="19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8" t="s">
        <v>75</v>
      </c>
      <c r="P943" s="48">
        <f>HEX2DEC(RIGHT(Table1323212753[[#This Row],[h1]],8))</f>
        <v>0</v>
      </c>
      <c r="Q943" s="48" t="s">
        <v>75</v>
      </c>
      <c r="R943" s="48">
        <f>HEX2DEC(RIGHT(Table1323212753[[#This Row],[h2]],8))</f>
        <v>0</v>
      </c>
    </row>
    <row r="944" spans="1:18">
      <c r="A944" s="15" t="str">
        <f t="shared" si="19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8" t="s">
        <v>75</v>
      </c>
      <c r="P944" s="48">
        <f>HEX2DEC(RIGHT(Table1323212753[[#This Row],[h1]],8))</f>
        <v>0</v>
      </c>
      <c r="Q944" s="48" t="s">
        <v>75</v>
      </c>
      <c r="R944" s="48">
        <f>HEX2DEC(RIGHT(Table1323212753[[#This Row],[h2]],8))</f>
        <v>0</v>
      </c>
    </row>
    <row r="945" spans="1:18">
      <c r="A945" s="15" t="str">
        <f t="shared" si="19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8" t="s">
        <v>75</v>
      </c>
      <c r="P945" s="48">
        <f>HEX2DEC(RIGHT(Table1323212753[[#This Row],[h1]],8))</f>
        <v>0</v>
      </c>
      <c r="Q945" s="48" t="s">
        <v>75</v>
      </c>
      <c r="R945" s="48">
        <f>HEX2DEC(RIGHT(Table1323212753[[#This Row],[h2]],8))</f>
        <v>0</v>
      </c>
    </row>
    <row r="946" spans="1:18">
      <c r="A946" s="15" t="str">
        <f t="shared" si="19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8" t="s">
        <v>75</v>
      </c>
      <c r="P946" s="48">
        <f>HEX2DEC(RIGHT(Table1323212753[[#This Row],[h1]],8))</f>
        <v>0</v>
      </c>
      <c r="Q946" s="48" t="s">
        <v>75</v>
      </c>
      <c r="R946" s="48">
        <f>HEX2DEC(RIGHT(Table1323212753[[#This Row],[h2]],8))</f>
        <v>0</v>
      </c>
    </row>
    <row r="947" spans="1:18">
      <c r="A947" s="15" t="str">
        <f t="shared" si="19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8" t="s">
        <v>75</v>
      </c>
      <c r="P947" s="48">
        <f>HEX2DEC(RIGHT(Table1323212753[[#This Row],[h1]],8))</f>
        <v>0</v>
      </c>
      <c r="Q947" s="48" t="s">
        <v>75</v>
      </c>
      <c r="R947" s="48">
        <f>HEX2DEC(RIGHT(Table1323212753[[#This Row],[h2]],8))</f>
        <v>0</v>
      </c>
    </row>
    <row r="948" spans="1:18">
      <c r="A948" s="15" t="str">
        <f t="shared" si="19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8" t="s">
        <v>75</v>
      </c>
      <c r="P948" s="48">
        <f>HEX2DEC(RIGHT(Table1323212753[[#This Row],[h1]],8))</f>
        <v>0</v>
      </c>
      <c r="Q948" s="48" t="s">
        <v>75</v>
      </c>
      <c r="R948" s="48">
        <f>HEX2DEC(RIGHT(Table1323212753[[#This Row],[h2]],8))</f>
        <v>0</v>
      </c>
    </row>
    <row r="949" spans="1:18">
      <c r="A949" s="15" t="str">
        <f t="shared" si="19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8" t="s">
        <v>75</v>
      </c>
      <c r="P949" s="48">
        <f>HEX2DEC(RIGHT(Table1323212753[[#This Row],[h1]],8))</f>
        <v>0</v>
      </c>
      <c r="Q949" s="48" t="s">
        <v>75</v>
      </c>
      <c r="R949" s="48">
        <f>HEX2DEC(RIGHT(Table1323212753[[#This Row],[h2]],8))</f>
        <v>0</v>
      </c>
    </row>
    <row r="950" spans="1:18">
      <c r="A950" s="15" t="str">
        <f t="shared" si="19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8" t="s">
        <v>75</v>
      </c>
      <c r="P950" s="48">
        <f>HEX2DEC(RIGHT(Table1323212753[[#This Row],[h1]],8))</f>
        <v>0</v>
      </c>
      <c r="Q950" s="48" t="s">
        <v>75</v>
      </c>
      <c r="R950" s="48">
        <f>HEX2DEC(RIGHT(Table1323212753[[#This Row],[h2]],8))</f>
        <v>0</v>
      </c>
    </row>
    <row r="951" spans="1:18">
      <c r="A951" s="15" t="str">
        <f t="shared" si="19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8" t="s">
        <v>75</v>
      </c>
      <c r="P951" s="48">
        <f>HEX2DEC(RIGHT(Table1323212753[[#This Row],[h1]],8))</f>
        <v>0</v>
      </c>
      <c r="Q951" s="48" t="s">
        <v>75</v>
      </c>
      <c r="R951" s="48">
        <f>HEX2DEC(RIGHT(Table1323212753[[#This Row],[h2]],8))</f>
        <v>0</v>
      </c>
    </row>
    <row r="952" spans="1:18">
      <c r="A952" s="15" t="str">
        <f t="shared" si="19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8" t="s">
        <v>75</v>
      </c>
      <c r="P952" s="48">
        <f>HEX2DEC(RIGHT(Table1323212753[[#This Row],[h1]],8))</f>
        <v>0</v>
      </c>
      <c r="Q952" s="48" t="s">
        <v>75</v>
      </c>
      <c r="R952" s="48">
        <f>HEX2DEC(RIGHT(Table1323212753[[#This Row],[h2]],8))</f>
        <v>0</v>
      </c>
    </row>
    <row r="953" spans="1:18">
      <c r="A953" s="15" t="str">
        <f t="shared" si="19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8" t="s">
        <v>75</v>
      </c>
      <c r="P953" s="48">
        <f>HEX2DEC(RIGHT(Table1323212753[[#This Row],[h1]],8))</f>
        <v>0</v>
      </c>
      <c r="Q953" s="48" t="s">
        <v>75</v>
      </c>
      <c r="R953" s="48">
        <f>HEX2DEC(RIGHT(Table1323212753[[#This Row],[h2]],8))</f>
        <v>0</v>
      </c>
    </row>
    <row r="954" spans="1:18">
      <c r="A954" s="15" t="str">
        <f t="shared" si="19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8" t="s">
        <v>75</v>
      </c>
      <c r="P954" s="48">
        <f>HEX2DEC(RIGHT(Table1323212753[[#This Row],[h1]],8))</f>
        <v>0</v>
      </c>
      <c r="Q954" s="48" t="s">
        <v>75</v>
      </c>
      <c r="R954" s="48">
        <f>HEX2DEC(RIGHT(Table1323212753[[#This Row],[h2]],8))</f>
        <v>0</v>
      </c>
    </row>
    <row r="955" spans="1:18">
      <c r="A955" s="15" t="str">
        <f t="shared" si="19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8" t="s">
        <v>75</v>
      </c>
      <c r="P955" s="48">
        <f>HEX2DEC(RIGHT(Table1323212753[[#This Row],[h1]],8))</f>
        <v>0</v>
      </c>
      <c r="Q955" s="48" t="s">
        <v>75</v>
      </c>
      <c r="R955" s="48">
        <f>HEX2DEC(RIGHT(Table1323212753[[#This Row],[h2]],8))</f>
        <v>0</v>
      </c>
    </row>
    <row r="956" spans="1:18">
      <c r="A956" s="15" t="str">
        <f t="shared" si="19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8" t="s">
        <v>75</v>
      </c>
      <c r="P956" s="48">
        <f>HEX2DEC(RIGHT(Table1323212753[[#This Row],[h1]],8))</f>
        <v>0</v>
      </c>
      <c r="Q956" s="48" t="s">
        <v>75</v>
      </c>
      <c r="R956" s="48">
        <f>HEX2DEC(RIGHT(Table1323212753[[#This Row],[h2]],8))</f>
        <v>0</v>
      </c>
    </row>
    <row r="957" spans="1:18">
      <c r="A957" s="15" t="str">
        <f t="shared" si="19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8" t="s">
        <v>75</v>
      </c>
      <c r="P957" s="48">
        <f>HEX2DEC(RIGHT(Table1323212753[[#This Row],[h1]],8))</f>
        <v>0</v>
      </c>
      <c r="Q957" s="48" t="s">
        <v>75</v>
      </c>
      <c r="R957" s="48">
        <f>HEX2DEC(RIGHT(Table1323212753[[#This Row],[h2]],8))</f>
        <v>0</v>
      </c>
    </row>
    <row r="958" spans="1:18">
      <c r="A958" s="15" t="str">
        <f t="shared" si="19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8" t="s">
        <v>75</v>
      </c>
      <c r="P958" s="48">
        <f>HEX2DEC(RIGHT(Table1323212753[[#This Row],[h1]],8))</f>
        <v>0</v>
      </c>
      <c r="Q958" s="48" t="s">
        <v>75</v>
      </c>
      <c r="R958" s="48">
        <f>HEX2DEC(RIGHT(Table1323212753[[#This Row],[h2]],8))</f>
        <v>0</v>
      </c>
    </row>
    <row r="959" spans="1:18">
      <c r="A959" s="15" t="str">
        <f t="shared" si="19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8" t="s">
        <v>75</v>
      </c>
      <c r="P959" s="48">
        <f>HEX2DEC(RIGHT(Table1323212753[[#This Row],[h1]],8))</f>
        <v>0</v>
      </c>
      <c r="Q959" s="48" t="s">
        <v>75</v>
      </c>
      <c r="R959" s="48">
        <f>HEX2DEC(RIGHT(Table1323212753[[#This Row],[h2]],8))</f>
        <v>0</v>
      </c>
    </row>
    <row r="960" spans="1:18">
      <c r="A960" s="15" t="str">
        <f t="shared" si="19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8" t="s">
        <v>75</v>
      </c>
      <c r="P960" s="48">
        <f>HEX2DEC(RIGHT(Table1323212753[[#This Row],[h1]],8))</f>
        <v>0</v>
      </c>
      <c r="Q960" s="48" t="s">
        <v>75</v>
      </c>
      <c r="R960" s="48">
        <f>HEX2DEC(RIGHT(Table1323212753[[#This Row],[h2]],8))</f>
        <v>0</v>
      </c>
    </row>
    <row r="961" spans="1:18">
      <c r="A961" s="15" t="str">
        <f t="shared" si="19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8" t="s">
        <v>75</v>
      </c>
      <c r="P961" s="48">
        <f>HEX2DEC(RIGHT(Table1323212753[[#This Row],[h1]],8))</f>
        <v>0</v>
      </c>
      <c r="Q961" s="48" t="s">
        <v>75</v>
      </c>
      <c r="R961" s="48">
        <f>HEX2DEC(RIGHT(Table1323212753[[#This Row],[h2]],8))</f>
        <v>0</v>
      </c>
    </row>
    <row r="962" spans="1:18">
      <c r="A962" s="15" t="str">
        <f t="shared" si="19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8" t="s">
        <v>75</v>
      </c>
      <c r="P962" s="48">
        <f>HEX2DEC(RIGHT(Table1323212753[[#This Row],[h1]],8))</f>
        <v>0</v>
      </c>
      <c r="Q962" s="48" t="s">
        <v>75</v>
      </c>
      <c r="R962" s="48">
        <f>HEX2DEC(RIGHT(Table1323212753[[#This Row],[h2]],8))</f>
        <v>0</v>
      </c>
    </row>
    <row r="963" spans="1:18">
      <c r="A963" s="15" t="str">
        <f t="shared" si="19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8" t="s">
        <v>75</v>
      </c>
      <c r="P963" s="48">
        <f>HEX2DEC(RIGHT(Table1323212753[[#This Row],[h1]],8))</f>
        <v>0</v>
      </c>
      <c r="Q963" s="48" t="s">
        <v>75</v>
      </c>
      <c r="R963" s="48">
        <f>HEX2DEC(RIGHT(Table1323212753[[#This Row],[h2]],8))</f>
        <v>0</v>
      </c>
    </row>
    <row r="964" spans="1:18">
      <c r="A964" s="15" t="str">
        <f t="shared" si="19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8" t="s">
        <v>75</v>
      </c>
      <c r="P964" s="48">
        <f>HEX2DEC(RIGHT(Table1323212753[[#This Row],[h1]],8))</f>
        <v>0</v>
      </c>
      <c r="Q964" s="48" t="s">
        <v>75</v>
      </c>
      <c r="R964" s="48">
        <f>HEX2DEC(RIGHT(Table1323212753[[#This Row],[h2]],8))</f>
        <v>0</v>
      </c>
    </row>
    <row r="965" spans="1:18">
      <c r="A965" s="15" t="str">
        <f t="shared" si="19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8" t="s">
        <v>75</v>
      </c>
      <c r="P965" s="48">
        <f>HEX2DEC(RIGHT(Table1323212753[[#This Row],[h1]],8))</f>
        <v>0</v>
      </c>
      <c r="Q965" s="48" t="s">
        <v>75</v>
      </c>
      <c r="R965" s="48">
        <f>HEX2DEC(RIGHT(Table1323212753[[#This Row],[h2]],8))</f>
        <v>0</v>
      </c>
    </row>
    <row r="966" spans="1:18">
      <c r="A966" s="15" t="str">
        <f t="shared" si="19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8" t="s">
        <v>75</v>
      </c>
      <c r="P966" s="48">
        <f>HEX2DEC(RIGHT(Table1323212753[[#This Row],[h1]],8))</f>
        <v>0</v>
      </c>
      <c r="Q966" s="48" t="s">
        <v>75</v>
      </c>
      <c r="R966" s="48">
        <f>HEX2DEC(RIGHT(Table1323212753[[#This Row],[h2]],8))</f>
        <v>0</v>
      </c>
    </row>
    <row r="967" spans="1:18">
      <c r="A967" s="15" t="str">
        <f t="shared" si="19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8" t="s">
        <v>75</v>
      </c>
      <c r="P967" s="48">
        <f>HEX2DEC(RIGHT(Table1323212753[[#This Row],[h1]],8))</f>
        <v>0</v>
      </c>
      <c r="Q967" s="48" t="s">
        <v>75</v>
      </c>
      <c r="R967" s="48">
        <f>HEX2DEC(RIGHT(Table1323212753[[#This Row],[h2]],8))</f>
        <v>0</v>
      </c>
    </row>
    <row r="968" spans="1:18">
      <c r="A968" s="15" t="str">
        <f t="shared" si="19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8" t="s">
        <v>75</v>
      </c>
      <c r="P968" s="48">
        <f>HEX2DEC(RIGHT(Table1323212753[[#This Row],[h1]],8))</f>
        <v>0</v>
      </c>
      <c r="Q968" s="48" t="s">
        <v>75</v>
      </c>
      <c r="R968" s="48">
        <f>HEX2DEC(RIGHT(Table1323212753[[#This Row],[h2]],8))</f>
        <v>0</v>
      </c>
    </row>
    <row r="969" spans="1:18">
      <c r="A969" s="15" t="str">
        <f t="shared" si="19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8" t="s">
        <v>75</v>
      </c>
      <c r="P969" s="48">
        <f>HEX2DEC(RIGHT(Table1323212753[[#This Row],[h1]],8))</f>
        <v>0</v>
      </c>
      <c r="Q969" s="48" t="s">
        <v>75</v>
      </c>
      <c r="R969" s="48">
        <f>HEX2DEC(RIGHT(Table1323212753[[#This Row],[h2]],8))</f>
        <v>0</v>
      </c>
    </row>
    <row r="970" spans="1:18">
      <c r="A970" s="15" t="str">
        <f t="shared" si="19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8" t="s">
        <v>75</v>
      </c>
      <c r="P970" s="48">
        <f>HEX2DEC(RIGHT(Table1323212753[[#This Row],[h1]],8))</f>
        <v>0</v>
      </c>
      <c r="Q970" s="48" t="s">
        <v>75</v>
      </c>
      <c r="R970" s="48">
        <f>HEX2DEC(RIGHT(Table1323212753[[#This Row],[h2]],8))</f>
        <v>0</v>
      </c>
    </row>
    <row r="971" spans="1:18">
      <c r="A971" s="15" t="str">
        <f t="shared" ref="A971:A1034" si="20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8" t="s">
        <v>75</v>
      </c>
      <c r="P971" s="48">
        <f>HEX2DEC(RIGHT(Table1323212753[[#This Row],[h1]],8))</f>
        <v>0</v>
      </c>
      <c r="Q971" s="48" t="s">
        <v>75</v>
      </c>
      <c r="R971" s="48">
        <f>HEX2DEC(RIGHT(Table1323212753[[#This Row],[h2]],8))</f>
        <v>0</v>
      </c>
    </row>
    <row r="972" spans="1:18">
      <c r="A972" s="15" t="str">
        <f t="shared" si="20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8" t="s">
        <v>75</v>
      </c>
      <c r="P972" s="48">
        <f>HEX2DEC(RIGHT(Table1323212753[[#This Row],[h1]],8))</f>
        <v>0</v>
      </c>
      <c r="Q972" s="48" t="s">
        <v>75</v>
      </c>
      <c r="R972" s="48">
        <f>HEX2DEC(RIGHT(Table1323212753[[#This Row],[h2]],8))</f>
        <v>0</v>
      </c>
    </row>
    <row r="973" spans="1:18">
      <c r="A973" s="15" t="str">
        <f t="shared" si="20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8" t="s">
        <v>75</v>
      </c>
      <c r="P973" s="48">
        <f>HEX2DEC(RIGHT(Table1323212753[[#This Row],[h1]],8))</f>
        <v>0</v>
      </c>
      <c r="Q973" s="48" t="s">
        <v>75</v>
      </c>
      <c r="R973" s="48">
        <f>HEX2DEC(RIGHT(Table1323212753[[#This Row],[h2]],8))</f>
        <v>0</v>
      </c>
    </row>
    <row r="974" spans="1:18">
      <c r="A974" s="15" t="str">
        <f t="shared" si="20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8" t="s">
        <v>75</v>
      </c>
      <c r="P974" s="48">
        <f>HEX2DEC(RIGHT(Table1323212753[[#This Row],[h1]],8))</f>
        <v>0</v>
      </c>
      <c r="Q974" s="48" t="s">
        <v>75</v>
      </c>
      <c r="R974" s="48">
        <f>HEX2DEC(RIGHT(Table1323212753[[#This Row],[h2]],8))</f>
        <v>0</v>
      </c>
    </row>
    <row r="975" spans="1:18">
      <c r="A975" s="15" t="str">
        <f t="shared" si="20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8" t="s">
        <v>75</v>
      </c>
      <c r="P975" s="48">
        <f>HEX2DEC(RIGHT(Table1323212753[[#This Row],[h1]],8))</f>
        <v>0</v>
      </c>
      <c r="Q975" s="48" t="s">
        <v>75</v>
      </c>
      <c r="R975" s="48">
        <f>HEX2DEC(RIGHT(Table1323212753[[#This Row],[h2]],8))</f>
        <v>0</v>
      </c>
    </row>
    <row r="976" spans="1:18">
      <c r="A976" s="15" t="str">
        <f t="shared" si="20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8" t="s">
        <v>75</v>
      </c>
      <c r="P976" s="48">
        <f>HEX2DEC(RIGHT(Table1323212753[[#This Row],[h1]],8))</f>
        <v>0</v>
      </c>
      <c r="Q976" s="48" t="s">
        <v>75</v>
      </c>
      <c r="R976" s="48">
        <f>HEX2DEC(RIGHT(Table1323212753[[#This Row],[h2]],8))</f>
        <v>0</v>
      </c>
    </row>
    <row r="977" spans="1:18">
      <c r="A977" s="15" t="str">
        <f t="shared" si="20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8" t="s">
        <v>75</v>
      </c>
      <c r="P977" s="48">
        <f>HEX2DEC(RIGHT(Table1323212753[[#This Row],[h1]],8))</f>
        <v>0</v>
      </c>
      <c r="Q977" s="48" t="s">
        <v>75</v>
      </c>
      <c r="R977" s="48">
        <f>HEX2DEC(RIGHT(Table1323212753[[#This Row],[h2]],8))</f>
        <v>0</v>
      </c>
    </row>
    <row r="978" spans="1:18">
      <c r="A978" s="15" t="str">
        <f t="shared" si="20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8" t="s">
        <v>75</v>
      </c>
      <c r="P978" s="48">
        <f>HEX2DEC(RIGHT(Table1323212753[[#This Row],[h1]],8))</f>
        <v>0</v>
      </c>
      <c r="Q978" s="48" t="s">
        <v>75</v>
      </c>
      <c r="R978" s="48">
        <f>HEX2DEC(RIGHT(Table1323212753[[#This Row],[h2]],8))</f>
        <v>0</v>
      </c>
    </row>
    <row r="979" spans="1:18">
      <c r="A979" s="15" t="str">
        <f t="shared" si="20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8" t="s">
        <v>75</v>
      </c>
      <c r="P979" s="48">
        <f>HEX2DEC(RIGHT(Table1323212753[[#This Row],[h1]],8))</f>
        <v>0</v>
      </c>
      <c r="Q979" s="48" t="s">
        <v>75</v>
      </c>
      <c r="R979" s="48">
        <f>HEX2DEC(RIGHT(Table1323212753[[#This Row],[h2]],8))</f>
        <v>0</v>
      </c>
    </row>
    <row r="980" spans="1:18">
      <c r="A980" s="15" t="str">
        <f t="shared" si="20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8" t="s">
        <v>75</v>
      </c>
      <c r="P980" s="48">
        <f>HEX2DEC(RIGHT(Table1323212753[[#This Row],[h1]],8))</f>
        <v>0</v>
      </c>
      <c r="Q980" s="48" t="s">
        <v>75</v>
      </c>
      <c r="R980" s="48">
        <f>HEX2DEC(RIGHT(Table1323212753[[#This Row],[h2]],8))</f>
        <v>0</v>
      </c>
    </row>
    <row r="981" spans="1:18">
      <c r="A981" s="15" t="str">
        <f t="shared" si="20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8" t="s">
        <v>75</v>
      </c>
      <c r="P981" s="48">
        <f>HEX2DEC(RIGHT(Table1323212753[[#This Row],[h1]],8))</f>
        <v>0</v>
      </c>
      <c r="Q981" s="48" t="s">
        <v>75</v>
      </c>
      <c r="R981" s="48">
        <f>HEX2DEC(RIGHT(Table1323212753[[#This Row],[h2]],8))</f>
        <v>0</v>
      </c>
    </row>
    <row r="982" spans="1:18">
      <c r="A982" s="15" t="str">
        <f t="shared" si="20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8" t="s">
        <v>75</v>
      </c>
      <c r="P982" s="48">
        <f>HEX2DEC(RIGHT(Table1323212753[[#This Row],[h1]],8))</f>
        <v>0</v>
      </c>
      <c r="Q982" s="48" t="s">
        <v>75</v>
      </c>
      <c r="R982" s="48">
        <f>HEX2DEC(RIGHT(Table1323212753[[#This Row],[h2]],8))</f>
        <v>0</v>
      </c>
    </row>
    <row r="983" spans="1:18">
      <c r="A983" s="15" t="str">
        <f t="shared" si="20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8" t="s">
        <v>75</v>
      </c>
      <c r="P983" s="48">
        <f>HEX2DEC(RIGHT(Table1323212753[[#This Row],[h1]],8))</f>
        <v>0</v>
      </c>
      <c r="Q983" s="48" t="s">
        <v>75</v>
      </c>
      <c r="R983" s="48">
        <f>HEX2DEC(RIGHT(Table1323212753[[#This Row],[h2]],8))</f>
        <v>0</v>
      </c>
    </row>
    <row r="984" spans="1:18">
      <c r="A984" s="15" t="str">
        <f t="shared" si="20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8" t="s">
        <v>75</v>
      </c>
      <c r="P984" s="48">
        <f>HEX2DEC(RIGHT(Table1323212753[[#This Row],[h1]],8))</f>
        <v>0</v>
      </c>
      <c r="Q984" s="48" t="s">
        <v>75</v>
      </c>
      <c r="R984" s="48">
        <f>HEX2DEC(RIGHT(Table1323212753[[#This Row],[h2]],8))</f>
        <v>0</v>
      </c>
    </row>
    <row r="985" spans="1:18">
      <c r="A985" s="15" t="str">
        <f t="shared" si="20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8" t="s">
        <v>75</v>
      </c>
      <c r="P985" s="48">
        <f>HEX2DEC(RIGHT(Table1323212753[[#This Row],[h1]],8))</f>
        <v>0</v>
      </c>
      <c r="Q985" s="48" t="s">
        <v>75</v>
      </c>
      <c r="R985" s="48">
        <f>HEX2DEC(RIGHT(Table1323212753[[#This Row],[h2]],8))</f>
        <v>0</v>
      </c>
    </row>
    <row r="986" spans="1:18">
      <c r="A986" s="15" t="str">
        <f t="shared" si="20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8" t="s">
        <v>75</v>
      </c>
      <c r="P986" s="48">
        <f>HEX2DEC(RIGHT(Table1323212753[[#This Row],[h1]],8))</f>
        <v>0</v>
      </c>
      <c r="Q986" s="48" t="s">
        <v>75</v>
      </c>
      <c r="R986" s="48">
        <f>HEX2DEC(RIGHT(Table1323212753[[#This Row],[h2]],8))</f>
        <v>0</v>
      </c>
    </row>
    <row r="987" spans="1:18">
      <c r="A987" s="15" t="str">
        <f t="shared" si="20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8" t="s">
        <v>75</v>
      </c>
      <c r="P987" s="48">
        <f>HEX2DEC(RIGHT(Table1323212753[[#This Row],[h1]],8))</f>
        <v>0</v>
      </c>
      <c r="Q987" s="48" t="s">
        <v>75</v>
      </c>
      <c r="R987" s="48">
        <f>HEX2DEC(RIGHT(Table1323212753[[#This Row],[h2]],8))</f>
        <v>0</v>
      </c>
    </row>
    <row r="988" spans="1:18">
      <c r="A988" s="15" t="str">
        <f t="shared" si="20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8" t="s">
        <v>75</v>
      </c>
      <c r="P988" s="48">
        <f>HEX2DEC(RIGHT(Table1323212753[[#This Row],[h1]],8))</f>
        <v>0</v>
      </c>
      <c r="Q988" s="48" t="s">
        <v>75</v>
      </c>
      <c r="R988" s="48">
        <f>HEX2DEC(RIGHT(Table1323212753[[#This Row],[h2]],8))</f>
        <v>0</v>
      </c>
    </row>
    <row r="989" spans="1:18">
      <c r="A989" s="15" t="str">
        <f t="shared" si="20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8" t="s">
        <v>75</v>
      </c>
      <c r="P989" s="48">
        <f>HEX2DEC(RIGHT(Table1323212753[[#This Row],[h1]],8))</f>
        <v>0</v>
      </c>
      <c r="Q989" s="48" t="s">
        <v>75</v>
      </c>
      <c r="R989" s="48">
        <f>HEX2DEC(RIGHT(Table1323212753[[#This Row],[h2]],8))</f>
        <v>0</v>
      </c>
    </row>
    <row r="990" spans="1:18">
      <c r="A990" s="15" t="str">
        <f t="shared" si="20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8" t="s">
        <v>75</v>
      </c>
      <c r="P990" s="48">
        <f>HEX2DEC(RIGHT(Table1323212753[[#This Row],[h1]],8))</f>
        <v>0</v>
      </c>
      <c r="Q990" s="48" t="s">
        <v>75</v>
      </c>
      <c r="R990" s="48">
        <f>HEX2DEC(RIGHT(Table1323212753[[#This Row],[h2]],8))</f>
        <v>0</v>
      </c>
    </row>
    <row r="991" spans="1:18">
      <c r="A991" s="15" t="str">
        <f t="shared" si="20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8" t="s">
        <v>75</v>
      </c>
      <c r="P991" s="48">
        <f>HEX2DEC(RIGHT(Table1323212753[[#This Row],[h1]],8))</f>
        <v>0</v>
      </c>
      <c r="Q991" s="48" t="s">
        <v>75</v>
      </c>
      <c r="R991" s="48">
        <f>HEX2DEC(RIGHT(Table1323212753[[#This Row],[h2]],8))</f>
        <v>0</v>
      </c>
    </row>
    <row r="992" spans="1:18">
      <c r="A992" s="15" t="str">
        <f t="shared" si="20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8" t="s">
        <v>75</v>
      </c>
      <c r="P992" s="48">
        <f>HEX2DEC(RIGHT(Table1323212753[[#This Row],[h1]],8))</f>
        <v>0</v>
      </c>
      <c r="Q992" s="48" t="s">
        <v>75</v>
      </c>
      <c r="R992" s="48">
        <f>HEX2DEC(RIGHT(Table1323212753[[#This Row],[h2]],8))</f>
        <v>0</v>
      </c>
    </row>
    <row r="993" spans="1:18">
      <c r="A993" s="15" t="str">
        <f t="shared" si="20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8" t="s">
        <v>75</v>
      </c>
      <c r="P993" s="48">
        <f>HEX2DEC(RIGHT(Table1323212753[[#This Row],[h1]],8))</f>
        <v>0</v>
      </c>
      <c r="Q993" s="48" t="s">
        <v>75</v>
      </c>
      <c r="R993" s="48">
        <f>HEX2DEC(RIGHT(Table1323212753[[#This Row],[h2]],8))</f>
        <v>0</v>
      </c>
    </row>
    <row r="994" spans="1:18">
      <c r="A994" s="15" t="str">
        <f t="shared" si="20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8" t="s">
        <v>75</v>
      </c>
      <c r="P994" s="48">
        <f>HEX2DEC(RIGHT(Table1323212753[[#This Row],[h1]],8))</f>
        <v>0</v>
      </c>
      <c r="Q994" s="48" t="s">
        <v>75</v>
      </c>
      <c r="R994" s="48">
        <f>HEX2DEC(RIGHT(Table1323212753[[#This Row],[h2]],8))</f>
        <v>0</v>
      </c>
    </row>
    <row r="995" spans="1:18">
      <c r="A995" s="15" t="str">
        <f t="shared" si="20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8" t="s">
        <v>75</v>
      </c>
      <c r="P995" s="48">
        <f>HEX2DEC(RIGHT(Table1323212753[[#This Row],[h1]],8))</f>
        <v>0</v>
      </c>
      <c r="Q995" s="48" t="s">
        <v>75</v>
      </c>
      <c r="R995" s="48">
        <f>HEX2DEC(RIGHT(Table1323212753[[#This Row],[h2]],8))</f>
        <v>0</v>
      </c>
    </row>
    <row r="996" spans="1:18">
      <c r="A996" s="15" t="str">
        <f t="shared" si="20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8" t="s">
        <v>75</v>
      </c>
      <c r="P996" s="48">
        <f>HEX2DEC(RIGHT(Table1323212753[[#This Row],[h1]],8))</f>
        <v>0</v>
      </c>
      <c r="Q996" s="48" t="s">
        <v>75</v>
      </c>
      <c r="R996" s="48">
        <f>HEX2DEC(RIGHT(Table1323212753[[#This Row],[h2]],8))</f>
        <v>0</v>
      </c>
    </row>
    <row r="997" spans="1:18">
      <c r="A997" s="15" t="str">
        <f t="shared" si="20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8" t="s">
        <v>75</v>
      </c>
      <c r="P997" s="48">
        <f>HEX2DEC(RIGHT(Table1323212753[[#This Row],[h1]],8))</f>
        <v>0</v>
      </c>
      <c r="Q997" s="48" t="s">
        <v>75</v>
      </c>
      <c r="R997" s="48">
        <f>HEX2DEC(RIGHT(Table1323212753[[#This Row],[h2]],8))</f>
        <v>0</v>
      </c>
    </row>
    <row r="998" spans="1:18">
      <c r="A998" s="15" t="str">
        <f t="shared" si="20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8" t="s">
        <v>75</v>
      </c>
      <c r="P998" s="48">
        <f>HEX2DEC(RIGHT(Table1323212753[[#This Row],[h1]],8))</f>
        <v>0</v>
      </c>
      <c r="Q998" s="48" t="s">
        <v>75</v>
      </c>
      <c r="R998" s="48">
        <f>HEX2DEC(RIGHT(Table1323212753[[#This Row],[h2]],8))</f>
        <v>0</v>
      </c>
    </row>
    <row r="999" spans="1:18">
      <c r="A999" s="15" t="str">
        <f t="shared" si="20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8" t="s">
        <v>75</v>
      </c>
      <c r="P999" s="48">
        <f>HEX2DEC(RIGHT(Table1323212753[[#This Row],[h1]],8))</f>
        <v>0</v>
      </c>
      <c r="Q999" s="48" t="s">
        <v>75</v>
      </c>
      <c r="R999" s="48">
        <f>HEX2DEC(RIGHT(Table1323212753[[#This Row],[h2]],8))</f>
        <v>0</v>
      </c>
    </row>
    <row r="1000" spans="1:18">
      <c r="A1000" s="15" t="str">
        <f t="shared" si="20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8" t="s">
        <v>75</v>
      </c>
      <c r="P1000" s="48">
        <f>HEX2DEC(RIGHT(Table1323212753[[#This Row],[h1]],8))</f>
        <v>0</v>
      </c>
      <c r="Q1000" s="48" t="s">
        <v>75</v>
      </c>
      <c r="R1000" s="48">
        <f>HEX2DEC(RIGHT(Table1323212753[[#This Row],[h2]],8))</f>
        <v>0</v>
      </c>
    </row>
    <row r="1001" spans="1:18">
      <c r="A1001" s="15" t="str">
        <f t="shared" si="20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8" t="s">
        <v>75</v>
      </c>
      <c r="P1001" s="48">
        <f>HEX2DEC(RIGHT(Table1323212753[[#This Row],[h1]],8))</f>
        <v>0</v>
      </c>
      <c r="Q1001" s="48" t="s">
        <v>75</v>
      </c>
      <c r="R1001" s="48">
        <f>HEX2DEC(RIGHT(Table1323212753[[#This Row],[h2]],8))</f>
        <v>0</v>
      </c>
    </row>
    <row r="1002" spans="1:18">
      <c r="A1002" s="15" t="str">
        <f t="shared" si="20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8" t="s">
        <v>75</v>
      </c>
      <c r="P1002" s="48">
        <f>HEX2DEC(RIGHT(Table1323212753[[#This Row],[h1]],8))</f>
        <v>0</v>
      </c>
      <c r="Q1002" s="48" t="s">
        <v>75</v>
      </c>
      <c r="R1002" s="48">
        <f>HEX2DEC(RIGHT(Table1323212753[[#This Row],[h2]],8))</f>
        <v>0</v>
      </c>
    </row>
    <row r="1003" spans="1:18">
      <c r="A1003" s="15" t="str">
        <f t="shared" si="20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8" t="s">
        <v>75</v>
      </c>
      <c r="P1003" s="48">
        <f>HEX2DEC(RIGHT(Table1323212753[[#This Row],[h1]],8))</f>
        <v>0</v>
      </c>
      <c r="Q1003" s="48" t="s">
        <v>75</v>
      </c>
      <c r="R1003" s="48">
        <f>HEX2DEC(RIGHT(Table1323212753[[#This Row],[h2]],8))</f>
        <v>0</v>
      </c>
    </row>
    <row r="1004" spans="1:18">
      <c r="A1004" s="15" t="str">
        <f t="shared" si="20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8" t="s">
        <v>75</v>
      </c>
      <c r="P1004" s="48">
        <f>HEX2DEC(RIGHT(Table1323212753[[#This Row],[h1]],8))</f>
        <v>0</v>
      </c>
      <c r="Q1004" s="48" t="s">
        <v>75</v>
      </c>
      <c r="R1004" s="48">
        <f>HEX2DEC(RIGHT(Table1323212753[[#This Row],[h2]],8))</f>
        <v>0</v>
      </c>
    </row>
    <row r="1005" spans="1:18">
      <c r="A1005" s="15" t="str">
        <f t="shared" si="20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8" t="s">
        <v>75</v>
      </c>
      <c r="P1005" s="48">
        <f>HEX2DEC(RIGHT(Table1323212753[[#This Row],[h1]],8))</f>
        <v>0</v>
      </c>
      <c r="Q1005" s="48" t="s">
        <v>75</v>
      </c>
      <c r="R1005" s="48">
        <f>HEX2DEC(RIGHT(Table1323212753[[#This Row],[h2]],8))</f>
        <v>0</v>
      </c>
    </row>
    <row r="1006" spans="1:18">
      <c r="A1006" s="15" t="str">
        <f t="shared" si="20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8" t="s">
        <v>75</v>
      </c>
      <c r="P1006" s="48">
        <f>HEX2DEC(RIGHT(Table1323212753[[#This Row],[h1]],8))</f>
        <v>0</v>
      </c>
      <c r="Q1006" s="48" t="s">
        <v>75</v>
      </c>
      <c r="R1006" s="48">
        <f>HEX2DEC(RIGHT(Table1323212753[[#This Row],[h2]],8))</f>
        <v>0</v>
      </c>
    </row>
    <row r="1007" spans="1:18">
      <c r="A1007" s="15" t="str">
        <f t="shared" si="20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8" t="s">
        <v>75</v>
      </c>
      <c r="P1007" s="48">
        <f>HEX2DEC(RIGHT(Table1323212753[[#This Row],[h1]],8))</f>
        <v>0</v>
      </c>
      <c r="Q1007" s="48" t="s">
        <v>75</v>
      </c>
      <c r="R1007" s="48">
        <f>HEX2DEC(RIGHT(Table1323212753[[#This Row],[h2]],8))</f>
        <v>0</v>
      </c>
    </row>
    <row r="1008" spans="1:18">
      <c r="A1008" s="15" t="str">
        <f t="shared" si="20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8" t="s">
        <v>75</v>
      </c>
      <c r="P1008" s="48">
        <f>HEX2DEC(RIGHT(Table1323212753[[#This Row],[h1]],8))</f>
        <v>0</v>
      </c>
      <c r="Q1008" s="48" t="s">
        <v>75</v>
      </c>
      <c r="R1008" s="48">
        <f>HEX2DEC(RIGHT(Table1323212753[[#This Row],[h2]],8))</f>
        <v>0</v>
      </c>
    </row>
    <row r="1009" spans="1:18">
      <c r="A1009" s="15" t="str">
        <f t="shared" si="20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8" t="s">
        <v>75</v>
      </c>
      <c r="P1009" s="48">
        <f>HEX2DEC(RIGHT(Table1323212753[[#This Row],[h1]],8))</f>
        <v>0</v>
      </c>
      <c r="Q1009" s="48" t="s">
        <v>75</v>
      </c>
      <c r="R1009" s="48">
        <f>HEX2DEC(RIGHT(Table1323212753[[#This Row],[h2]],8))</f>
        <v>0</v>
      </c>
    </row>
    <row r="1010" spans="1:18">
      <c r="A1010" s="15" t="str">
        <f t="shared" si="20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8" t="s">
        <v>75</v>
      </c>
      <c r="P1010" s="48">
        <f>HEX2DEC(RIGHT(Table1323212753[[#This Row],[h1]],8))</f>
        <v>0</v>
      </c>
      <c r="Q1010" s="48" t="s">
        <v>75</v>
      </c>
      <c r="R1010" s="48">
        <f>HEX2DEC(RIGHT(Table1323212753[[#This Row],[h2]],8))</f>
        <v>0</v>
      </c>
    </row>
    <row r="1011" spans="1:18">
      <c r="A1011" s="15" t="str">
        <f t="shared" si="20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8" t="s">
        <v>75</v>
      </c>
      <c r="P1011" s="48">
        <f>HEX2DEC(RIGHT(Table1323212753[[#This Row],[h1]],8))</f>
        <v>0</v>
      </c>
      <c r="Q1011" s="48" t="s">
        <v>75</v>
      </c>
      <c r="R1011" s="48">
        <f>HEX2DEC(RIGHT(Table1323212753[[#This Row],[h2]],8))</f>
        <v>0</v>
      </c>
    </row>
    <row r="1012" spans="1:18">
      <c r="A1012" s="15" t="str">
        <f t="shared" si="20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8" t="s">
        <v>75</v>
      </c>
      <c r="P1012" s="48">
        <f>HEX2DEC(RIGHT(Table1323212753[[#This Row],[h1]],8))</f>
        <v>0</v>
      </c>
      <c r="Q1012" s="48" t="s">
        <v>75</v>
      </c>
      <c r="R1012" s="48">
        <f>HEX2DEC(RIGHT(Table1323212753[[#This Row],[h2]],8))</f>
        <v>0</v>
      </c>
    </row>
    <row r="1013" spans="1:18">
      <c r="A1013" s="15" t="str">
        <f t="shared" si="20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8" t="s">
        <v>75</v>
      </c>
      <c r="P1013" s="48">
        <f>HEX2DEC(RIGHT(Table1323212753[[#This Row],[h1]],8))</f>
        <v>0</v>
      </c>
      <c r="Q1013" s="48" t="s">
        <v>75</v>
      </c>
      <c r="R1013" s="48">
        <f>HEX2DEC(RIGHT(Table1323212753[[#This Row],[h2]],8))</f>
        <v>0</v>
      </c>
    </row>
    <row r="1014" spans="1:18">
      <c r="A1014" s="15" t="str">
        <f t="shared" si="20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8" t="s">
        <v>75</v>
      </c>
      <c r="P1014" s="48">
        <f>HEX2DEC(RIGHT(Table1323212753[[#This Row],[h1]],8))</f>
        <v>0</v>
      </c>
      <c r="Q1014" s="48" t="s">
        <v>75</v>
      </c>
      <c r="R1014" s="48">
        <f>HEX2DEC(RIGHT(Table1323212753[[#This Row],[h2]],8))</f>
        <v>0</v>
      </c>
    </row>
    <row r="1015" spans="1:18">
      <c r="A1015" s="15" t="str">
        <f t="shared" si="20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8" t="s">
        <v>75</v>
      </c>
      <c r="P1015" s="48">
        <f>HEX2DEC(RIGHT(Table1323212753[[#This Row],[h1]],8))</f>
        <v>0</v>
      </c>
      <c r="Q1015" s="48" t="s">
        <v>75</v>
      </c>
      <c r="R1015" s="48">
        <f>HEX2DEC(RIGHT(Table1323212753[[#This Row],[h2]],8))</f>
        <v>0</v>
      </c>
    </row>
    <row r="1016" spans="1:18">
      <c r="A1016" s="15" t="str">
        <f t="shared" si="20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8" t="s">
        <v>75</v>
      </c>
      <c r="P1016" s="48">
        <f>HEX2DEC(RIGHT(Table1323212753[[#This Row],[h1]],8))</f>
        <v>0</v>
      </c>
      <c r="Q1016" s="48" t="s">
        <v>75</v>
      </c>
      <c r="R1016" s="48">
        <f>HEX2DEC(RIGHT(Table1323212753[[#This Row],[h2]],8))</f>
        <v>0</v>
      </c>
    </row>
    <row r="1017" spans="1:18">
      <c r="A1017" s="15" t="str">
        <f t="shared" si="20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8" t="s">
        <v>75</v>
      </c>
      <c r="P1017" s="48">
        <f>HEX2DEC(RIGHT(Table1323212753[[#This Row],[h1]],8))</f>
        <v>0</v>
      </c>
      <c r="Q1017" s="48" t="s">
        <v>75</v>
      </c>
      <c r="R1017" s="48">
        <f>HEX2DEC(RIGHT(Table1323212753[[#This Row],[h2]],8))</f>
        <v>0</v>
      </c>
    </row>
    <row r="1018" spans="1:18">
      <c r="A1018" s="15" t="str">
        <f t="shared" si="20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8" t="s">
        <v>75</v>
      </c>
      <c r="P1018" s="48">
        <f>HEX2DEC(RIGHT(Table1323212753[[#This Row],[h1]],8))</f>
        <v>0</v>
      </c>
      <c r="Q1018" s="48" t="s">
        <v>75</v>
      </c>
      <c r="R1018" s="48">
        <f>HEX2DEC(RIGHT(Table1323212753[[#This Row],[h2]],8))</f>
        <v>0</v>
      </c>
    </row>
    <row r="1019" spans="1:18">
      <c r="A1019" s="15" t="str">
        <f t="shared" si="20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8" t="s">
        <v>75</v>
      </c>
      <c r="P1019" s="48">
        <f>HEX2DEC(RIGHT(Table1323212753[[#This Row],[h1]],8))</f>
        <v>0</v>
      </c>
      <c r="Q1019" s="48" t="s">
        <v>75</v>
      </c>
      <c r="R1019" s="48">
        <f>HEX2DEC(RIGHT(Table1323212753[[#This Row],[h2]],8))</f>
        <v>0</v>
      </c>
    </row>
    <row r="1020" spans="1:18">
      <c r="A1020" s="15" t="str">
        <f t="shared" si="20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8" t="s">
        <v>75</v>
      </c>
      <c r="P1020" s="48">
        <f>HEX2DEC(RIGHT(Table1323212753[[#This Row],[h1]],8))</f>
        <v>0</v>
      </c>
      <c r="Q1020" s="48" t="s">
        <v>75</v>
      </c>
      <c r="R1020" s="48">
        <f>HEX2DEC(RIGHT(Table1323212753[[#This Row],[h2]],8))</f>
        <v>0</v>
      </c>
    </row>
    <row r="1021" spans="1:18">
      <c r="A1021" s="15" t="str">
        <f t="shared" si="20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8" t="s">
        <v>75</v>
      </c>
      <c r="P1021" s="48">
        <f>HEX2DEC(RIGHT(Table1323212753[[#This Row],[h1]],8))</f>
        <v>0</v>
      </c>
      <c r="Q1021" s="48" t="s">
        <v>75</v>
      </c>
      <c r="R1021" s="48">
        <f>HEX2DEC(RIGHT(Table1323212753[[#This Row],[h2]],8))</f>
        <v>0</v>
      </c>
    </row>
    <row r="1022" spans="1:18">
      <c r="A1022" s="15" t="str">
        <f t="shared" si="20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8" t="s">
        <v>75</v>
      </c>
      <c r="P1022" s="48">
        <f>HEX2DEC(RIGHT(Table1323212753[[#This Row],[h1]],8))</f>
        <v>0</v>
      </c>
      <c r="Q1022" s="48" t="s">
        <v>75</v>
      </c>
      <c r="R1022" s="48">
        <f>HEX2DEC(RIGHT(Table1323212753[[#This Row],[h2]],8))</f>
        <v>0</v>
      </c>
    </row>
    <row r="1023" spans="1:18">
      <c r="A1023" s="15" t="str">
        <f t="shared" si="20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8" t="s">
        <v>75</v>
      </c>
      <c r="P1023" s="48">
        <f>HEX2DEC(RIGHT(Table1323212753[[#This Row],[h1]],8))</f>
        <v>0</v>
      </c>
      <c r="Q1023" s="48" t="s">
        <v>75</v>
      </c>
      <c r="R1023" s="48">
        <f>HEX2DEC(RIGHT(Table1323212753[[#This Row],[h2]],8))</f>
        <v>0</v>
      </c>
    </row>
    <row r="1024" spans="1:18">
      <c r="A1024" s="15" t="str">
        <f t="shared" si="20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8" t="s">
        <v>75</v>
      </c>
      <c r="P1024" s="48">
        <f>HEX2DEC(RIGHT(Table1323212753[[#This Row],[h1]],8))</f>
        <v>0</v>
      </c>
      <c r="Q1024" s="48" t="s">
        <v>75</v>
      </c>
      <c r="R1024" s="48">
        <f>HEX2DEC(RIGHT(Table1323212753[[#This Row],[h2]],8))</f>
        <v>0</v>
      </c>
    </row>
    <row r="1025" spans="1:18">
      <c r="A1025" s="15" t="str">
        <f t="shared" si="20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8" t="s">
        <v>75</v>
      </c>
      <c r="P1025" s="48">
        <f>HEX2DEC(RIGHT(Table1323212753[[#This Row],[h1]],8))</f>
        <v>0</v>
      </c>
      <c r="Q1025" s="48" t="s">
        <v>75</v>
      </c>
      <c r="R1025" s="48">
        <f>HEX2DEC(RIGHT(Table1323212753[[#This Row],[h2]],8))</f>
        <v>0</v>
      </c>
    </row>
    <row r="1026" spans="1:18">
      <c r="A1026" s="15" t="str">
        <f t="shared" si="20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8" t="s">
        <v>75</v>
      </c>
      <c r="P1026" s="48">
        <f>HEX2DEC(RIGHT(Table1323212753[[#This Row],[h1]],8))</f>
        <v>0</v>
      </c>
      <c r="Q1026" s="48" t="s">
        <v>75</v>
      </c>
      <c r="R1026" s="48">
        <f>HEX2DEC(RIGHT(Table1323212753[[#This Row],[h2]],8))</f>
        <v>0</v>
      </c>
    </row>
    <row r="1027" spans="1:18">
      <c r="A1027" s="15" t="str">
        <f t="shared" si="20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8" t="s">
        <v>75</v>
      </c>
      <c r="P1027" s="48">
        <f>HEX2DEC(RIGHT(Table1323212753[[#This Row],[h1]],8))</f>
        <v>0</v>
      </c>
      <c r="Q1027" s="48" t="s">
        <v>75</v>
      </c>
      <c r="R1027" s="48">
        <f>HEX2DEC(RIGHT(Table1323212753[[#This Row],[h2]],8))</f>
        <v>0</v>
      </c>
    </row>
    <row r="1028" spans="1:18">
      <c r="A1028" s="15" t="str">
        <f t="shared" si="20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8" t="s">
        <v>75</v>
      </c>
      <c r="P1028" s="48">
        <f>HEX2DEC(RIGHT(Table1323212753[[#This Row],[h1]],8))</f>
        <v>0</v>
      </c>
      <c r="Q1028" s="48" t="s">
        <v>75</v>
      </c>
      <c r="R1028" s="48">
        <f>HEX2DEC(RIGHT(Table1323212753[[#This Row],[h2]],8))</f>
        <v>0</v>
      </c>
    </row>
    <row r="1029" spans="1:18">
      <c r="A1029" s="15" t="str">
        <f t="shared" si="20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8" t="s">
        <v>75</v>
      </c>
      <c r="P1029" s="48">
        <f>HEX2DEC(RIGHT(Table1323212753[[#This Row],[h1]],8))</f>
        <v>0</v>
      </c>
      <c r="Q1029" s="48" t="s">
        <v>75</v>
      </c>
      <c r="R1029" s="48">
        <f>HEX2DEC(RIGHT(Table1323212753[[#This Row],[h2]],8))</f>
        <v>0</v>
      </c>
    </row>
    <row r="1030" spans="1:18">
      <c r="A1030" s="15" t="str">
        <f t="shared" si="20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8" t="s">
        <v>75</v>
      </c>
      <c r="P1030" s="48">
        <f>HEX2DEC(RIGHT(Table1323212753[[#This Row],[h1]],8))</f>
        <v>0</v>
      </c>
      <c r="Q1030" s="48" t="s">
        <v>75</v>
      </c>
      <c r="R1030" s="48">
        <f>HEX2DEC(RIGHT(Table1323212753[[#This Row],[h2]],8))</f>
        <v>0</v>
      </c>
    </row>
    <row r="1031" spans="1:18">
      <c r="A1031" s="15" t="str">
        <f t="shared" si="20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8" t="s">
        <v>75</v>
      </c>
      <c r="P1031" s="48">
        <f>HEX2DEC(RIGHT(Table1323212753[[#This Row],[h1]],8))</f>
        <v>0</v>
      </c>
      <c r="Q1031" s="48" t="s">
        <v>75</v>
      </c>
      <c r="R1031" s="48">
        <f>HEX2DEC(RIGHT(Table1323212753[[#This Row],[h2]],8))</f>
        <v>0</v>
      </c>
    </row>
    <row r="1032" spans="1:18">
      <c r="A1032" s="15" t="str">
        <f t="shared" si="20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8" t="s">
        <v>75</v>
      </c>
      <c r="P1032" s="48">
        <f>HEX2DEC(RIGHT(Table1323212753[[#This Row],[h1]],8))</f>
        <v>0</v>
      </c>
      <c r="Q1032" s="48" t="s">
        <v>75</v>
      </c>
      <c r="R1032" s="48">
        <f>HEX2DEC(RIGHT(Table1323212753[[#This Row],[h2]],8))</f>
        <v>0</v>
      </c>
    </row>
    <row r="1033" spans="1:18">
      <c r="A1033" s="15" t="str">
        <f t="shared" si="20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8" t="s">
        <v>75</v>
      </c>
      <c r="P1033" s="48">
        <f>HEX2DEC(RIGHT(Table1323212753[[#This Row],[h1]],8))</f>
        <v>0</v>
      </c>
      <c r="Q1033" s="48" t="s">
        <v>75</v>
      </c>
      <c r="R1033" s="48">
        <f>HEX2DEC(RIGHT(Table1323212753[[#This Row],[h2]],8))</f>
        <v>0</v>
      </c>
    </row>
    <row r="1034" spans="1:18">
      <c r="A1034" s="15" t="str">
        <f t="shared" si="20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8" t="s">
        <v>75</v>
      </c>
      <c r="P1034" s="48">
        <f>HEX2DEC(RIGHT(Table1323212753[[#This Row],[h1]],8))</f>
        <v>0</v>
      </c>
      <c r="Q1034" s="48" t="s">
        <v>75</v>
      </c>
      <c r="R1034" s="48">
        <f>HEX2DEC(RIGHT(Table1323212753[[#This Row],[h2]],8))</f>
        <v>0</v>
      </c>
    </row>
    <row r="1035" spans="1:18">
      <c r="A1035" s="15" t="str">
        <f t="shared" ref="A1035:A1098" si="21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8" t="s">
        <v>75</v>
      </c>
      <c r="P1035" s="48">
        <f>HEX2DEC(RIGHT(Table1323212753[[#This Row],[h1]],8))</f>
        <v>0</v>
      </c>
      <c r="Q1035" s="48" t="s">
        <v>75</v>
      </c>
      <c r="R1035" s="48">
        <f>HEX2DEC(RIGHT(Table1323212753[[#This Row],[h2]],8))</f>
        <v>0</v>
      </c>
    </row>
    <row r="1036" spans="1:18">
      <c r="A1036" s="15" t="str">
        <f t="shared" si="21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8" t="s">
        <v>75</v>
      </c>
      <c r="P1036" s="48">
        <f>HEX2DEC(RIGHT(Table1323212753[[#This Row],[h1]],8))</f>
        <v>0</v>
      </c>
      <c r="Q1036" s="48" t="s">
        <v>75</v>
      </c>
      <c r="R1036" s="48">
        <f>HEX2DEC(RIGHT(Table1323212753[[#This Row],[h2]],8))</f>
        <v>0</v>
      </c>
    </row>
    <row r="1037" spans="1:18">
      <c r="A1037" s="15" t="str">
        <f t="shared" si="21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8" t="s">
        <v>75</v>
      </c>
      <c r="P1037" s="48">
        <f>HEX2DEC(RIGHT(Table1323212753[[#This Row],[h1]],8))</f>
        <v>0</v>
      </c>
      <c r="Q1037" s="48" t="s">
        <v>75</v>
      </c>
      <c r="R1037" s="48">
        <f>HEX2DEC(RIGHT(Table1323212753[[#This Row],[h2]],8))</f>
        <v>0</v>
      </c>
    </row>
    <row r="1038" spans="1:18">
      <c r="A1038" s="15" t="str">
        <f t="shared" si="21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8" t="s">
        <v>75</v>
      </c>
      <c r="P1038" s="48">
        <f>HEX2DEC(RIGHT(Table1323212753[[#This Row],[h1]],8))</f>
        <v>0</v>
      </c>
      <c r="Q1038" s="48" t="s">
        <v>75</v>
      </c>
      <c r="R1038" s="48">
        <f>HEX2DEC(RIGHT(Table1323212753[[#This Row],[h2]],8))</f>
        <v>0</v>
      </c>
    </row>
    <row r="1039" spans="1:18">
      <c r="A1039" s="15" t="str">
        <f t="shared" si="21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8" t="s">
        <v>75</v>
      </c>
      <c r="P1039" s="48">
        <f>HEX2DEC(RIGHT(Table1323212753[[#This Row],[h1]],8))</f>
        <v>0</v>
      </c>
      <c r="Q1039" s="48" t="s">
        <v>75</v>
      </c>
      <c r="R1039" s="48">
        <f>HEX2DEC(RIGHT(Table1323212753[[#This Row],[h2]],8))</f>
        <v>0</v>
      </c>
    </row>
    <row r="1040" spans="1:18">
      <c r="A1040" s="15" t="str">
        <f t="shared" si="21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8" t="s">
        <v>75</v>
      </c>
      <c r="P1040" s="48">
        <f>HEX2DEC(RIGHT(Table1323212753[[#This Row],[h1]],8))</f>
        <v>0</v>
      </c>
      <c r="Q1040" s="48" t="s">
        <v>75</v>
      </c>
      <c r="R1040" s="48">
        <f>HEX2DEC(RIGHT(Table1323212753[[#This Row],[h2]],8))</f>
        <v>0</v>
      </c>
    </row>
    <row r="1041" spans="1:18">
      <c r="A1041" s="15" t="str">
        <f t="shared" si="21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8" t="s">
        <v>75</v>
      </c>
      <c r="P1041" s="48">
        <f>HEX2DEC(RIGHT(Table1323212753[[#This Row],[h1]],8))</f>
        <v>0</v>
      </c>
      <c r="Q1041" s="48" t="s">
        <v>75</v>
      </c>
      <c r="R1041" s="48">
        <f>HEX2DEC(RIGHT(Table1323212753[[#This Row],[h2]],8))</f>
        <v>0</v>
      </c>
    </row>
    <row r="1042" spans="1:18">
      <c r="A1042" s="15" t="str">
        <f t="shared" si="21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8" t="s">
        <v>75</v>
      </c>
      <c r="P1042" s="48">
        <f>HEX2DEC(RIGHT(Table1323212753[[#This Row],[h1]],8))</f>
        <v>0</v>
      </c>
      <c r="Q1042" s="48" t="s">
        <v>75</v>
      </c>
      <c r="R1042" s="48">
        <f>HEX2DEC(RIGHT(Table1323212753[[#This Row],[h2]],8))</f>
        <v>0</v>
      </c>
    </row>
    <row r="1043" spans="1:18">
      <c r="A1043" s="15" t="str">
        <f t="shared" si="21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8" t="s">
        <v>75</v>
      </c>
      <c r="P1043" s="48">
        <f>HEX2DEC(RIGHT(Table1323212753[[#This Row],[h1]],8))</f>
        <v>0</v>
      </c>
      <c r="Q1043" s="48" t="s">
        <v>75</v>
      </c>
      <c r="R1043" s="48">
        <f>HEX2DEC(RIGHT(Table1323212753[[#This Row],[h2]],8))</f>
        <v>0</v>
      </c>
    </row>
    <row r="1044" spans="1:18">
      <c r="A1044" s="15" t="str">
        <f t="shared" si="21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8" t="s">
        <v>75</v>
      </c>
      <c r="P1044" s="48">
        <f>HEX2DEC(RIGHT(Table1323212753[[#This Row],[h1]],8))</f>
        <v>0</v>
      </c>
      <c r="Q1044" s="48" t="s">
        <v>75</v>
      </c>
      <c r="R1044" s="48">
        <f>HEX2DEC(RIGHT(Table1323212753[[#This Row],[h2]],8))</f>
        <v>0</v>
      </c>
    </row>
    <row r="1045" spans="1:18">
      <c r="A1045" s="15" t="str">
        <f t="shared" si="21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8" t="s">
        <v>75</v>
      </c>
      <c r="P1045" s="48">
        <f>HEX2DEC(RIGHT(Table1323212753[[#This Row],[h1]],8))</f>
        <v>0</v>
      </c>
      <c r="Q1045" s="48" t="s">
        <v>75</v>
      </c>
      <c r="R1045" s="48">
        <f>HEX2DEC(RIGHT(Table1323212753[[#This Row],[h2]],8))</f>
        <v>0</v>
      </c>
    </row>
    <row r="1046" spans="1:18">
      <c r="A1046" s="15" t="str">
        <f t="shared" si="21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8" t="s">
        <v>75</v>
      </c>
      <c r="P1046" s="48">
        <f>HEX2DEC(RIGHT(Table1323212753[[#This Row],[h1]],8))</f>
        <v>0</v>
      </c>
      <c r="Q1046" s="48" t="s">
        <v>75</v>
      </c>
      <c r="R1046" s="48">
        <f>HEX2DEC(RIGHT(Table1323212753[[#This Row],[h2]],8))</f>
        <v>0</v>
      </c>
    </row>
    <row r="1047" spans="1:18">
      <c r="A1047" s="15" t="str">
        <f t="shared" si="21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8" t="s">
        <v>75</v>
      </c>
      <c r="P1047" s="48">
        <f>HEX2DEC(RIGHT(Table1323212753[[#This Row],[h1]],8))</f>
        <v>0</v>
      </c>
      <c r="Q1047" s="48" t="s">
        <v>75</v>
      </c>
      <c r="R1047" s="48">
        <f>HEX2DEC(RIGHT(Table1323212753[[#This Row],[h2]],8))</f>
        <v>0</v>
      </c>
    </row>
    <row r="1048" spans="1:18">
      <c r="A1048" s="15" t="str">
        <f t="shared" si="21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8" t="s">
        <v>75</v>
      </c>
      <c r="P1048" s="48">
        <f>HEX2DEC(RIGHT(Table1323212753[[#This Row],[h1]],8))</f>
        <v>0</v>
      </c>
      <c r="Q1048" s="48" t="s">
        <v>75</v>
      </c>
      <c r="R1048" s="48">
        <f>HEX2DEC(RIGHT(Table1323212753[[#This Row],[h2]],8))</f>
        <v>0</v>
      </c>
    </row>
    <row r="1049" spans="1:18">
      <c r="A1049" s="15" t="str">
        <f t="shared" si="21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8" t="s">
        <v>75</v>
      </c>
      <c r="P1049" s="48">
        <f>HEX2DEC(RIGHT(Table1323212753[[#This Row],[h1]],8))</f>
        <v>0</v>
      </c>
      <c r="Q1049" s="48" t="s">
        <v>75</v>
      </c>
      <c r="R1049" s="48">
        <f>HEX2DEC(RIGHT(Table1323212753[[#This Row],[h2]],8))</f>
        <v>0</v>
      </c>
    </row>
    <row r="1050" spans="1:18">
      <c r="A1050" s="15" t="str">
        <f t="shared" si="21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8" t="s">
        <v>75</v>
      </c>
      <c r="P1050" s="48">
        <f>HEX2DEC(RIGHT(Table1323212753[[#This Row],[h1]],8))</f>
        <v>0</v>
      </c>
      <c r="Q1050" s="48" t="s">
        <v>75</v>
      </c>
      <c r="R1050" s="48">
        <f>HEX2DEC(RIGHT(Table1323212753[[#This Row],[h2]],8))</f>
        <v>0</v>
      </c>
    </row>
    <row r="1051" spans="1:18">
      <c r="A1051" s="15" t="str">
        <f t="shared" si="21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8" t="s">
        <v>75</v>
      </c>
      <c r="P1051" s="48">
        <f>HEX2DEC(RIGHT(Table1323212753[[#This Row],[h1]],8))</f>
        <v>0</v>
      </c>
      <c r="Q1051" s="48" t="s">
        <v>75</v>
      </c>
      <c r="R1051" s="48">
        <f>HEX2DEC(RIGHT(Table1323212753[[#This Row],[h2]],8))</f>
        <v>0</v>
      </c>
    </row>
    <row r="1052" spans="1:18">
      <c r="A1052" s="15" t="str">
        <f t="shared" si="21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8" t="s">
        <v>75</v>
      </c>
      <c r="P1052" s="48">
        <f>HEX2DEC(RIGHT(Table1323212753[[#This Row],[h1]],8))</f>
        <v>0</v>
      </c>
      <c r="Q1052" s="48" t="s">
        <v>75</v>
      </c>
      <c r="R1052" s="48">
        <f>HEX2DEC(RIGHT(Table1323212753[[#This Row],[h2]],8))</f>
        <v>0</v>
      </c>
    </row>
    <row r="1053" spans="1:18">
      <c r="A1053" s="15" t="str">
        <f t="shared" si="21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8" t="s">
        <v>75</v>
      </c>
      <c r="P1053" s="48">
        <f>HEX2DEC(RIGHT(Table1323212753[[#This Row],[h1]],8))</f>
        <v>0</v>
      </c>
      <c r="Q1053" s="48" t="s">
        <v>75</v>
      </c>
      <c r="R1053" s="48">
        <f>HEX2DEC(RIGHT(Table1323212753[[#This Row],[h2]],8))</f>
        <v>0</v>
      </c>
    </row>
    <row r="1054" spans="1:18">
      <c r="A1054" s="15" t="str">
        <f t="shared" si="21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8" t="s">
        <v>75</v>
      </c>
      <c r="P1054" s="48">
        <f>HEX2DEC(RIGHT(Table1323212753[[#This Row],[h1]],8))</f>
        <v>0</v>
      </c>
      <c r="Q1054" s="48" t="s">
        <v>75</v>
      </c>
      <c r="R1054" s="48">
        <f>HEX2DEC(RIGHT(Table1323212753[[#This Row],[h2]],8))</f>
        <v>0</v>
      </c>
    </row>
    <row r="1055" spans="1:18">
      <c r="A1055" s="15" t="str">
        <f t="shared" si="21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8" t="s">
        <v>75</v>
      </c>
      <c r="P1055" s="48">
        <f>HEX2DEC(RIGHT(Table1323212753[[#This Row],[h1]],8))</f>
        <v>0</v>
      </c>
      <c r="Q1055" s="48" t="s">
        <v>75</v>
      </c>
      <c r="R1055" s="48">
        <f>HEX2DEC(RIGHT(Table1323212753[[#This Row],[h2]],8))</f>
        <v>0</v>
      </c>
    </row>
    <row r="1056" spans="1:18">
      <c r="A1056" s="15" t="str">
        <f t="shared" si="21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8" t="s">
        <v>75</v>
      </c>
      <c r="P1056" s="48">
        <f>HEX2DEC(RIGHT(Table1323212753[[#This Row],[h1]],8))</f>
        <v>0</v>
      </c>
      <c r="Q1056" s="48" t="s">
        <v>75</v>
      </c>
      <c r="R1056" s="48">
        <f>HEX2DEC(RIGHT(Table1323212753[[#This Row],[h2]],8))</f>
        <v>0</v>
      </c>
    </row>
    <row r="1057" spans="1:18">
      <c r="A1057" s="15" t="str">
        <f t="shared" si="21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8" t="s">
        <v>75</v>
      </c>
      <c r="P1057" s="48">
        <f>HEX2DEC(RIGHT(Table1323212753[[#This Row],[h1]],8))</f>
        <v>0</v>
      </c>
      <c r="Q1057" s="48" t="s">
        <v>75</v>
      </c>
      <c r="R1057" s="48">
        <f>HEX2DEC(RIGHT(Table1323212753[[#This Row],[h2]],8))</f>
        <v>0</v>
      </c>
    </row>
    <row r="1058" spans="1:18">
      <c r="A1058" s="15" t="str">
        <f t="shared" si="21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8" t="s">
        <v>75</v>
      </c>
      <c r="P1058" s="48">
        <f>HEX2DEC(RIGHT(Table1323212753[[#This Row],[h1]],8))</f>
        <v>0</v>
      </c>
      <c r="Q1058" s="48" t="s">
        <v>75</v>
      </c>
      <c r="R1058" s="48">
        <f>HEX2DEC(RIGHT(Table1323212753[[#This Row],[h2]],8))</f>
        <v>0</v>
      </c>
    </row>
    <row r="1059" spans="1:18">
      <c r="A1059" s="15" t="str">
        <f t="shared" si="21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8" t="s">
        <v>75</v>
      </c>
      <c r="P1059" s="48">
        <f>HEX2DEC(RIGHT(Table1323212753[[#This Row],[h1]],8))</f>
        <v>0</v>
      </c>
      <c r="Q1059" s="48" t="s">
        <v>75</v>
      </c>
      <c r="R1059" s="48">
        <f>HEX2DEC(RIGHT(Table1323212753[[#This Row],[h2]],8))</f>
        <v>0</v>
      </c>
    </row>
    <row r="1060" spans="1:18">
      <c r="A1060" s="15" t="str">
        <f t="shared" si="21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8" t="s">
        <v>75</v>
      </c>
      <c r="P1060" s="48">
        <f>HEX2DEC(RIGHT(Table1323212753[[#This Row],[h1]],8))</f>
        <v>0</v>
      </c>
      <c r="Q1060" s="48" t="s">
        <v>75</v>
      </c>
      <c r="R1060" s="48">
        <f>HEX2DEC(RIGHT(Table1323212753[[#This Row],[h2]],8))</f>
        <v>0</v>
      </c>
    </row>
    <row r="1061" spans="1:18">
      <c r="A1061" s="15" t="str">
        <f t="shared" si="21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8" t="s">
        <v>75</v>
      </c>
      <c r="P1061" s="48">
        <f>HEX2DEC(RIGHT(Table1323212753[[#This Row],[h1]],8))</f>
        <v>0</v>
      </c>
      <c r="Q1061" s="48" t="s">
        <v>75</v>
      </c>
      <c r="R1061" s="48">
        <f>HEX2DEC(RIGHT(Table1323212753[[#This Row],[h2]],8))</f>
        <v>0</v>
      </c>
    </row>
    <row r="1062" spans="1:18">
      <c r="A1062" s="15" t="str">
        <f t="shared" si="21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8" t="s">
        <v>75</v>
      </c>
      <c r="P1062" s="48">
        <f>HEX2DEC(RIGHT(Table1323212753[[#This Row],[h1]],8))</f>
        <v>0</v>
      </c>
      <c r="Q1062" s="48" t="s">
        <v>75</v>
      </c>
      <c r="R1062" s="48">
        <f>HEX2DEC(RIGHT(Table1323212753[[#This Row],[h2]],8))</f>
        <v>0</v>
      </c>
    </row>
    <row r="1063" spans="1:18">
      <c r="A1063" s="15" t="str">
        <f t="shared" si="21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8" t="s">
        <v>75</v>
      </c>
      <c r="P1063" s="48">
        <f>HEX2DEC(RIGHT(Table1323212753[[#This Row],[h1]],8))</f>
        <v>0</v>
      </c>
      <c r="Q1063" s="48" t="s">
        <v>75</v>
      </c>
      <c r="R1063" s="48">
        <f>HEX2DEC(RIGHT(Table1323212753[[#This Row],[h2]],8))</f>
        <v>0</v>
      </c>
    </row>
    <row r="1064" spans="1:18">
      <c r="A1064" s="15" t="str">
        <f t="shared" si="21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8" t="s">
        <v>75</v>
      </c>
      <c r="P1064" s="48">
        <f>HEX2DEC(RIGHT(Table1323212753[[#This Row],[h1]],8))</f>
        <v>0</v>
      </c>
      <c r="Q1064" s="48" t="s">
        <v>75</v>
      </c>
      <c r="R1064" s="48">
        <f>HEX2DEC(RIGHT(Table1323212753[[#This Row],[h2]],8))</f>
        <v>0</v>
      </c>
    </row>
    <row r="1065" spans="1:18">
      <c r="A1065" s="15" t="str">
        <f t="shared" si="21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8" t="s">
        <v>75</v>
      </c>
      <c r="P1065" s="48">
        <f>HEX2DEC(RIGHT(Table1323212753[[#This Row],[h1]],8))</f>
        <v>0</v>
      </c>
      <c r="Q1065" s="48" t="s">
        <v>75</v>
      </c>
      <c r="R1065" s="48">
        <f>HEX2DEC(RIGHT(Table1323212753[[#This Row],[h2]],8))</f>
        <v>0</v>
      </c>
    </row>
    <row r="1066" spans="1:18">
      <c r="A1066" s="15" t="str">
        <f t="shared" si="21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8" t="s">
        <v>75</v>
      </c>
      <c r="P1066" s="48">
        <f>HEX2DEC(RIGHT(Table1323212753[[#This Row],[h1]],8))</f>
        <v>0</v>
      </c>
      <c r="Q1066" s="48" t="s">
        <v>75</v>
      </c>
      <c r="R1066" s="48">
        <f>HEX2DEC(RIGHT(Table1323212753[[#This Row],[h2]],8))</f>
        <v>0</v>
      </c>
    </row>
    <row r="1067" spans="1:18">
      <c r="A1067" s="15" t="str">
        <f t="shared" si="21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8" t="s">
        <v>75</v>
      </c>
      <c r="P1067" s="48">
        <f>HEX2DEC(RIGHT(Table1323212753[[#This Row],[h1]],8))</f>
        <v>0</v>
      </c>
      <c r="Q1067" s="48" t="s">
        <v>75</v>
      </c>
      <c r="R1067" s="48">
        <f>HEX2DEC(RIGHT(Table1323212753[[#This Row],[h2]],8))</f>
        <v>0</v>
      </c>
    </row>
    <row r="1068" spans="1:18">
      <c r="A1068" s="15" t="str">
        <f t="shared" si="21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8" t="s">
        <v>75</v>
      </c>
      <c r="P1068" s="48">
        <f>HEX2DEC(RIGHT(Table1323212753[[#This Row],[h1]],8))</f>
        <v>0</v>
      </c>
      <c r="Q1068" s="48" t="s">
        <v>75</v>
      </c>
      <c r="R1068" s="48">
        <f>HEX2DEC(RIGHT(Table1323212753[[#This Row],[h2]],8))</f>
        <v>0</v>
      </c>
    </row>
    <row r="1069" spans="1:18">
      <c r="A1069" s="15" t="str">
        <f t="shared" si="21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8" t="s">
        <v>75</v>
      </c>
      <c r="P1069" s="48">
        <f>HEX2DEC(RIGHT(Table1323212753[[#This Row],[h1]],8))</f>
        <v>0</v>
      </c>
      <c r="Q1069" s="48" t="s">
        <v>75</v>
      </c>
      <c r="R1069" s="48">
        <f>HEX2DEC(RIGHT(Table1323212753[[#This Row],[h2]],8))</f>
        <v>0</v>
      </c>
    </row>
    <row r="1070" spans="1:18">
      <c r="A1070" s="15" t="str">
        <f t="shared" si="21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8" t="s">
        <v>75</v>
      </c>
      <c r="P1070" s="48">
        <f>HEX2DEC(RIGHT(Table1323212753[[#This Row],[h1]],8))</f>
        <v>0</v>
      </c>
      <c r="Q1070" s="48" t="s">
        <v>75</v>
      </c>
      <c r="R1070" s="48">
        <f>HEX2DEC(RIGHT(Table1323212753[[#This Row],[h2]],8))</f>
        <v>0</v>
      </c>
    </row>
    <row r="1071" spans="1:18">
      <c r="A1071" s="15" t="str">
        <f t="shared" si="21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8" t="s">
        <v>75</v>
      </c>
      <c r="P1071" s="48">
        <f>HEX2DEC(RIGHT(Table1323212753[[#This Row],[h1]],8))</f>
        <v>0</v>
      </c>
      <c r="Q1071" s="48" t="s">
        <v>75</v>
      </c>
      <c r="R1071" s="48">
        <f>HEX2DEC(RIGHT(Table1323212753[[#This Row],[h2]],8))</f>
        <v>0</v>
      </c>
    </row>
    <row r="1072" spans="1:18">
      <c r="A1072" s="15" t="str">
        <f t="shared" si="21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8" t="s">
        <v>75</v>
      </c>
      <c r="P1072" s="48">
        <f>HEX2DEC(RIGHT(Table1323212753[[#This Row],[h1]],8))</f>
        <v>0</v>
      </c>
      <c r="Q1072" s="48" t="s">
        <v>75</v>
      </c>
      <c r="R1072" s="48">
        <f>HEX2DEC(RIGHT(Table1323212753[[#This Row],[h2]],8))</f>
        <v>0</v>
      </c>
    </row>
    <row r="1073" spans="1:18">
      <c r="A1073" s="15" t="str">
        <f t="shared" si="21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8" t="s">
        <v>75</v>
      </c>
      <c r="P1073" s="48">
        <f>HEX2DEC(RIGHT(Table1323212753[[#This Row],[h1]],8))</f>
        <v>0</v>
      </c>
      <c r="Q1073" s="48" t="s">
        <v>75</v>
      </c>
      <c r="R1073" s="48">
        <f>HEX2DEC(RIGHT(Table1323212753[[#This Row],[h2]],8))</f>
        <v>0</v>
      </c>
    </row>
    <row r="1074" spans="1:18">
      <c r="A1074" s="15" t="str">
        <f t="shared" si="21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8" t="s">
        <v>75</v>
      </c>
      <c r="P1074" s="48">
        <f>HEX2DEC(RIGHT(Table1323212753[[#This Row],[h1]],8))</f>
        <v>0</v>
      </c>
      <c r="Q1074" s="48" t="s">
        <v>75</v>
      </c>
      <c r="R1074" s="48">
        <f>HEX2DEC(RIGHT(Table1323212753[[#This Row],[h2]],8))</f>
        <v>0</v>
      </c>
    </row>
    <row r="1075" spans="1:18">
      <c r="A1075" s="15" t="str">
        <f t="shared" si="21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8" t="s">
        <v>75</v>
      </c>
      <c r="P1075" s="48">
        <f>HEX2DEC(RIGHT(Table1323212753[[#This Row],[h1]],8))</f>
        <v>0</v>
      </c>
      <c r="Q1075" s="48" t="s">
        <v>75</v>
      </c>
      <c r="R1075" s="48">
        <f>HEX2DEC(RIGHT(Table1323212753[[#This Row],[h2]],8))</f>
        <v>0</v>
      </c>
    </row>
    <row r="1076" spans="1:18">
      <c r="A1076" s="15" t="str">
        <f t="shared" si="21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8" t="s">
        <v>75</v>
      </c>
      <c r="P1076" s="48">
        <f>HEX2DEC(RIGHT(Table1323212753[[#This Row],[h1]],8))</f>
        <v>0</v>
      </c>
      <c r="Q1076" s="48" t="s">
        <v>75</v>
      </c>
      <c r="R1076" s="48">
        <f>HEX2DEC(RIGHT(Table1323212753[[#This Row],[h2]],8))</f>
        <v>0</v>
      </c>
    </row>
    <row r="1077" spans="1:18">
      <c r="A1077" s="15" t="str">
        <f t="shared" si="21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8" t="s">
        <v>75</v>
      </c>
      <c r="P1077" s="48">
        <f>HEX2DEC(RIGHT(Table1323212753[[#This Row],[h1]],8))</f>
        <v>0</v>
      </c>
      <c r="Q1077" s="48" t="s">
        <v>75</v>
      </c>
      <c r="R1077" s="48">
        <f>HEX2DEC(RIGHT(Table1323212753[[#This Row],[h2]],8))</f>
        <v>0</v>
      </c>
    </row>
    <row r="1078" spans="1:18">
      <c r="A1078" s="15" t="str">
        <f t="shared" si="21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8" t="s">
        <v>75</v>
      </c>
      <c r="P1078" s="48">
        <f>HEX2DEC(RIGHT(Table1323212753[[#This Row],[h1]],8))</f>
        <v>0</v>
      </c>
      <c r="Q1078" s="48" t="s">
        <v>75</v>
      </c>
      <c r="R1078" s="48">
        <f>HEX2DEC(RIGHT(Table1323212753[[#This Row],[h2]],8))</f>
        <v>0</v>
      </c>
    </row>
    <row r="1079" spans="1:18">
      <c r="A1079" s="15" t="str">
        <f t="shared" si="21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8" t="s">
        <v>75</v>
      </c>
      <c r="P1079" s="48">
        <f>HEX2DEC(RIGHT(Table1323212753[[#This Row],[h1]],8))</f>
        <v>0</v>
      </c>
      <c r="Q1079" s="48" t="s">
        <v>75</v>
      </c>
      <c r="R1079" s="48">
        <f>HEX2DEC(RIGHT(Table1323212753[[#This Row],[h2]],8))</f>
        <v>0</v>
      </c>
    </row>
    <row r="1080" spans="1:18">
      <c r="A1080" s="15" t="str">
        <f t="shared" si="21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8" t="s">
        <v>75</v>
      </c>
      <c r="P1080" s="48">
        <f>HEX2DEC(RIGHT(Table1323212753[[#This Row],[h1]],8))</f>
        <v>0</v>
      </c>
      <c r="Q1080" s="48" t="s">
        <v>75</v>
      </c>
      <c r="R1080" s="48">
        <f>HEX2DEC(RIGHT(Table1323212753[[#This Row],[h2]],8))</f>
        <v>0</v>
      </c>
    </row>
    <row r="1081" spans="1:18">
      <c r="A1081" s="15" t="str">
        <f t="shared" si="21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8" t="s">
        <v>75</v>
      </c>
      <c r="P1081" s="48">
        <f>HEX2DEC(RIGHT(Table1323212753[[#This Row],[h1]],8))</f>
        <v>0</v>
      </c>
      <c r="Q1081" s="48" t="s">
        <v>75</v>
      </c>
      <c r="R1081" s="48">
        <f>HEX2DEC(RIGHT(Table1323212753[[#This Row],[h2]],8))</f>
        <v>0</v>
      </c>
    </row>
    <row r="1082" spans="1:18">
      <c r="A1082" s="15" t="str">
        <f t="shared" si="21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8" t="s">
        <v>75</v>
      </c>
      <c r="P1082" s="48">
        <f>HEX2DEC(RIGHT(Table1323212753[[#This Row],[h1]],8))</f>
        <v>0</v>
      </c>
      <c r="Q1082" s="48" t="s">
        <v>75</v>
      </c>
      <c r="R1082" s="48">
        <f>HEX2DEC(RIGHT(Table1323212753[[#This Row],[h2]],8))</f>
        <v>0</v>
      </c>
    </row>
    <row r="1083" spans="1:18">
      <c r="A1083" s="15" t="str">
        <f t="shared" si="21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8" t="s">
        <v>75</v>
      </c>
      <c r="P1083" s="48">
        <f>HEX2DEC(RIGHT(Table1323212753[[#This Row],[h1]],8))</f>
        <v>0</v>
      </c>
      <c r="Q1083" s="48" t="s">
        <v>75</v>
      </c>
      <c r="R1083" s="48">
        <f>HEX2DEC(RIGHT(Table1323212753[[#This Row],[h2]],8))</f>
        <v>0</v>
      </c>
    </row>
    <row r="1084" spans="1:18">
      <c r="A1084" s="15" t="str">
        <f t="shared" si="21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8" t="s">
        <v>75</v>
      </c>
      <c r="P1084" s="48">
        <f>HEX2DEC(RIGHT(Table1323212753[[#This Row],[h1]],8))</f>
        <v>0</v>
      </c>
      <c r="Q1084" s="48" t="s">
        <v>75</v>
      </c>
      <c r="R1084" s="48">
        <f>HEX2DEC(RIGHT(Table1323212753[[#This Row],[h2]],8))</f>
        <v>0</v>
      </c>
    </row>
    <row r="1085" spans="1:18">
      <c r="A1085" s="15" t="str">
        <f t="shared" si="21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8" t="s">
        <v>75</v>
      </c>
      <c r="P1085" s="48">
        <f>HEX2DEC(RIGHT(Table1323212753[[#This Row],[h1]],8))</f>
        <v>0</v>
      </c>
      <c r="Q1085" s="48" t="s">
        <v>75</v>
      </c>
      <c r="R1085" s="48">
        <f>HEX2DEC(RIGHT(Table1323212753[[#This Row],[h2]],8))</f>
        <v>0</v>
      </c>
    </row>
    <row r="1086" spans="1:18">
      <c r="A1086" s="15" t="str">
        <f t="shared" si="21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8" t="s">
        <v>75</v>
      </c>
      <c r="P1086" s="48">
        <f>HEX2DEC(RIGHT(Table1323212753[[#This Row],[h1]],8))</f>
        <v>0</v>
      </c>
      <c r="Q1086" s="48" t="s">
        <v>75</v>
      </c>
      <c r="R1086" s="48">
        <f>HEX2DEC(RIGHT(Table1323212753[[#This Row],[h2]],8))</f>
        <v>0</v>
      </c>
    </row>
    <row r="1087" spans="1:18">
      <c r="A1087" s="15" t="str">
        <f t="shared" si="21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8" t="s">
        <v>75</v>
      </c>
      <c r="P1087" s="48">
        <f>HEX2DEC(RIGHT(Table1323212753[[#This Row],[h1]],8))</f>
        <v>0</v>
      </c>
      <c r="Q1087" s="48" t="s">
        <v>75</v>
      </c>
      <c r="R1087" s="48">
        <f>HEX2DEC(RIGHT(Table1323212753[[#This Row],[h2]],8))</f>
        <v>0</v>
      </c>
    </row>
    <row r="1088" spans="1:18">
      <c r="A1088" s="15" t="str">
        <f t="shared" si="21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8" t="s">
        <v>75</v>
      </c>
      <c r="P1088" s="48">
        <f>HEX2DEC(RIGHT(Table1323212753[[#This Row],[h1]],8))</f>
        <v>0</v>
      </c>
      <c r="Q1088" s="48" t="s">
        <v>75</v>
      </c>
      <c r="R1088" s="48">
        <f>HEX2DEC(RIGHT(Table1323212753[[#This Row],[h2]],8))</f>
        <v>0</v>
      </c>
    </row>
    <row r="1089" spans="1:18">
      <c r="A1089" s="15" t="str">
        <f t="shared" si="21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8" t="s">
        <v>75</v>
      </c>
      <c r="P1089" s="48">
        <f>HEX2DEC(RIGHT(Table1323212753[[#This Row],[h1]],8))</f>
        <v>0</v>
      </c>
      <c r="Q1089" s="48" t="s">
        <v>75</v>
      </c>
      <c r="R1089" s="48">
        <f>HEX2DEC(RIGHT(Table1323212753[[#This Row],[h2]],8))</f>
        <v>0</v>
      </c>
    </row>
    <row r="1090" spans="1:18">
      <c r="A1090" s="15" t="str">
        <f t="shared" si="21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8" t="s">
        <v>75</v>
      </c>
      <c r="P1090" s="48">
        <f>HEX2DEC(RIGHT(Table1323212753[[#This Row],[h1]],8))</f>
        <v>0</v>
      </c>
      <c r="Q1090" s="48" t="s">
        <v>75</v>
      </c>
      <c r="R1090" s="48">
        <f>HEX2DEC(RIGHT(Table1323212753[[#This Row],[h2]],8))</f>
        <v>0</v>
      </c>
    </row>
    <row r="1091" spans="1:18">
      <c r="A1091" s="15" t="str">
        <f t="shared" si="21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8" t="s">
        <v>75</v>
      </c>
      <c r="P1091" s="48">
        <f>HEX2DEC(RIGHT(Table1323212753[[#This Row],[h1]],8))</f>
        <v>0</v>
      </c>
      <c r="Q1091" s="48" t="s">
        <v>75</v>
      </c>
      <c r="R1091" s="48">
        <f>HEX2DEC(RIGHT(Table1323212753[[#This Row],[h2]],8))</f>
        <v>0</v>
      </c>
    </row>
    <row r="1092" spans="1:18">
      <c r="A1092" s="15" t="str">
        <f t="shared" si="21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8" t="s">
        <v>75</v>
      </c>
      <c r="P1092" s="48">
        <f>HEX2DEC(RIGHT(Table1323212753[[#This Row],[h1]],8))</f>
        <v>0</v>
      </c>
      <c r="Q1092" s="48" t="s">
        <v>75</v>
      </c>
      <c r="R1092" s="48">
        <f>HEX2DEC(RIGHT(Table1323212753[[#This Row],[h2]],8))</f>
        <v>0</v>
      </c>
    </row>
    <row r="1093" spans="1:18">
      <c r="A1093" s="15" t="str">
        <f t="shared" si="21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8" t="s">
        <v>75</v>
      </c>
      <c r="P1093" s="48">
        <f>HEX2DEC(RIGHT(Table1323212753[[#This Row],[h1]],8))</f>
        <v>0</v>
      </c>
      <c r="Q1093" s="48" t="s">
        <v>75</v>
      </c>
      <c r="R1093" s="48">
        <f>HEX2DEC(RIGHT(Table1323212753[[#This Row],[h2]],8))</f>
        <v>0</v>
      </c>
    </row>
    <row r="1094" spans="1:18">
      <c r="A1094" s="15" t="str">
        <f t="shared" si="21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8" t="s">
        <v>75</v>
      </c>
      <c r="P1094" s="48">
        <f>HEX2DEC(RIGHT(Table1323212753[[#This Row],[h1]],8))</f>
        <v>0</v>
      </c>
      <c r="Q1094" s="48" t="s">
        <v>75</v>
      </c>
      <c r="R1094" s="48">
        <f>HEX2DEC(RIGHT(Table1323212753[[#This Row],[h2]],8))</f>
        <v>0</v>
      </c>
    </row>
    <row r="1095" spans="1:18">
      <c r="A1095" s="15" t="str">
        <f t="shared" si="21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8" t="s">
        <v>75</v>
      </c>
      <c r="P1095" s="48">
        <f>HEX2DEC(RIGHT(Table1323212753[[#This Row],[h1]],8))</f>
        <v>0</v>
      </c>
      <c r="Q1095" s="48" t="s">
        <v>75</v>
      </c>
      <c r="R1095" s="48">
        <f>HEX2DEC(RIGHT(Table1323212753[[#This Row],[h2]],8))</f>
        <v>0</v>
      </c>
    </row>
    <row r="1096" spans="1:18">
      <c r="A1096" s="15" t="str">
        <f t="shared" si="21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8" t="s">
        <v>75</v>
      </c>
      <c r="P1096" s="48">
        <f>HEX2DEC(RIGHT(Table1323212753[[#This Row],[h1]],8))</f>
        <v>0</v>
      </c>
      <c r="Q1096" s="48" t="s">
        <v>75</v>
      </c>
      <c r="R1096" s="48">
        <f>HEX2DEC(RIGHT(Table1323212753[[#This Row],[h2]],8))</f>
        <v>0</v>
      </c>
    </row>
    <row r="1097" spans="1:18">
      <c r="A1097" s="15" t="str">
        <f t="shared" si="21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8" t="s">
        <v>75</v>
      </c>
      <c r="P1097" s="48">
        <f>HEX2DEC(RIGHT(Table1323212753[[#This Row],[h1]],8))</f>
        <v>0</v>
      </c>
      <c r="Q1097" s="48" t="s">
        <v>75</v>
      </c>
      <c r="R1097" s="48">
        <f>HEX2DEC(RIGHT(Table1323212753[[#This Row],[h2]],8))</f>
        <v>0</v>
      </c>
    </row>
    <row r="1098" spans="1:18">
      <c r="A1098" s="15" t="str">
        <f t="shared" si="21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8" t="s">
        <v>75</v>
      </c>
      <c r="P1098" s="48">
        <f>HEX2DEC(RIGHT(Table1323212753[[#This Row],[h1]],8))</f>
        <v>0</v>
      </c>
      <c r="Q1098" s="48" t="s">
        <v>75</v>
      </c>
      <c r="R1098" s="48">
        <f>HEX2DEC(RIGHT(Table1323212753[[#This Row],[h2]],8))</f>
        <v>0</v>
      </c>
    </row>
    <row r="1099" spans="1:18">
      <c r="A1099" s="15" t="str">
        <f t="shared" ref="A1099:A1162" si="22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8" t="s">
        <v>75</v>
      </c>
      <c r="P1099" s="48">
        <f>HEX2DEC(RIGHT(Table1323212753[[#This Row],[h1]],8))</f>
        <v>0</v>
      </c>
      <c r="Q1099" s="48" t="s">
        <v>75</v>
      </c>
      <c r="R1099" s="48">
        <f>HEX2DEC(RIGHT(Table1323212753[[#This Row],[h2]],8))</f>
        <v>0</v>
      </c>
    </row>
    <row r="1100" spans="1:18">
      <c r="A1100" s="15" t="str">
        <f t="shared" si="22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8" t="s">
        <v>75</v>
      </c>
      <c r="P1100" s="48">
        <f>HEX2DEC(RIGHT(Table1323212753[[#This Row],[h1]],8))</f>
        <v>0</v>
      </c>
      <c r="Q1100" s="48" t="s">
        <v>75</v>
      </c>
      <c r="R1100" s="48">
        <f>HEX2DEC(RIGHT(Table1323212753[[#This Row],[h2]],8))</f>
        <v>0</v>
      </c>
    </row>
    <row r="1101" spans="1:18">
      <c r="A1101" s="15" t="str">
        <f t="shared" si="22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8" t="s">
        <v>75</v>
      </c>
      <c r="P1101" s="48">
        <f>HEX2DEC(RIGHT(Table1323212753[[#This Row],[h1]],8))</f>
        <v>0</v>
      </c>
      <c r="Q1101" s="48" t="s">
        <v>75</v>
      </c>
      <c r="R1101" s="48">
        <f>HEX2DEC(RIGHT(Table1323212753[[#This Row],[h2]],8))</f>
        <v>0</v>
      </c>
    </row>
    <row r="1102" spans="1:18">
      <c r="A1102" s="15" t="str">
        <f t="shared" si="22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8" t="s">
        <v>75</v>
      </c>
      <c r="P1102" s="48">
        <f>HEX2DEC(RIGHT(Table1323212753[[#This Row],[h1]],8))</f>
        <v>0</v>
      </c>
      <c r="Q1102" s="48" t="s">
        <v>75</v>
      </c>
      <c r="R1102" s="48">
        <f>HEX2DEC(RIGHT(Table1323212753[[#This Row],[h2]],8))</f>
        <v>0</v>
      </c>
    </row>
    <row r="1103" spans="1:18">
      <c r="A1103" s="15" t="str">
        <f t="shared" si="22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8" t="s">
        <v>75</v>
      </c>
      <c r="P1103" s="48">
        <f>HEX2DEC(RIGHT(Table1323212753[[#This Row],[h1]],8))</f>
        <v>0</v>
      </c>
      <c r="Q1103" s="48" t="s">
        <v>75</v>
      </c>
      <c r="R1103" s="48">
        <f>HEX2DEC(RIGHT(Table1323212753[[#This Row],[h2]],8))</f>
        <v>0</v>
      </c>
    </row>
    <row r="1104" spans="1:18">
      <c r="A1104" s="15" t="str">
        <f t="shared" si="22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8" t="s">
        <v>75</v>
      </c>
      <c r="P1104" s="48">
        <f>HEX2DEC(RIGHT(Table1323212753[[#This Row],[h1]],8))</f>
        <v>0</v>
      </c>
      <c r="Q1104" s="48" t="s">
        <v>75</v>
      </c>
      <c r="R1104" s="48">
        <f>HEX2DEC(RIGHT(Table1323212753[[#This Row],[h2]],8))</f>
        <v>0</v>
      </c>
    </row>
    <row r="1105" spans="1:18">
      <c r="A1105" s="15" t="str">
        <f t="shared" si="22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8" t="s">
        <v>75</v>
      </c>
      <c r="P1105" s="48">
        <f>HEX2DEC(RIGHT(Table1323212753[[#This Row],[h1]],8))</f>
        <v>0</v>
      </c>
      <c r="Q1105" s="48" t="s">
        <v>75</v>
      </c>
      <c r="R1105" s="48">
        <f>HEX2DEC(RIGHT(Table1323212753[[#This Row],[h2]],8))</f>
        <v>0</v>
      </c>
    </row>
    <row r="1106" spans="1:18">
      <c r="A1106" s="15" t="str">
        <f t="shared" si="22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8" t="s">
        <v>75</v>
      </c>
      <c r="P1106" s="48">
        <f>HEX2DEC(RIGHT(Table1323212753[[#This Row],[h1]],8))</f>
        <v>0</v>
      </c>
      <c r="Q1106" s="48" t="s">
        <v>75</v>
      </c>
      <c r="R1106" s="48">
        <f>HEX2DEC(RIGHT(Table1323212753[[#This Row],[h2]],8))</f>
        <v>0</v>
      </c>
    </row>
    <row r="1107" spans="1:18">
      <c r="A1107" s="15" t="str">
        <f t="shared" si="22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8" t="s">
        <v>75</v>
      </c>
      <c r="P1107" s="48">
        <f>HEX2DEC(RIGHT(Table1323212753[[#This Row],[h1]],8))</f>
        <v>0</v>
      </c>
      <c r="Q1107" s="48" t="s">
        <v>75</v>
      </c>
      <c r="R1107" s="48">
        <f>HEX2DEC(RIGHT(Table1323212753[[#This Row],[h2]],8))</f>
        <v>0</v>
      </c>
    </row>
    <row r="1108" spans="1:18">
      <c r="A1108" s="15" t="str">
        <f t="shared" si="22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8" t="s">
        <v>75</v>
      </c>
      <c r="P1108" s="48">
        <f>HEX2DEC(RIGHT(Table1323212753[[#This Row],[h1]],8))</f>
        <v>0</v>
      </c>
      <c r="Q1108" s="48" t="s">
        <v>75</v>
      </c>
      <c r="R1108" s="48">
        <f>HEX2DEC(RIGHT(Table1323212753[[#This Row],[h2]],8))</f>
        <v>0</v>
      </c>
    </row>
    <row r="1109" spans="1:18">
      <c r="A1109" s="15" t="str">
        <f t="shared" si="22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8" t="s">
        <v>75</v>
      </c>
      <c r="P1109" s="48">
        <f>HEX2DEC(RIGHT(Table1323212753[[#This Row],[h1]],8))</f>
        <v>0</v>
      </c>
      <c r="Q1109" s="48" t="s">
        <v>75</v>
      </c>
      <c r="R1109" s="48">
        <f>HEX2DEC(RIGHT(Table1323212753[[#This Row],[h2]],8))</f>
        <v>0</v>
      </c>
    </row>
    <row r="1110" spans="1:18">
      <c r="A1110" s="15" t="str">
        <f t="shared" si="22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8" t="s">
        <v>75</v>
      </c>
      <c r="P1110" s="48">
        <f>HEX2DEC(RIGHT(Table1323212753[[#This Row],[h1]],8))</f>
        <v>0</v>
      </c>
      <c r="Q1110" s="48" t="s">
        <v>75</v>
      </c>
      <c r="R1110" s="48">
        <f>HEX2DEC(RIGHT(Table1323212753[[#This Row],[h2]],8))</f>
        <v>0</v>
      </c>
    </row>
    <row r="1111" spans="1:18">
      <c r="A1111" s="15" t="str">
        <f t="shared" si="22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8" t="s">
        <v>75</v>
      </c>
      <c r="P1111" s="48">
        <f>HEX2DEC(RIGHT(Table1323212753[[#This Row],[h1]],8))</f>
        <v>0</v>
      </c>
      <c r="Q1111" s="48" t="s">
        <v>75</v>
      </c>
      <c r="R1111" s="48">
        <f>HEX2DEC(RIGHT(Table1323212753[[#This Row],[h2]],8))</f>
        <v>0</v>
      </c>
    </row>
    <row r="1112" spans="1:18">
      <c r="A1112" s="15" t="str">
        <f t="shared" si="22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8" t="s">
        <v>75</v>
      </c>
      <c r="P1112" s="48">
        <f>HEX2DEC(RIGHT(Table1323212753[[#This Row],[h1]],8))</f>
        <v>0</v>
      </c>
      <c r="Q1112" s="48" t="s">
        <v>75</v>
      </c>
      <c r="R1112" s="48">
        <f>HEX2DEC(RIGHT(Table1323212753[[#This Row],[h2]],8))</f>
        <v>0</v>
      </c>
    </row>
    <row r="1113" spans="1:18">
      <c r="A1113" s="15" t="str">
        <f t="shared" si="22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8" t="s">
        <v>75</v>
      </c>
      <c r="P1113" s="48">
        <f>HEX2DEC(RIGHT(Table1323212753[[#This Row],[h1]],8))</f>
        <v>0</v>
      </c>
      <c r="Q1113" s="48" t="s">
        <v>75</v>
      </c>
      <c r="R1113" s="48">
        <f>HEX2DEC(RIGHT(Table1323212753[[#This Row],[h2]],8))</f>
        <v>0</v>
      </c>
    </row>
    <row r="1114" spans="1:18">
      <c r="A1114" s="15" t="str">
        <f t="shared" si="22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8" t="s">
        <v>75</v>
      </c>
      <c r="P1114" s="48">
        <f>HEX2DEC(RIGHT(Table1323212753[[#This Row],[h1]],8))</f>
        <v>0</v>
      </c>
      <c r="Q1114" s="48" t="s">
        <v>75</v>
      </c>
      <c r="R1114" s="48">
        <f>HEX2DEC(RIGHT(Table1323212753[[#This Row],[h2]],8))</f>
        <v>0</v>
      </c>
    </row>
    <row r="1115" spans="1:18">
      <c r="A1115" s="15" t="str">
        <f t="shared" si="22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8" t="s">
        <v>75</v>
      </c>
      <c r="P1115" s="48">
        <f>HEX2DEC(RIGHT(Table1323212753[[#This Row],[h1]],8))</f>
        <v>0</v>
      </c>
      <c r="Q1115" s="48" t="s">
        <v>75</v>
      </c>
      <c r="R1115" s="48">
        <f>HEX2DEC(RIGHT(Table1323212753[[#This Row],[h2]],8))</f>
        <v>0</v>
      </c>
    </row>
    <row r="1116" spans="1:18">
      <c r="A1116" s="15" t="str">
        <f t="shared" si="22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8" t="s">
        <v>75</v>
      </c>
      <c r="P1116" s="48">
        <f>HEX2DEC(RIGHT(Table1323212753[[#This Row],[h1]],8))</f>
        <v>0</v>
      </c>
      <c r="Q1116" s="48" t="s">
        <v>75</v>
      </c>
      <c r="R1116" s="48">
        <f>HEX2DEC(RIGHT(Table1323212753[[#This Row],[h2]],8))</f>
        <v>0</v>
      </c>
    </row>
    <row r="1117" spans="1:18">
      <c r="A1117" s="15" t="str">
        <f t="shared" si="22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8" t="s">
        <v>75</v>
      </c>
      <c r="P1117" s="48">
        <f>HEX2DEC(RIGHT(Table1323212753[[#This Row],[h1]],8))</f>
        <v>0</v>
      </c>
      <c r="Q1117" s="48" t="s">
        <v>75</v>
      </c>
      <c r="R1117" s="48">
        <f>HEX2DEC(RIGHT(Table1323212753[[#This Row],[h2]],8))</f>
        <v>0</v>
      </c>
    </row>
    <row r="1118" spans="1:18">
      <c r="A1118" s="15" t="str">
        <f t="shared" si="22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8" t="s">
        <v>75</v>
      </c>
      <c r="P1118" s="48">
        <f>HEX2DEC(RIGHT(Table1323212753[[#This Row],[h1]],8))</f>
        <v>0</v>
      </c>
      <c r="Q1118" s="48" t="s">
        <v>75</v>
      </c>
      <c r="R1118" s="48">
        <f>HEX2DEC(RIGHT(Table1323212753[[#This Row],[h2]],8))</f>
        <v>0</v>
      </c>
    </row>
    <row r="1119" spans="1:18">
      <c r="A1119" s="15" t="str">
        <f t="shared" si="22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8" t="s">
        <v>75</v>
      </c>
      <c r="P1119" s="48">
        <f>HEX2DEC(RIGHT(Table1323212753[[#This Row],[h1]],8))</f>
        <v>0</v>
      </c>
      <c r="Q1119" s="48" t="s">
        <v>75</v>
      </c>
      <c r="R1119" s="48">
        <f>HEX2DEC(RIGHT(Table1323212753[[#This Row],[h2]],8))</f>
        <v>0</v>
      </c>
    </row>
    <row r="1120" spans="1:18">
      <c r="A1120" s="15" t="str">
        <f t="shared" si="22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8" t="s">
        <v>75</v>
      </c>
      <c r="P1120" s="48">
        <f>HEX2DEC(RIGHT(Table1323212753[[#This Row],[h1]],8))</f>
        <v>0</v>
      </c>
      <c r="Q1120" s="48" t="s">
        <v>75</v>
      </c>
      <c r="R1120" s="48">
        <f>HEX2DEC(RIGHT(Table1323212753[[#This Row],[h2]],8))</f>
        <v>0</v>
      </c>
    </row>
    <row r="1121" spans="1:18">
      <c r="A1121" s="15" t="str">
        <f t="shared" si="22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8" t="s">
        <v>75</v>
      </c>
      <c r="P1121" s="48">
        <f>HEX2DEC(RIGHT(Table1323212753[[#This Row],[h1]],8))</f>
        <v>0</v>
      </c>
      <c r="Q1121" s="48" t="s">
        <v>75</v>
      </c>
      <c r="R1121" s="48">
        <f>HEX2DEC(RIGHT(Table1323212753[[#This Row],[h2]],8))</f>
        <v>0</v>
      </c>
    </row>
    <row r="1122" spans="1:18">
      <c r="A1122" s="15" t="str">
        <f t="shared" si="22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8" t="s">
        <v>75</v>
      </c>
      <c r="P1122" s="48">
        <f>HEX2DEC(RIGHT(Table1323212753[[#This Row],[h1]],8))</f>
        <v>0</v>
      </c>
      <c r="Q1122" s="48" t="s">
        <v>75</v>
      </c>
      <c r="R1122" s="48">
        <f>HEX2DEC(RIGHT(Table1323212753[[#This Row],[h2]],8))</f>
        <v>0</v>
      </c>
    </row>
    <row r="1123" spans="1:18">
      <c r="A1123" s="15" t="str">
        <f t="shared" si="22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8" t="s">
        <v>75</v>
      </c>
      <c r="P1123" s="48">
        <f>HEX2DEC(RIGHT(Table1323212753[[#This Row],[h1]],8))</f>
        <v>0</v>
      </c>
      <c r="Q1123" s="48" t="s">
        <v>75</v>
      </c>
      <c r="R1123" s="48">
        <f>HEX2DEC(RIGHT(Table1323212753[[#This Row],[h2]],8))</f>
        <v>0</v>
      </c>
    </row>
    <row r="1124" spans="1:18">
      <c r="A1124" s="15" t="str">
        <f t="shared" si="22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8" t="s">
        <v>75</v>
      </c>
      <c r="P1124" s="48">
        <f>HEX2DEC(RIGHT(Table1323212753[[#This Row],[h1]],8))</f>
        <v>0</v>
      </c>
      <c r="Q1124" s="48" t="s">
        <v>75</v>
      </c>
      <c r="R1124" s="48">
        <f>HEX2DEC(RIGHT(Table1323212753[[#This Row],[h2]],8))</f>
        <v>0</v>
      </c>
    </row>
    <row r="1125" spans="1:18">
      <c r="A1125" s="15" t="str">
        <f t="shared" si="22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8" t="s">
        <v>75</v>
      </c>
      <c r="P1125" s="48">
        <f>HEX2DEC(RIGHT(Table1323212753[[#This Row],[h1]],8))</f>
        <v>0</v>
      </c>
      <c r="Q1125" s="48" t="s">
        <v>75</v>
      </c>
      <c r="R1125" s="48">
        <f>HEX2DEC(RIGHT(Table1323212753[[#This Row],[h2]],8))</f>
        <v>0</v>
      </c>
    </row>
    <row r="1126" spans="1:18">
      <c r="A1126" s="15" t="str">
        <f t="shared" si="22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8" t="s">
        <v>75</v>
      </c>
      <c r="P1126" s="48">
        <f>HEX2DEC(RIGHT(Table1323212753[[#This Row],[h1]],8))</f>
        <v>0</v>
      </c>
      <c r="Q1126" s="48" t="s">
        <v>75</v>
      </c>
      <c r="R1126" s="48">
        <f>HEX2DEC(RIGHT(Table1323212753[[#This Row],[h2]],8))</f>
        <v>0</v>
      </c>
    </row>
    <row r="1127" spans="1:18">
      <c r="A1127" s="15" t="str">
        <f t="shared" si="22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8" t="s">
        <v>75</v>
      </c>
      <c r="P1127" s="48">
        <f>HEX2DEC(RIGHT(Table1323212753[[#This Row],[h1]],8))</f>
        <v>0</v>
      </c>
      <c r="Q1127" s="48" t="s">
        <v>75</v>
      </c>
      <c r="R1127" s="48">
        <f>HEX2DEC(RIGHT(Table1323212753[[#This Row],[h2]],8))</f>
        <v>0</v>
      </c>
    </row>
    <row r="1128" spans="1:18">
      <c r="A1128" s="15" t="str">
        <f t="shared" si="22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8" t="s">
        <v>75</v>
      </c>
      <c r="P1128" s="48">
        <f>HEX2DEC(RIGHT(Table1323212753[[#This Row],[h1]],8))</f>
        <v>0</v>
      </c>
      <c r="Q1128" s="48" t="s">
        <v>75</v>
      </c>
      <c r="R1128" s="48">
        <f>HEX2DEC(RIGHT(Table1323212753[[#This Row],[h2]],8))</f>
        <v>0</v>
      </c>
    </row>
    <row r="1129" spans="1:18">
      <c r="A1129" s="15" t="str">
        <f t="shared" si="22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8" t="s">
        <v>75</v>
      </c>
      <c r="P1129" s="48">
        <f>HEX2DEC(RIGHT(Table1323212753[[#This Row],[h1]],8))</f>
        <v>0</v>
      </c>
      <c r="Q1129" s="48" t="s">
        <v>75</v>
      </c>
      <c r="R1129" s="48">
        <f>HEX2DEC(RIGHT(Table1323212753[[#This Row],[h2]],8))</f>
        <v>0</v>
      </c>
    </row>
    <row r="1130" spans="1:18">
      <c r="A1130" s="15" t="str">
        <f t="shared" si="22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8" t="s">
        <v>75</v>
      </c>
      <c r="P1130" s="48">
        <f>HEX2DEC(RIGHT(Table1323212753[[#This Row],[h1]],8))</f>
        <v>0</v>
      </c>
      <c r="Q1130" s="48" t="s">
        <v>75</v>
      </c>
      <c r="R1130" s="48">
        <f>HEX2DEC(RIGHT(Table1323212753[[#This Row],[h2]],8))</f>
        <v>0</v>
      </c>
    </row>
    <row r="1131" spans="1:18">
      <c r="A1131" s="15" t="str">
        <f t="shared" si="22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8" t="s">
        <v>75</v>
      </c>
      <c r="P1131" s="48">
        <f>HEX2DEC(RIGHT(Table1323212753[[#This Row],[h1]],8))</f>
        <v>0</v>
      </c>
      <c r="Q1131" s="48" t="s">
        <v>75</v>
      </c>
      <c r="R1131" s="48">
        <f>HEX2DEC(RIGHT(Table1323212753[[#This Row],[h2]],8))</f>
        <v>0</v>
      </c>
    </row>
    <row r="1132" spans="1:18">
      <c r="A1132" s="15" t="str">
        <f t="shared" si="22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8" t="s">
        <v>75</v>
      </c>
      <c r="P1132" s="48">
        <f>HEX2DEC(RIGHT(Table1323212753[[#This Row],[h1]],8))</f>
        <v>0</v>
      </c>
      <c r="Q1132" s="48" t="s">
        <v>75</v>
      </c>
      <c r="R1132" s="48">
        <f>HEX2DEC(RIGHT(Table1323212753[[#This Row],[h2]],8))</f>
        <v>0</v>
      </c>
    </row>
    <row r="1133" spans="1:18">
      <c r="A1133" s="15" t="str">
        <f t="shared" si="22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8" t="s">
        <v>75</v>
      </c>
      <c r="P1133" s="48">
        <f>HEX2DEC(RIGHT(Table1323212753[[#This Row],[h1]],8))</f>
        <v>0</v>
      </c>
      <c r="Q1133" s="48" t="s">
        <v>75</v>
      </c>
      <c r="R1133" s="48">
        <f>HEX2DEC(RIGHT(Table1323212753[[#This Row],[h2]],8))</f>
        <v>0</v>
      </c>
    </row>
    <row r="1134" spans="1:18">
      <c r="A1134" s="15" t="str">
        <f t="shared" si="22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8" t="s">
        <v>75</v>
      </c>
      <c r="P1134" s="48">
        <f>HEX2DEC(RIGHT(Table1323212753[[#This Row],[h1]],8))</f>
        <v>0</v>
      </c>
      <c r="Q1134" s="48" t="s">
        <v>75</v>
      </c>
      <c r="R1134" s="48">
        <f>HEX2DEC(RIGHT(Table1323212753[[#This Row],[h2]],8))</f>
        <v>0</v>
      </c>
    </row>
    <row r="1135" spans="1:18">
      <c r="A1135" s="15" t="str">
        <f t="shared" si="22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8" t="s">
        <v>75</v>
      </c>
      <c r="P1135" s="48">
        <f>HEX2DEC(RIGHT(Table1323212753[[#This Row],[h1]],8))</f>
        <v>0</v>
      </c>
      <c r="Q1135" s="48" t="s">
        <v>75</v>
      </c>
      <c r="R1135" s="48">
        <f>HEX2DEC(RIGHT(Table1323212753[[#This Row],[h2]],8))</f>
        <v>0</v>
      </c>
    </row>
    <row r="1136" spans="1:18">
      <c r="A1136" s="15" t="str">
        <f t="shared" si="22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8" t="s">
        <v>75</v>
      </c>
      <c r="P1136" s="48">
        <f>HEX2DEC(RIGHT(Table1323212753[[#This Row],[h1]],8))</f>
        <v>0</v>
      </c>
      <c r="Q1136" s="48" t="s">
        <v>75</v>
      </c>
      <c r="R1136" s="48">
        <f>HEX2DEC(RIGHT(Table1323212753[[#This Row],[h2]],8))</f>
        <v>0</v>
      </c>
    </row>
    <row r="1137" spans="1:18">
      <c r="A1137" s="15" t="str">
        <f t="shared" si="22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8" t="s">
        <v>75</v>
      </c>
      <c r="P1137" s="48">
        <f>HEX2DEC(RIGHT(Table1323212753[[#This Row],[h1]],8))</f>
        <v>0</v>
      </c>
      <c r="Q1137" s="48" t="s">
        <v>75</v>
      </c>
      <c r="R1137" s="48">
        <f>HEX2DEC(RIGHT(Table1323212753[[#This Row],[h2]],8))</f>
        <v>0</v>
      </c>
    </row>
    <row r="1138" spans="1:18">
      <c r="A1138" s="15" t="str">
        <f t="shared" si="22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8" t="s">
        <v>75</v>
      </c>
      <c r="P1138" s="48">
        <f>HEX2DEC(RIGHT(Table1323212753[[#This Row],[h1]],8))</f>
        <v>0</v>
      </c>
      <c r="Q1138" s="48" t="s">
        <v>75</v>
      </c>
      <c r="R1138" s="48">
        <f>HEX2DEC(RIGHT(Table1323212753[[#This Row],[h2]],8))</f>
        <v>0</v>
      </c>
    </row>
    <row r="1139" spans="1:18">
      <c r="A1139" s="15" t="str">
        <f t="shared" si="22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8" t="s">
        <v>75</v>
      </c>
      <c r="P1139" s="48">
        <f>HEX2DEC(RIGHT(Table1323212753[[#This Row],[h1]],8))</f>
        <v>0</v>
      </c>
      <c r="Q1139" s="48" t="s">
        <v>75</v>
      </c>
      <c r="R1139" s="48">
        <f>HEX2DEC(RIGHT(Table1323212753[[#This Row],[h2]],8))</f>
        <v>0</v>
      </c>
    </row>
    <row r="1140" spans="1:18">
      <c r="A1140" s="15" t="str">
        <f t="shared" si="22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8" t="s">
        <v>75</v>
      </c>
      <c r="P1140" s="48">
        <f>HEX2DEC(RIGHT(Table1323212753[[#This Row],[h1]],8))</f>
        <v>0</v>
      </c>
      <c r="Q1140" s="48" t="s">
        <v>75</v>
      </c>
      <c r="R1140" s="48">
        <f>HEX2DEC(RIGHT(Table1323212753[[#This Row],[h2]],8))</f>
        <v>0</v>
      </c>
    </row>
    <row r="1141" spans="1:18">
      <c r="A1141" s="15" t="str">
        <f t="shared" si="22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8" t="s">
        <v>75</v>
      </c>
      <c r="P1141" s="48">
        <f>HEX2DEC(RIGHT(Table1323212753[[#This Row],[h1]],8))</f>
        <v>0</v>
      </c>
      <c r="Q1141" s="48" t="s">
        <v>75</v>
      </c>
      <c r="R1141" s="48">
        <f>HEX2DEC(RIGHT(Table1323212753[[#This Row],[h2]],8))</f>
        <v>0</v>
      </c>
    </row>
    <row r="1142" spans="1:18">
      <c r="A1142" s="15" t="str">
        <f t="shared" si="22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8" t="s">
        <v>75</v>
      </c>
      <c r="P1142" s="48">
        <f>HEX2DEC(RIGHT(Table1323212753[[#This Row],[h1]],8))</f>
        <v>0</v>
      </c>
      <c r="Q1142" s="48" t="s">
        <v>75</v>
      </c>
      <c r="R1142" s="48">
        <f>HEX2DEC(RIGHT(Table1323212753[[#This Row],[h2]],8))</f>
        <v>0</v>
      </c>
    </row>
    <row r="1143" spans="1:18">
      <c r="A1143" s="15" t="str">
        <f t="shared" si="22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8" t="s">
        <v>75</v>
      </c>
      <c r="P1143" s="48">
        <f>HEX2DEC(RIGHT(Table1323212753[[#This Row],[h1]],8))</f>
        <v>0</v>
      </c>
      <c r="Q1143" s="48" t="s">
        <v>75</v>
      </c>
      <c r="R1143" s="48">
        <f>HEX2DEC(RIGHT(Table1323212753[[#This Row],[h2]],8))</f>
        <v>0</v>
      </c>
    </row>
    <row r="1144" spans="1:18">
      <c r="A1144" s="15" t="str">
        <f t="shared" si="22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8" t="s">
        <v>75</v>
      </c>
      <c r="P1144" s="48">
        <f>HEX2DEC(RIGHT(Table1323212753[[#This Row],[h1]],8))</f>
        <v>0</v>
      </c>
      <c r="Q1144" s="48" t="s">
        <v>75</v>
      </c>
      <c r="R1144" s="48">
        <f>HEX2DEC(RIGHT(Table1323212753[[#This Row],[h2]],8))</f>
        <v>0</v>
      </c>
    </row>
    <row r="1145" spans="1:18">
      <c r="A1145" s="15" t="str">
        <f t="shared" si="22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8" t="s">
        <v>75</v>
      </c>
      <c r="P1145" s="48">
        <f>HEX2DEC(RIGHT(Table1323212753[[#This Row],[h1]],8))</f>
        <v>0</v>
      </c>
      <c r="Q1145" s="48" t="s">
        <v>75</v>
      </c>
      <c r="R1145" s="48">
        <f>HEX2DEC(RIGHT(Table1323212753[[#This Row],[h2]],8))</f>
        <v>0</v>
      </c>
    </row>
    <row r="1146" spans="1:18">
      <c r="A1146" s="15" t="str">
        <f t="shared" si="22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8" t="s">
        <v>75</v>
      </c>
      <c r="P1146" s="48">
        <f>HEX2DEC(RIGHT(Table1323212753[[#This Row],[h1]],8))</f>
        <v>0</v>
      </c>
      <c r="Q1146" s="48" t="s">
        <v>75</v>
      </c>
      <c r="R1146" s="48">
        <f>HEX2DEC(RIGHT(Table1323212753[[#This Row],[h2]],8))</f>
        <v>0</v>
      </c>
    </row>
    <row r="1147" spans="1:18">
      <c r="A1147" s="15" t="str">
        <f t="shared" si="22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8" t="s">
        <v>75</v>
      </c>
      <c r="P1147" s="48">
        <f>HEX2DEC(RIGHT(Table1323212753[[#This Row],[h1]],8))</f>
        <v>0</v>
      </c>
      <c r="Q1147" s="48" t="s">
        <v>75</v>
      </c>
      <c r="R1147" s="48">
        <f>HEX2DEC(RIGHT(Table1323212753[[#This Row],[h2]],8))</f>
        <v>0</v>
      </c>
    </row>
    <row r="1148" spans="1:18">
      <c r="A1148" s="15" t="str">
        <f t="shared" si="22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8" t="s">
        <v>75</v>
      </c>
      <c r="P1148" s="48">
        <f>HEX2DEC(RIGHT(Table1323212753[[#This Row],[h1]],8))</f>
        <v>0</v>
      </c>
      <c r="Q1148" s="48" t="s">
        <v>75</v>
      </c>
      <c r="R1148" s="48">
        <f>HEX2DEC(RIGHT(Table1323212753[[#This Row],[h2]],8))</f>
        <v>0</v>
      </c>
    </row>
    <row r="1149" spans="1:18">
      <c r="A1149" s="15" t="str">
        <f t="shared" si="22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8" t="s">
        <v>75</v>
      </c>
      <c r="P1149" s="48">
        <f>HEX2DEC(RIGHT(Table1323212753[[#This Row],[h1]],8))</f>
        <v>0</v>
      </c>
      <c r="Q1149" s="48" t="s">
        <v>75</v>
      </c>
      <c r="R1149" s="48">
        <f>HEX2DEC(RIGHT(Table1323212753[[#This Row],[h2]],8))</f>
        <v>0</v>
      </c>
    </row>
    <row r="1150" spans="1:18">
      <c r="A1150" s="15" t="str">
        <f t="shared" si="22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8" t="s">
        <v>75</v>
      </c>
      <c r="P1150" s="48">
        <f>HEX2DEC(RIGHT(Table1323212753[[#This Row],[h1]],8))</f>
        <v>0</v>
      </c>
      <c r="Q1150" s="48" t="s">
        <v>75</v>
      </c>
      <c r="R1150" s="48">
        <f>HEX2DEC(RIGHT(Table1323212753[[#This Row],[h2]],8))</f>
        <v>0</v>
      </c>
    </row>
    <row r="1151" spans="1:18">
      <c r="A1151" s="15" t="str">
        <f t="shared" si="22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8" t="s">
        <v>75</v>
      </c>
      <c r="P1151" s="48">
        <f>HEX2DEC(RIGHT(Table1323212753[[#This Row],[h1]],8))</f>
        <v>0</v>
      </c>
      <c r="Q1151" s="48" t="s">
        <v>75</v>
      </c>
      <c r="R1151" s="48">
        <f>HEX2DEC(RIGHT(Table1323212753[[#This Row],[h2]],8))</f>
        <v>0</v>
      </c>
    </row>
    <row r="1152" spans="1:18">
      <c r="A1152" s="15" t="str">
        <f t="shared" si="22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8" t="s">
        <v>75</v>
      </c>
      <c r="P1152" s="48">
        <f>HEX2DEC(RIGHT(Table1323212753[[#This Row],[h1]],8))</f>
        <v>0</v>
      </c>
      <c r="Q1152" s="48" t="s">
        <v>75</v>
      </c>
      <c r="R1152" s="48">
        <f>HEX2DEC(RIGHT(Table1323212753[[#This Row],[h2]],8))</f>
        <v>0</v>
      </c>
    </row>
    <row r="1153" spans="1:18">
      <c r="A1153" s="15" t="str">
        <f t="shared" si="22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8" t="s">
        <v>75</v>
      </c>
      <c r="P1153" s="48">
        <f>HEX2DEC(RIGHT(Table1323212753[[#This Row],[h1]],8))</f>
        <v>0</v>
      </c>
      <c r="Q1153" s="48" t="s">
        <v>75</v>
      </c>
      <c r="R1153" s="48">
        <f>HEX2DEC(RIGHT(Table1323212753[[#This Row],[h2]],8))</f>
        <v>0</v>
      </c>
    </row>
    <row r="1154" spans="1:18">
      <c r="A1154" s="15" t="str">
        <f t="shared" si="22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8" t="s">
        <v>75</v>
      </c>
      <c r="P1154" s="48">
        <f>HEX2DEC(RIGHT(Table1323212753[[#This Row],[h1]],8))</f>
        <v>0</v>
      </c>
      <c r="Q1154" s="48" t="s">
        <v>75</v>
      </c>
      <c r="R1154" s="48">
        <f>HEX2DEC(RIGHT(Table1323212753[[#This Row],[h2]],8))</f>
        <v>0</v>
      </c>
    </row>
    <row r="1155" spans="1:18">
      <c r="A1155" s="15" t="str">
        <f t="shared" si="22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8" t="s">
        <v>75</v>
      </c>
      <c r="P1155" s="48">
        <f>HEX2DEC(RIGHT(Table1323212753[[#This Row],[h1]],8))</f>
        <v>0</v>
      </c>
      <c r="Q1155" s="48" t="s">
        <v>75</v>
      </c>
      <c r="R1155" s="48">
        <f>HEX2DEC(RIGHT(Table1323212753[[#This Row],[h2]],8))</f>
        <v>0</v>
      </c>
    </row>
    <row r="1156" spans="1:18">
      <c r="A1156" s="15" t="str">
        <f t="shared" si="22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8" t="s">
        <v>75</v>
      </c>
      <c r="P1156" s="48">
        <f>HEX2DEC(RIGHT(Table1323212753[[#This Row],[h1]],8))</f>
        <v>0</v>
      </c>
      <c r="Q1156" s="48" t="s">
        <v>75</v>
      </c>
      <c r="R1156" s="48">
        <f>HEX2DEC(RIGHT(Table1323212753[[#This Row],[h2]],8))</f>
        <v>0</v>
      </c>
    </row>
    <row r="1157" spans="1:18">
      <c r="A1157" s="15" t="str">
        <f t="shared" si="22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8" t="s">
        <v>75</v>
      </c>
      <c r="P1157" s="48">
        <f>HEX2DEC(RIGHT(Table1323212753[[#This Row],[h1]],8))</f>
        <v>0</v>
      </c>
      <c r="Q1157" s="48" t="s">
        <v>75</v>
      </c>
      <c r="R1157" s="48">
        <f>HEX2DEC(RIGHT(Table1323212753[[#This Row],[h2]],8))</f>
        <v>0</v>
      </c>
    </row>
    <row r="1158" spans="1:18">
      <c r="A1158" s="15" t="str">
        <f t="shared" si="22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8" t="s">
        <v>75</v>
      </c>
      <c r="P1158" s="48">
        <f>HEX2DEC(RIGHT(Table1323212753[[#This Row],[h1]],8))</f>
        <v>0</v>
      </c>
      <c r="Q1158" s="48" t="s">
        <v>75</v>
      </c>
      <c r="R1158" s="48">
        <f>HEX2DEC(RIGHT(Table1323212753[[#This Row],[h2]],8))</f>
        <v>0</v>
      </c>
    </row>
    <row r="1159" spans="1:18">
      <c r="A1159" s="15" t="str">
        <f t="shared" si="22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8" t="s">
        <v>75</v>
      </c>
      <c r="P1159" s="48">
        <f>HEX2DEC(RIGHT(Table1323212753[[#This Row],[h1]],8))</f>
        <v>0</v>
      </c>
      <c r="Q1159" s="48" t="s">
        <v>75</v>
      </c>
      <c r="R1159" s="48">
        <f>HEX2DEC(RIGHT(Table1323212753[[#This Row],[h2]],8))</f>
        <v>0</v>
      </c>
    </row>
    <row r="1160" spans="1:18">
      <c r="A1160" s="15" t="str">
        <f t="shared" si="22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8" t="s">
        <v>75</v>
      </c>
      <c r="P1160" s="48">
        <f>HEX2DEC(RIGHT(Table1323212753[[#This Row],[h1]],8))</f>
        <v>0</v>
      </c>
      <c r="Q1160" s="48" t="s">
        <v>75</v>
      </c>
      <c r="R1160" s="48">
        <f>HEX2DEC(RIGHT(Table1323212753[[#This Row],[h2]],8))</f>
        <v>0</v>
      </c>
    </row>
    <row r="1161" spans="1:18">
      <c r="A1161" s="15" t="str">
        <f t="shared" si="22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8" t="s">
        <v>75</v>
      </c>
      <c r="P1161" s="48">
        <f>HEX2DEC(RIGHT(Table1323212753[[#This Row],[h1]],8))</f>
        <v>0</v>
      </c>
      <c r="Q1161" s="48" t="s">
        <v>75</v>
      </c>
      <c r="R1161" s="48">
        <f>HEX2DEC(RIGHT(Table1323212753[[#This Row],[h2]],8))</f>
        <v>0</v>
      </c>
    </row>
    <row r="1162" spans="1:18">
      <c r="A1162" s="15" t="str">
        <f t="shared" si="22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8" t="s">
        <v>75</v>
      </c>
      <c r="P1162" s="48">
        <f>HEX2DEC(RIGHT(Table1323212753[[#This Row],[h1]],8))</f>
        <v>0</v>
      </c>
      <c r="Q1162" s="48" t="s">
        <v>75</v>
      </c>
      <c r="R1162" s="48">
        <f>HEX2DEC(RIGHT(Table1323212753[[#This Row],[h2]],8))</f>
        <v>0</v>
      </c>
    </row>
    <row r="1163" spans="1:18">
      <c r="A1163" s="15" t="str">
        <f t="shared" ref="A1163:A1226" si="23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8" t="s">
        <v>75</v>
      </c>
      <c r="P1163" s="48">
        <f>HEX2DEC(RIGHT(Table1323212753[[#This Row],[h1]],8))</f>
        <v>0</v>
      </c>
      <c r="Q1163" s="48" t="s">
        <v>75</v>
      </c>
      <c r="R1163" s="48">
        <f>HEX2DEC(RIGHT(Table1323212753[[#This Row],[h2]],8))</f>
        <v>0</v>
      </c>
    </row>
    <row r="1164" spans="1:18">
      <c r="A1164" s="15" t="str">
        <f t="shared" si="23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8" t="s">
        <v>75</v>
      </c>
      <c r="P1164" s="48">
        <f>HEX2DEC(RIGHT(Table1323212753[[#This Row],[h1]],8))</f>
        <v>0</v>
      </c>
      <c r="Q1164" s="48" t="s">
        <v>75</v>
      </c>
      <c r="R1164" s="48">
        <f>HEX2DEC(RIGHT(Table1323212753[[#This Row],[h2]],8))</f>
        <v>0</v>
      </c>
    </row>
    <row r="1165" spans="1:18">
      <c r="A1165" s="15" t="str">
        <f t="shared" si="23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8" t="s">
        <v>75</v>
      </c>
      <c r="P1165" s="48">
        <f>HEX2DEC(RIGHT(Table1323212753[[#This Row],[h1]],8))</f>
        <v>0</v>
      </c>
      <c r="Q1165" s="48" t="s">
        <v>75</v>
      </c>
      <c r="R1165" s="48">
        <f>HEX2DEC(RIGHT(Table1323212753[[#This Row],[h2]],8))</f>
        <v>0</v>
      </c>
    </row>
    <row r="1166" spans="1:18">
      <c r="A1166" s="15" t="str">
        <f t="shared" si="23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8" t="s">
        <v>75</v>
      </c>
      <c r="P1166" s="48">
        <f>HEX2DEC(RIGHT(Table1323212753[[#This Row],[h1]],8))</f>
        <v>0</v>
      </c>
      <c r="Q1166" s="48" t="s">
        <v>75</v>
      </c>
      <c r="R1166" s="48">
        <f>HEX2DEC(RIGHT(Table1323212753[[#This Row],[h2]],8))</f>
        <v>0</v>
      </c>
    </row>
    <row r="1167" spans="1:18">
      <c r="A1167" s="15" t="str">
        <f t="shared" si="23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8" t="s">
        <v>75</v>
      </c>
      <c r="P1167" s="48">
        <f>HEX2DEC(RIGHT(Table1323212753[[#This Row],[h1]],8))</f>
        <v>0</v>
      </c>
      <c r="Q1167" s="48" t="s">
        <v>75</v>
      </c>
      <c r="R1167" s="48">
        <f>HEX2DEC(RIGHT(Table1323212753[[#This Row],[h2]],8))</f>
        <v>0</v>
      </c>
    </row>
    <row r="1168" spans="1:18">
      <c r="A1168" s="15" t="str">
        <f t="shared" si="23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8" t="s">
        <v>75</v>
      </c>
      <c r="P1168" s="48">
        <f>HEX2DEC(RIGHT(Table1323212753[[#This Row],[h1]],8))</f>
        <v>0</v>
      </c>
      <c r="Q1168" s="48" t="s">
        <v>75</v>
      </c>
      <c r="R1168" s="48">
        <f>HEX2DEC(RIGHT(Table1323212753[[#This Row],[h2]],8))</f>
        <v>0</v>
      </c>
    </row>
    <row r="1169" spans="1:18">
      <c r="A1169" s="15" t="str">
        <f t="shared" si="23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8" t="s">
        <v>75</v>
      </c>
      <c r="P1169" s="48">
        <f>HEX2DEC(RIGHT(Table1323212753[[#This Row],[h1]],8))</f>
        <v>0</v>
      </c>
      <c r="Q1169" s="48" t="s">
        <v>75</v>
      </c>
      <c r="R1169" s="48">
        <f>HEX2DEC(RIGHT(Table1323212753[[#This Row],[h2]],8))</f>
        <v>0</v>
      </c>
    </row>
    <row r="1170" spans="1:18">
      <c r="A1170" s="15" t="str">
        <f t="shared" si="23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8" t="s">
        <v>75</v>
      </c>
      <c r="P1170" s="48">
        <f>HEX2DEC(RIGHT(Table1323212753[[#This Row],[h1]],8))</f>
        <v>0</v>
      </c>
      <c r="Q1170" s="48" t="s">
        <v>75</v>
      </c>
      <c r="R1170" s="48">
        <f>HEX2DEC(RIGHT(Table1323212753[[#This Row],[h2]],8))</f>
        <v>0</v>
      </c>
    </row>
    <row r="1171" spans="1:18">
      <c r="A1171" s="15" t="str">
        <f t="shared" si="23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8" t="s">
        <v>75</v>
      </c>
      <c r="P1171" s="48">
        <f>HEX2DEC(RIGHT(Table1323212753[[#This Row],[h1]],8))</f>
        <v>0</v>
      </c>
      <c r="Q1171" s="48" t="s">
        <v>75</v>
      </c>
      <c r="R1171" s="48">
        <f>HEX2DEC(RIGHT(Table1323212753[[#This Row],[h2]],8))</f>
        <v>0</v>
      </c>
    </row>
    <row r="1172" spans="1:18">
      <c r="A1172" s="15" t="str">
        <f t="shared" si="23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8" t="s">
        <v>75</v>
      </c>
      <c r="P1172" s="48">
        <f>HEX2DEC(RIGHT(Table1323212753[[#This Row],[h1]],8))</f>
        <v>0</v>
      </c>
      <c r="Q1172" s="48" t="s">
        <v>75</v>
      </c>
      <c r="R1172" s="48">
        <f>HEX2DEC(RIGHT(Table1323212753[[#This Row],[h2]],8))</f>
        <v>0</v>
      </c>
    </row>
    <row r="1173" spans="1:18">
      <c r="A1173" s="15" t="str">
        <f t="shared" si="23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8" t="s">
        <v>75</v>
      </c>
      <c r="P1173" s="48">
        <f>HEX2DEC(RIGHT(Table1323212753[[#This Row],[h1]],8))</f>
        <v>0</v>
      </c>
      <c r="Q1173" s="48" t="s">
        <v>75</v>
      </c>
      <c r="R1173" s="48">
        <f>HEX2DEC(RIGHT(Table1323212753[[#This Row],[h2]],8))</f>
        <v>0</v>
      </c>
    </row>
    <row r="1174" spans="1:18">
      <c r="A1174" s="15" t="str">
        <f t="shared" si="23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8" t="s">
        <v>75</v>
      </c>
      <c r="P1174" s="48">
        <f>HEX2DEC(RIGHT(Table1323212753[[#This Row],[h1]],8))</f>
        <v>0</v>
      </c>
      <c r="Q1174" s="48" t="s">
        <v>75</v>
      </c>
      <c r="R1174" s="48">
        <f>HEX2DEC(RIGHT(Table1323212753[[#This Row],[h2]],8))</f>
        <v>0</v>
      </c>
    </row>
    <row r="1175" spans="1:18">
      <c r="A1175" s="15" t="str">
        <f t="shared" si="23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8" t="s">
        <v>75</v>
      </c>
      <c r="P1175" s="48">
        <f>HEX2DEC(RIGHT(Table1323212753[[#This Row],[h1]],8))</f>
        <v>0</v>
      </c>
      <c r="Q1175" s="48" t="s">
        <v>75</v>
      </c>
      <c r="R1175" s="48">
        <f>HEX2DEC(RIGHT(Table1323212753[[#This Row],[h2]],8))</f>
        <v>0</v>
      </c>
    </row>
    <row r="1176" spans="1:18">
      <c r="A1176" s="15" t="str">
        <f t="shared" si="23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8" t="s">
        <v>75</v>
      </c>
      <c r="P1176" s="48">
        <f>HEX2DEC(RIGHT(Table1323212753[[#This Row],[h1]],8))</f>
        <v>0</v>
      </c>
      <c r="Q1176" s="48" t="s">
        <v>75</v>
      </c>
      <c r="R1176" s="48">
        <f>HEX2DEC(RIGHT(Table1323212753[[#This Row],[h2]],8))</f>
        <v>0</v>
      </c>
    </row>
    <row r="1177" spans="1:18">
      <c r="A1177" s="15" t="str">
        <f t="shared" si="23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8" t="s">
        <v>75</v>
      </c>
      <c r="P1177" s="48">
        <f>HEX2DEC(RIGHT(Table1323212753[[#This Row],[h1]],8))</f>
        <v>0</v>
      </c>
      <c r="Q1177" s="48" t="s">
        <v>75</v>
      </c>
      <c r="R1177" s="48">
        <f>HEX2DEC(RIGHT(Table1323212753[[#This Row],[h2]],8))</f>
        <v>0</v>
      </c>
    </row>
    <row r="1178" spans="1:18">
      <c r="A1178" s="15" t="str">
        <f t="shared" si="23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8" t="s">
        <v>75</v>
      </c>
      <c r="P1178" s="48">
        <f>HEX2DEC(RIGHT(Table1323212753[[#This Row],[h1]],8))</f>
        <v>0</v>
      </c>
      <c r="Q1178" s="48" t="s">
        <v>75</v>
      </c>
      <c r="R1178" s="48">
        <f>HEX2DEC(RIGHT(Table1323212753[[#This Row],[h2]],8))</f>
        <v>0</v>
      </c>
    </row>
    <row r="1179" spans="1:18">
      <c r="A1179" s="15" t="str">
        <f t="shared" si="23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8" t="s">
        <v>75</v>
      </c>
      <c r="P1179" s="48">
        <f>HEX2DEC(RIGHT(Table1323212753[[#This Row],[h1]],8))</f>
        <v>0</v>
      </c>
      <c r="Q1179" s="48" t="s">
        <v>75</v>
      </c>
      <c r="R1179" s="48">
        <f>HEX2DEC(RIGHT(Table1323212753[[#This Row],[h2]],8))</f>
        <v>0</v>
      </c>
    </row>
    <row r="1180" spans="1:18">
      <c r="A1180" s="15" t="str">
        <f t="shared" si="23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8" t="s">
        <v>75</v>
      </c>
      <c r="P1180" s="48">
        <f>HEX2DEC(RIGHT(Table1323212753[[#This Row],[h1]],8))</f>
        <v>0</v>
      </c>
      <c r="Q1180" s="48" t="s">
        <v>75</v>
      </c>
      <c r="R1180" s="48">
        <f>HEX2DEC(RIGHT(Table1323212753[[#This Row],[h2]],8))</f>
        <v>0</v>
      </c>
    </row>
    <row r="1181" spans="1:18">
      <c r="A1181" s="15" t="str">
        <f t="shared" si="23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8" t="s">
        <v>75</v>
      </c>
      <c r="P1181" s="48">
        <f>HEX2DEC(RIGHT(Table1323212753[[#This Row],[h1]],8))</f>
        <v>0</v>
      </c>
      <c r="Q1181" s="48" t="s">
        <v>75</v>
      </c>
      <c r="R1181" s="48">
        <f>HEX2DEC(RIGHT(Table1323212753[[#This Row],[h2]],8))</f>
        <v>0</v>
      </c>
    </row>
    <row r="1182" spans="1:18">
      <c r="A1182" s="15" t="str">
        <f t="shared" si="23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8" t="s">
        <v>75</v>
      </c>
      <c r="P1182" s="48">
        <f>HEX2DEC(RIGHT(Table1323212753[[#This Row],[h1]],8))</f>
        <v>0</v>
      </c>
      <c r="Q1182" s="48" t="s">
        <v>75</v>
      </c>
      <c r="R1182" s="48">
        <f>HEX2DEC(RIGHT(Table1323212753[[#This Row],[h2]],8))</f>
        <v>0</v>
      </c>
    </row>
    <row r="1183" spans="1:18">
      <c r="A1183" s="15" t="str">
        <f t="shared" si="23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8" t="s">
        <v>75</v>
      </c>
      <c r="P1183" s="48">
        <f>HEX2DEC(RIGHT(Table1323212753[[#This Row],[h1]],8))</f>
        <v>0</v>
      </c>
      <c r="Q1183" s="48" t="s">
        <v>75</v>
      </c>
      <c r="R1183" s="48">
        <f>HEX2DEC(RIGHT(Table1323212753[[#This Row],[h2]],8))</f>
        <v>0</v>
      </c>
    </row>
    <row r="1184" spans="1:18">
      <c r="A1184" s="15" t="str">
        <f t="shared" si="23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8" t="s">
        <v>75</v>
      </c>
      <c r="P1184" s="48">
        <f>HEX2DEC(RIGHT(Table1323212753[[#This Row],[h1]],8))</f>
        <v>0</v>
      </c>
      <c r="Q1184" s="48" t="s">
        <v>75</v>
      </c>
      <c r="R1184" s="48">
        <f>HEX2DEC(RIGHT(Table1323212753[[#This Row],[h2]],8))</f>
        <v>0</v>
      </c>
    </row>
    <row r="1185" spans="1:18">
      <c r="A1185" s="15" t="str">
        <f t="shared" si="23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8" t="s">
        <v>75</v>
      </c>
      <c r="P1185" s="48">
        <f>HEX2DEC(RIGHT(Table1323212753[[#This Row],[h1]],8))</f>
        <v>0</v>
      </c>
      <c r="Q1185" s="48" t="s">
        <v>75</v>
      </c>
      <c r="R1185" s="48">
        <f>HEX2DEC(RIGHT(Table1323212753[[#This Row],[h2]],8))</f>
        <v>0</v>
      </c>
    </row>
    <row r="1186" spans="1:18">
      <c r="A1186" s="15" t="str">
        <f t="shared" si="23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8" t="s">
        <v>75</v>
      </c>
      <c r="P1186" s="48">
        <f>HEX2DEC(RIGHT(Table1323212753[[#This Row],[h1]],8))</f>
        <v>0</v>
      </c>
      <c r="Q1186" s="48" t="s">
        <v>75</v>
      </c>
      <c r="R1186" s="48">
        <f>HEX2DEC(RIGHT(Table1323212753[[#This Row],[h2]],8))</f>
        <v>0</v>
      </c>
    </row>
    <row r="1187" spans="1:18">
      <c r="A1187" s="15" t="str">
        <f t="shared" si="23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8" t="s">
        <v>75</v>
      </c>
      <c r="P1187" s="48">
        <f>HEX2DEC(RIGHT(Table1323212753[[#This Row],[h1]],8))</f>
        <v>0</v>
      </c>
      <c r="Q1187" s="48" t="s">
        <v>75</v>
      </c>
      <c r="R1187" s="48">
        <f>HEX2DEC(RIGHT(Table1323212753[[#This Row],[h2]],8))</f>
        <v>0</v>
      </c>
    </row>
    <row r="1188" spans="1:18">
      <c r="A1188" s="15" t="str">
        <f t="shared" si="23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8" t="s">
        <v>75</v>
      </c>
      <c r="P1188" s="48">
        <f>HEX2DEC(RIGHT(Table1323212753[[#This Row],[h1]],8))</f>
        <v>0</v>
      </c>
      <c r="Q1188" s="48" t="s">
        <v>75</v>
      </c>
      <c r="R1188" s="48">
        <f>HEX2DEC(RIGHT(Table1323212753[[#This Row],[h2]],8))</f>
        <v>0</v>
      </c>
    </row>
    <row r="1189" spans="1:18">
      <c r="A1189" s="15" t="str">
        <f t="shared" si="23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8" t="s">
        <v>75</v>
      </c>
      <c r="P1189" s="48">
        <f>HEX2DEC(RIGHT(Table1323212753[[#This Row],[h1]],8))</f>
        <v>0</v>
      </c>
      <c r="Q1189" s="48" t="s">
        <v>75</v>
      </c>
      <c r="R1189" s="48">
        <f>HEX2DEC(RIGHT(Table1323212753[[#This Row],[h2]],8))</f>
        <v>0</v>
      </c>
    </row>
    <row r="1190" spans="1:18">
      <c r="A1190" s="15" t="str">
        <f t="shared" si="23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8" t="s">
        <v>75</v>
      </c>
      <c r="P1190" s="48">
        <f>HEX2DEC(RIGHT(Table1323212753[[#This Row],[h1]],8))</f>
        <v>0</v>
      </c>
      <c r="Q1190" s="48" t="s">
        <v>75</v>
      </c>
      <c r="R1190" s="48">
        <f>HEX2DEC(RIGHT(Table1323212753[[#This Row],[h2]],8))</f>
        <v>0</v>
      </c>
    </row>
    <row r="1191" spans="1:18">
      <c r="A1191" s="15" t="str">
        <f t="shared" si="23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8" t="s">
        <v>75</v>
      </c>
      <c r="P1191" s="48">
        <f>HEX2DEC(RIGHT(Table1323212753[[#This Row],[h1]],8))</f>
        <v>0</v>
      </c>
      <c r="Q1191" s="48" t="s">
        <v>75</v>
      </c>
      <c r="R1191" s="48">
        <f>HEX2DEC(RIGHT(Table1323212753[[#This Row],[h2]],8))</f>
        <v>0</v>
      </c>
    </row>
    <row r="1192" spans="1:18">
      <c r="A1192" s="15" t="str">
        <f t="shared" si="23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8" t="s">
        <v>75</v>
      </c>
      <c r="P1192" s="48">
        <f>HEX2DEC(RIGHT(Table1323212753[[#This Row],[h1]],8))</f>
        <v>0</v>
      </c>
      <c r="Q1192" s="48" t="s">
        <v>75</v>
      </c>
      <c r="R1192" s="48">
        <f>HEX2DEC(RIGHT(Table1323212753[[#This Row],[h2]],8))</f>
        <v>0</v>
      </c>
    </row>
    <row r="1193" spans="1:18">
      <c r="A1193" s="15" t="str">
        <f t="shared" si="23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8" t="s">
        <v>75</v>
      </c>
      <c r="P1193" s="48">
        <f>HEX2DEC(RIGHT(Table1323212753[[#This Row],[h1]],8))</f>
        <v>0</v>
      </c>
      <c r="Q1193" s="48" t="s">
        <v>75</v>
      </c>
      <c r="R1193" s="48">
        <f>HEX2DEC(RIGHT(Table1323212753[[#This Row],[h2]],8))</f>
        <v>0</v>
      </c>
    </row>
    <row r="1194" spans="1:18">
      <c r="A1194" s="15" t="str">
        <f t="shared" si="23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8" t="s">
        <v>75</v>
      </c>
      <c r="P1194" s="48">
        <f>HEX2DEC(RIGHT(Table1323212753[[#This Row],[h1]],8))</f>
        <v>0</v>
      </c>
      <c r="Q1194" s="48" t="s">
        <v>75</v>
      </c>
      <c r="R1194" s="48">
        <f>HEX2DEC(RIGHT(Table1323212753[[#This Row],[h2]],8))</f>
        <v>0</v>
      </c>
    </row>
    <row r="1195" spans="1:18">
      <c r="A1195" s="15" t="str">
        <f t="shared" si="23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8" t="s">
        <v>75</v>
      </c>
      <c r="P1195" s="48">
        <f>HEX2DEC(RIGHT(Table1323212753[[#This Row],[h1]],8))</f>
        <v>0</v>
      </c>
      <c r="Q1195" s="48" t="s">
        <v>75</v>
      </c>
      <c r="R1195" s="48">
        <f>HEX2DEC(RIGHT(Table1323212753[[#This Row],[h2]],8))</f>
        <v>0</v>
      </c>
    </row>
    <row r="1196" spans="1:18">
      <c r="A1196" s="15" t="str">
        <f t="shared" si="23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8" t="s">
        <v>75</v>
      </c>
      <c r="P1196" s="48">
        <f>HEX2DEC(RIGHT(Table1323212753[[#This Row],[h1]],8))</f>
        <v>0</v>
      </c>
      <c r="Q1196" s="48" t="s">
        <v>75</v>
      </c>
      <c r="R1196" s="48">
        <f>HEX2DEC(RIGHT(Table1323212753[[#This Row],[h2]],8))</f>
        <v>0</v>
      </c>
    </row>
    <row r="1197" spans="1:18">
      <c r="A1197" s="15" t="str">
        <f t="shared" si="23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8" t="s">
        <v>75</v>
      </c>
      <c r="P1197" s="48">
        <f>HEX2DEC(RIGHT(Table1323212753[[#This Row],[h1]],8))</f>
        <v>0</v>
      </c>
      <c r="Q1197" s="48" t="s">
        <v>75</v>
      </c>
      <c r="R1197" s="48">
        <f>HEX2DEC(RIGHT(Table1323212753[[#This Row],[h2]],8))</f>
        <v>0</v>
      </c>
    </row>
    <row r="1198" spans="1:18">
      <c r="A1198" s="15" t="str">
        <f t="shared" si="23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8" t="s">
        <v>75</v>
      </c>
      <c r="P1198" s="48">
        <f>HEX2DEC(RIGHT(Table1323212753[[#This Row],[h1]],8))</f>
        <v>0</v>
      </c>
      <c r="Q1198" s="48" t="s">
        <v>75</v>
      </c>
      <c r="R1198" s="48">
        <f>HEX2DEC(RIGHT(Table1323212753[[#This Row],[h2]],8))</f>
        <v>0</v>
      </c>
    </row>
    <row r="1199" spans="1:18">
      <c r="A1199" s="15" t="str">
        <f t="shared" si="23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8" t="s">
        <v>75</v>
      </c>
      <c r="P1199" s="48">
        <f>HEX2DEC(RIGHT(Table1323212753[[#This Row],[h1]],8))</f>
        <v>0</v>
      </c>
      <c r="Q1199" s="48" t="s">
        <v>75</v>
      </c>
      <c r="R1199" s="48">
        <f>HEX2DEC(RIGHT(Table1323212753[[#This Row],[h2]],8))</f>
        <v>0</v>
      </c>
    </row>
    <row r="1200" spans="1:18">
      <c r="A1200" s="15" t="str">
        <f t="shared" si="23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8" t="s">
        <v>75</v>
      </c>
      <c r="P1200" s="48">
        <f>HEX2DEC(RIGHT(Table1323212753[[#This Row],[h1]],8))</f>
        <v>0</v>
      </c>
      <c r="Q1200" s="48" t="s">
        <v>75</v>
      </c>
      <c r="R1200" s="48">
        <f>HEX2DEC(RIGHT(Table1323212753[[#This Row],[h2]],8))</f>
        <v>0</v>
      </c>
    </row>
    <row r="1201" spans="1:18">
      <c r="A1201" s="15" t="str">
        <f t="shared" si="23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8" t="s">
        <v>75</v>
      </c>
      <c r="P1201" s="48">
        <f>HEX2DEC(RIGHT(Table1323212753[[#This Row],[h1]],8))</f>
        <v>0</v>
      </c>
      <c r="Q1201" s="48" t="s">
        <v>75</v>
      </c>
      <c r="R1201" s="48">
        <f>HEX2DEC(RIGHT(Table1323212753[[#This Row],[h2]],8))</f>
        <v>0</v>
      </c>
    </row>
    <row r="1202" spans="1:18">
      <c r="A1202" s="15" t="str">
        <f t="shared" si="23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8" t="s">
        <v>75</v>
      </c>
      <c r="P1202" s="48">
        <f>HEX2DEC(RIGHT(Table1323212753[[#This Row],[h1]],8))</f>
        <v>0</v>
      </c>
      <c r="Q1202" s="48" t="s">
        <v>75</v>
      </c>
      <c r="R1202" s="48">
        <f>HEX2DEC(RIGHT(Table1323212753[[#This Row],[h2]],8))</f>
        <v>0</v>
      </c>
    </row>
    <row r="1203" spans="1:18">
      <c r="A1203" s="15" t="str">
        <f t="shared" si="23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8" t="s">
        <v>75</v>
      </c>
      <c r="P1203" s="48">
        <f>HEX2DEC(RIGHT(Table1323212753[[#This Row],[h1]],8))</f>
        <v>0</v>
      </c>
      <c r="Q1203" s="48" t="s">
        <v>75</v>
      </c>
      <c r="R1203" s="48">
        <f>HEX2DEC(RIGHT(Table1323212753[[#This Row],[h2]],8))</f>
        <v>0</v>
      </c>
    </row>
    <row r="1204" spans="1:18">
      <c r="A1204" s="15" t="str">
        <f t="shared" si="23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8" t="s">
        <v>75</v>
      </c>
      <c r="P1204" s="48">
        <f>HEX2DEC(RIGHT(Table1323212753[[#This Row],[h1]],8))</f>
        <v>0</v>
      </c>
      <c r="Q1204" s="48" t="s">
        <v>75</v>
      </c>
      <c r="R1204" s="48">
        <f>HEX2DEC(RIGHT(Table1323212753[[#This Row],[h2]],8))</f>
        <v>0</v>
      </c>
    </row>
    <row r="1205" spans="1:18">
      <c r="A1205" s="15" t="str">
        <f t="shared" si="23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8" t="s">
        <v>75</v>
      </c>
      <c r="P1205" s="48">
        <f>HEX2DEC(RIGHT(Table1323212753[[#This Row],[h1]],8))</f>
        <v>0</v>
      </c>
      <c r="Q1205" s="48" t="s">
        <v>75</v>
      </c>
      <c r="R1205" s="48">
        <f>HEX2DEC(RIGHT(Table1323212753[[#This Row],[h2]],8))</f>
        <v>0</v>
      </c>
    </row>
    <row r="1206" spans="1:18">
      <c r="A1206" s="15" t="str">
        <f t="shared" si="23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8" t="s">
        <v>75</v>
      </c>
      <c r="P1206" s="48">
        <f>HEX2DEC(RIGHT(Table1323212753[[#This Row],[h1]],8))</f>
        <v>0</v>
      </c>
      <c r="Q1206" s="48" t="s">
        <v>75</v>
      </c>
      <c r="R1206" s="48">
        <f>HEX2DEC(RIGHT(Table1323212753[[#This Row],[h2]],8))</f>
        <v>0</v>
      </c>
    </row>
    <row r="1207" spans="1:18">
      <c r="A1207" s="15" t="str">
        <f t="shared" si="23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8" t="s">
        <v>75</v>
      </c>
      <c r="P1207" s="48">
        <f>HEX2DEC(RIGHT(Table1323212753[[#This Row],[h1]],8))</f>
        <v>0</v>
      </c>
      <c r="Q1207" s="48" t="s">
        <v>75</v>
      </c>
      <c r="R1207" s="48">
        <f>HEX2DEC(RIGHT(Table1323212753[[#This Row],[h2]],8))</f>
        <v>0</v>
      </c>
    </row>
    <row r="1208" spans="1:18">
      <c r="A1208" s="15" t="str">
        <f t="shared" si="23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8" t="s">
        <v>75</v>
      </c>
      <c r="P1208" s="48">
        <f>HEX2DEC(RIGHT(Table1323212753[[#This Row],[h1]],8))</f>
        <v>0</v>
      </c>
      <c r="Q1208" s="48" t="s">
        <v>75</v>
      </c>
      <c r="R1208" s="48">
        <f>HEX2DEC(RIGHT(Table1323212753[[#This Row],[h2]],8))</f>
        <v>0</v>
      </c>
    </row>
    <row r="1209" spans="1:18">
      <c r="A1209" s="15" t="str">
        <f t="shared" si="23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8" t="s">
        <v>75</v>
      </c>
      <c r="P1209" s="48">
        <f>HEX2DEC(RIGHT(Table1323212753[[#This Row],[h1]],8))</f>
        <v>0</v>
      </c>
      <c r="Q1209" s="48" t="s">
        <v>75</v>
      </c>
      <c r="R1209" s="48">
        <f>HEX2DEC(RIGHT(Table1323212753[[#This Row],[h2]],8))</f>
        <v>0</v>
      </c>
    </row>
    <row r="1210" spans="1:18">
      <c r="A1210" s="15" t="str">
        <f t="shared" si="23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8" t="s">
        <v>75</v>
      </c>
      <c r="P1210" s="48">
        <f>HEX2DEC(RIGHT(Table1323212753[[#This Row],[h1]],8))</f>
        <v>0</v>
      </c>
      <c r="Q1210" s="48" t="s">
        <v>75</v>
      </c>
      <c r="R1210" s="48">
        <f>HEX2DEC(RIGHT(Table1323212753[[#This Row],[h2]],8))</f>
        <v>0</v>
      </c>
    </row>
    <row r="1211" spans="1:18">
      <c r="A1211" s="15" t="str">
        <f t="shared" si="23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8" t="s">
        <v>75</v>
      </c>
      <c r="P1211" s="48">
        <f>HEX2DEC(RIGHT(Table1323212753[[#This Row],[h1]],8))</f>
        <v>0</v>
      </c>
      <c r="Q1211" s="48" t="s">
        <v>75</v>
      </c>
      <c r="R1211" s="48">
        <f>HEX2DEC(RIGHT(Table1323212753[[#This Row],[h2]],8))</f>
        <v>0</v>
      </c>
    </row>
    <row r="1212" spans="1:18">
      <c r="A1212" s="15" t="str">
        <f t="shared" si="23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8" t="s">
        <v>75</v>
      </c>
      <c r="P1212" s="48">
        <f>HEX2DEC(RIGHT(Table1323212753[[#This Row],[h1]],8))</f>
        <v>0</v>
      </c>
      <c r="Q1212" s="48" t="s">
        <v>75</v>
      </c>
      <c r="R1212" s="48">
        <f>HEX2DEC(RIGHT(Table1323212753[[#This Row],[h2]],8))</f>
        <v>0</v>
      </c>
    </row>
    <row r="1213" spans="1:18">
      <c r="A1213" s="15" t="str">
        <f t="shared" si="23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8" t="s">
        <v>75</v>
      </c>
      <c r="P1213" s="48">
        <f>HEX2DEC(RIGHT(Table1323212753[[#This Row],[h1]],8))</f>
        <v>0</v>
      </c>
      <c r="Q1213" s="48" t="s">
        <v>75</v>
      </c>
      <c r="R1213" s="48">
        <f>HEX2DEC(RIGHT(Table1323212753[[#This Row],[h2]],8))</f>
        <v>0</v>
      </c>
    </row>
    <row r="1214" spans="1:18">
      <c r="A1214" s="15" t="str">
        <f t="shared" si="23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8" t="s">
        <v>75</v>
      </c>
      <c r="P1214" s="48">
        <f>HEX2DEC(RIGHT(Table1323212753[[#This Row],[h1]],8))</f>
        <v>0</v>
      </c>
      <c r="Q1214" s="48" t="s">
        <v>75</v>
      </c>
      <c r="R1214" s="48">
        <f>HEX2DEC(RIGHT(Table1323212753[[#This Row],[h2]],8))</f>
        <v>0</v>
      </c>
    </row>
    <row r="1215" spans="1:18">
      <c r="A1215" s="15" t="str">
        <f t="shared" si="23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8" t="s">
        <v>75</v>
      </c>
      <c r="P1215" s="48">
        <f>HEX2DEC(RIGHT(Table1323212753[[#This Row],[h1]],8))</f>
        <v>0</v>
      </c>
      <c r="Q1215" s="48" t="s">
        <v>75</v>
      </c>
      <c r="R1215" s="48">
        <f>HEX2DEC(RIGHT(Table1323212753[[#This Row],[h2]],8))</f>
        <v>0</v>
      </c>
    </row>
    <row r="1216" spans="1:18">
      <c r="A1216" s="15" t="str">
        <f t="shared" si="23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8" t="s">
        <v>75</v>
      </c>
      <c r="P1216" s="48">
        <f>HEX2DEC(RIGHT(Table1323212753[[#This Row],[h1]],8))</f>
        <v>0</v>
      </c>
      <c r="Q1216" s="48" t="s">
        <v>75</v>
      </c>
      <c r="R1216" s="48">
        <f>HEX2DEC(RIGHT(Table1323212753[[#This Row],[h2]],8))</f>
        <v>0</v>
      </c>
    </row>
    <row r="1217" spans="1:18">
      <c r="A1217" s="15" t="str">
        <f t="shared" si="23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8" t="s">
        <v>75</v>
      </c>
      <c r="P1217" s="48">
        <f>HEX2DEC(RIGHT(Table1323212753[[#This Row],[h1]],8))</f>
        <v>0</v>
      </c>
      <c r="Q1217" s="48" t="s">
        <v>75</v>
      </c>
      <c r="R1217" s="48">
        <f>HEX2DEC(RIGHT(Table1323212753[[#This Row],[h2]],8))</f>
        <v>0</v>
      </c>
    </row>
    <row r="1218" spans="1:18">
      <c r="A1218" s="15" t="str">
        <f t="shared" si="23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8" t="s">
        <v>75</v>
      </c>
      <c r="P1218" s="48">
        <f>HEX2DEC(RIGHT(Table1323212753[[#This Row],[h1]],8))</f>
        <v>0</v>
      </c>
      <c r="Q1218" s="48" t="s">
        <v>75</v>
      </c>
      <c r="R1218" s="48">
        <f>HEX2DEC(RIGHT(Table1323212753[[#This Row],[h2]],8))</f>
        <v>0</v>
      </c>
    </row>
    <row r="1219" spans="1:18">
      <c r="A1219" s="15" t="str">
        <f t="shared" si="23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8" t="s">
        <v>75</v>
      </c>
      <c r="P1219" s="48">
        <f>HEX2DEC(RIGHT(Table1323212753[[#This Row],[h1]],8))</f>
        <v>0</v>
      </c>
      <c r="Q1219" s="48" t="s">
        <v>75</v>
      </c>
      <c r="R1219" s="48">
        <f>HEX2DEC(RIGHT(Table1323212753[[#This Row],[h2]],8))</f>
        <v>0</v>
      </c>
    </row>
    <row r="1220" spans="1:18">
      <c r="A1220" s="15" t="str">
        <f t="shared" si="23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8" t="s">
        <v>75</v>
      </c>
      <c r="P1220" s="48">
        <f>HEX2DEC(RIGHT(Table1323212753[[#This Row],[h1]],8))</f>
        <v>0</v>
      </c>
      <c r="Q1220" s="48" t="s">
        <v>75</v>
      </c>
      <c r="R1220" s="48">
        <f>HEX2DEC(RIGHT(Table1323212753[[#This Row],[h2]],8))</f>
        <v>0</v>
      </c>
    </row>
    <row r="1221" spans="1:18">
      <c r="A1221" s="15" t="str">
        <f t="shared" si="23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8" t="s">
        <v>75</v>
      </c>
      <c r="P1221" s="48">
        <f>HEX2DEC(RIGHT(Table1323212753[[#This Row],[h1]],8))</f>
        <v>0</v>
      </c>
      <c r="Q1221" s="48" t="s">
        <v>75</v>
      </c>
      <c r="R1221" s="48">
        <f>HEX2DEC(RIGHT(Table1323212753[[#This Row],[h2]],8))</f>
        <v>0</v>
      </c>
    </row>
    <row r="1222" spans="1:18">
      <c r="A1222" s="15" t="str">
        <f t="shared" si="23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8" t="s">
        <v>75</v>
      </c>
      <c r="P1222" s="48">
        <f>HEX2DEC(RIGHT(Table1323212753[[#This Row],[h1]],8))</f>
        <v>0</v>
      </c>
      <c r="Q1222" s="48" t="s">
        <v>75</v>
      </c>
      <c r="R1222" s="48">
        <f>HEX2DEC(RIGHT(Table1323212753[[#This Row],[h2]],8))</f>
        <v>0</v>
      </c>
    </row>
    <row r="1223" spans="1:18">
      <c r="A1223" s="15" t="str">
        <f t="shared" si="23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8" t="s">
        <v>75</v>
      </c>
      <c r="P1223" s="48">
        <f>HEX2DEC(RIGHT(Table1323212753[[#This Row],[h1]],8))</f>
        <v>0</v>
      </c>
      <c r="Q1223" s="48" t="s">
        <v>75</v>
      </c>
      <c r="R1223" s="48">
        <f>HEX2DEC(RIGHT(Table1323212753[[#This Row],[h2]],8))</f>
        <v>0</v>
      </c>
    </row>
    <row r="1224" spans="1:18">
      <c r="A1224" s="15" t="str">
        <f t="shared" si="23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8" t="s">
        <v>75</v>
      </c>
      <c r="P1224" s="48">
        <f>HEX2DEC(RIGHT(Table1323212753[[#This Row],[h1]],8))</f>
        <v>0</v>
      </c>
      <c r="Q1224" s="48" t="s">
        <v>75</v>
      </c>
      <c r="R1224" s="48">
        <f>HEX2DEC(RIGHT(Table1323212753[[#This Row],[h2]],8))</f>
        <v>0</v>
      </c>
    </row>
    <row r="1225" spans="1:18">
      <c r="A1225" s="15" t="str">
        <f t="shared" si="23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8" t="s">
        <v>75</v>
      </c>
      <c r="P1225" s="48">
        <f>HEX2DEC(RIGHT(Table1323212753[[#This Row],[h1]],8))</f>
        <v>0</v>
      </c>
      <c r="Q1225" s="48" t="s">
        <v>75</v>
      </c>
      <c r="R1225" s="48">
        <f>HEX2DEC(RIGHT(Table1323212753[[#This Row],[h2]],8))</f>
        <v>0</v>
      </c>
    </row>
    <row r="1226" spans="1:18">
      <c r="A1226" s="15" t="str">
        <f t="shared" si="23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8" t="s">
        <v>75</v>
      </c>
      <c r="P1226" s="48">
        <f>HEX2DEC(RIGHT(Table1323212753[[#This Row],[h1]],8))</f>
        <v>0</v>
      </c>
      <c r="Q1226" s="48" t="s">
        <v>75</v>
      </c>
      <c r="R1226" s="48">
        <f>HEX2DEC(RIGHT(Table1323212753[[#This Row],[h2]],8))</f>
        <v>0</v>
      </c>
    </row>
    <row r="1227" spans="1:18">
      <c r="A1227" s="15" t="str">
        <f t="shared" ref="A1227:A1290" si="24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8" t="s">
        <v>75</v>
      </c>
      <c r="P1227" s="48">
        <f>HEX2DEC(RIGHT(Table1323212753[[#This Row],[h1]],8))</f>
        <v>0</v>
      </c>
      <c r="Q1227" s="48" t="s">
        <v>75</v>
      </c>
      <c r="R1227" s="48">
        <f>HEX2DEC(RIGHT(Table1323212753[[#This Row],[h2]],8))</f>
        <v>0</v>
      </c>
    </row>
    <row r="1228" spans="1:18">
      <c r="A1228" s="15" t="str">
        <f t="shared" si="24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8" t="s">
        <v>75</v>
      </c>
      <c r="P1228" s="48">
        <f>HEX2DEC(RIGHT(Table1323212753[[#This Row],[h1]],8))</f>
        <v>0</v>
      </c>
      <c r="Q1228" s="48" t="s">
        <v>75</v>
      </c>
      <c r="R1228" s="48">
        <f>HEX2DEC(RIGHT(Table1323212753[[#This Row],[h2]],8))</f>
        <v>0</v>
      </c>
    </row>
    <row r="1229" spans="1:18">
      <c r="A1229" s="15" t="str">
        <f t="shared" si="24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8" t="s">
        <v>75</v>
      </c>
      <c r="P1229" s="48">
        <f>HEX2DEC(RIGHT(Table1323212753[[#This Row],[h1]],8))</f>
        <v>0</v>
      </c>
      <c r="Q1229" s="48" t="s">
        <v>75</v>
      </c>
      <c r="R1229" s="48">
        <f>HEX2DEC(RIGHT(Table1323212753[[#This Row],[h2]],8))</f>
        <v>0</v>
      </c>
    </row>
    <row r="1230" spans="1:18">
      <c r="A1230" s="15" t="str">
        <f t="shared" si="24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8" t="s">
        <v>75</v>
      </c>
      <c r="P1230" s="48">
        <f>HEX2DEC(RIGHT(Table1323212753[[#This Row],[h1]],8))</f>
        <v>0</v>
      </c>
      <c r="Q1230" s="48" t="s">
        <v>75</v>
      </c>
      <c r="R1230" s="48">
        <f>HEX2DEC(RIGHT(Table1323212753[[#This Row],[h2]],8))</f>
        <v>0</v>
      </c>
    </row>
    <row r="1231" spans="1:18">
      <c r="A1231" s="15" t="str">
        <f t="shared" si="24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8" t="s">
        <v>75</v>
      </c>
      <c r="P1231" s="48">
        <f>HEX2DEC(RIGHT(Table1323212753[[#This Row],[h1]],8))</f>
        <v>0</v>
      </c>
      <c r="Q1231" s="48" t="s">
        <v>75</v>
      </c>
      <c r="R1231" s="48">
        <f>HEX2DEC(RIGHT(Table1323212753[[#This Row],[h2]],8))</f>
        <v>0</v>
      </c>
    </row>
    <row r="1232" spans="1:18">
      <c r="A1232" s="15" t="str">
        <f t="shared" si="24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8" t="s">
        <v>75</v>
      </c>
      <c r="P1232" s="48">
        <f>HEX2DEC(RIGHT(Table1323212753[[#This Row],[h1]],8))</f>
        <v>0</v>
      </c>
      <c r="Q1232" s="48" t="s">
        <v>75</v>
      </c>
      <c r="R1232" s="48">
        <f>HEX2DEC(RIGHT(Table1323212753[[#This Row],[h2]],8))</f>
        <v>0</v>
      </c>
    </row>
    <row r="1233" spans="1:18">
      <c r="A1233" s="15" t="str">
        <f t="shared" si="24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8" t="s">
        <v>75</v>
      </c>
      <c r="P1233" s="48">
        <f>HEX2DEC(RIGHT(Table1323212753[[#This Row],[h1]],8))</f>
        <v>0</v>
      </c>
      <c r="Q1233" s="48" t="s">
        <v>75</v>
      </c>
      <c r="R1233" s="48">
        <f>HEX2DEC(RIGHT(Table1323212753[[#This Row],[h2]],8))</f>
        <v>0</v>
      </c>
    </row>
    <row r="1234" spans="1:18">
      <c r="A1234" s="15" t="str">
        <f t="shared" si="24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8" t="s">
        <v>75</v>
      </c>
      <c r="P1234" s="48">
        <f>HEX2DEC(RIGHT(Table1323212753[[#This Row],[h1]],8))</f>
        <v>0</v>
      </c>
      <c r="Q1234" s="48" t="s">
        <v>75</v>
      </c>
      <c r="R1234" s="48">
        <f>HEX2DEC(RIGHT(Table1323212753[[#This Row],[h2]],8))</f>
        <v>0</v>
      </c>
    </row>
    <row r="1235" spans="1:18">
      <c r="A1235" s="15" t="str">
        <f t="shared" si="24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8" t="s">
        <v>75</v>
      </c>
      <c r="P1235" s="48">
        <f>HEX2DEC(RIGHT(Table1323212753[[#This Row],[h1]],8))</f>
        <v>0</v>
      </c>
      <c r="Q1235" s="48" t="s">
        <v>75</v>
      </c>
      <c r="R1235" s="48">
        <f>HEX2DEC(RIGHT(Table1323212753[[#This Row],[h2]],8))</f>
        <v>0</v>
      </c>
    </row>
    <row r="1236" spans="1:18">
      <c r="A1236" s="15" t="str">
        <f t="shared" si="24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8" t="s">
        <v>75</v>
      </c>
      <c r="P1236" s="48">
        <f>HEX2DEC(RIGHT(Table1323212753[[#This Row],[h1]],8))</f>
        <v>0</v>
      </c>
      <c r="Q1236" s="48" t="s">
        <v>75</v>
      </c>
      <c r="R1236" s="48">
        <f>HEX2DEC(RIGHT(Table1323212753[[#This Row],[h2]],8))</f>
        <v>0</v>
      </c>
    </row>
    <row r="1237" spans="1:18">
      <c r="A1237" s="15" t="str">
        <f t="shared" si="24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8" t="s">
        <v>75</v>
      </c>
      <c r="P1237" s="48">
        <f>HEX2DEC(RIGHT(Table1323212753[[#This Row],[h1]],8))</f>
        <v>0</v>
      </c>
      <c r="Q1237" s="48" t="s">
        <v>75</v>
      </c>
      <c r="R1237" s="48">
        <f>HEX2DEC(RIGHT(Table1323212753[[#This Row],[h2]],8))</f>
        <v>0</v>
      </c>
    </row>
    <row r="1238" spans="1:18">
      <c r="A1238" s="15" t="str">
        <f t="shared" si="24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8" t="s">
        <v>75</v>
      </c>
      <c r="P1238" s="48">
        <f>HEX2DEC(RIGHT(Table1323212753[[#This Row],[h1]],8))</f>
        <v>0</v>
      </c>
      <c r="Q1238" s="48" t="s">
        <v>75</v>
      </c>
      <c r="R1238" s="48">
        <f>HEX2DEC(RIGHT(Table1323212753[[#This Row],[h2]],8))</f>
        <v>0</v>
      </c>
    </row>
    <row r="1239" spans="1:18">
      <c r="A1239" s="15" t="str">
        <f t="shared" si="24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8" t="s">
        <v>75</v>
      </c>
      <c r="P1239" s="48">
        <f>HEX2DEC(RIGHT(Table1323212753[[#This Row],[h1]],8))</f>
        <v>0</v>
      </c>
      <c r="Q1239" s="48" t="s">
        <v>75</v>
      </c>
      <c r="R1239" s="48">
        <f>HEX2DEC(RIGHT(Table1323212753[[#This Row],[h2]],8))</f>
        <v>0</v>
      </c>
    </row>
    <row r="1240" spans="1:18">
      <c r="A1240" s="15" t="str">
        <f t="shared" si="24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8" t="s">
        <v>75</v>
      </c>
      <c r="P1240" s="48">
        <f>HEX2DEC(RIGHT(Table1323212753[[#This Row],[h1]],8))</f>
        <v>0</v>
      </c>
      <c r="Q1240" s="48" t="s">
        <v>75</v>
      </c>
      <c r="R1240" s="48">
        <f>HEX2DEC(RIGHT(Table1323212753[[#This Row],[h2]],8))</f>
        <v>0</v>
      </c>
    </row>
    <row r="1241" spans="1:18">
      <c r="A1241" s="15" t="str">
        <f t="shared" si="24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8" t="s">
        <v>75</v>
      </c>
      <c r="P1241" s="48">
        <f>HEX2DEC(RIGHT(Table1323212753[[#This Row],[h1]],8))</f>
        <v>0</v>
      </c>
      <c r="Q1241" s="48" t="s">
        <v>75</v>
      </c>
      <c r="R1241" s="48">
        <f>HEX2DEC(RIGHT(Table1323212753[[#This Row],[h2]],8))</f>
        <v>0</v>
      </c>
    </row>
    <row r="1242" spans="1:18">
      <c r="A1242" s="15" t="str">
        <f t="shared" si="24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8" t="s">
        <v>75</v>
      </c>
      <c r="P1242" s="48">
        <f>HEX2DEC(RIGHT(Table1323212753[[#This Row],[h1]],8))</f>
        <v>0</v>
      </c>
      <c r="Q1242" s="48" t="s">
        <v>75</v>
      </c>
      <c r="R1242" s="48">
        <f>HEX2DEC(RIGHT(Table1323212753[[#This Row],[h2]],8))</f>
        <v>0</v>
      </c>
    </row>
    <row r="1243" spans="1:18">
      <c r="A1243" s="15" t="str">
        <f t="shared" si="24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8" t="s">
        <v>75</v>
      </c>
      <c r="P1243" s="48">
        <f>HEX2DEC(RIGHT(Table1323212753[[#This Row],[h1]],8))</f>
        <v>0</v>
      </c>
      <c r="Q1243" s="48" t="s">
        <v>75</v>
      </c>
      <c r="R1243" s="48">
        <f>HEX2DEC(RIGHT(Table1323212753[[#This Row],[h2]],8))</f>
        <v>0</v>
      </c>
    </row>
    <row r="1244" spans="1:18">
      <c r="A1244" s="15" t="str">
        <f t="shared" si="24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8" t="s">
        <v>75</v>
      </c>
      <c r="P1244" s="48">
        <f>HEX2DEC(RIGHT(Table1323212753[[#This Row],[h1]],8))</f>
        <v>0</v>
      </c>
      <c r="Q1244" s="48" t="s">
        <v>75</v>
      </c>
      <c r="R1244" s="48">
        <f>HEX2DEC(RIGHT(Table1323212753[[#This Row],[h2]],8))</f>
        <v>0</v>
      </c>
    </row>
    <row r="1245" spans="1:18">
      <c r="A1245" s="15" t="str">
        <f t="shared" si="24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8" t="s">
        <v>75</v>
      </c>
      <c r="P1245" s="48">
        <f>HEX2DEC(RIGHT(Table1323212753[[#This Row],[h1]],8))</f>
        <v>0</v>
      </c>
      <c r="Q1245" s="48" t="s">
        <v>75</v>
      </c>
      <c r="R1245" s="48">
        <f>HEX2DEC(RIGHT(Table1323212753[[#This Row],[h2]],8))</f>
        <v>0</v>
      </c>
    </row>
    <row r="1246" spans="1:18">
      <c r="A1246" s="15" t="str">
        <f t="shared" si="24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8" t="s">
        <v>75</v>
      </c>
      <c r="P1246" s="48">
        <f>HEX2DEC(RIGHT(Table1323212753[[#This Row],[h1]],8))</f>
        <v>0</v>
      </c>
      <c r="Q1246" s="48" t="s">
        <v>75</v>
      </c>
      <c r="R1246" s="48">
        <f>HEX2DEC(RIGHT(Table1323212753[[#This Row],[h2]],8))</f>
        <v>0</v>
      </c>
    </row>
    <row r="1247" spans="1:18">
      <c r="A1247" s="15" t="str">
        <f t="shared" si="24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8" t="s">
        <v>75</v>
      </c>
      <c r="P1247" s="48">
        <f>HEX2DEC(RIGHT(Table1323212753[[#This Row],[h1]],8))</f>
        <v>0</v>
      </c>
      <c r="Q1247" s="48" t="s">
        <v>75</v>
      </c>
      <c r="R1247" s="48">
        <f>HEX2DEC(RIGHT(Table1323212753[[#This Row],[h2]],8))</f>
        <v>0</v>
      </c>
    </row>
    <row r="1248" spans="1:18">
      <c r="A1248" s="15" t="str">
        <f t="shared" si="24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8" t="s">
        <v>75</v>
      </c>
      <c r="P1248" s="48">
        <f>HEX2DEC(RIGHT(Table1323212753[[#This Row],[h1]],8))</f>
        <v>0</v>
      </c>
      <c r="Q1248" s="48" t="s">
        <v>75</v>
      </c>
      <c r="R1248" s="48">
        <f>HEX2DEC(RIGHT(Table1323212753[[#This Row],[h2]],8))</f>
        <v>0</v>
      </c>
    </row>
    <row r="1249" spans="1:18">
      <c r="A1249" s="15" t="str">
        <f t="shared" si="24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8" t="s">
        <v>75</v>
      </c>
      <c r="P1249" s="48">
        <f>HEX2DEC(RIGHT(Table1323212753[[#This Row],[h1]],8))</f>
        <v>0</v>
      </c>
      <c r="Q1249" s="48" t="s">
        <v>75</v>
      </c>
      <c r="R1249" s="48">
        <f>HEX2DEC(RIGHT(Table1323212753[[#This Row],[h2]],8))</f>
        <v>0</v>
      </c>
    </row>
    <row r="1250" spans="1:18">
      <c r="A1250" s="15" t="str">
        <f t="shared" si="24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8" t="s">
        <v>75</v>
      </c>
      <c r="P1250" s="48">
        <f>HEX2DEC(RIGHT(Table1323212753[[#This Row],[h1]],8))</f>
        <v>0</v>
      </c>
      <c r="Q1250" s="48" t="s">
        <v>75</v>
      </c>
      <c r="R1250" s="48">
        <f>HEX2DEC(RIGHT(Table1323212753[[#This Row],[h2]],8))</f>
        <v>0</v>
      </c>
    </row>
    <row r="1251" spans="1:18">
      <c r="A1251" s="15" t="str">
        <f t="shared" si="24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8" t="s">
        <v>75</v>
      </c>
      <c r="P1251" s="48">
        <f>HEX2DEC(RIGHT(Table1323212753[[#This Row],[h1]],8))</f>
        <v>0</v>
      </c>
      <c r="Q1251" s="48" t="s">
        <v>75</v>
      </c>
      <c r="R1251" s="48">
        <f>HEX2DEC(RIGHT(Table1323212753[[#This Row],[h2]],8))</f>
        <v>0</v>
      </c>
    </row>
    <row r="1252" spans="1:18">
      <c r="A1252" s="15" t="str">
        <f t="shared" si="24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8" t="s">
        <v>75</v>
      </c>
      <c r="P1252" s="48">
        <f>HEX2DEC(RIGHT(Table1323212753[[#This Row],[h1]],8))</f>
        <v>0</v>
      </c>
      <c r="Q1252" s="48" t="s">
        <v>75</v>
      </c>
      <c r="R1252" s="48">
        <f>HEX2DEC(RIGHT(Table1323212753[[#This Row],[h2]],8))</f>
        <v>0</v>
      </c>
    </row>
    <row r="1253" spans="1:18">
      <c r="A1253" s="15" t="str">
        <f t="shared" si="24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8" t="s">
        <v>75</v>
      </c>
      <c r="P1253" s="48">
        <f>HEX2DEC(RIGHT(Table1323212753[[#This Row],[h1]],8))</f>
        <v>0</v>
      </c>
      <c r="Q1253" s="48" t="s">
        <v>75</v>
      </c>
      <c r="R1253" s="48">
        <f>HEX2DEC(RIGHT(Table1323212753[[#This Row],[h2]],8))</f>
        <v>0</v>
      </c>
    </row>
    <row r="1254" spans="1:18">
      <c r="A1254" s="15" t="str">
        <f t="shared" si="24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8" t="s">
        <v>75</v>
      </c>
      <c r="P1254" s="48">
        <f>HEX2DEC(RIGHT(Table1323212753[[#This Row],[h1]],8))</f>
        <v>0</v>
      </c>
      <c r="Q1254" s="48" t="s">
        <v>75</v>
      </c>
      <c r="R1254" s="48">
        <f>HEX2DEC(RIGHT(Table1323212753[[#This Row],[h2]],8))</f>
        <v>0</v>
      </c>
    </row>
    <row r="1255" spans="1:18">
      <c r="A1255" s="15" t="str">
        <f t="shared" si="24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8" t="s">
        <v>75</v>
      </c>
      <c r="P1255" s="48">
        <f>HEX2DEC(RIGHT(Table1323212753[[#This Row],[h1]],8))</f>
        <v>0</v>
      </c>
      <c r="Q1255" s="48" t="s">
        <v>75</v>
      </c>
      <c r="R1255" s="48">
        <f>HEX2DEC(RIGHT(Table1323212753[[#This Row],[h2]],8))</f>
        <v>0</v>
      </c>
    </row>
    <row r="1256" spans="1:18">
      <c r="A1256" s="15" t="str">
        <f t="shared" si="24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8" t="s">
        <v>75</v>
      </c>
      <c r="P1256" s="48">
        <f>HEX2DEC(RIGHT(Table1323212753[[#This Row],[h1]],8))</f>
        <v>0</v>
      </c>
      <c r="Q1256" s="48" t="s">
        <v>75</v>
      </c>
      <c r="R1256" s="48">
        <f>HEX2DEC(RIGHT(Table1323212753[[#This Row],[h2]],8))</f>
        <v>0</v>
      </c>
    </row>
    <row r="1257" spans="1:18">
      <c r="A1257" s="15" t="str">
        <f t="shared" si="24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8" t="s">
        <v>75</v>
      </c>
      <c r="P1257" s="48">
        <f>HEX2DEC(RIGHT(Table1323212753[[#This Row],[h1]],8))</f>
        <v>0</v>
      </c>
      <c r="Q1257" s="48" t="s">
        <v>75</v>
      </c>
      <c r="R1257" s="48">
        <f>HEX2DEC(RIGHT(Table1323212753[[#This Row],[h2]],8))</f>
        <v>0</v>
      </c>
    </row>
    <row r="1258" spans="1:18">
      <c r="A1258" s="15" t="str">
        <f t="shared" si="24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8" t="s">
        <v>75</v>
      </c>
      <c r="P1258" s="48">
        <f>HEX2DEC(RIGHT(Table1323212753[[#This Row],[h1]],8))</f>
        <v>0</v>
      </c>
      <c r="Q1258" s="48" t="s">
        <v>75</v>
      </c>
      <c r="R1258" s="48">
        <f>HEX2DEC(RIGHT(Table1323212753[[#This Row],[h2]],8))</f>
        <v>0</v>
      </c>
    </row>
    <row r="1259" spans="1:18">
      <c r="A1259" s="15" t="str">
        <f t="shared" si="24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8" t="s">
        <v>75</v>
      </c>
      <c r="P1259" s="48">
        <f>HEX2DEC(RIGHT(Table1323212753[[#This Row],[h1]],8))</f>
        <v>0</v>
      </c>
      <c r="Q1259" s="48" t="s">
        <v>75</v>
      </c>
      <c r="R1259" s="48">
        <f>HEX2DEC(RIGHT(Table1323212753[[#This Row],[h2]],8))</f>
        <v>0</v>
      </c>
    </row>
    <row r="1260" spans="1:18">
      <c r="A1260" s="15" t="str">
        <f t="shared" si="24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8" t="s">
        <v>75</v>
      </c>
      <c r="P1260" s="48">
        <f>HEX2DEC(RIGHT(Table1323212753[[#This Row],[h1]],8))</f>
        <v>0</v>
      </c>
      <c r="Q1260" s="48" t="s">
        <v>75</v>
      </c>
      <c r="R1260" s="48">
        <f>HEX2DEC(RIGHT(Table1323212753[[#This Row],[h2]],8))</f>
        <v>0</v>
      </c>
    </row>
    <row r="1261" spans="1:18">
      <c r="A1261" s="15" t="str">
        <f t="shared" si="24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8" t="s">
        <v>75</v>
      </c>
      <c r="P1261" s="48">
        <f>HEX2DEC(RIGHT(Table1323212753[[#This Row],[h1]],8))</f>
        <v>0</v>
      </c>
      <c r="Q1261" s="48" t="s">
        <v>75</v>
      </c>
      <c r="R1261" s="48">
        <f>HEX2DEC(RIGHT(Table1323212753[[#This Row],[h2]],8))</f>
        <v>0</v>
      </c>
    </row>
    <row r="1262" spans="1:18">
      <c r="A1262" s="15" t="str">
        <f t="shared" si="24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8" t="s">
        <v>75</v>
      </c>
      <c r="P1262" s="48">
        <f>HEX2DEC(RIGHT(Table1323212753[[#This Row],[h1]],8))</f>
        <v>0</v>
      </c>
      <c r="Q1262" s="48" t="s">
        <v>75</v>
      </c>
      <c r="R1262" s="48">
        <f>HEX2DEC(RIGHT(Table1323212753[[#This Row],[h2]],8))</f>
        <v>0</v>
      </c>
    </row>
    <row r="1263" spans="1:18">
      <c r="A1263" s="15" t="str">
        <f t="shared" si="24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8" t="s">
        <v>75</v>
      </c>
      <c r="P1263" s="48">
        <f>HEX2DEC(RIGHT(Table1323212753[[#This Row],[h1]],8))</f>
        <v>0</v>
      </c>
      <c r="Q1263" s="48" t="s">
        <v>75</v>
      </c>
      <c r="R1263" s="48">
        <f>HEX2DEC(RIGHT(Table1323212753[[#This Row],[h2]],8))</f>
        <v>0</v>
      </c>
    </row>
    <row r="1264" spans="1:18">
      <c r="A1264" s="15" t="str">
        <f t="shared" si="24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8" t="s">
        <v>75</v>
      </c>
      <c r="P1264" s="48">
        <f>HEX2DEC(RIGHT(Table1323212753[[#This Row],[h1]],8))</f>
        <v>0</v>
      </c>
      <c r="Q1264" s="48" t="s">
        <v>75</v>
      </c>
      <c r="R1264" s="48">
        <f>HEX2DEC(RIGHT(Table1323212753[[#This Row],[h2]],8))</f>
        <v>0</v>
      </c>
    </row>
    <row r="1265" spans="1:18">
      <c r="A1265" s="15" t="str">
        <f t="shared" si="24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8" t="s">
        <v>75</v>
      </c>
      <c r="P1265" s="48">
        <f>HEX2DEC(RIGHT(Table1323212753[[#This Row],[h1]],8))</f>
        <v>0</v>
      </c>
      <c r="Q1265" s="48" t="s">
        <v>75</v>
      </c>
      <c r="R1265" s="48">
        <f>HEX2DEC(RIGHT(Table1323212753[[#This Row],[h2]],8))</f>
        <v>0</v>
      </c>
    </row>
    <row r="1266" spans="1:18">
      <c r="A1266" s="15" t="str">
        <f t="shared" si="24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8" t="s">
        <v>75</v>
      </c>
      <c r="P1266" s="48">
        <f>HEX2DEC(RIGHT(Table1323212753[[#This Row],[h1]],8))</f>
        <v>0</v>
      </c>
      <c r="Q1266" s="48" t="s">
        <v>75</v>
      </c>
      <c r="R1266" s="48">
        <f>HEX2DEC(RIGHT(Table1323212753[[#This Row],[h2]],8))</f>
        <v>0</v>
      </c>
    </row>
    <row r="1267" spans="1:18">
      <c r="A1267" s="15" t="str">
        <f t="shared" si="24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8" t="s">
        <v>75</v>
      </c>
      <c r="P1267" s="48">
        <f>HEX2DEC(RIGHT(Table1323212753[[#This Row],[h1]],8))</f>
        <v>0</v>
      </c>
      <c r="Q1267" s="48" t="s">
        <v>75</v>
      </c>
      <c r="R1267" s="48">
        <f>HEX2DEC(RIGHT(Table1323212753[[#This Row],[h2]],8))</f>
        <v>0</v>
      </c>
    </row>
    <row r="1268" spans="1:18">
      <c r="A1268" s="15" t="str">
        <f t="shared" si="24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8" t="s">
        <v>75</v>
      </c>
      <c r="P1268" s="48">
        <f>HEX2DEC(RIGHT(Table1323212753[[#This Row],[h1]],8))</f>
        <v>0</v>
      </c>
      <c r="Q1268" s="48" t="s">
        <v>75</v>
      </c>
      <c r="R1268" s="48">
        <f>HEX2DEC(RIGHT(Table1323212753[[#This Row],[h2]],8))</f>
        <v>0</v>
      </c>
    </row>
    <row r="1269" spans="1:18">
      <c r="A1269" s="15" t="str">
        <f t="shared" si="24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8" t="s">
        <v>75</v>
      </c>
      <c r="P1269" s="48">
        <f>HEX2DEC(RIGHT(Table1323212753[[#This Row],[h1]],8))</f>
        <v>0</v>
      </c>
      <c r="Q1269" s="48" t="s">
        <v>75</v>
      </c>
      <c r="R1269" s="48">
        <f>HEX2DEC(RIGHT(Table1323212753[[#This Row],[h2]],8))</f>
        <v>0</v>
      </c>
    </row>
    <row r="1270" spans="1:18">
      <c r="A1270" s="15" t="str">
        <f t="shared" si="24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8" t="s">
        <v>75</v>
      </c>
      <c r="P1270" s="48">
        <f>HEX2DEC(RIGHT(Table1323212753[[#This Row],[h1]],8))</f>
        <v>0</v>
      </c>
      <c r="Q1270" s="48" t="s">
        <v>75</v>
      </c>
      <c r="R1270" s="48">
        <f>HEX2DEC(RIGHT(Table1323212753[[#This Row],[h2]],8))</f>
        <v>0</v>
      </c>
    </row>
    <row r="1271" spans="1:18">
      <c r="A1271" s="15" t="str">
        <f t="shared" si="24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8" t="s">
        <v>75</v>
      </c>
      <c r="P1271" s="48">
        <f>HEX2DEC(RIGHT(Table1323212753[[#This Row],[h1]],8))</f>
        <v>0</v>
      </c>
      <c r="Q1271" s="48" t="s">
        <v>75</v>
      </c>
      <c r="R1271" s="48">
        <f>HEX2DEC(RIGHT(Table1323212753[[#This Row],[h2]],8))</f>
        <v>0</v>
      </c>
    </row>
    <row r="1272" spans="1:18">
      <c r="A1272" s="15" t="str">
        <f t="shared" si="24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8" t="s">
        <v>75</v>
      </c>
      <c r="P1272" s="48">
        <f>HEX2DEC(RIGHT(Table1323212753[[#This Row],[h1]],8))</f>
        <v>0</v>
      </c>
      <c r="Q1272" s="48" t="s">
        <v>75</v>
      </c>
      <c r="R1272" s="48">
        <f>HEX2DEC(RIGHT(Table1323212753[[#This Row],[h2]],8))</f>
        <v>0</v>
      </c>
    </row>
    <row r="1273" spans="1:18">
      <c r="A1273" s="15" t="str">
        <f t="shared" si="24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8" t="s">
        <v>75</v>
      </c>
      <c r="P1273" s="48">
        <f>HEX2DEC(RIGHT(Table1323212753[[#This Row],[h1]],8))</f>
        <v>0</v>
      </c>
      <c r="Q1273" s="48" t="s">
        <v>75</v>
      </c>
      <c r="R1273" s="48">
        <f>HEX2DEC(RIGHT(Table1323212753[[#This Row],[h2]],8))</f>
        <v>0</v>
      </c>
    </row>
    <row r="1274" spans="1:18">
      <c r="A1274" s="15" t="str">
        <f t="shared" si="24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8" t="s">
        <v>75</v>
      </c>
      <c r="P1274" s="48">
        <f>HEX2DEC(RIGHT(Table1323212753[[#This Row],[h1]],8))</f>
        <v>0</v>
      </c>
      <c r="Q1274" s="48" t="s">
        <v>75</v>
      </c>
      <c r="R1274" s="48">
        <f>HEX2DEC(RIGHT(Table1323212753[[#This Row],[h2]],8))</f>
        <v>0</v>
      </c>
    </row>
    <row r="1275" spans="1:18">
      <c r="A1275" s="15" t="str">
        <f t="shared" si="24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8" t="s">
        <v>75</v>
      </c>
      <c r="P1275" s="48">
        <f>HEX2DEC(RIGHT(Table1323212753[[#This Row],[h1]],8))</f>
        <v>0</v>
      </c>
      <c r="Q1275" s="48" t="s">
        <v>75</v>
      </c>
      <c r="R1275" s="48">
        <f>HEX2DEC(RIGHT(Table1323212753[[#This Row],[h2]],8))</f>
        <v>0</v>
      </c>
    </row>
    <row r="1276" spans="1:18">
      <c r="A1276" s="15" t="str">
        <f t="shared" si="24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8" t="s">
        <v>75</v>
      </c>
      <c r="P1276" s="48">
        <f>HEX2DEC(RIGHT(Table1323212753[[#This Row],[h1]],8))</f>
        <v>0</v>
      </c>
      <c r="Q1276" s="48" t="s">
        <v>75</v>
      </c>
      <c r="R1276" s="48">
        <f>HEX2DEC(RIGHT(Table1323212753[[#This Row],[h2]],8))</f>
        <v>0</v>
      </c>
    </row>
    <row r="1277" spans="1:18">
      <c r="A1277" s="15" t="str">
        <f t="shared" si="24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8" t="s">
        <v>75</v>
      </c>
      <c r="P1277" s="48">
        <f>HEX2DEC(RIGHT(Table1323212753[[#This Row],[h1]],8))</f>
        <v>0</v>
      </c>
      <c r="Q1277" s="48" t="s">
        <v>75</v>
      </c>
      <c r="R1277" s="48">
        <f>HEX2DEC(RIGHT(Table1323212753[[#This Row],[h2]],8))</f>
        <v>0</v>
      </c>
    </row>
    <row r="1278" spans="1:18">
      <c r="A1278" s="15" t="str">
        <f t="shared" si="24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8" t="s">
        <v>75</v>
      </c>
      <c r="P1278" s="48">
        <f>HEX2DEC(RIGHT(Table1323212753[[#This Row],[h1]],8))</f>
        <v>0</v>
      </c>
      <c r="Q1278" s="48" t="s">
        <v>75</v>
      </c>
      <c r="R1278" s="48">
        <f>HEX2DEC(RIGHT(Table1323212753[[#This Row],[h2]],8))</f>
        <v>0</v>
      </c>
    </row>
    <row r="1279" spans="1:18">
      <c r="A1279" s="15" t="str">
        <f t="shared" si="24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8" t="s">
        <v>75</v>
      </c>
      <c r="P1279" s="48">
        <f>HEX2DEC(RIGHT(Table1323212753[[#This Row],[h1]],8))</f>
        <v>0</v>
      </c>
      <c r="Q1279" s="48" t="s">
        <v>75</v>
      </c>
      <c r="R1279" s="48">
        <f>HEX2DEC(RIGHT(Table1323212753[[#This Row],[h2]],8))</f>
        <v>0</v>
      </c>
    </row>
    <row r="1280" spans="1:18">
      <c r="A1280" s="15" t="str">
        <f t="shared" si="24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8" t="s">
        <v>75</v>
      </c>
      <c r="P1280" s="48">
        <f>HEX2DEC(RIGHT(Table1323212753[[#This Row],[h1]],8))</f>
        <v>0</v>
      </c>
      <c r="Q1280" s="48" t="s">
        <v>75</v>
      </c>
      <c r="R1280" s="48">
        <f>HEX2DEC(RIGHT(Table1323212753[[#This Row],[h2]],8))</f>
        <v>0</v>
      </c>
    </row>
    <row r="1281" spans="1:18">
      <c r="A1281" s="15" t="str">
        <f t="shared" si="24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8" t="s">
        <v>75</v>
      </c>
      <c r="P1281" s="48">
        <f>HEX2DEC(RIGHT(Table1323212753[[#This Row],[h1]],8))</f>
        <v>0</v>
      </c>
      <c r="Q1281" s="48" t="s">
        <v>75</v>
      </c>
      <c r="R1281" s="48">
        <f>HEX2DEC(RIGHT(Table1323212753[[#This Row],[h2]],8))</f>
        <v>0</v>
      </c>
    </row>
    <row r="1282" spans="1:18">
      <c r="A1282" s="15" t="str">
        <f t="shared" si="24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8" t="s">
        <v>75</v>
      </c>
      <c r="P1282" s="48">
        <f>HEX2DEC(RIGHT(Table1323212753[[#This Row],[h1]],8))</f>
        <v>0</v>
      </c>
      <c r="Q1282" s="48" t="s">
        <v>75</v>
      </c>
      <c r="R1282" s="48">
        <f>HEX2DEC(RIGHT(Table1323212753[[#This Row],[h2]],8))</f>
        <v>0</v>
      </c>
    </row>
    <row r="1283" spans="1:18">
      <c r="A1283" s="15" t="str">
        <f t="shared" si="24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8" t="s">
        <v>75</v>
      </c>
      <c r="P1283" s="48">
        <f>HEX2DEC(RIGHT(Table1323212753[[#This Row],[h1]],8))</f>
        <v>0</v>
      </c>
      <c r="Q1283" s="48" t="s">
        <v>75</v>
      </c>
      <c r="R1283" s="48">
        <f>HEX2DEC(RIGHT(Table1323212753[[#This Row],[h2]],8))</f>
        <v>0</v>
      </c>
    </row>
    <row r="1284" spans="1:18">
      <c r="A1284" s="15" t="str">
        <f t="shared" si="24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8" t="s">
        <v>75</v>
      </c>
      <c r="P1284" s="48">
        <f>HEX2DEC(RIGHT(Table1323212753[[#This Row],[h1]],8))</f>
        <v>0</v>
      </c>
      <c r="Q1284" s="48" t="s">
        <v>75</v>
      </c>
      <c r="R1284" s="48">
        <f>HEX2DEC(RIGHT(Table1323212753[[#This Row],[h2]],8))</f>
        <v>0</v>
      </c>
    </row>
    <row r="1285" spans="1:18">
      <c r="A1285" s="15" t="str">
        <f t="shared" si="24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8" t="s">
        <v>75</v>
      </c>
      <c r="P1285" s="48">
        <f>HEX2DEC(RIGHT(Table1323212753[[#This Row],[h1]],8))</f>
        <v>0</v>
      </c>
      <c r="Q1285" s="48" t="s">
        <v>75</v>
      </c>
      <c r="R1285" s="48">
        <f>HEX2DEC(RIGHT(Table1323212753[[#This Row],[h2]],8))</f>
        <v>0</v>
      </c>
    </row>
    <row r="1286" spans="1:18">
      <c r="A1286" s="15" t="str">
        <f t="shared" si="24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8" t="s">
        <v>75</v>
      </c>
      <c r="P1286" s="48">
        <f>HEX2DEC(RIGHT(Table1323212753[[#This Row],[h1]],8))</f>
        <v>0</v>
      </c>
      <c r="Q1286" s="48" t="s">
        <v>75</v>
      </c>
      <c r="R1286" s="48">
        <f>HEX2DEC(RIGHT(Table1323212753[[#This Row],[h2]],8))</f>
        <v>0</v>
      </c>
    </row>
    <row r="1287" spans="1:18">
      <c r="A1287" s="15" t="str">
        <f t="shared" si="24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8" t="s">
        <v>75</v>
      </c>
      <c r="P1287" s="48">
        <f>HEX2DEC(RIGHT(Table1323212753[[#This Row],[h1]],8))</f>
        <v>0</v>
      </c>
      <c r="Q1287" s="48" t="s">
        <v>75</v>
      </c>
      <c r="R1287" s="48">
        <f>HEX2DEC(RIGHT(Table1323212753[[#This Row],[h2]],8))</f>
        <v>0</v>
      </c>
    </row>
    <row r="1288" spans="1:18">
      <c r="A1288" s="15" t="str">
        <f t="shared" si="24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8" t="s">
        <v>75</v>
      </c>
      <c r="P1288" s="48">
        <f>HEX2DEC(RIGHT(Table1323212753[[#This Row],[h1]],8))</f>
        <v>0</v>
      </c>
      <c r="Q1288" s="48" t="s">
        <v>75</v>
      </c>
      <c r="R1288" s="48">
        <f>HEX2DEC(RIGHT(Table1323212753[[#This Row],[h2]],8))</f>
        <v>0</v>
      </c>
    </row>
    <row r="1289" spans="1:18">
      <c r="A1289" s="15" t="str">
        <f t="shared" si="24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8" t="s">
        <v>75</v>
      </c>
      <c r="P1289" s="48">
        <f>HEX2DEC(RIGHT(Table1323212753[[#This Row],[h1]],8))</f>
        <v>0</v>
      </c>
      <c r="Q1289" s="48" t="s">
        <v>75</v>
      </c>
      <c r="R1289" s="48">
        <f>HEX2DEC(RIGHT(Table1323212753[[#This Row],[h2]],8))</f>
        <v>0</v>
      </c>
    </row>
    <row r="1290" spans="1:18">
      <c r="A1290" s="15" t="str">
        <f t="shared" si="24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8" t="s">
        <v>75</v>
      </c>
      <c r="P1290" s="48">
        <f>HEX2DEC(RIGHT(Table1323212753[[#This Row],[h1]],8))</f>
        <v>0</v>
      </c>
      <c r="Q1290" s="48" t="s">
        <v>75</v>
      </c>
      <c r="R1290" s="48">
        <f>HEX2DEC(RIGHT(Table1323212753[[#This Row],[h2]],8))</f>
        <v>0</v>
      </c>
    </row>
    <row r="1291" spans="1:18">
      <c r="A1291" s="15" t="str">
        <f t="shared" ref="A1291:A1354" si="25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8" t="s">
        <v>75</v>
      </c>
      <c r="P1291" s="48">
        <f>HEX2DEC(RIGHT(Table1323212753[[#This Row],[h1]],8))</f>
        <v>0</v>
      </c>
      <c r="Q1291" s="48" t="s">
        <v>75</v>
      </c>
      <c r="R1291" s="48">
        <f>HEX2DEC(RIGHT(Table1323212753[[#This Row],[h2]],8))</f>
        <v>0</v>
      </c>
    </row>
    <row r="1292" spans="1:18">
      <c r="A1292" s="15" t="str">
        <f t="shared" si="25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8" t="s">
        <v>75</v>
      </c>
      <c r="P1292" s="48">
        <f>HEX2DEC(RIGHT(Table1323212753[[#This Row],[h1]],8))</f>
        <v>0</v>
      </c>
      <c r="Q1292" s="48" t="s">
        <v>75</v>
      </c>
      <c r="R1292" s="48">
        <f>HEX2DEC(RIGHT(Table1323212753[[#This Row],[h2]],8))</f>
        <v>0</v>
      </c>
    </row>
    <row r="1293" spans="1:18">
      <c r="A1293" s="15" t="str">
        <f t="shared" si="25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8" t="s">
        <v>75</v>
      </c>
      <c r="P1293" s="48">
        <f>HEX2DEC(RIGHT(Table1323212753[[#This Row],[h1]],8))</f>
        <v>0</v>
      </c>
      <c r="Q1293" s="48" t="s">
        <v>75</v>
      </c>
      <c r="R1293" s="48">
        <f>HEX2DEC(RIGHT(Table1323212753[[#This Row],[h2]],8))</f>
        <v>0</v>
      </c>
    </row>
    <row r="1294" spans="1:18">
      <c r="A1294" s="15" t="str">
        <f t="shared" si="25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8" t="s">
        <v>75</v>
      </c>
      <c r="P1294" s="48">
        <f>HEX2DEC(RIGHT(Table1323212753[[#This Row],[h1]],8))</f>
        <v>0</v>
      </c>
      <c r="Q1294" s="48" t="s">
        <v>75</v>
      </c>
      <c r="R1294" s="48">
        <f>HEX2DEC(RIGHT(Table1323212753[[#This Row],[h2]],8))</f>
        <v>0</v>
      </c>
    </row>
    <row r="1295" spans="1:18">
      <c r="A1295" s="15" t="str">
        <f t="shared" si="25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8" t="s">
        <v>75</v>
      </c>
      <c r="P1295" s="48">
        <f>HEX2DEC(RIGHT(Table1323212753[[#This Row],[h1]],8))</f>
        <v>0</v>
      </c>
      <c r="Q1295" s="48" t="s">
        <v>75</v>
      </c>
      <c r="R1295" s="48">
        <f>HEX2DEC(RIGHT(Table1323212753[[#This Row],[h2]],8))</f>
        <v>0</v>
      </c>
    </row>
    <row r="1296" spans="1:18">
      <c r="A1296" s="15" t="str">
        <f t="shared" si="25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8" t="s">
        <v>75</v>
      </c>
      <c r="P1296" s="48">
        <f>HEX2DEC(RIGHT(Table1323212753[[#This Row],[h1]],8))</f>
        <v>0</v>
      </c>
      <c r="Q1296" s="48" t="s">
        <v>75</v>
      </c>
      <c r="R1296" s="48">
        <f>HEX2DEC(RIGHT(Table1323212753[[#This Row],[h2]],8))</f>
        <v>0</v>
      </c>
    </row>
    <row r="1297" spans="1:18">
      <c r="A1297" s="15" t="str">
        <f t="shared" si="25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8" t="s">
        <v>75</v>
      </c>
      <c r="P1297" s="48">
        <f>HEX2DEC(RIGHT(Table1323212753[[#This Row],[h1]],8))</f>
        <v>0</v>
      </c>
      <c r="Q1297" s="48" t="s">
        <v>75</v>
      </c>
      <c r="R1297" s="48">
        <f>HEX2DEC(RIGHT(Table1323212753[[#This Row],[h2]],8))</f>
        <v>0</v>
      </c>
    </row>
    <row r="1298" spans="1:18">
      <c r="A1298" s="15" t="str">
        <f t="shared" si="25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8" t="s">
        <v>75</v>
      </c>
      <c r="P1298" s="48">
        <f>HEX2DEC(RIGHT(Table1323212753[[#This Row],[h1]],8))</f>
        <v>0</v>
      </c>
      <c r="Q1298" s="48" t="s">
        <v>75</v>
      </c>
      <c r="R1298" s="48">
        <f>HEX2DEC(RIGHT(Table1323212753[[#This Row],[h2]],8))</f>
        <v>0</v>
      </c>
    </row>
    <row r="1299" spans="1:18">
      <c r="A1299" s="15" t="str">
        <f t="shared" si="25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8" t="s">
        <v>75</v>
      </c>
      <c r="P1299" s="48">
        <f>HEX2DEC(RIGHT(Table1323212753[[#This Row],[h1]],8))</f>
        <v>0</v>
      </c>
      <c r="Q1299" s="48" t="s">
        <v>75</v>
      </c>
      <c r="R1299" s="48">
        <f>HEX2DEC(RIGHT(Table1323212753[[#This Row],[h2]],8))</f>
        <v>0</v>
      </c>
    </row>
    <row r="1300" spans="1:18">
      <c r="A1300" s="15" t="str">
        <f t="shared" si="25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8" t="s">
        <v>75</v>
      </c>
      <c r="P1300" s="48">
        <f>HEX2DEC(RIGHT(Table1323212753[[#This Row],[h1]],8))</f>
        <v>0</v>
      </c>
      <c r="Q1300" s="48" t="s">
        <v>75</v>
      </c>
      <c r="R1300" s="48">
        <f>HEX2DEC(RIGHT(Table1323212753[[#This Row],[h2]],8))</f>
        <v>0</v>
      </c>
    </row>
    <row r="1301" spans="1:18">
      <c r="A1301" s="15" t="str">
        <f t="shared" si="25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8" t="s">
        <v>75</v>
      </c>
      <c r="P1301" s="48">
        <f>HEX2DEC(RIGHT(Table1323212753[[#This Row],[h1]],8))</f>
        <v>0</v>
      </c>
      <c r="Q1301" s="48" t="s">
        <v>75</v>
      </c>
      <c r="R1301" s="48">
        <f>HEX2DEC(RIGHT(Table1323212753[[#This Row],[h2]],8))</f>
        <v>0</v>
      </c>
    </row>
    <row r="1302" spans="1:18">
      <c r="A1302" s="15" t="str">
        <f t="shared" si="25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8" t="s">
        <v>75</v>
      </c>
      <c r="P1302" s="48">
        <f>HEX2DEC(RIGHT(Table1323212753[[#This Row],[h1]],8))</f>
        <v>0</v>
      </c>
      <c r="Q1302" s="48" t="s">
        <v>75</v>
      </c>
      <c r="R1302" s="48">
        <f>HEX2DEC(RIGHT(Table1323212753[[#This Row],[h2]],8))</f>
        <v>0</v>
      </c>
    </row>
    <row r="1303" spans="1:18">
      <c r="A1303" s="15" t="str">
        <f t="shared" si="25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8" t="s">
        <v>75</v>
      </c>
      <c r="P1303" s="48">
        <f>HEX2DEC(RIGHT(Table1323212753[[#This Row],[h1]],8))</f>
        <v>0</v>
      </c>
      <c r="Q1303" s="48" t="s">
        <v>75</v>
      </c>
      <c r="R1303" s="48">
        <f>HEX2DEC(RIGHT(Table1323212753[[#This Row],[h2]],8))</f>
        <v>0</v>
      </c>
    </row>
    <row r="1304" spans="1:18">
      <c r="A1304" s="15" t="str">
        <f t="shared" si="25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8" t="s">
        <v>75</v>
      </c>
      <c r="P1304" s="48">
        <f>HEX2DEC(RIGHT(Table1323212753[[#This Row],[h1]],8))</f>
        <v>0</v>
      </c>
      <c r="Q1304" s="48" t="s">
        <v>75</v>
      </c>
      <c r="R1304" s="48">
        <f>HEX2DEC(RIGHT(Table1323212753[[#This Row],[h2]],8))</f>
        <v>0</v>
      </c>
    </row>
    <row r="1305" spans="1:18">
      <c r="A1305" s="15" t="str">
        <f t="shared" si="25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8" t="s">
        <v>75</v>
      </c>
      <c r="P1305" s="48">
        <f>HEX2DEC(RIGHT(Table1323212753[[#This Row],[h1]],8))</f>
        <v>0</v>
      </c>
      <c r="Q1305" s="48" t="s">
        <v>75</v>
      </c>
      <c r="R1305" s="48">
        <f>HEX2DEC(RIGHT(Table1323212753[[#This Row],[h2]],8))</f>
        <v>0</v>
      </c>
    </row>
    <row r="1306" spans="1:18">
      <c r="A1306" s="15" t="str">
        <f t="shared" si="25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8" t="s">
        <v>75</v>
      </c>
      <c r="P1306" s="48">
        <f>HEX2DEC(RIGHT(Table1323212753[[#This Row],[h1]],8))</f>
        <v>0</v>
      </c>
      <c r="Q1306" s="48" t="s">
        <v>75</v>
      </c>
      <c r="R1306" s="48">
        <f>HEX2DEC(RIGHT(Table1323212753[[#This Row],[h2]],8))</f>
        <v>0</v>
      </c>
    </row>
    <row r="1307" spans="1:18">
      <c r="A1307" s="15" t="str">
        <f t="shared" si="25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8" t="s">
        <v>75</v>
      </c>
      <c r="P1307" s="48">
        <f>HEX2DEC(RIGHT(Table1323212753[[#This Row],[h1]],8))</f>
        <v>0</v>
      </c>
      <c r="Q1307" s="48" t="s">
        <v>75</v>
      </c>
      <c r="R1307" s="48">
        <f>HEX2DEC(RIGHT(Table1323212753[[#This Row],[h2]],8))</f>
        <v>0</v>
      </c>
    </row>
    <row r="1308" spans="1:18">
      <c r="A1308" s="15" t="str">
        <f t="shared" si="25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8" t="s">
        <v>75</v>
      </c>
      <c r="P1308" s="48">
        <f>HEX2DEC(RIGHT(Table1323212753[[#This Row],[h1]],8))</f>
        <v>0</v>
      </c>
      <c r="Q1308" s="48" t="s">
        <v>75</v>
      </c>
      <c r="R1308" s="48">
        <f>HEX2DEC(RIGHT(Table1323212753[[#This Row],[h2]],8))</f>
        <v>0</v>
      </c>
    </row>
    <row r="1309" spans="1:18">
      <c r="A1309" s="15" t="str">
        <f t="shared" si="25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8" t="s">
        <v>75</v>
      </c>
      <c r="P1309" s="48">
        <f>HEX2DEC(RIGHT(Table1323212753[[#This Row],[h1]],8))</f>
        <v>0</v>
      </c>
      <c r="Q1309" s="48" t="s">
        <v>75</v>
      </c>
      <c r="R1309" s="48">
        <f>HEX2DEC(RIGHT(Table1323212753[[#This Row],[h2]],8))</f>
        <v>0</v>
      </c>
    </row>
    <row r="1310" spans="1:18">
      <c r="A1310" s="15" t="str">
        <f t="shared" si="25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8" t="s">
        <v>75</v>
      </c>
      <c r="P1310" s="48">
        <f>HEX2DEC(RIGHT(Table1323212753[[#This Row],[h1]],8))</f>
        <v>0</v>
      </c>
      <c r="Q1310" s="48" t="s">
        <v>75</v>
      </c>
      <c r="R1310" s="48">
        <f>HEX2DEC(RIGHT(Table1323212753[[#This Row],[h2]],8))</f>
        <v>0</v>
      </c>
    </row>
    <row r="1311" spans="1:18">
      <c r="A1311" s="15" t="str">
        <f t="shared" si="25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8" t="s">
        <v>75</v>
      </c>
      <c r="P1311" s="48">
        <f>HEX2DEC(RIGHT(Table1323212753[[#This Row],[h1]],8))</f>
        <v>0</v>
      </c>
      <c r="Q1311" s="48" t="s">
        <v>75</v>
      </c>
      <c r="R1311" s="48">
        <f>HEX2DEC(RIGHT(Table1323212753[[#This Row],[h2]],8))</f>
        <v>0</v>
      </c>
    </row>
    <row r="1312" spans="1:18">
      <c r="A1312" s="15" t="str">
        <f t="shared" si="25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8" t="s">
        <v>75</v>
      </c>
      <c r="P1312" s="48">
        <f>HEX2DEC(RIGHT(Table1323212753[[#This Row],[h1]],8))</f>
        <v>0</v>
      </c>
      <c r="Q1312" s="48" t="s">
        <v>75</v>
      </c>
      <c r="R1312" s="48">
        <f>HEX2DEC(RIGHT(Table1323212753[[#This Row],[h2]],8))</f>
        <v>0</v>
      </c>
    </row>
    <row r="1313" spans="1:18">
      <c r="A1313" s="15" t="str">
        <f t="shared" si="25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8" t="s">
        <v>75</v>
      </c>
      <c r="P1313" s="48">
        <f>HEX2DEC(RIGHT(Table1323212753[[#This Row],[h1]],8))</f>
        <v>0</v>
      </c>
      <c r="Q1313" s="48" t="s">
        <v>75</v>
      </c>
      <c r="R1313" s="48">
        <f>HEX2DEC(RIGHT(Table1323212753[[#This Row],[h2]],8))</f>
        <v>0</v>
      </c>
    </row>
    <row r="1314" spans="1:18">
      <c r="A1314" s="15" t="str">
        <f t="shared" si="25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8" t="s">
        <v>75</v>
      </c>
      <c r="P1314" s="48">
        <f>HEX2DEC(RIGHT(Table1323212753[[#This Row],[h1]],8))</f>
        <v>0</v>
      </c>
      <c r="Q1314" s="48" t="s">
        <v>75</v>
      </c>
      <c r="R1314" s="48">
        <f>HEX2DEC(RIGHT(Table1323212753[[#This Row],[h2]],8))</f>
        <v>0</v>
      </c>
    </row>
    <row r="1315" spans="1:18">
      <c r="A1315" s="15" t="str">
        <f t="shared" si="25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8" t="s">
        <v>75</v>
      </c>
      <c r="P1315" s="48">
        <f>HEX2DEC(RIGHT(Table1323212753[[#This Row],[h1]],8))</f>
        <v>0</v>
      </c>
      <c r="Q1315" s="48" t="s">
        <v>75</v>
      </c>
      <c r="R1315" s="48">
        <f>HEX2DEC(RIGHT(Table1323212753[[#This Row],[h2]],8))</f>
        <v>0</v>
      </c>
    </row>
    <row r="1316" spans="1:18">
      <c r="A1316" s="15" t="str">
        <f t="shared" si="25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8" t="s">
        <v>75</v>
      </c>
      <c r="P1316" s="48">
        <f>HEX2DEC(RIGHT(Table1323212753[[#This Row],[h1]],8))</f>
        <v>0</v>
      </c>
      <c r="Q1316" s="48" t="s">
        <v>75</v>
      </c>
      <c r="R1316" s="48">
        <f>HEX2DEC(RIGHT(Table1323212753[[#This Row],[h2]],8))</f>
        <v>0</v>
      </c>
    </row>
    <row r="1317" spans="1:18">
      <c r="A1317" s="15" t="str">
        <f t="shared" si="25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8" t="s">
        <v>75</v>
      </c>
      <c r="P1317" s="48">
        <f>HEX2DEC(RIGHT(Table1323212753[[#This Row],[h1]],8))</f>
        <v>0</v>
      </c>
      <c r="Q1317" s="48" t="s">
        <v>75</v>
      </c>
      <c r="R1317" s="48">
        <f>HEX2DEC(RIGHT(Table1323212753[[#This Row],[h2]],8))</f>
        <v>0</v>
      </c>
    </row>
    <row r="1318" spans="1:18">
      <c r="A1318" s="15" t="str">
        <f t="shared" si="25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8" t="s">
        <v>75</v>
      </c>
      <c r="P1318" s="48">
        <f>HEX2DEC(RIGHT(Table1323212753[[#This Row],[h1]],8))</f>
        <v>0</v>
      </c>
      <c r="Q1318" s="48" t="s">
        <v>75</v>
      </c>
      <c r="R1318" s="48">
        <f>HEX2DEC(RIGHT(Table1323212753[[#This Row],[h2]],8))</f>
        <v>0</v>
      </c>
    </row>
    <row r="1319" spans="1:18">
      <c r="A1319" s="15" t="str">
        <f t="shared" si="25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8" t="s">
        <v>75</v>
      </c>
      <c r="P1319" s="48">
        <f>HEX2DEC(RIGHT(Table1323212753[[#This Row],[h1]],8))</f>
        <v>0</v>
      </c>
      <c r="Q1319" s="48" t="s">
        <v>75</v>
      </c>
      <c r="R1319" s="48">
        <f>HEX2DEC(RIGHT(Table1323212753[[#This Row],[h2]],8))</f>
        <v>0</v>
      </c>
    </row>
    <row r="1320" spans="1:18">
      <c r="A1320" s="15" t="str">
        <f t="shared" si="25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8" t="s">
        <v>75</v>
      </c>
      <c r="P1320" s="48">
        <f>HEX2DEC(RIGHT(Table1323212753[[#This Row],[h1]],8))</f>
        <v>0</v>
      </c>
      <c r="Q1320" s="48" t="s">
        <v>75</v>
      </c>
      <c r="R1320" s="48">
        <f>HEX2DEC(RIGHT(Table1323212753[[#This Row],[h2]],8))</f>
        <v>0</v>
      </c>
    </row>
    <row r="1321" spans="1:18">
      <c r="A1321" s="15" t="str">
        <f t="shared" si="25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8" t="s">
        <v>75</v>
      </c>
      <c r="P1321" s="48">
        <f>HEX2DEC(RIGHT(Table1323212753[[#This Row],[h1]],8))</f>
        <v>0</v>
      </c>
      <c r="Q1321" s="48" t="s">
        <v>75</v>
      </c>
      <c r="R1321" s="48">
        <f>HEX2DEC(RIGHT(Table1323212753[[#This Row],[h2]],8))</f>
        <v>0</v>
      </c>
    </row>
    <row r="1322" spans="1:18">
      <c r="A1322" s="15" t="str">
        <f t="shared" si="25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8" t="s">
        <v>75</v>
      </c>
      <c r="P1322" s="48">
        <f>HEX2DEC(RIGHT(Table1323212753[[#This Row],[h1]],8))</f>
        <v>0</v>
      </c>
      <c r="Q1322" s="48" t="s">
        <v>75</v>
      </c>
      <c r="R1322" s="48">
        <f>HEX2DEC(RIGHT(Table1323212753[[#This Row],[h2]],8))</f>
        <v>0</v>
      </c>
    </row>
    <row r="1323" spans="1:18">
      <c r="A1323" s="15" t="str">
        <f t="shared" si="25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8" t="s">
        <v>75</v>
      </c>
      <c r="P1323" s="48">
        <f>HEX2DEC(RIGHT(Table1323212753[[#This Row],[h1]],8))</f>
        <v>0</v>
      </c>
      <c r="Q1323" s="48" t="s">
        <v>75</v>
      </c>
      <c r="R1323" s="48">
        <f>HEX2DEC(RIGHT(Table1323212753[[#This Row],[h2]],8))</f>
        <v>0</v>
      </c>
    </row>
    <row r="1324" spans="1:18">
      <c r="A1324" s="15" t="str">
        <f t="shared" si="25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8" t="s">
        <v>75</v>
      </c>
      <c r="P1324" s="48">
        <f>HEX2DEC(RIGHT(Table1323212753[[#This Row],[h1]],8))</f>
        <v>0</v>
      </c>
      <c r="Q1324" s="48" t="s">
        <v>75</v>
      </c>
      <c r="R1324" s="48">
        <f>HEX2DEC(RIGHT(Table1323212753[[#This Row],[h2]],8))</f>
        <v>0</v>
      </c>
    </row>
    <row r="1325" spans="1:18">
      <c r="A1325" s="15" t="str">
        <f t="shared" si="25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8" t="s">
        <v>75</v>
      </c>
      <c r="P1325" s="48">
        <f>HEX2DEC(RIGHT(Table1323212753[[#This Row],[h1]],8))</f>
        <v>0</v>
      </c>
      <c r="Q1325" s="48" t="s">
        <v>75</v>
      </c>
      <c r="R1325" s="48">
        <f>HEX2DEC(RIGHT(Table1323212753[[#This Row],[h2]],8))</f>
        <v>0</v>
      </c>
    </row>
    <row r="1326" spans="1:18">
      <c r="A1326" s="15" t="str">
        <f t="shared" si="25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8" t="s">
        <v>75</v>
      </c>
      <c r="P1326" s="48">
        <f>HEX2DEC(RIGHT(Table1323212753[[#This Row],[h1]],8))</f>
        <v>0</v>
      </c>
      <c r="Q1326" s="48" t="s">
        <v>75</v>
      </c>
      <c r="R1326" s="48">
        <f>HEX2DEC(RIGHT(Table1323212753[[#This Row],[h2]],8))</f>
        <v>0</v>
      </c>
    </row>
    <row r="1327" spans="1:18">
      <c r="A1327" s="15" t="str">
        <f t="shared" si="25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8" t="s">
        <v>75</v>
      </c>
      <c r="P1327" s="48">
        <f>HEX2DEC(RIGHT(Table1323212753[[#This Row],[h1]],8))</f>
        <v>0</v>
      </c>
      <c r="Q1327" s="48" t="s">
        <v>75</v>
      </c>
      <c r="R1327" s="48">
        <f>HEX2DEC(RIGHT(Table1323212753[[#This Row],[h2]],8))</f>
        <v>0</v>
      </c>
    </row>
    <row r="1328" spans="1:18">
      <c r="A1328" s="15" t="str">
        <f t="shared" si="25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8" t="s">
        <v>75</v>
      </c>
      <c r="P1328" s="48">
        <f>HEX2DEC(RIGHT(Table1323212753[[#This Row],[h1]],8))</f>
        <v>0</v>
      </c>
      <c r="Q1328" s="48" t="s">
        <v>75</v>
      </c>
      <c r="R1328" s="48">
        <f>HEX2DEC(RIGHT(Table1323212753[[#This Row],[h2]],8))</f>
        <v>0</v>
      </c>
    </row>
    <row r="1329" spans="1:18">
      <c r="A1329" s="15" t="str">
        <f t="shared" si="25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8" t="s">
        <v>75</v>
      </c>
      <c r="P1329" s="48">
        <f>HEX2DEC(RIGHT(Table1323212753[[#This Row],[h1]],8))</f>
        <v>0</v>
      </c>
      <c r="Q1329" s="48" t="s">
        <v>75</v>
      </c>
      <c r="R1329" s="48">
        <f>HEX2DEC(RIGHT(Table1323212753[[#This Row],[h2]],8))</f>
        <v>0</v>
      </c>
    </row>
    <row r="1330" spans="1:18">
      <c r="A1330" s="15" t="str">
        <f t="shared" si="25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8" t="s">
        <v>75</v>
      </c>
      <c r="P1330" s="48">
        <f>HEX2DEC(RIGHT(Table1323212753[[#This Row],[h1]],8))</f>
        <v>0</v>
      </c>
      <c r="Q1330" s="48" t="s">
        <v>75</v>
      </c>
      <c r="R1330" s="48">
        <f>HEX2DEC(RIGHT(Table1323212753[[#This Row],[h2]],8))</f>
        <v>0</v>
      </c>
    </row>
    <row r="1331" spans="1:18">
      <c r="A1331" s="15" t="str">
        <f t="shared" si="25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8" t="s">
        <v>75</v>
      </c>
      <c r="P1331" s="48">
        <f>HEX2DEC(RIGHT(Table1323212753[[#This Row],[h1]],8))</f>
        <v>0</v>
      </c>
      <c r="Q1331" s="48" t="s">
        <v>75</v>
      </c>
      <c r="R1331" s="48">
        <f>HEX2DEC(RIGHT(Table1323212753[[#This Row],[h2]],8))</f>
        <v>0</v>
      </c>
    </row>
    <row r="1332" spans="1:18">
      <c r="A1332" s="15" t="str">
        <f t="shared" si="25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8" t="s">
        <v>75</v>
      </c>
      <c r="P1332" s="48">
        <f>HEX2DEC(RIGHT(Table1323212753[[#This Row],[h1]],8))</f>
        <v>0</v>
      </c>
      <c r="Q1332" s="48" t="s">
        <v>75</v>
      </c>
      <c r="R1332" s="48">
        <f>HEX2DEC(RIGHT(Table1323212753[[#This Row],[h2]],8))</f>
        <v>0</v>
      </c>
    </row>
    <row r="1333" spans="1:18">
      <c r="A1333" s="15" t="str">
        <f t="shared" si="25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8" t="s">
        <v>75</v>
      </c>
      <c r="P1333" s="48">
        <f>HEX2DEC(RIGHT(Table1323212753[[#This Row],[h1]],8))</f>
        <v>0</v>
      </c>
      <c r="Q1333" s="48" t="s">
        <v>75</v>
      </c>
      <c r="R1333" s="48">
        <f>HEX2DEC(RIGHT(Table1323212753[[#This Row],[h2]],8))</f>
        <v>0</v>
      </c>
    </row>
    <row r="1334" spans="1:18">
      <c r="A1334" s="15" t="str">
        <f t="shared" si="25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8" t="s">
        <v>75</v>
      </c>
      <c r="P1334" s="48">
        <f>HEX2DEC(RIGHT(Table1323212753[[#This Row],[h1]],8))</f>
        <v>0</v>
      </c>
      <c r="Q1334" s="48" t="s">
        <v>75</v>
      </c>
      <c r="R1334" s="48">
        <f>HEX2DEC(RIGHT(Table1323212753[[#This Row],[h2]],8))</f>
        <v>0</v>
      </c>
    </row>
    <row r="1335" spans="1:18">
      <c r="A1335" s="15" t="str">
        <f t="shared" si="25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8" t="s">
        <v>75</v>
      </c>
      <c r="P1335" s="48">
        <f>HEX2DEC(RIGHT(Table1323212753[[#This Row],[h1]],8))</f>
        <v>0</v>
      </c>
      <c r="Q1335" s="48" t="s">
        <v>75</v>
      </c>
      <c r="R1335" s="48">
        <f>HEX2DEC(RIGHT(Table1323212753[[#This Row],[h2]],8))</f>
        <v>0</v>
      </c>
    </row>
    <row r="1336" spans="1:18">
      <c r="A1336" s="15" t="str">
        <f t="shared" si="25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8" t="s">
        <v>75</v>
      </c>
      <c r="P1336" s="48">
        <f>HEX2DEC(RIGHT(Table1323212753[[#This Row],[h1]],8))</f>
        <v>0</v>
      </c>
      <c r="Q1336" s="48" t="s">
        <v>75</v>
      </c>
      <c r="R1336" s="48">
        <f>HEX2DEC(RIGHT(Table1323212753[[#This Row],[h2]],8))</f>
        <v>0</v>
      </c>
    </row>
    <row r="1337" spans="1:18">
      <c r="A1337" s="15" t="str">
        <f t="shared" si="25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8" t="s">
        <v>75</v>
      </c>
      <c r="P1337" s="48">
        <f>HEX2DEC(RIGHT(Table1323212753[[#This Row],[h1]],8))</f>
        <v>0</v>
      </c>
      <c r="Q1337" s="48" t="s">
        <v>75</v>
      </c>
      <c r="R1337" s="48">
        <f>HEX2DEC(RIGHT(Table1323212753[[#This Row],[h2]],8))</f>
        <v>0</v>
      </c>
    </row>
    <row r="1338" spans="1:18">
      <c r="A1338" s="15" t="str">
        <f t="shared" si="25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8" t="s">
        <v>75</v>
      </c>
      <c r="P1338" s="48">
        <f>HEX2DEC(RIGHT(Table1323212753[[#This Row],[h1]],8))</f>
        <v>0</v>
      </c>
      <c r="Q1338" s="48" t="s">
        <v>75</v>
      </c>
      <c r="R1338" s="48">
        <f>HEX2DEC(RIGHT(Table1323212753[[#This Row],[h2]],8))</f>
        <v>0</v>
      </c>
    </row>
    <row r="1339" spans="1:18">
      <c r="A1339" s="15" t="str">
        <f t="shared" si="25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8" t="s">
        <v>75</v>
      </c>
      <c r="P1339" s="48">
        <f>HEX2DEC(RIGHT(Table1323212753[[#This Row],[h1]],8))</f>
        <v>0</v>
      </c>
      <c r="Q1339" s="48" t="s">
        <v>75</v>
      </c>
      <c r="R1339" s="48">
        <f>HEX2DEC(RIGHT(Table1323212753[[#This Row],[h2]],8))</f>
        <v>0</v>
      </c>
    </row>
    <row r="1340" spans="1:18">
      <c r="A1340" s="15" t="str">
        <f t="shared" si="25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8" t="s">
        <v>75</v>
      </c>
      <c r="P1340" s="48">
        <f>HEX2DEC(RIGHT(Table1323212753[[#This Row],[h1]],8))</f>
        <v>0</v>
      </c>
      <c r="Q1340" s="48" t="s">
        <v>75</v>
      </c>
      <c r="R1340" s="48">
        <f>HEX2DEC(RIGHT(Table1323212753[[#This Row],[h2]],8))</f>
        <v>0</v>
      </c>
    </row>
    <row r="1341" spans="1:18">
      <c r="A1341" s="15" t="str">
        <f t="shared" si="25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8" t="s">
        <v>75</v>
      </c>
      <c r="P1341" s="48">
        <f>HEX2DEC(RIGHT(Table1323212753[[#This Row],[h1]],8))</f>
        <v>0</v>
      </c>
      <c r="Q1341" s="48" t="s">
        <v>75</v>
      </c>
      <c r="R1341" s="48">
        <f>HEX2DEC(RIGHT(Table1323212753[[#This Row],[h2]],8))</f>
        <v>0</v>
      </c>
    </row>
    <row r="1342" spans="1:18">
      <c r="A1342" s="15" t="str">
        <f t="shared" si="25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8" t="s">
        <v>75</v>
      </c>
      <c r="P1342" s="48">
        <f>HEX2DEC(RIGHT(Table1323212753[[#This Row],[h1]],8))</f>
        <v>0</v>
      </c>
      <c r="Q1342" s="48" t="s">
        <v>75</v>
      </c>
      <c r="R1342" s="48">
        <f>HEX2DEC(RIGHT(Table1323212753[[#This Row],[h2]],8))</f>
        <v>0</v>
      </c>
    </row>
    <row r="1343" spans="1:18">
      <c r="A1343" s="15" t="str">
        <f t="shared" si="25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8" t="s">
        <v>75</v>
      </c>
      <c r="P1343" s="48">
        <f>HEX2DEC(RIGHT(Table1323212753[[#This Row],[h1]],8))</f>
        <v>0</v>
      </c>
      <c r="Q1343" s="48" t="s">
        <v>75</v>
      </c>
      <c r="R1343" s="48">
        <f>HEX2DEC(RIGHT(Table1323212753[[#This Row],[h2]],8))</f>
        <v>0</v>
      </c>
    </row>
    <row r="1344" spans="1:18">
      <c r="A1344" s="15" t="str">
        <f t="shared" si="25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8" t="s">
        <v>75</v>
      </c>
      <c r="P1344" s="48">
        <f>HEX2DEC(RIGHT(Table1323212753[[#This Row],[h1]],8))</f>
        <v>0</v>
      </c>
      <c r="Q1344" s="48" t="s">
        <v>75</v>
      </c>
      <c r="R1344" s="48">
        <f>HEX2DEC(RIGHT(Table1323212753[[#This Row],[h2]],8))</f>
        <v>0</v>
      </c>
    </row>
    <row r="1345" spans="1:18">
      <c r="A1345" s="15" t="str">
        <f t="shared" si="25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8" t="s">
        <v>75</v>
      </c>
      <c r="P1345" s="48">
        <f>HEX2DEC(RIGHT(Table1323212753[[#This Row],[h1]],8))</f>
        <v>0</v>
      </c>
      <c r="Q1345" s="48" t="s">
        <v>75</v>
      </c>
      <c r="R1345" s="48">
        <f>HEX2DEC(RIGHT(Table1323212753[[#This Row],[h2]],8))</f>
        <v>0</v>
      </c>
    </row>
    <row r="1346" spans="1:18">
      <c r="A1346" s="15" t="str">
        <f t="shared" si="25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8" t="s">
        <v>75</v>
      </c>
      <c r="P1346" s="48">
        <f>HEX2DEC(RIGHT(Table1323212753[[#This Row],[h1]],8))</f>
        <v>0</v>
      </c>
      <c r="Q1346" s="48" t="s">
        <v>75</v>
      </c>
      <c r="R1346" s="48">
        <f>HEX2DEC(RIGHT(Table1323212753[[#This Row],[h2]],8))</f>
        <v>0</v>
      </c>
    </row>
    <row r="1347" spans="1:18">
      <c r="A1347" s="15" t="str">
        <f t="shared" si="25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8" t="s">
        <v>75</v>
      </c>
      <c r="P1347" s="48">
        <f>HEX2DEC(RIGHT(Table1323212753[[#This Row],[h1]],8))</f>
        <v>0</v>
      </c>
      <c r="Q1347" s="48" t="s">
        <v>75</v>
      </c>
      <c r="R1347" s="48">
        <f>HEX2DEC(RIGHT(Table1323212753[[#This Row],[h2]],8))</f>
        <v>0</v>
      </c>
    </row>
    <row r="1348" spans="1:18">
      <c r="A1348" s="15" t="str">
        <f t="shared" si="25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8" t="s">
        <v>75</v>
      </c>
      <c r="P1348" s="48">
        <f>HEX2DEC(RIGHT(Table1323212753[[#This Row],[h1]],8))</f>
        <v>0</v>
      </c>
      <c r="Q1348" s="48" t="s">
        <v>75</v>
      </c>
      <c r="R1348" s="48">
        <f>HEX2DEC(RIGHT(Table1323212753[[#This Row],[h2]],8))</f>
        <v>0</v>
      </c>
    </row>
    <row r="1349" spans="1:18">
      <c r="A1349" s="15" t="str">
        <f t="shared" si="25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8" t="s">
        <v>75</v>
      </c>
      <c r="P1349" s="48">
        <f>HEX2DEC(RIGHT(Table1323212753[[#This Row],[h1]],8))</f>
        <v>0</v>
      </c>
      <c r="Q1349" s="48" t="s">
        <v>75</v>
      </c>
      <c r="R1349" s="48">
        <f>HEX2DEC(RIGHT(Table1323212753[[#This Row],[h2]],8))</f>
        <v>0</v>
      </c>
    </row>
    <row r="1350" spans="1:18">
      <c r="A1350" s="15" t="str">
        <f t="shared" si="25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8" t="s">
        <v>75</v>
      </c>
      <c r="P1350" s="48">
        <f>HEX2DEC(RIGHT(Table1323212753[[#This Row],[h1]],8))</f>
        <v>0</v>
      </c>
      <c r="Q1350" s="48" t="s">
        <v>75</v>
      </c>
      <c r="R1350" s="48">
        <f>HEX2DEC(RIGHT(Table1323212753[[#This Row],[h2]],8))</f>
        <v>0</v>
      </c>
    </row>
    <row r="1351" spans="1:18">
      <c r="A1351" s="15" t="str">
        <f t="shared" si="25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8" t="s">
        <v>75</v>
      </c>
      <c r="P1351" s="48">
        <f>HEX2DEC(RIGHT(Table1323212753[[#This Row],[h1]],8))</f>
        <v>0</v>
      </c>
      <c r="Q1351" s="48" t="s">
        <v>75</v>
      </c>
      <c r="R1351" s="48">
        <f>HEX2DEC(RIGHT(Table1323212753[[#This Row],[h2]],8))</f>
        <v>0</v>
      </c>
    </row>
    <row r="1352" spans="1:18">
      <c r="A1352" s="15" t="str">
        <f t="shared" si="25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8" t="s">
        <v>75</v>
      </c>
      <c r="P1352" s="48">
        <f>HEX2DEC(RIGHT(Table1323212753[[#This Row],[h1]],8))</f>
        <v>0</v>
      </c>
      <c r="Q1352" s="48" t="s">
        <v>75</v>
      </c>
      <c r="R1352" s="48">
        <f>HEX2DEC(RIGHT(Table1323212753[[#This Row],[h2]],8))</f>
        <v>0</v>
      </c>
    </row>
    <row r="1353" spans="1:18">
      <c r="A1353" s="15" t="str">
        <f t="shared" si="25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8" t="s">
        <v>75</v>
      </c>
      <c r="P1353" s="48">
        <f>HEX2DEC(RIGHT(Table1323212753[[#This Row],[h1]],8))</f>
        <v>0</v>
      </c>
      <c r="Q1353" s="48" t="s">
        <v>75</v>
      </c>
      <c r="R1353" s="48">
        <f>HEX2DEC(RIGHT(Table1323212753[[#This Row],[h2]],8))</f>
        <v>0</v>
      </c>
    </row>
    <row r="1354" spans="1:18">
      <c r="A1354" s="15" t="str">
        <f t="shared" si="25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8" t="s">
        <v>75</v>
      </c>
      <c r="P1354" s="48">
        <f>HEX2DEC(RIGHT(Table1323212753[[#This Row],[h1]],8))</f>
        <v>0</v>
      </c>
      <c r="Q1354" s="48" t="s">
        <v>75</v>
      </c>
      <c r="R1354" s="48">
        <f>HEX2DEC(RIGHT(Table1323212753[[#This Row],[h2]],8))</f>
        <v>0</v>
      </c>
    </row>
    <row r="1355" spans="1:18">
      <c r="A1355" s="15" t="str">
        <f t="shared" ref="A1355:A1418" si="26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8" t="s">
        <v>75</v>
      </c>
      <c r="P1355" s="48">
        <f>HEX2DEC(RIGHT(Table1323212753[[#This Row],[h1]],8))</f>
        <v>0</v>
      </c>
      <c r="Q1355" s="48" t="s">
        <v>75</v>
      </c>
      <c r="R1355" s="48">
        <f>HEX2DEC(RIGHT(Table1323212753[[#This Row],[h2]],8))</f>
        <v>0</v>
      </c>
    </row>
    <row r="1356" spans="1:18">
      <c r="A1356" s="15" t="str">
        <f t="shared" si="26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8" t="s">
        <v>75</v>
      </c>
      <c r="P1356" s="48">
        <f>HEX2DEC(RIGHT(Table1323212753[[#This Row],[h1]],8))</f>
        <v>0</v>
      </c>
      <c r="Q1356" s="48" t="s">
        <v>75</v>
      </c>
      <c r="R1356" s="48">
        <f>HEX2DEC(RIGHT(Table1323212753[[#This Row],[h2]],8))</f>
        <v>0</v>
      </c>
    </row>
    <row r="1357" spans="1:18">
      <c r="A1357" s="15" t="str">
        <f t="shared" si="26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8" t="s">
        <v>75</v>
      </c>
      <c r="P1357" s="48">
        <f>HEX2DEC(RIGHT(Table1323212753[[#This Row],[h1]],8))</f>
        <v>0</v>
      </c>
      <c r="Q1357" s="48" t="s">
        <v>75</v>
      </c>
      <c r="R1357" s="48">
        <f>HEX2DEC(RIGHT(Table1323212753[[#This Row],[h2]],8))</f>
        <v>0</v>
      </c>
    </row>
    <row r="1358" spans="1:18">
      <c r="A1358" s="15" t="str">
        <f t="shared" si="26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8" t="s">
        <v>75</v>
      </c>
      <c r="P1358" s="48">
        <f>HEX2DEC(RIGHT(Table1323212753[[#This Row],[h1]],8))</f>
        <v>0</v>
      </c>
      <c r="Q1358" s="48" t="s">
        <v>75</v>
      </c>
      <c r="R1358" s="48">
        <f>HEX2DEC(RIGHT(Table1323212753[[#This Row],[h2]],8))</f>
        <v>0</v>
      </c>
    </row>
    <row r="1359" spans="1:18">
      <c r="A1359" s="15" t="str">
        <f t="shared" si="26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8" t="s">
        <v>75</v>
      </c>
      <c r="P1359" s="48">
        <f>HEX2DEC(RIGHT(Table1323212753[[#This Row],[h1]],8))</f>
        <v>0</v>
      </c>
      <c r="Q1359" s="48" t="s">
        <v>75</v>
      </c>
      <c r="R1359" s="48">
        <f>HEX2DEC(RIGHT(Table1323212753[[#This Row],[h2]],8))</f>
        <v>0</v>
      </c>
    </row>
    <row r="1360" spans="1:18">
      <c r="A1360" s="15" t="str">
        <f t="shared" si="26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8" t="s">
        <v>75</v>
      </c>
      <c r="P1360" s="48">
        <f>HEX2DEC(RIGHT(Table1323212753[[#This Row],[h1]],8))</f>
        <v>0</v>
      </c>
      <c r="Q1360" s="48" t="s">
        <v>75</v>
      </c>
      <c r="R1360" s="48">
        <f>HEX2DEC(RIGHT(Table1323212753[[#This Row],[h2]],8))</f>
        <v>0</v>
      </c>
    </row>
    <row r="1361" spans="1:18">
      <c r="A1361" s="15" t="str">
        <f t="shared" si="26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8" t="s">
        <v>75</v>
      </c>
      <c r="P1361" s="48">
        <f>HEX2DEC(RIGHT(Table1323212753[[#This Row],[h1]],8))</f>
        <v>0</v>
      </c>
      <c r="Q1361" s="48" t="s">
        <v>75</v>
      </c>
      <c r="R1361" s="48">
        <f>HEX2DEC(RIGHT(Table1323212753[[#This Row],[h2]],8))</f>
        <v>0</v>
      </c>
    </row>
    <row r="1362" spans="1:18">
      <c r="A1362" s="15" t="str">
        <f t="shared" si="26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8" t="s">
        <v>75</v>
      </c>
      <c r="P1362" s="48">
        <f>HEX2DEC(RIGHT(Table1323212753[[#This Row],[h1]],8))</f>
        <v>0</v>
      </c>
      <c r="Q1362" s="48" t="s">
        <v>75</v>
      </c>
      <c r="R1362" s="48">
        <f>HEX2DEC(RIGHT(Table1323212753[[#This Row],[h2]],8))</f>
        <v>0</v>
      </c>
    </row>
    <row r="1363" spans="1:18">
      <c r="A1363" s="15" t="str">
        <f t="shared" si="26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8" t="s">
        <v>75</v>
      </c>
      <c r="P1363" s="48">
        <f>HEX2DEC(RIGHT(Table1323212753[[#This Row],[h1]],8))</f>
        <v>0</v>
      </c>
      <c r="Q1363" s="48" t="s">
        <v>75</v>
      </c>
      <c r="R1363" s="48">
        <f>HEX2DEC(RIGHT(Table1323212753[[#This Row],[h2]],8))</f>
        <v>0</v>
      </c>
    </row>
    <row r="1364" spans="1:18">
      <c r="A1364" s="15" t="str">
        <f t="shared" si="26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8" t="s">
        <v>75</v>
      </c>
      <c r="P1364" s="48">
        <f>HEX2DEC(RIGHT(Table1323212753[[#This Row],[h1]],8))</f>
        <v>0</v>
      </c>
      <c r="Q1364" s="48" t="s">
        <v>75</v>
      </c>
      <c r="R1364" s="48">
        <f>HEX2DEC(RIGHT(Table1323212753[[#This Row],[h2]],8))</f>
        <v>0</v>
      </c>
    </row>
    <row r="1365" spans="1:18">
      <c r="A1365" s="15" t="str">
        <f t="shared" si="26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8" t="s">
        <v>75</v>
      </c>
      <c r="P1365" s="48">
        <f>HEX2DEC(RIGHT(Table1323212753[[#This Row],[h1]],8))</f>
        <v>0</v>
      </c>
      <c r="Q1365" s="48" t="s">
        <v>75</v>
      </c>
      <c r="R1365" s="48">
        <f>HEX2DEC(RIGHT(Table1323212753[[#This Row],[h2]],8))</f>
        <v>0</v>
      </c>
    </row>
    <row r="1366" spans="1:18">
      <c r="A1366" s="15" t="str">
        <f t="shared" si="26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8" t="s">
        <v>75</v>
      </c>
      <c r="P1366" s="48">
        <f>HEX2DEC(RIGHT(Table1323212753[[#This Row],[h1]],8))</f>
        <v>0</v>
      </c>
      <c r="Q1366" s="48" t="s">
        <v>75</v>
      </c>
      <c r="R1366" s="48">
        <f>HEX2DEC(RIGHT(Table1323212753[[#This Row],[h2]],8))</f>
        <v>0</v>
      </c>
    </row>
    <row r="1367" spans="1:18">
      <c r="A1367" s="15" t="str">
        <f t="shared" si="26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8" t="s">
        <v>75</v>
      </c>
      <c r="P1367" s="48">
        <f>HEX2DEC(RIGHT(Table1323212753[[#This Row],[h1]],8))</f>
        <v>0</v>
      </c>
      <c r="Q1367" s="48" t="s">
        <v>75</v>
      </c>
      <c r="R1367" s="48">
        <f>HEX2DEC(RIGHT(Table1323212753[[#This Row],[h2]],8))</f>
        <v>0</v>
      </c>
    </row>
    <row r="1368" spans="1:18">
      <c r="A1368" s="15" t="str">
        <f t="shared" si="26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8" t="s">
        <v>75</v>
      </c>
      <c r="P1368" s="48">
        <f>HEX2DEC(RIGHT(Table1323212753[[#This Row],[h1]],8))</f>
        <v>0</v>
      </c>
      <c r="Q1368" s="48" t="s">
        <v>75</v>
      </c>
      <c r="R1368" s="48">
        <f>HEX2DEC(RIGHT(Table1323212753[[#This Row],[h2]],8))</f>
        <v>0</v>
      </c>
    </row>
    <row r="1369" spans="1:18">
      <c r="A1369" s="15" t="str">
        <f t="shared" si="26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8" t="s">
        <v>75</v>
      </c>
      <c r="P1369" s="48">
        <f>HEX2DEC(RIGHT(Table1323212753[[#This Row],[h1]],8))</f>
        <v>0</v>
      </c>
      <c r="Q1369" s="48" t="s">
        <v>75</v>
      </c>
      <c r="R1369" s="48">
        <f>HEX2DEC(RIGHT(Table1323212753[[#This Row],[h2]],8))</f>
        <v>0</v>
      </c>
    </row>
    <row r="1370" spans="1:18">
      <c r="A1370" s="15" t="str">
        <f t="shared" si="26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8" t="s">
        <v>75</v>
      </c>
      <c r="P1370" s="48">
        <f>HEX2DEC(RIGHT(Table1323212753[[#This Row],[h1]],8))</f>
        <v>0</v>
      </c>
      <c r="Q1370" s="48" t="s">
        <v>75</v>
      </c>
      <c r="R1370" s="48">
        <f>HEX2DEC(RIGHT(Table1323212753[[#This Row],[h2]],8))</f>
        <v>0</v>
      </c>
    </row>
    <row r="1371" spans="1:18">
      <c r="A1371" s="15" t="str">
        <f t="shared" si="26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8" t="s">
        <v>75</v>
      </c>
      <c r="P1371" s="48">
        <f>HEX2DEC(RIGHT(Table1323212753[[#This Row],[h1]],8))</f>
        <v>0</v>
      </c>
      <c r="Q1371" s="48" t="s">
        <v>75</v>
      </c>
      <c r="R1371" s="48">
        <f>HEX2DEC(RIGHT(Table1323212753[[#This Row],[h2]],8))</f>
        <v>0</v>
      </c>
    </row>
    <row r="1372" spans="1:18">
      <c r="A1372" s="15" t="str">
        <f t="shared" si="26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8" t="s">
        <v>75</v>
      </c>
      <c r="P1372" s="48">
        <f>HEX2DEC(RIGHT(Table1323212753[[#This Row],[h1]],8))</f>
        <v>0</v>
      </c>
      <c r="Q1372" s="48" t="s">
        <v>75</v>
      </c>
      <c r="R1372" s="48">
        <f>HEX2DEC(RIGHT(Table1323212753[[#This Row],[h2]],8))</f>
        <v>0</v>
      </c>
    </row>
    <row r="1373" spans="1:18">
      <c r="A1373" s="15" t="str">
        <f t="shared" si="26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8" t="s">
        <v>75</v>
      </c>
      <c r="P1373" s="48">
        <f>HEX2DEC(RIGHT(Table1323212753[[#This Row],[h1]],8))</f>
        <v>0</v>
      </c>
      <c r="Q1373" s="48" t="s">
        <v>75</v>
      </c>
      <c r="R1373" s="48">
        <f>HEX2DEC(RIGHT(Table1323212753[[#This Row],[h2]],8))</f>
        <v>0</v>
      </c>
    </row>
    <row r="1374" spans="1:18">
      <c r="A1374" s="15" t="str">
        <f t="shared" si="26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8" t="s">
        <v>75</v>
      </c>
      <c r="P1374" s="48">
        <f>HEX2DEC(RIGHT(Table1323212753[[#This Row],[h1]],8))</f>
        <v>0</v>
      </c>
      <c r="Q1374" s="48" t="s">
        <v>75</v>
      </c>
      <c r="R1374" s="48">
        <f>HEX2DEC(RIGHT(Table1323212753[[#This Row],[h2]],8))</f>
        <v>0</v>
      </c>
    </row>
    <row r="1375" spans="1:18">
      <c r="A1375" s="15" t="str">
        <f t="shared" si="26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8" t="s">
        <v>75</v>
      </c>
      <c r="P1375" s="48">
        <f>HEX2DEC(RIGHT(Table1323212753[[#This Row],[h1]],8))</f>
        <v>0</v>
      </c>
      <c r="Q1375" s="48" t="s">
        <v>75</v>
      </c>
      <c r="R1375" s="48">
        <f>HEX2DEC(RIGHT(Table1323212753[[#This Row],[h2]],8))</f>
        <v>0</v>
      </c>
    </row>
    <row r="1376" spans="1:18">
      <c r="A1376" s="15" t="str">
        <f t="shared" si="26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8" t="s">
        <v>75</v>
      </c>
      <c r="P1376" s="48">
        <f>HEX2DEC(RIGHT(Table1323212753[[#This Row],[h1]],8))</f>
        <v>0</v>
      </c>
      <c r="Q1376" s="48" t="s">
        <v>75</v>
      </c>
      <c r="R1376" s="48">
        <f>HEX2DEC(RIGHT(Table1323212753[[#This Row],[h2]],8))</f>
        <v>0</v>
      </c>
    </row>
    <row r="1377" spans="1:18">
      <c r="A1377" s="15" t="str">
        <f t="shared" si="26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8" t="s">
        <v>75</v>
      </c>
      <c r="P1377" s="48">
        <f>HEX2DEC(RIGHT(Table1323212753[[#This Row],[h1]],8))</f>
        <v>0</v>
      </c>
      <c r="Q1377" s="48" t="s">
        <v>75</v>
      </c>
      <c r="R1377" s="48">
        <f>HEX2DEC(RIGHT(Table1323212753[[#This Row],[h2]],8))</f>
        <v>0</v>
      </c>
    </row>
    <row r="1378" spans="1:18">
      <c r="A1378" s="15" t="str">
        <f t="shared" si="26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8" t="s">
        <v>75</v>
      </c>
      <c r="P1378" s="48">
        <f>HEX2DEC(RIGHT(Table1323212753[[#This Row],[h1]],8))</f>
        <v>0</v>
      </c>
      <c r="Q1378" s="48" t="s">
        <v>75</v>
      </c>
      <c r="R1378" s="48">
        <f>HEX2DEC(RIGHT(Table1323212753[[#This Row],[h2]],8))</f>
        <v>0</v>
      </c>
    </row>
    <row r="1379" spans="1:18">
      <c r="A1379" s="15" t="str">
        <f t="shared" si="26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8" t="s">
        <v>75</v>
      </c>
      <c r="P1379" s="48">
        <f>HEX2DEC(RIGHT(Table1323212753[[#This Row],[h1]],8))</f>
        <v>0</v>
      </c>
      <c r="Q1379" s="48" t="s">
        <v>75</v>
      </c>
      <c r="R1379" s="48">
        <f>HEX2DEC(RIGHT(Table1323212753[[#This Row],[h2]],8))</f>
        <v>0</v>
      </c>
    </row>
    <row r="1380" spans="1:18">
      <c r="A1380" s="15" t="str">
        <f t="shared" si="26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8" t="s">
        <v>75</v>
      </c>
      <c r="P1380" s="48">
        <f>HEX2DEC(RIGHT(Table1323212753[[#This Row],[h1]],8))</f>
        <v>0</v>
      </c>
      <c r="Q1380" s="48" t="s">
        <v>75</v>
      </c>
      <c r="R1380" s="48">
        <f>HEX2DEC(RIGHT(Table1323212753[[#This Row],[h2]],8))</f>
        <v>0</v>
      </c>
    </row>
    <row r="1381" spans="1:18">
      <c r="A1381" s="15" t="str">
        <f t="shared" si="26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8" t="s">
        <v>75</v>
      </c>
      <c r="P1381" s="48">
        <f>HEX2DEC(RIGHT(Table1323212753[[#This Row],[h1]],8))</f>
        <v>0</v>
      </c>
      <c r="Q1381" s="48" t="s">
        <v>75</v>
      </c>
      <c r="R1381" s="48">
        <f>HEX2DEC(RIGHT(Table1323212753[[#This Row],[h2]],8))</f>
        <v>0</v>
      </c>
    </row>
    <row r="1382" spans="1:18">
      <c r="A1382" s="15" t="str">
        <f t="shared" si="26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8" t="s">
        <v>75</v>
      </c>
      <c r="P1382" s="48">
        <f>HEX2DEC(RIGHT(Table1323212753[[#This Row],[h1]],8))</f>
        <v>0</v>
      </c>
      <c r="Q1382" s="48" t="s">
        <v>75</v>
      </c>
      <c r="R1382" s="48">
        <f>HEX2DEC(RIGHT(Table1323212753[[#This Row],[h2]],8))</f>
        <v>0</v>
      </c>
    </row>
    <row r="1383" spans="1:18">
      <c r="A1383" s="15" t="str">
        <f t="shared" si="26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8" t="s">
        <v>75</v>
      </c>
      <c r="P1383" s="48">
        <f>HEX2DEC(RIGHT(Table1323212753[[#This Row],[h1]],8))</f>
        <v>0</v>
      </c>
      <c r="Q1383" s="48" t="s">
        <v>75</v>
      </c>
      <c r="R1383" s="48">
        <f>HEX2DEC(RIGHT(Table1323212753[[#This Row],[h2]],8))</f>
        <v>0</v>
      </c>
    </row>
    <row r="1384" spans="1:18">
      <c r="A1384" s="15" t="str">
        <f t="shared" si="26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8" t="s">
        <v>75</v>
      </c>
      <c r="P1384" s="48">
        <f>HEX2DEC(RIGHT(Table1323212753[[#This Row],[h1]],8))</f>
        <v>0</v>
      </c>
      <c r="Q1384" s="48" t="s">
        <v>75</v>
      </c>
      <c r="R1384" s="48">
        <f>HEX2DEC(RIGHT(Table1323212753[[#This Row],[h2]],8))</f>
        <v>0</v>
      </c>
    </row>
    <row r="1385" spans="1:18">
      <c r="A1385" s="15" t="str">
        <f t="shared" si="26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8" t="s">
        <v>75</v>
      </c>
      <c r="P1385" s="48">
        <f>HEX2DEC(RIGHT(Table1323212753[[#This Row],[h1]],8))</f>
        <v>0</v>
      </c>
      <c r="Q1385" s="48" t="s">
        <v>75</v>
      </c>
      <c r="R1385" s="48">
        <f>HEX2DEC(RIGHT(Table1323212753[[#This Row],[h2]],8))</f>
        <v>0</v>
      </c>
    </row>
    <row r="1386" spans="1:18">
      <c r="A1386" s="15" t="str">
        <f t="shared" si="26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8" t="s">
        <v>75</v>
      </c>
      <c r="P1386" s="48">
        <f>HEX2DEC(RIGHT(Table1323212753[[#This Row],[h1]],8))</f>
        <v>0</v>
      </c>
      <c r="Q1386" s="48" t="s">
        <v>75</v>
      </c>
      <c r="R1386" s="48">
        <f>HEX2DEC(RIGHT(Table1323212753[[#This Row],[h2]],8))</f>
        <v>0</v>
      </c>
    </row>
    <row r="1387" spans="1:18">
      <c r="A1387" s="15" t="str">
        <f t="shared" si="26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8" t="s">
        <v>75</v>
      </c>
      <c r="P1387" s="48">
        <f>HEX2DEC(RIGHT(Table1323212753[[#This Row],[h1]],8))</f>
        <v>0</v>
      </c>
      <c r="Q1387" s="48" t="s">
        <v>75</v>
      </c>
      <c r="R1387" s="48">
        <f>HEX2DEC(RIGHT(Table1323212753[[#This Row],[h2]],8))</f>
        <v>0</v>
      </c>
    </row>
    <row r="1388" spans="1:18">
      <c r="A1388" s="15" t="str">
        <f t="shared" si="26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8" t="s">
        <v>75</v>
      </c>
      <c r="P1388" s="48">
        <f>HEX2DEC(RIGHT(Table1323212753[[#This Row],[h1]],8))</f>
        <v>0</v>
      </c>
      <c r="Q1388" s="48" t="s">
        <v>75</v>
      </c>
      <c r="R1388" s="48">
        <f>HEX2DEC(RIGHT(Table1323212753[[#This Row],[h2]],8))</f>
        <v>0</v>
      </c>
    </row>
    <row r="1389" spans="1:18">
      <c r="A1389" s="15" t="str">
        <f t="shared" si="26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8" t="s">
        <v>75</v>
      </c>
      <c r="P1389" s="48">
        <f>HEX2DEC(RIGHT(Table1323212753[[#This Row],[h1]],8))</f>
        <v>0</v>
      </c>
      <c r="Q1389" s="48" t="s">
        <v>75</v>
      </c>
      <c r="R1389" s="48">
        <f>HEX2DEC(RIGHT(Table1323212753[[#This Row],[h2]],8))</f>
        <v>0</v>
      </c>
    </row>
    <row r="1390" spans="1:18">
      <c r="A1390" s="15" t="str">
        <f t="shared" si="26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8" t="s">
        <v>75</v>
      </c>
      <c r="P1390" s="48">
        <f>HEX2DEC(RIGHT(Table1323212753[[#This Row],[h1]],8))</f>
        <v>0</v>
      </c>
      <c r="Q1390" s="48" t="s">
        <v>75</v>
      </c>
      <c r="R1390" s="48">
        <f>HEX2DEC(RIGHT(Table1323212753[[#This Row],[h2]],8))</f>
        <v>0</v>
      </c>
    </row>
    <row r="1391" spans="1:18">
      <c r="A1391" s="15" t="str">
        <f t="shared" si="26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8" t="s">
        <v>75</v>
      </c>
      <c r="P1391" s="48">
        <f>HEX2DEC(RIGHT(Table1323212753[[#This Row],[h1]],8))</f>
        <v>0</v>
      </c>
      <c r="Q1391" s="48" t="s">
        <v>75</v>
      </c>
      <c r="R1391" s="48">
        <f>HEX2DEC(RIGHT(Table1323212753[[#This Row],[h2]],8))</f>
        <v>0</v>
      </c>
    </row>
    <row r="1392" spans="1:18">
      <c r="A1392" s="15" t="str">
        <f t="shared" si="26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8" t="s">
        <v>75</v>
      </c>
      <c r="P1392" s="48">
        <f>HEX2DEC(RIGHT(Table1323212753[[#This Row],[h1]],8))</f>
        <v>0</v>
      </c>
      <c r="Q1392" s="48" t="s">
        <v>75</v>
      </c>
      <c r="R1392" s="48">
        <f>HEX2DEC(RIGHT(Table1323212753[[#This Row],[h2]],8))</f>
        <v>0</v>
      </c>
    </row>
    <row r="1393" spans="1:18">
      <c r="A1393" s="15" t="str">
        <f t="shared" si="26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8" t="s">
        <v>75</v>
      </c>
      <c r="P1393" s="48">
        <f>HEX2DEC(RIGHT(Table1323212753[[#This Row],[h1]],8))</f>
        <v>0</v>
      </c>
      <c r="Q1393" s="48" t="s">
        <v>75</v>
      </c>
      <c r="R1393" s="48">
        <f>HEX2DEC(RIGHT(Table1323212753[[#This Row],[h2]],8))</f>
        <v>0</v>
      </c>
    </row>
    <row r="1394" spans="1:18">
      <c r="A1394" s="15" t="str">
        <f t="shared" si="26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8" t="s">
        <v>75</v>
      </c>
      <c r="P1394" s="48">
        <f>HEX2DEC(RIGHT(Table1323212753[[#This Row],[h1]],8))</f>
        <v>0</v>
      </c>
      <c r="Q1394" s="48" t="s">
        <v>75</v>
      </c>
      <c r="R1394" s="48">
        <f>HEX2DEC(RIGHT(Table1323212753[[#This Row],[h2]],8))</f>
        <v>0</v>
      </c>
    </row>
    <row r="1395" spans="1:18">
      <c r="A1395" s="15" t="str">
        <f t="shared" si="26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8" t="s">
        <v>75</v>
      </c>
      <c r="P1395" s="48">
        <f>HEX2DEC(RIGHT(Table1323212753[[#This Row],[h1]],8))</f>
        <v>0</v>
      </c>
      <c r="Q1395" s="48" t="s">
        <v>75</v>
      </c>
      <c r="R1395" s="48">
        <f>HEX2DEC(RIGHT(Table1323212753[[#This Row],[h2]],8))</f>
        <v>0</v>
      </c>
    </row>
    <row r="1396" spans="1:18">
      <c r="A1396" s="15" t="str">
        <f t="shared" si="26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8" t="s">
        <v>75</v>
      </c>
      <c r="P1396" s="48">
        <f>HEX2DEC(RIGHT(Table1323212753[[#This Row],[h1]],8))</f>
        <v>0</v>
      </c>
      <c r="Q1396" s="48" t="s">
        <v>75</v>
      </c>
      <c r="R1396" s="48">
        <f>HEX2DEC(RIGHT(Table1323212753[[#This Row],[h2]],8))</f>
        <v>0</v>
      </c>
    </row>
    <row r="1397" spans="1:18">
      <c r="A1397" s="15" t="str">
        <f t="shared" si="26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8" t="s">
        <v>75</v>
      </c>
      <c r="P1397" s="48">
        <f>HEX2DEC(RIGHT(Table1323212753[[#This Row],[h1]],8))</f>
        <v>0</v>
      </c>
      <c r="Q1397" s="48" t="s">
        <v>75</v>
      </c>
      <c r="R1397" s="48">
        <f>HEX2DEC(RIGHT(Table1323212753[[#This Row],[h2]],8))</f>
        <v>0</v>
      </c>
    </row>
    <row r="1398" spans="1:18">
      <c r="A1398" s="15" t="str">
        <f t="shared" si="26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8" t="s">
        <v>75</v>
      </c>
      <c r="P1398" s="48">
        <f>HEX2DEC(RIGHT(Table1323212753[[#This Row],[h1]],8))</f>
        <v>0</v>
      </c>
      <c r="Q1398" s="48" t="s">
        <v>75</v>
      </c>
      <c r="R1398" s="48">
        <f>HEX2DEC(RIGHT(Table1323212753[[#This Row],[h2]],8))</f>
        <v>0</v>
      </c>
    </row>
    <row r="1399" spans="1:18">
      <c r="A1399" s="15" t="str">
        <f t="shared" si="26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8" t="s">
        <v>75</v>
      </c>
      <c r="P1399" s="48">
        <f>HEX2DEC(RIGHT(Table1323212753[[#This Row],[h1]],8))</f>
        <v>0</v>
      </c>
      <c r="Q1399" s="48" t="s">
        <v>75</v>
      </c>
      <c r="R1399" s="48">
        <f>HEX2DEC(RIGHT(Table1323212753[[#This Row],[h2]],8))</f>
        <v>0</v>
      </c>
    </row>
    <row r="1400" spans="1:18">
      <c r="A1400" s="15" t="str">
        <f t="shared" si="26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8" t="s">
        <v>75</v>
      </c>
      <c r="P1400" s="48">
        <f>HEX2DEC(RIGHT(Table1323212753[[#This Row],[h1]],8))</f>
        <v>0</v>
      </c>
      <c r="Q1400" s="48" t="s">
        <v>75</v>
      </c>
      <c r="R1400" s="48">
        <f>HEX2DEC(RIGHT(Table1323212753[[#This Row],[h2]],8))</f>
        <v>0</v>
      </c>
    </row>
    <row r="1401" spans="1:18">
      <c r="A1401" s="15" t="str">
        <f t="shared" si="26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8" t="s">
        <v>75</v>
      </c>
      <c r="P1401" s="48">
        <f>HEX2DEC(RIGHT(Table1323212753[[#This Row],[h1]],8))</f>
        <v>0</v>
      </c>
      <c r="Q1401" s="48" t="s">
        <v>75</v>
      </c>
      <c r="R1401" s="48">
        <f>HEX2DEC(RIGHT(Table1323212753[[#This Row],[h2]],8))</f>
        <v>0</v>
      </c>
    </row>
    <row r="1402" spans="1:18">
      <c r="A1402" s="15" t="str">
        <f t="shared" si="26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8" t="s">
        <v>75</v>
      </c>
      <c r="P1402" s="48">
        <f>HEX2DEC(RIGHT(Table1323212753[[#This Row],[h1]],8))</f>
        <v>0</v>
      </c>
      <c r="Q1402" s="48" t="s">
        <v>75</v>
      </c>
      <c r="R1402" s="48">
        <f>HEX2DEC(RIGHT(Table1323212753[[#This Row],[h2]],8))</f>
        <v>0</v>
      </c>
    </row>
    <row r="1403" spans="1:18">
      <c r="A1403" s="15" t="str">
        <f t="shared" si="26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8" t="s">
        <v>75</v>
      </c>
      <c r="P1403" s="48">
        <f>HEX2DEC(RIGHT(Table1323212753[[#This Row],[h1]],8))</f>
        <v>0</v>
      </c>
      <c r="Q1403" s="48" t="s">
        <v>75</v>
      </c>
      <c r="R1403" s="48">
        <f>HEX2DEC(RIGHT(Table1323212753[[#This Row],[h2]],8))</f>
        <v>0</v>
      </c>
    </row>
    <row r="1404" spans="1:18">
      <c r="A1404" s="15" t="str">
        <f t="shared" si="26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8" t="s">
        <v>75</v>
      </c>
      <c r="P1404" s="48">
        <f>HEX2DEC(RIGHT(Table1323212753[[#This Row],[h1]],8))</f>
        <v>0</v>
      </c>
      <c r="Q1404" s="48" t="s">
        <v>75</v>
      </c>
      <c r="R1404" s="48">
        <f>HEX2DEC(RIGHT(Table1323212753[[#This Row],[h2]],8))</f>
        <v>0</v>
      </c>
    </row>
    <row r="1405" spans="1:18">
      <c r="A1405" s="15" t="str">
        <f t="shared" si="26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8" t="s">
        <v>75</v>
      </c>
      <c r="P1405" s="48">
        <f>HEX2DEC(RIGHT(Table1323212753[[#This Row],[h1]],8))</f>
        <v>0</v>
      </c>
      <c r="Q1405" s="48" t="s">
        <v>75</v>
      </c>
      <c r="R1405" s="48">
        <f>HEX2DEC(RIGHT(Table1323212753[[#This Row],[h2]],8))</f>
        <v>0</v>
      </c>
    </row>
    <row r="1406" spans="1:18">
      <c r="A1406" s="15" t="str">
        <f t="shared" si="26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8" t="s">
        <v>75</v>
      </c>
      <c r="P1406" s="48">
        <f>HEX2DEC(RIGHT(Table1323212753[[#This Row],[h1]],8))</f>
        <v>0</v>
      </c>
      <c r="Q1406" s="48" t="s">
        <v>75</v>
      </c>
      <c r="R1406" s="48">
        <f>HEX2DEC(RIGHT(Table1323212753[[#This Row],[h2]],8))</f>
        <v>0</v>
      </c>
    </row>
    <row r="1407" spans="1:18">
      <c r="A1407" s="15" t="str">
        <f t="shared" si="26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8" t="s">
        <v>75</v>
      </c>
      <c r="P1407" s="48">
        <f>HEX2DEC(RIGHT(Table1323212753[[#This Row],[h1]],8))</f>
        <v>0</v>
      </c>
      <c r="Q1407" s="48" t="s">
        <v>75</v>
      </c>
      <c r="R1407" s="48">
        <f>HEX2DEC(RIGHT(Table1323212753[[#This Row],[h2]],8))</f>
        <v>0</v>
      </c>
    </row>
    <row r="1408" spans="1:18">
      <c r="A1408" s="15" t="str">
        <f t="shared" si="26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8" t="s">
        <v>75</v>
      </c>
      <c r="P1408" s="48">
        <f>HEX2DEC(RIGHT(Table1323212753[[#This Row],[h1]],8))</f>
        <v>0</v>
      </c>
      <c r="Q1408" s="48" t="s">
        <v>75</v>
      </c>
      <c r="R1408" s="48">
        <f>HEX2DEC(RIGHT(Table1323212753[[#This Row],[h2]],8))</f>
        <v>0</v>
      </c>
    </row>
    <row r="1409" spans="1:18">
      <c r="A1409" s="15" t="str">
        <f t="shared" si="26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8" t="s">
        <v>75</v>
      </c>
      <c r="P1409" s="48">
        <f>HEX2DEC(RIGHT(Table1323212753[[#This Row],[h1]],8))</f>
        <v>0</v>
      </c>
      <c r="Q1409" s="48" t="s">
        <v>75</v>
      </c>
      <c r="R1409" s="48">
        <f>HEX2DEC(RIGHT(Table1323212753[[#This Row],[h2]],8))</f>
        <v>0</v>
      </c>
    </row>
    <row r="1410" spans="1:18">
      <c r="A1410" s="15" t="str">
        <f t="shared" si="26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8" t="s">
        <v>75</v>
      </c>
      <c r="P1410" s="48">
        <f>HEX2DEC(RIGHT(Table1323212753[[#This Row],[h1]],8))</f>
        <v>0</v>
      </c>
      <c r="Q1410" s="48" t="s">
        <v>75</v>
      </c>
      <c r="R1410" s="48">
        <f>HEX2DEC(RIGHT(Table1323212753[[#This Row],[h2]],8))</f>
        <v>0</v>
      </c>
    </row>
    <row r="1411" spans="1:18">
      <c r="A1411" s="15" t="str">
        <f t="shared" si="26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8" t="s">
        <v>75</v>
      </c>
      <c r="P1411" s="48">
        <f>HEX2DEC(RIGHT(Table1323212753[[#This Row],[h1]],8))</f>
        <v>0</v>
      </c>
      <c r="Q1411" s="48" t="s">
        <v>75</v>
      </c>
      <c r="R1411" s="48">
        <f>HEX2DEC(RIGHT(Table1323212753[[#This Row],[h2]],8))</f>
        <v>0</v>
      </c>
    </row>
    <row r="1412" spans="1:18">
      <c r="A1412" s="15" t="str">
        <f t="shared" si="26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8" t="s">
        <v>75</v>
      </c>
      <c r="P1412" s="48">
        <f>HEX2DEC(RIGHT(Table1323212753[[#This Row],[h1]],8))</f>
        <v>0</v>
      </c>
      <c r="Q1412" s="48" t="s">
        <v>75</v>
      </c>
      <c r="R1412" s="48">
        <f>HEX2DEC(RIGHT(Table1323212753[[#This Row],[h2]],8))</f>
        <v>0</v>
      </c>
    </row>
    <row r="1413" spans="1:18">
      <c r="A1413" s="15" t="str">
        <f t="shared" si="26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8" t="s">
        <v>75</v>
      </c>
      <c r="P1413" s="48">
        <f>HEX2DEC(RIGHT(Table1323212753[[#This Row],[h1]],8))</f>
        <v>0</v>
      </c>
      <c r="Q1413" s="48" t="s">
        <v>75</v>
      </c>
      <c r="R1413" s="48">
        <f>HEX2DEC(RIGHT(Table1323212753[[#This Row],[h2]],8))</f>
        <v>0</v>
      </c>
    </row>
    <row r="1414" spans="1:18">
      <c r="A1414" s="15" t="str">
        <f t="shared" si="26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8" t="s">
        <v>75</v>
      </c>
      <c r="P1414" s="48">
        <f>HEX2DEC(RIGHT(Table1323212753[[#This Row],[h1]],8))</f>
        <v>0</v>
      </c>
      <c r="Q1414" s="48" t="s">
        <v>75</v>
      </c>
      <c r="R1414" s="48">
        <f>HEX2DEC(RIGHT(Table1323212753[[#This Row],[h2]],8))</f>
        <v>0</v>
      </c>
    </row>
    <row r="1415" spans="1:18">
      <c r="A1415" s="15" t="str">
        <f t="shared" si="26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8" t="s">
        <v>75</v>
      </c>
      <c r="P1415" s="48">
        <f>HEX2DEC(RIGHT(Table1323212753[[#This Row],[h1]],8))</f>
        <v>0</v>
      </c>
      <c r="Q1415" s="48" t="s">
        <v>75</v>
      </c>
      <c r="R1415" s="48">
        <f>HEX2DEC(RIGHT(Table1323212753[[#This Row],[h2]],8))</f>
        <v>0</v>
      </c>
    </row>
    <row r="1416" spans="1:18">
      <c r="A1416" s="15" t="str">
        <f t="shared" si="26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8" t="s">
        <v>75</v>
      </c>
      <c r="P1416" s="48">
        <f>HEX2DEC(RIGHT(Table1323212753[[#This Row],[h1]],8))</f>
        <v>0</v>
      </c>
      <c r="Q1416" s="48" t="s">
        <v>75</v>
      </c>
      <c r="R1416" s="48">
        <f>HEX2DEC(RIGHT(Table1323212753[[#This Row],[h2]],8))</f>
        <v>0</v>
      </c>
    </row>
    <row r="1417" spans="1:18">
      <c r="A1417" s="15" t="str">
        <f t="shared" si="26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8" t="s">
        <v>75</v>
      </c>
      <c r="P1417" s="48">
        <f>HEX2DEC(RIGHT(Table1323212753[[#This Row],[h1]],8))</f>
        <v>0</v>
      </c>
      <c r="Q1417" s="48" t="s">
        <v>75</v>
      </c>
      <c r="R1417" s="48">
        <f>HEX2DEC(RIGHT(Table1323212753[[#This Row],[h2]],8))</f>
        <v>0</v>
      </c>
    </row>
    <row r="1418" spans="1:18">
      <c r="A1418" s="15" t="str">
        <f t="shared" si="26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8" t="s">
        <v>75</v>
      </c>
      <c r="P1418" s="48">
        <f>HEX2DEC(RIGHT(Table1323212753[[#This Row],[h1]],8))</f>
        <v>0</v>
      </c>
      <c r="Q1418" s="48" t="s">
        <v>75</v>
      </c>
      <c r="R1418" s="48">
        <f>HEX2DEC(RIGHT(Table1323212753[[#This Row],[h2]],8))</f>
        <v>0</v>
      </c>
    </row>
    <row r="1419" spans="1:18">
      <c r="A1419" s="15" t="str">
        <f t="shared" ref="A1419:A1482" si="27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8" t="s">
        <v>75</v>
      </c>
      <c r="P1419" s="48">
        <f>HEX2DEC(RIGHT(Table1323212753[[#This Row],[h1]],8))</f>
        <v>0</v>
      </c>
      <c r="Q1419" s="48" t="s">
        <v>75</v>
      </c>
      <c r="R1419" s="48">
        <f>HEX2DEC(RIGHT(Table1323212753[[#This Row],[h2]],8))</f>
        <v>0</v>
      </c>
    </row>
    <row r="1420" spans="1:18">
      <c r="A1420" s="15" t="str">
        <f t="shared" si="27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8" t="s">
        <v>75</v>
      </c>
      <c r="P1420" s="48">
        <f>HEX2DEC(RIGHT(Table1323212753[[#This Row],[h1]],8))</f>
        <v>0</v>
      </c>
      <c r="Q1420" s="48" t="s">
        <v>75</v>
      </c>
      <c r="R1420" s="48">
        <f>HEX2DEC(RIGHT(Table1323212753[[#This Row],[h2]],8))</f>
        <v>0</v>
      </c>
    </row>
    <row r="1421" spans="1:18">
      <c r="A1421" s="15" t="str">
        <f t="shared" si="27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8" t="s">
        <v>75</v>
      </c>
      <c r="P1421" s="48">
        <f>HEX2DEC(RIGHT(Table1323212753[[#This Row],[h1]],8))</f>
        <v>0</v>
      </c>
      <c r="Q1421" s="48" t="s">
        <v>75</v>
      </c>
      <c r="R1421" s="48">
        <f>HEX2DEC(RIGHT(Table1323212753[[#This Row],[h2]],8))</f>
        <v>0</v>
      </c>
    </row>
    <row r="1422" spans="1:18">
      <c r="A1422" s="15" t="str">
        <f t="shared" si="27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8" t="s">
        <v>75</v>
      </c>
      <c r="P1422" s="48">
        <f>HEX2DEC(RIGHT(Table1323212753[[#This Row],[h1]],8))</f>
        <v>0</v>
      </c>
      <c r="Q1422" s="48" t="s">
        <v>75</v>
      </c>
      <c r="R1422" s="48">
        <f>HEX2DEC(RIGHT(Table1323212753[[#This Row],[h2]],8))</f>
        <v>0</v>
      </c>
    </row>
    <row r="1423" spans="1:18">
      <c r="A1423" s="15" t="str">
        <f t="shared" si="27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8" t="s">
        <v>75</v>
      </c>
      <c r="P1423" s="48">
        <f>HEX2DEC(RIGHT(Table1323212753[[#This Row],[h1]],8))</f>
        <v>0</v>
      </c>
      <c r="Q1423" s="48" t="s">
        <v>75</v>
      </c>
      <c r="R1423" s="48">
        <f>HEX2DEC(RIGHT(Table1323212753[[#This Row],[h2]],8))</f>
        <v>0</v>
      </c>
    </row>
    <row r="1424" spans="1:18">
      <c r="A1424" s="15" t="str">
        <f t="shared" si="27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8" t="s">
        <v>75</v>
      </c>
      <c r="P1424" s="48">
        <f>HEX2DEC(RIGHT(Table1323212753[[#This Row],[h1]],8))</f>
        <v>0</v>
      </c>
      <c r="Q1424" s="48" t="s">
        <v>75</v>
      </c>
      <c r="R1424" s="48">
        <f>HEX2DEC(RIGHT(Table1323212753[[#This Row],[h2]],8))</f>
        <v>0</v>
      </c>
    </row>
    <row r="1425" spans="1:18">
      <c r="A1425" s="15" t="str">
        <f t="shared" si="27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8" t="s">
        <v>75</v>
      </c>
      <c r="P1425" s="48">
        <f>HEX2DEC(RIGHT(Table1323212753[[#This Row],[h1]],8))</f>
        <v>0</v>
      </c>
      <c r="Q1425" s="48" t="s">
        <v>75</v>
      </c>
      <c r="R1425" s="48">
        <f>HEX2DEC(RIGHT(Table1323212753[[#This Row],[h2]],8))</f>
        <v>0</v>
      </c>
    </row>
    <row r="1426" spans="1:18">
      <c r="A1426" s="15" t="str">
        <f t="shared" si="27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8" t="s">
        <v>75</v>
      </c>
      <c r="P1426" s="48">
        <f>HEX2DEC(RIGHT(Table1323212753[[#This Row],[h1]],8))</f>
        <v>0</v>
      </c>
      <c r="Q1426" s="48" t="s">
        <v>75</v>
      </c>
      <c r="R1426" s="48">
        <f>HEX2DEC(RIGHT(Table1323212753[[#This Row],[h2]],8))</f>
        <v>0</v>
      </c>
    </row>
    <row r="1427" spans="1:18">
      <c r="A1427" s="15" t="str">
        <f t="shared" si="27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8" t="s">
        <v>75</v>
      </c>
      <c r="P1427" s="48">
        <f>HEX2DEC(RIGHT(Table1323212753[[#This Row],[h1]],8))</f>
        <v>0</v>
      </c>
      <c r="Q1427" s="48" t="s">
        <v>75</v>
      </c>
      <c r="R1427" s="48">
        <f>HEX2DEC(RIGHT(Table1323212753[[#This Row],[h2]],8))</f>
        <v>0</v>
      </c>
    </row>
    <row r="1428" spans="1:18">
      <c r="A1428" s="15" t="str">
        <f t="shared" si="27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8" t="s">
        <v>75</v>
      </c>
      <c r="P1428" s="48">
        <f>HEX2DEC(RIGHT(Table1323212753[[#This Row],[h1]],8))</f>
        <v>0</v>
      </c>
      <c r="Q1428" s="48" t="s">
        <v>75</v>
      </c>
      <c r="R1428" s="48">
        <f>HEX2DEC(RIGHT(Table1323212753[[#This Row],[h2]],8))</f>
        <v>0</v>
      </c>
    </row>
    <row r="1429" spans="1:18">
      <c r="A1429" s="15" t="str">
        <f t="shared" si="27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8" t="s">
        <v>75</v>
      </c>
      <c r="P1429" s="48">
        <f>HEX2DEC(RIGHT(Table1323212753[[#This Row],[h1]],8))</f>
        <v>0</v>
      </c>
      <c r="Q1429" s="48" t="s">
        <v>75</v>
      </c>
      <c r="R1429" s="48">
        <f>HEX2DEC(RIGHT(Table1323212753[[#This Row],[h2]],8))</f>
        <v>0</v>
      </c>
    </row>
    <row r="1430" spans="1:18">
      <c r="A1430" s="15" t="str">
        <f t="shared" si="27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8" t="s">
        <v>75</v>
      </c>
      <c r="P1430" s="48">
        <f>HEX2DEC(RIGHT(Table1323212753[[#This Row],[h1]],8))</f>
        <v>0</v>
      </c>
      <c r="Q1430" s="48" t="s">
        <v>75</v>
      </c>
      <c r="R1430" s="48">
        <f>HEX2DEC(RIGHT(Table1323212753[[#This Row],[h2]],8))</f>
        <v>0</v>
      </c>
    </row>
    <row r="1431" spans="1:18">
      <c r="A1431" s="15" t="str">
        <f t="shared" si="27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8" t="s">
        <v>75</v>
      </c>
      <c r="P1431" s="48">
        <f>HEX2DEC(RIGHT(Table1323212753[[#This Row],[h1]],8))</f>
        <v>0</v>
      </c>
      <c r="Q1431" s="48" t="s">
        <v>75</v>
      </c>
      <c r="R1431" s="48">
        <f>HEX2DEC(RIGHT(Table1323212753[[#This Row],[h2]],8))</f>
        <v>0</v>
      </c>
    </row>
    <row r="1432" spans="1:18">
      <c r="A1432" s="15" t="str">
        <f t="shared" si="27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8" t="s">
        <v>75</v>
      </c>
      <c r="P1432" s="48">
        <f>HEX2DEC(RIGHT(Table1323212753[[#This Row],[h1]],8))</f>
        <v>0</v>
      </c>
      <c r="Q1432" s="48" t="s">
        <v>75</v>
      </c>
      <c r="R1432" s="48">
        <f>HEX2DEC(RIGHT(Table1323212753[[#This Row],[h2]],8))</f>
        <v>0</v>
      </c>
    </row>
    <row r="1433" spans="1:18">
      <c r="A1433" s="15" t="str">
        <f t="shared" si="27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8" t="s">
        <v>75</v>
      </c>
      <c r="P1433" s="48">
        <f>HEX2DEC(RIGHT(Table1323212753[[#This Row],[h1]],8))</f>
        <v>0</v>
      </c>
      <c r="Q1433" s="48" t="s">
        <v>75</v>
      </c>
      <c r="R1433" s="48">
        <f>HEX2DEC(RIGHT(Table1323212753[[#This Row],[h2]],8))</f>
        <v>0</v>
      </c>
    </row>
    <row r="1434" spans="1:18">
      <c r="A1434" s="15" t="str">
        <f t="shared" si="27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8" t="s">
        <v>75</v>
      </c>
      <c r="P1434" s="48">
        <f>HEX2DEC(RIGHT(Table1323212753[[#This Row],[h1]],8))</f>
        <v>0</v>
      </c>
      <c r="Q1434" s="48" t="s">
        <v>75</v>
      </c>
      <c r="R1434" s="48">
        <f>HEX2DEC(RIGHT(Table1323212753[[#This Row],[h2]],8))</f>
        <v>0</v>
      </c>
    </row>
    <row r="1435" spans="1:18">
      <c r="A1435" s="15" t="str">
        <f t="shared" si="27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8" t="s">
        <v>75</v>
      </c>
      <c r="P1435" s="48">
        <f>HEX2DEC(RIGHT(Table1323212753[[#This Row],[h1]],8))</f>
        <v>0</v>
      </c>
      <c r="Q1435" s="48" t="s">
        <v>75</v>
      </c>
      <c r="R1435" s="48">
        <f>HEX2DEC(RIGHT(Table1323212753[[#This Row],[h2]],8))</f>
        <v>0</v>
      </c>
    </row>
    <row r="1436" spans="1:18">
      <c r="A1436" s="15" t="str">
        <f t="shared" si="27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8" t="s">
        <v>75</v>
      </c>
      <c r="P1436" s="48">
        <f>HEX2DEC(RIGHT(Table1323212753[[#This Row],[h1]],8))</f>
        <v>0</v>
      </c>
      <c r="Q1436" s="48" t="s">
        <v>75</v>
      </c>
      <c r="R1436" s="48">
        <f>HEX2DEC(RIGHT(Table1323212753[[#This Row],[h2]],8))</f>
        <v>0</v>
      </c>
    </row>
    <row r="1437" spans="1:18">
      <c r="A1437" s="15" t="str">
        <f t="shared" si="27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8" t="s">
        <v>75</v>
      </c>
      <c r="P1437" s="48">
        <f>HEX2DEC(RIGHT(Table1323212753[[#This Row],[h1]],8))</f>
        <v>0</v>
      </c>
      <c r="Q1437" s="48" t="s">
        <v>75</v>
      </c>
      <c r="R1437" s="48">
        <f>HEX2DEC(RIGHT(Table1323212753[[#This Row],[h2]],8))</f>
        <v>0</v>
      </c>
    </row>
    <row r="1438" spans="1:18">
      <c r="A1438" s="15" t="str">
        <f t="shared" si="27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8" t="s">
        <v>75</v>
      </c>
      <c r="P1438" s="48">
        <f>HEX2DEC(RIGHT(Table1323212753[[#This Row],[h1]],8))</f>
        <v>0</v>
      </c>
      <c r="Q1438" s="48" t="s">
        <v>75</v>
      </c>
      <c r="R1438" s="48">
        <f>HEX2DEC(RIGHT(Table1323212753[[#This Row],[h2]],8))</f>
        <v>0</v>
      </c>
    </row>
    <row r="1439" spans="1:18">
      <c r="A1439" s="15" t="str">
        <f t="shared" si="27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8" t="s">
        <v>75</v>
      </c>
      <c r="P1439" s="48">
        <f>HEX2DEC(RIGHT(Table1323212753[[#This Row],[h1]],8))</f>
        <v>0</v>
      </c>
      <c r="Q1439" s="48" t="s">
        <v>75</v>
      </c>
      <c r="R1439" s="48">
        <f>HEX2DEC(RIGHT(Table1323212753[[#This Row],[h2]],8))</f>
        <v>0</v>
      </c>
    </row>
    <row r="1440" spans="1:18">
      <c r="A1440" s="15" t="str">
        <f t="shared" si="27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8" t="s">
        <v>75</v>
      </c>
      <c r="P1440" s="48">
        <f>HEX2DEC(RIGHT(Table1323212753[[#This Row],[h1]],8))</f>
        <v>0</v>
      </c>
      <c r="Q1440" s="48" t="s">
        <v>75</v>
      </c>
      <c r="R1440" s="48">
        <f>HEX2DEC(RIGHT(Table1323212753[[#This Row],[h2]],8))</f>
        <v>0</v>
      </c>
    </row>
    <row r="1441" spans="1:18">
      <c r="A1441" s="15" t="str">
        <f t="shared" si="27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8" t="s">
        <v>75</v>
      </c>
      <c r="P1441" s="48">
        <f>HEX2DEC(RIGHT(Table1323212753[[#This Row],[h1]],8))</f>
        <v>0</v>
      </c>
      <c r="Q1441" s="48" t="s">
        <v>75</v>
      </c>
      <c r="R1441" s="48">
        <f>HEX2DEC(RIGHT(Table1323212753[[#This Row],[h2]],8))</f>
        <v>0</v>
      </c>
    </row>
    <row r="1442" spans="1:18">
      <c r="A1442" s="15" t="str">
        <f t="shared" si="27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8" t="s">
        <v>75</v>
      </c>
      <c r="P1442" s="48">
        <f>HEX2DEC(RIGHT(Table1323212753[[#This Row],[h1]],8))</f>
        <v>0</v>
      </c>
      <c r="Q1442" s="48" t="s">
        <v>75</v>
      </c>
      <c r="R1442" s="48">
        <f>HEX2DEC(RIGHT(Table1323212753[[#This Row],[h2]],8))</f>
        <v>0</v>
      </c>
    </row>
    <row r="1443" spans="1:18">
      <c r="A1443" s="15" t="str">
        <f t="shared" si="27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8" t="s">
        <v>75</v>
      </c>
      <c r="P1443" s="48">
        <f>HEX2DEC(RIGHT(Table1323212753[[#This Row],[h1]],8))</f>
        <v>0</v>
      </c>
      <c r="Q1443" s="48" t="s">
        <v>75</v>
      </c>
      <c r="R1443" s="48">
        <f>HEX2DEC(RIGHT(Table1323212753[[#This Row],[h2]],8))</f>
        <v>0</v>
      </c>
    </row>
    <row r="1444" spans="1:18">
      <c r="A1444" s="15" t="str">
        <f t="shared" si="27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8" t="s">
        <v>75</v>
      </c>
      <c r="P1444" s="48">
        <f>HEX2DEC(RIGHT(Table1323212753[[#This Row],[h1]],8))</f>
        <v>0</v>
      </c>
      <c r="Q1444" s="48" t="s">
        <v>75</v>
      </c>
      <c r="R1444" s="48">
        <f>HEX2DEC(RIGHT(Table1323212753[[#This Row],[h2]],8))</f>
        <v>0</v>
      </c>
    </row>
    <row r="1445" spans="1:18">
      <c r="A1445" s="15" t="str">
        <f t="shared" si="27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8" t="s">
        <v>75</v>
      </c>
      <c r="P1445" s="48">
        <f>HEX2DEC(RIGHT(Table1323212753[[#This Row],[h1]],8))</f>
        <v>0</v>
      </c>
      <c r="Q1445" s="48" t="s">
        <v>75</v>
      </c>
      <c r="R1445" s="48">
        <f>HEX2DEC(RIGHT(Table1323212753[[#This Row],[h2]],8))</f>
        <v>0</v>
      </c>
    </row>
    <row r="1446" spans="1:18">
      <c r="A1446" s="15" t="str">
        <f t="shared" si="27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8" t="s">
        <v>75</v>
      </c>
      <c r="P1446" s="48">
        <f>HEX2DEC(RIGHT(Table1323212753[[#This Row],[h1]],8))</f>
        <v>0</v>
      </c>
      <c r="Q1446" s="48" t="s">
        <v>75</v>
      </c>
      <c r="R1446" s="48">
        <f>HEX2DEC(RIGHT(Table1323212753[[#This Row],[h2]],8))</f>
        <v>0</v>
      </c>
    </row>
    <row r="1447" spans="1:18">
      <c r="A1447" s="15" t="str">
        <f t="shared" si="27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8" t="s">
        <v>75</v>
      </c>
      <c r="P1447" s="48">
        <f>HEX2DEC(RIGHT(Table1323212753[[#This Row],[h1]],8))</f>
        <v>0</v>
      </c>
      <c r="Q1447" s="48" t="s">
        <v>75</v>
      </c>
      <c r="R1447" s="48">
        <f>HEX2DEC(RIGHT(Table1323212753[[#This Row],[h2]],8))</f>
        <v>0</v>
      </c>
    </row>
    <row r="1448" spans="1:18">
      <c r="A1448" s="15" t="str">
        <f t="shared" si="27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8" t="s">
        <v>75</v>
      </c>
      <c r="P1448" s="48">
        <f>HEX2DEC(RIGHT(Table1323212753[[#This Row],[h1]],8))</f>
        <v>0</v>
      </c>
      <c r="Q1448" s="48" t="s">
        <v>75</v>
      </c>
      <c r="R1448" s="48">
        <f>HEX2DEC(RIGHT(Table1323212753[[#This Row],[h2]],8))</f>
        <v>0</v>
      </c>
    </row>
    <row r="1449" spans="1:18">
      <c r="A1449" s="15" t="str">
        <f t="shared" si="27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8" t="s">
        <v>75</v>
      </c>
      <c r="P1449" s="48">
        <f>HEX2DEC(RIGHT(Table1323212753[[#This Row],[h1]],8))</f>
        <v>0</v>
      </c>
      <c r="Q1449" s="48" t="s">
        <v>75</v>
      </c>
      <c r="R1449" s="48">
        <f>HEX2DEC(RIGHT(Table1323212753[[#This Row],[h2]],8))</f>
        <v>0</v>
      </c>
    </row>
    <row r="1450" spans="1:18">
      <c r="A1450" s="15" t="str">
        <f t="shared" si="27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8" t="s">
        <v>75</v>
      </c>
      <c r="P1450" s="48">
        <f>HEX2DEC(RIGHT(Table1323212753[[#This Row],[h1]],8))</f>
        <v>0</v>
      </c>
      <c r="Q1450" s="48" t="s">
        <v>75</v>
      </c>
      <c r="R1450" s="48">
        <f>HEX2DEC(RIGHT(Table1323212753[[#This Row],[h2]],8))</f>
        <v>0</v>
      </c>
    </row>
    <row r="1451" spans="1:18">
      <c r="A1451" s="15" t="str">
        <f t="shared" si="27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8" t="s">
        <v>75</v>
      </c>
      <c r="P1451" s="48">
        <f>HEX2DEC(RIGHT(Table1323212753[[#This Row],[h1]],8))</f>
        <v>0</v>
      </c>
      <c r="Q1451" s="48" t="s">
        <v>75</v>
      </c>
      <c r="R1451" s="48">
        <f>HEX2DEC(RIGHT(Table1323212753[[#This Row],[h2]],8))</f>
        <v>0</v>
      </c>
    </row>
    <row r="1452" spans="1:18">
      <c r="A1452" s="15" t="str">
        <f t="shared" si="27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8" t="s">
        <v>75</v>
      </c>
      <c r="P1452" s="48">
        <f>HEX2DEC(RIGHT(Table1323212753[[#This Row],[h1]],8))</f>
        <v>0</v>
      </c>
      <c r="Q1452" s="48" t="s">
        <v>75</v>
      </c>
      <c r="R1452" s="48">
        <f>HEX2DEC(RIGHT(Table1323212753[[#This Row],[h2]],8))</f>
        <v>0</v>
      </c>
    </row>
    <row r="1453" spans="1:18">
      <c r="A1453" s="15" t="str">
        <f t="shared" si="27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8" t="s">
        <v>75</v>
      </c>
      <c r="P1453" s="48">
        <f>HEX2DEC(RIGHT(Table1323212753[[#This Row],[h1]],8))</f>
        <v>0</v>
      </c>
      <c r="Q1453" s="48" t="s">
        <v>75</v>
      </c>
      <c r="R1453" s="48">
        <f>HEX2DEC(RIGHT(Table1323212753[[#This Row],[h2]],8))</f>
        <v>0</v>
      </c>
    </row>
    <row r="1454" spans="1:18">
      <c r="A1454" s="15" t="str">
        <f t="shared" si="27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8" t="s">
        <v>75</v>
      </c>
      <c r="P1454" s="48">
        <f>HEX2DEC(RIGHT(Table1323212753[[#This Row],[h1]],8))</f>
        <v>0</v>
      </c>
      <c r="Q1454" s="48" t="s">
        <v>75</v>
      </c>
      <c r="R1454" s="48">
        <f>HEX2DEC(RIGHT(Table1323212753[[#This Row],[h2]],8))</f>
        <v>0</v>
      </c>
    </row>
    <row r="1455" spans="1:18">
      <c r="A1455" s="15" t="str">
        <f t="shared" si="27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8" t="s">
        <v>75</v>
      </c>
      <c r="P1455" s="48">
        <f>HEX2DEC(RIGHT(Table1323212753[[#This Row],[h1]],8))</f>
        <v>0</v>
      </c>
      <c r="Q1455" s="48" t="s">
        <v>75</v>
      </c>
      <c r="R1455" s="48">
        <f>HEX2DEC(RIGHT(Table1323212753[[#This Row],[h2]],8))</f>
        <v>0</v>
      </c>
    </row>
    <row r="1456" spans="1:18">
      <c r="A1456" s="15" t="str">
        <f t="shared" si="27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8" t="s">
        <v>75</v>
      </c>
      <c r="P1456" s="48">
        <f>HEX2DEC(RIGHT(Table1323212753[[#This Row],[h1]],8))</f>
        <v>0</v>
      </c>
      <c r="Q1456" s="48" t="s">
        <v>75</v>
      </c>
      <c r="R1456" s="48">
        <f>HEX2DEC(RIGHT(Table1323212753[[#This Row],[h2]],8))</f>
        <v>0</v>
      </c>
    </row>
    <row r="1457" spans="1:18">
      <c r="A1457" s="15" t="str">
        <f t="shared" si="27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8" t="s">
        <v>75</v>
      </c>
      <c r="P1457" s="48">
        <f>HEX2DEC(RIGHT(Table1323212753[[#This Row],[h1]],8))</f>
        <v>0</v>
      </c>
      <c r="Q1457" s="48" t="s">
        <v>75</v>
      </c>
      <c r="R1457" s="48">
        <f>HEX2DEC(RIGHT(Table1323212753[[#This Row],[h2]],8))</f>
        <v>0</v>
      </c>
    </row>
    <row r="1458" spans="1:18">
      <c r="A1458" s="15" t="str">
        <f t="shared" si="27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8" t="s">
        <v>75</v>
      </c>
      <c r="P1458" s="48">
        <f>HEX2DEC(RIGHT(Table1323212753[[#This Row],[h1]],8))</f>
        <v>0</v>
      </c>
      <c r="Q1458" s="48" t="s">
        <v>75</v>
      </c>
      <c r="R1458" s="48">
        <f>HEX2DEC(RIGHT(Table1323212753[[#This Row],[h2]],8))</f>
        <v>0</v>
      </c>
    </row>
    <row r="1459" spans="1:18">
      <c r="A1459" s="15" t="str">
        <f t="shared" si="27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8" t="s">
        <v>75</v>
      </c>
      <c r="P1459" s="48">
        <f>HEX2DEC(RIGHT(Table1323212753[[#This Row],[h1]],8))</f>
        <v>0</v>
      </c>
      <c r="Q1459" s="48" t="s">
        <v>75</v>
      </c>
      <c r="R1459" s="48">
        <f>HEX2DEC(RIGHT(Table1323212753[[#This Row],[h2]],8))</f>
        <v>0</v>
      </c>
    </row>
    <row r="1460" spans="1:18">
      <c r="A1460" s="15" t="str">
        <f t="shared" si="27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8" t="s">
        <v>75</v>
      </c>
      <c r="P1460" s="48">
        <f>HEX2DEC(RIGHT(Table1323212753[[#This Row],[h1]],8))</f>
        <v>0</v>
      </c>
      <c r="Q1460" s="48" t="s">
        <v>75</v>
      </c>
      <c r="R1460" s="48">
        <f>HEX2DEC(RIGHT(Table1323212753[[#This Row],[h2]],8))</f>
        <v>0</v>
      </c>
    </row>
    <row r="1461" spans="1:18">
      <c r="A1461" s="15" t="str">
        <f t="shared" si="27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8" t="s">
        <v>75</v>
      </c>
      <c r="P1461" s="48">
        <f>HEX2DEC(RIGHT(Table1323212753[[#This Row],[h1]],8))</f>
        <v>0</v>
      </c>
      <c r="Q1461" s="48" t="s">
        <v>75</v>
      </c>
      <c r="R1461" s="48">
        <f>HEX2DEC(RIGHT(Table1323212753[[#This Row],[h2]],8))</f>
        <v>0</v>
      </c>
    </row>
    <row r="1462" spans="1:18">
      <c r="A1462" s="15" t="str">
        <f t="shared" si="27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8" t="s">
        <v>75</v>
      </c>
      <c r="P1462" s="48">
        <f>HEX2DEC(RIGHT(Table1323212753[[#This Row],[h1]],8))</f>
        <v>0</v>
      </c>
      <c r="Q1462" s="48" t="s">
        <v>75</v>
      </c>
      <c r="R1462" s="48">
        <f>HEX2DEC(RIGHT(Table1323212753[[#This Row],[h2]],8))</f>
        <v>0</v>
      </c>
    </row>
    <row r="1463" spans="1:18">
      <c r="A1463" s="15" t="str">
        <f t="shared" si="27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8" t="s">
        <v>75</v>
      </c>
      <c r="P1463" s="48">
        <f>HEX2DEC(RIGHT(Table1323212753[[#This Row],[h1]],8))</f>
        <v>0</v>
      </c>
      <c r="Q1463" s="48" t="s">
        <v>75</v>
      </c>
      <c r="R1463" s="48">
        <f>HEX2DEC(RIGHT(Table1323212753[[#This Row],[h2]],8))</f>
        <v>0</v>
      </c>
    </row>
    <row r="1464" spans="1:18">
      <c r="A1464" s="15" t="str">
        <f t="shared" si="27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8" t="s">
        <v>75</v>
      </c>
      <c r="P1464" s="48">
        <f>HEX2DEC(RIGHT(Table1323212753[[#This Row],[h1]],8))</f>
        <v>0</v>
      </c>
      <c r="Q1464" s="48" t="s">
        <v>75</v>
      </c>
      <c r="R1464" s="48">
        <f>HEX2DEC(RIGHT(Table1323212753[[#This Row],[h2]],8))</f>
        <v>0</v>
      </c>
    </row>
    <row r="1465" spans="1:18">
      <c r="A1465" s="15" t="str">
        <f t="shared" si="27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8" t="s">
        <v>75</v>
      </c>
      <c r="P1465" s="48">
        <f>HEX2DEC(RIGHT(Table1323212753[[#This Row],[h1]],8))</f>
        <v>0</v>
      </c>
      <c r="Q1465" s="48" t="s">
        <v>75</v>
      </c>
      <c r="R1465" s="48">
        <f>HEX2DEC(RIGHT(Table1323212753[[#This Row],[h2]],8))</f>
        <v>0</v>
      </c>
    </row>
    <row r="1466" spans="1:18">
      <c r="A1466" s="15" t="str">
        <f t="shared" si="27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8" t="s">
        <v>75</v>
      </c>
      <c r="P1466" s="48">
        <f>HEX2DEC(RIGHT(Table1323212753[[#This Row],[h1]],8))</f>
        <v>0</v>
      </c>
      <c r="Q1466" s="48" t="s">
        <v>75</v>
      </c>
      <c r="R1466" s="48">
        <f>HEX2DEC(RIGHT(Table1323212753[[#This Row],[h2]],8))</f>
        <v>0</v>
      </c>
    </row>
    <row r="1467" spans="1:18">
      <c r="A1467" s="15" t="str">
        <f t="shared" si="27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8" t="s">
        <v>75</v>
      </c>
      <c r="P1467" s="48">
        <f>HEX2DEC(RIGHT(Table1323212753[[#This Row],[h1]],8))</f>
        <v>0</v>
      </c>
      <c r="Q1467" s="48" t="s">
        <v>75</v>
      </c>
      <c r="R1467" s="48">
        <f>HEX2DEC(RIGHT(Table1323212753[[#This Row],[h2]],8))</f>
        <v>0</v>
      </c>
    </row>
    <row r="1468" spans="1:18">
      <c r="A1468" s="15" t="str">
        <f t="shared" si="27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8" t="s">
        <v>75</v>
      </c>
      <c r="P1468" s="48">
        <f>HEX2DEC(RIGHT(Table1323212753[[#This Row],[h1]],8))</f>
        <v>0</v>
      </c>
      <c r="Q1468" s="48" t="s">
        <v>75</v>
      </c>
      <c r="R1468" s="48">
        <f>HEX2DEC(RIGHT(Table1323212753[[#This Row],[h2]],8))</f>
        <v>0</v>
      </c>
    </row>
    <row r="1469" spans="1:18">
      <c r="A1469" s="15" t="str">
        <f t="shared" si="27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8" t="s">
        <v>75</v>
      </c>
      <c r="P1469" s="48">
        <f>HEX2DEC(RIGHT(Table1323212753[[#This Row],[h1]],8))</f>
        <v>0</v>
      </c>
      <c r="Q1469" s="48" t="s">
        <v>75</v>
      </c>
      <c r="R1469" s="48">
        <f>HEX2DEC(RIGHT(Table1323212753[[#This Row],[h2]],8))</f>
        <v>0</v>
      </c>
    </row>
    <row r="1470" spans="1:18">
      <c r="A1470" s="15" t="str">
        <f t="shared" si="27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8" t="s">
        <v>75</v>
      </c>
      <c r="P1470" s="48">
        <f>HEX2DEC(RIGHT(Table1323212753[[#This Row],[h1]],8))</f>
        <v>0</v>
      </c>
      <c r="Q1470" s="48" t="s">
        <v>75</v>
      </c>
      <c r="R1470" s="48">
        <f>HEX2DEC(RIGHT(Table1323212753[[#This Row],[h2]],8))</f>
        <v>0</v>
      </c>
    </row>
    <row r="1471" spans="1:18">
      <c r="A1471" s="15" t="str">
        <f t="shared" si="27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8" t="s">
        <v>75</v>
      </c>
      <c r="P1471" s="48">
        <f>HEX2DEC(RIGHT(Table1323212753[[#This Row],[h1]],8))</f>
        <v>0</v>
      </c>
      <c r="Q1471" s="48" t="s">
        <v>75</v>
      </c>
      <c r="R1471" s="48">
        <f>HEX2DEC(RIGHT(Table1323212753[[#This Row],[h2]],8))</f>
        <v>0</v>
      </c>
    </row>
    <row r="1472" spans="1:18">
      <c r="A1472" s="15" t="str">
        <f t="shared" si="27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8" t="s">
        <v>75</v>
      </c>
      <c r="P1472" s="48">
        <f>HEX2DEC(RIGHT(Table1323212753[[#This Row],[h1]],8))</f>
        <v>0</v>
      </c>
      <c r="Q1472" s="48" t="s">
        <v>75</v>
      </c>
      <c r="R1472" s="48">
        <f>HEX2DEC(RIGHT(Table1323212753[[#This Row],[h2]],8))</f>
        <v>0</v>
      </c>
    </row>
    <row r="1473" spans="1:18">
      <c r="A1473" s="15" t="str">
        <f t="shared" si="27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8" t="s">
        <v>75</v>
      </c>
      <c r="P1473" s="48">
        <f>HEX2DEC(RIGHT(Table1323212753[[#This Row],[h1]],8))</f>
        <v>0</v>
      </c>
      <c r="Q1473" s="48" t="s">
        <v>75</v>
      </c>
      <c r="R1473" s="48">
        <f>HEX2DEC(RIGHT(Table1323212753[[#This Row],[h2]],8))</f>
        <v>0</v>
      </c>
    </row>
    <row r="1474" spans="1:18">
      <c r="A1474" s="15" t="str">
        <f t="shared" si="27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8" t="s">
        <v>75</v>
      </c>
      <c r="P1474" s="48">
        <f>HEX2DEC(RIGHT(Table1323212753[[#This Row],[h1]],8))</f>
        <v>0</v>
      </c>
      <c r="Q1474" s="48" t="s">
        <v>75</v>
      </c>
      <c r="R1474" s="48">
        <f>HEX2DEC(RIGHT(Table1323212753[[#This Row],[h2]],8))</f>
        <v>0</v>
      </c>
    </row>
    <row r="1475" spans="1:18">
      <c r="A1475" s="15" t="str">
        <f t="shared" si="27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8" t="s">
        <v>75</v>
      </c>
      <c r="P1475" s="48">
        <f>HEX2DEC(RIGHT(Table1323212753[[#This Row],[h1]],8))</f>
        <v>0</v>
      </c>
      <c r="Q1475" s="48" t="s">
        <v>75</v>
      </c>
      <c r="R1475" s="48">
        <f>HEX2DEC(RIGHT(Table1323212753[[#This Row],[h2]],8))</f>
        <v>0</v>
      </c>
    </row>
    <row r="1476" spans="1:18">
      <c r="A1476" s="15" t="str">
        <f t="shared" si="27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8" t="s">
        <v>75</v>
      </c>
      <c r="P1476" s="48">
        <f>HEX2DEC(RIGHT(Table1323212753[[#This Row],[h1]],8))</f>
        <v>0</v>
      </c>
      <c r="Q1476" s="48" t="s">
        <v>75</v>
      </c>
      <c r="R1476" s="48">
        <f>HEX2DEC(RIGHT(Table1323212753[[#This Row],[h2]],8))</f>
        <v>0</v>
      </c>
    </row>
    <row r="1477" spans="1:18">
      <c r="A1477" s="15" t="str">
        <f t="shared" si="27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8" t="s">
        <v>75</v>
      </c>
      <c r="P1477" s="48">
        <f>HEX2DEC(RIGHT(Table1323212753[[#This Row],[h1]],8))</f>
        <v>0</v>
      </c>
      <c r="Q1477" s="48" t="s">
        <v>75</v>
      </c>
      <c r="R1477" s="48">
        <f>HEX2DEC(RIGHT(Table1323212753[[#This Row],[h2]],8))</f>
        <v>0</v>
      </c>
    </row>
    <row r="1478" spans="1:18">
      <c r="A1478" s="15" t="str">
        <f t="shared" si="27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8" t="s">
        <v>75</v>
      </c>
      <c r="P1478" s="48">
        <f>HEX2DEC(RIGHT(Table1323212753[[#This Row],[h1]],8))</f>
        <v>0</v>
      </c>
      <c r="Q1478" s="48" t="s">
        <v>75</v>
      </c>
      <c r="R1478" s="48">
        <f>HEX2DEC(RIGHT(Table1323212753[[#This Row],[h2]],8))</f>
        <v>0</v>
      </c>
    </row>
    <row r="1479" spans="1:18">
      <c r="A1479" s="15" t="str">
        <f t="shared" si="27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8" t="s">
        <v>75</v>
      </c>
      <c r="P1479" s="48">
        <f>HEX2DEC(RIGHT(Table1323212753[[#This Row],[h1]],8))</f>
        <v>0</v>
      </c>
      <c r="Q1479" s="48" t="s">
        <v>75</v>
      </c>
      <c r="R1479" s="48">
        <f>HEX2DEC(RIGHT(Table1323212753[[#This Row],[h2]],8))</f>
        <v>0</v>
      </c>
    </row>
    <row r="1480" spans="1:18">
      <c r="A1480" s="15" t="str">
        <f t="shared" si="27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8" t="s">
        <v>75</v>
      </c>
      <c r="P1480" s="48">
        <f>HEX2DEC(RIGHT(Table1323212753[[#This Row],[h1]],8))</f>
        <v>0</v>
      </c>
      <c r="Q1480" s="48" t="s">
        <v>75</v>
      </c>
      <c r="R1480" s="48">
        <f>HEX2DEC(RIGHT(Table1323212753[[#This Row],[h2]],8))</f>
        <v>0</v>
      </c>
    </row>
    <row r="1481" spans="1:18">
      <c r="A1481" s="15" t="str">
        <f t="shared" si="27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8" t="s">
        <v>75</v>
      </c>
      <c r="P1481" s="48">
        <f>HEX2DEC(RIGHT(Table1323212753[[#This Row],[h1]],8))</f>
        <v>0</v>
      </c>
      <c r="Q1481" s="48" t="s">
        <v>75</v>
      </c>
      <c r="R1481" s="48">
        <f>HEX2DEC(RIGHT(Table1323212753[[#This Row],[h2]],8))</f>
        <v>0</v>
      </c>
    </row>
    <row r="1482" spans="1:18">
      <c r="A1482" s="15" t="str">
        <f t="shared" si="27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8" t="s">
        <v>75</v>
      </c>
      <c r="P1482" s="48">
        <f>HEX2DEC(RIGHT(Table1323212753[[#This Row],[h1]],8))</f>
        <v>0</v>
      </c>
      <c r="Q1482" s="48" t="s">
        <v>75</v>
      </c>
      <c r="R1482" s="48">
        <f>HEX2DEC(RIGHT(Table1323212753[[#This Row],[h2]],8))</f>
        <v>0</v>
      </c>
    </row>
    <row r="1483" spans="1:18">
      <c r="A1483" s="15" t="str">
        <f t="shared" ref="A1483:A1546" si="28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8" t="s">
        <v>75</v>
      </c>
      <c r="P1483" s="48">
        <f>HEX2DEC(RIGHT(Table1323212753[[#This Row],[h1]],8))</f>
        <v>0</v>
      </c>
      <c r="Q1483" s="48" t="s">
        <v>75</v>
      </c>
      <c r="R1483" s="48">
        <f>HEX2DEC(RIGHT(Table1323212753[[#This Row],[h2]],8))</f>
        <v>0</v>
      </c>
    </row>
    <row r="1484" spans="1:18">
      <c r="A1484" s="15" t="str">
        <f t="shared" si="28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8" t="s">
        <v>75</v>
      </c>
      <c r="P1484" s="48">
        <f>HEX2DEC(RIGHT(Table1323212753[[#This Row],[h1]],8))</f>
        <v>0</v>
      </c>
      <c r="Q1484" s="48" t="s">
        <v>75</v>
      </c>
      <c r="R1484" s="48">
        <f>HEX2DEC(RIGHT(Table1323212753[[#This Row],[h2]],8))</f>
        <v>0</v>
      </c>
    </row>
    <row r="1485" spans="1:18">
      <c r="A1485" s="15" t="str">
        <f t="shared" si="28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8" t="s">
        <v>75</v>
      </c>
      <c r="P1485" s="48">
        <f>HEX2DEC(RIGHT(Table1323212753[[#This Row],[h1]],8))</f>
        <v>0</v>
      </c>
      <c r="Q1485" s="48" t="s">
        <v>75</v>
      </c>
      <c r="R1485" s="48">
        <f>HEX2DEC(RIGHT(Table1323212753[[#This Row],[h2]],8))</f>
        <v>0</v>
      </c>
    </row>
    <row r="1486" spans="1:18">
      <c r="A1486" s="15" t="str">
        <f t="shared" si="28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8" t="s">
        <v>75</v>
      </c>
      <c r="P1486" s="48">
        <f>HEX2DEC(RIGHT(Table1323212753[[#This Row],[h1]],8))</f>
        <v>0</v>
      </c>
      <c r="Q1486" s="48" t="s">
        <v>75</v>
      </c>
      <c r="R1486" s="48">
        <f>HEX2DEC(RIGHT(Table1323212753[[#This Row],[h2]],8))</f>
        <v>0</v>
      </c>
    </row>
    <row r="1487" spans="1:18">
      <c r="A1487" s="15" t="str">
        <f t="shared" si="28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8" t="s">
        <v>75</v>
      </c>
      <c r="P1487" s="48">
        <f>HEX2DEC(RIGHT(Table1323212753[[#This Row],[h1]],8))</f>
        <v>0</v>
      </c>
      <c r="Q1487" s="48" t="s">
        <v>75</v>
      </c>
      <c r="R1487" s="48">
        <f>HEX2DEC(RIGHT(Table1323212753[[#This Row],[h2]],8))</f>
        <v>0</v>
      </c>
    </row>
    <row r="1488" spans="1:18">
      <c r="A1488" s="15" t="str">
        <f t="shared" si="28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8" t="s">
        <v>75</v>
      </c>
      <c r="P1488" s="48">
        <f>HEX2DEC(RIGHT(Table1323212753[[#This Row],[h1]],8))</f>
        <v>0</v>
      </c>
      <c r="Q1488" s="48" t="s">
        <v>75</v>
      </c>
      <c r="R1488" s="48">
        <f>HEX2DEC(RIGHT(Table1323212753[[#This Row],[h2]],8))</f>
        <v>0</v>
      </c>
    </row>
    <row r="1489" spans="1:18">
      <c r="A1489" s="15" t="str">
        <f t="shared" si="28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8" t="s">
        <v>75</v>
      </c>
      <c r="P1489" s="48">
        <f>HEX2DEC(RIGHT(Table1323212753[[#This Row],[h1]],8))</f>
        <v>0</v>
      </c>
      <c r="Q1489" s="48" t="s">
        <v>75</v>
      </c>
      <c r="R1489" s="48">
        <f>HEX2DEC(RIGHT(Table1323212753[[#This Row],[h2]],8))</f>
        <v>0</v>
      </c>
    </row>
    <row r="1490" spans="1:18">
      <c r="A1490" s="15" t="str">
        <f t="shared" si="28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8" t="s">
        <v>75</v>
      </c>
      <c r="P1490" s="48">
        <f>HEX2DEC(RIGHT(Table1323212753[[#This Row],[h1]],8))</f>
        <v>0</v>
      </c>
      <c r="Q1490" s="48" t="s">
        <v>75</v>
      </c>
      <c r="R1490" s="48">
        <f>HEX2DEC(RIGHT(Table1323212753[[#This Row],[h2]],8))</f>
        <v>0</v>
      </c>
    </row>
    <row r="1491" spans="1:18">
      <c r="A1491" s="15" t="str">
        <f t="shared" si="28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8" t="s">
        <v>75</v>
      </c>
      <c r="P1491" s="48">
        <f>HEX2DEC(RIGHT(Table1323212753[[#This Row],[h1]],8))</f>
        <v>0</v>
      </c>
      <c r="Q1491" s="48" t="s">
        <v>75</v>
      </c>
      <c r="R1491" s="48">
        <f>HEX2DEC(RIGHT(Table1323212753[[#This Row],[h2]],8))</f>
        <v>0</v>
      </c>
    </row>
    <row r="1492" spans="1:18">
      <c r="A1492" s="15" t="str">
        <f t="shared" si="28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8" t="s">
        <v>75</v>
      </c>
      <c r="P1492" s="48">
        <f>HEX2DEC(RIGHT(Table1323212753[[#This Row],[h1]],8))</f>
        <v>0</v>
      </c>
      <c r="Q1492" s="48" t="s">
        <v>75</v>
      </c>
      <c r="R1492" s="48">
        <f>HEX2DEC(RIGHT(Table1323212753[[#This Row],[h2]],8))</f>
        <v>0</v>
      </c>
    </row>
    <row r="1493" spans="1:18">
      <c r="A1493" s="15" t="str">
        <f t="shared" si="28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8" t="s">
        <v>75</v>
      </c>
      <c r="P1493" s="48">
        <f>HEX2DEC(RIGHT(Table1323212753[[#This Row],[h1]],8))</f>
        <v>0</v>
      </c>
      <c r="Q1493" s="48" t="s">
        <v>75</v>
      </c>
      <c r="R1493" s="48">
        <f>HEX2DEC(RIGHT(Table1323212753[[#This Row],[h2]],8))</f>
        <v>0</v>
      </c>
    </row>
    <row r="1494" spans="1:18">
      <c r="A1494" s="15" t="str">
        <f t="shared" si="28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8" t="s">
        <v>75</v>
      </c>
      <c r="P1494" s="48">
        <f>HEX2DEC(RIGHT(Table1323212753[[#This Row],[h1]],8))</f>
        <v>0</v>
      </c>
      <c r="Q1494" s="48" t="s">
        <v>75</v>
      </c>
      <c r="R1494" s="48">
        <f>HEX2DEC(RIGHT(Table1323212753[[#This Row],[h2]],8))</f>
        <v>0</v>
      </c>
    </row>
    <row r="1495" spans="1:18">
      <c r="A1495" s="15" t="str">
        <f t="shared" si="28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8" t="s">
        <v>75</v>
      </c>
      <c r="P1495" s="48">
        <f>HEX2DEC(RIGHT(Table1323212753[[#This Row],[h1]],8))</f>
        <v>0</v>
      </c>
      <c r="Q1495" s="48" t="s">
        <v>75</v>
      </c>
      <c r="R1495" s="48">
        <f>HEX2DEC(RIGHT(Table1323212753[[#This Row],[h2]],8))</f>
        <v>0</v>
      </c>
    </row>
    <row r="1496" spans="1:18">
      <c r="A1496" s="15" t="str">
        <f t="shared" si="28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8" t="s">
        <v>75</v>
      </c>
      <c r="P1496" s="48">
        <f>HEX2DEC(RIGHT(Table1323212753[[#This Row],[h1]],8))</f>
        <v>0</v>
      </c>
      <c r="Q1496" s="48" t="s">
        <v>75</v>
      </c>
      <c r="R1496" s="48">
        <f>HEX2DEC(RIGHT(Table1323212753[[#This Row],[h2]],8))</f>
        <v>0</v>
      </c>
    </row>
    <row r="1497" spans="1:18">
      <c r="A1497" s="15" t="str">
        <f t="shared" si="28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8" t="s">
        <v>75</v>
      </c>
      <c r="P1497" s="48">
        <f>HEX2DEC(RIGHT(Table1323212753[[#This Row],[h1]],8))</f>
        <v>0</v>
      </c>
      <c r="Q1497" s="48" t="s">
        <v>75</v>
      </c>
      <c r="R1497" s="48">
        <f>HEX2DEC(RIGHT(Table1323212753[[#This Row],[h2]],8))</f>
        <v>0</v>
      </c>
    </row>
    <row r="1498" spans="1:18">
      <c r="A1498" s="15" t="str">
        <f t="shared" si="28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8" t="s">
        <v>75</v>
      </c>
      <c r="P1498" s="48">
        <f>HEX2DEC(RIGHT(Table1323212753[[#This Row],[h1]],8))</f>
        <v>0</v>
      </c>
      <c r="Q1498" s="48" t="s">
        <v>75</v>
      </c>
      <c r="R1498" s="48">
        <f>HEX2DEC(RIGHT(Table1323212753[[#This Row],[h2]],8))</f>
        <v>0</v>
      </c>
    </row>
    <row r="1499" spans="1:18">
      <c r="A1499" s="15" t="str">
        <f t="shared" si="28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8" t="s">
        <v>75</v>
      </c>
      <c r="P1499" s="48">
        <f>HEX2DEC(RIGHT(Table1323212753[[#This Row],[h1]],8))</f>
        <v>0</v>
      </c>
      <c r="Q1499" s="48" t="s">
        <v>75</v>
      </c>
      <c r="R1499" s="48">
        <f>HEX2DEC(RIGHT(Table1323212753[[#This Row],[h2]],8))</f>
        <v>0</v>
      </c>
    </row>
    <row r="1500" spans="1:18">
      <c r="A1500" s="15" t="str">
        <f t="shared" si="28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8" t="s">
        <v>75</v>
      </c>
      <c r="P1500" s="48">
        <f>HEX2DEC(RIGHT(Table1323212753[[#This Row],[h1]],8))</f>
        <v>0</v>
      </c>
      <c r="Q1500" s="48" t="s">
        <v>75</v>
      </c>
      <c r="R1500" s="48">
        <f>HEX2DEC(RIGHT(Table1323212753[[#This Row],[h2]],8))</f>
        <v>0</v>
      </c>
    </row>
    <row r="1501" spans="1:18">
      <c r="A1501" s="15" t="str">
        <f t="shared" si="28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8" t="s">
        <v>75</v>
      </c>
      <c r="P1501" s="48">
        <f>HEX2DEC(RIGHT(Table1323212753[[#This Row],[h1]],8))</f>
        <v>0</v>
      </c>
      <c r="Q1501" s="48" t="s">
        <v>75</v>
      </c>
      <c r="R1501" s="48">
        <f>HEX2DEC(RIGHT(Table1323212753[[#This Row],[h2]],8))</f>
        <v>0</v>
      </c>
    </row>
    <row r="1502" spans="1:18">
      <c r="A1502" s="15" t="str">
        <f t="shared" si="28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8" t="s">
        <v>75</v>
      </c>
      <c r="P1502" s="48">
        <f>HEX2DEC(RIGHT(Table1323212753[[#This Row],[h1]],8))</f>
        <v>0</v>
      </c>
      <c r="Q1502" s="48" t="s">
        <v>75</v>
      </c>
      <c r="R1502" s="48">
        <f>HEX2DEC(RIGHT(Table1323212753[[#This Row],[h2]],8))</f>
        <v>0</v>
      </c>
    </row>
    <row r="1503" spans="1:18">
      <c r="A1503" s="15" t="str">
        <f t="shared" si="28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8" t="s">
        <v>75</v>
      </c>
      <c r="P1503" s="48">
        <f>HEX2DEC(RIGHT(Table1323212753[[#This Row],[h1]],8))</f>
        <v>0</v>
      </c>
      <c r="Q1503" s="48" t="s">
        <v>75</v>
      </c>
      <c r="R1503" s="48">
        <f>HEX2DEC(RIGHT(Table1323212753[[#This Row],[h2]],8))</f>
        <v>0</v>
      </c>
    </row>
    <row r="1504" spans="1:18">
      <c r="A1504" s="15" t="str">
        <f t="shared" si="28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8" t="s">
        <v>75</v>
      </c>
      <c r="P1504" s="48">
        <f>HEX2DEC(RIGHT(Table1323212753[[#This Row],[h1]],8))</f>
        <v>0</v>
      </c>
      <c r="Q1504" s="48" t="s">
        <v>75</v>
      </c>
      <c r="R1504" s="48">
        <f>HEX2DEC(RIGHT(Table1323212753[[#This Row],[h2]],8))</f>
        <v>0</v>
      </c>
    </row>
    <row r="1505" spans="1:18">
      <c r="A1505" s="15" t="str">
        <f t="shared" si="28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8" t="s">
        <v>75</v>
      </c>
      <c r="P1505" s="48">
        <f>HEX2DEC(RIGHT(Table1323212753[[#This Row],[h1]],8))</f>
        <v>0</v>
      </c>
      <c r="Q1505" s="48" t="s">
        <v>75</v>
      </c>
      <c r="R1505" s="48">
        <f>HEX2DEC(RIGHT(Table1323212753[[#This Row],[h2]],8))</f>
        <v>0</v>
      </c>
    </row>
    <row r="1506" spans="1:18">
      <c r="A1506" s="15" t="str">
        <f t="shared" si="28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8" t="s">
        <v>75</v>
      </c>
      <c r="P1506" s="48">
        <f>HEX2DEC(RIGHT(Table1323212753[[#This Row],[h1]],8))</f>
        <v>0</v>
      </c>
      <c r="Q1506" s="48" t="s">
        <v>75</v>
      </c>
      <c r="R1506" s="48">
        <f>HEX2DEC(RIGHT(Table1323212753[[#This Row],[h2]],8))</f>
        <v>0</v>
      </c>
    </row>
    <row r="1507" spans="1:18">
      <c r="A1507" s="15" t="str">
        <f t="shared" si="28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8" t="s">
        <v>75</v>
      </c>
      <c r="P1507" s="48">
        <f>HEX2DEC(RIGHT(Table1323212753[[#This Row],[h1]],8))</f>
        <v>0</v>
      </c>
      <c r="Q1507" s="48" t="s">
        <v>75</v>
      </c>
      <c r="R1507" s="48">
        <f>HEX2DEC(RIGHT(Table1323212753[[#This Row],[h2]],8))</f>
        <v>0</v>
      </c>
    </row>
    <row r="1508" spans="1:18">
      <c r="A1508" s="15" t="str">
        <f t="shared" si="28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8" t="s">
        <v>75</v>
      </c>
      <c r="P1508" s="48">
        <f>HEX2DEC(RIGHT(Table1323212753[[#This Row],[h1]],8))</f>
        <v>0</v>
      </c>
      <c r="Q1508" s="48" t="s">
        <v>75</v>
      </c>
      <c r="R1508" s="48">
        <f>HEX2DEC(RIGHT(Table1323212753[[#This Row],[h2]],8))</f>
        <v>0</v>
      </c>
    </row>
    <row r="1509" spans="1:18">
      <c r="A1509" s="15" t="str">
        <f t="shared" si="28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8" t="s">
        <v>75</v>
      </c>
      <c r="P1509" s="48">
        <f>HEX2DEC(RIGHT(Table1323212753[[#This Row],[h1]],8))</f>
        <v>0</v>
      </c>
      <c r="Q1509" s="48" t="s">
        <v>75</v>
      </c>
      <c r="R1509" s="48">
        <f>HEX2DEC(RIGHT(Table1323212753[[#This Row],[h2]],8))</f>
        <v>0</v>
      </c>
    </row>
    <row r="1510" spans="1:18">
      <c r="A1510" s="15" t="str">
        <f t="shared" si="28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8" t="s">
        <v>75</v>
      </c>
      <c r="P1510" s="48">
        <f>HEX2DEC(RIGHT(Table1323212753[[#This Row],[h1]],8))</f>
        <v>0</v>
      </c>
      <c r="Q1510" s="48" t="s">
        <v>75</v>
      </c>
      <c r="R1510" s="48">
        <f>HEX2DEC(RIGHT(Table1323212753[[#This Row],[h2]],8))</f>
        <v>0</v>
      </c>
    </row>
    <row r="1511" spans="1:18">
      <c r="A1511" s="15" t="str">
        <f t="shared" si="28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8" t="s">
        <v>75</v>
      </c>
      <c r="P1511" s="48">
        <f>HEX2DEC(RIGHT(Table1323212753[[#This Row],[h1]],8))</f>
        <v>0</v>
      </c>
      <c r="Q1511" s="48" t="s">
        <v>75</v>
      </c>
      <c r="R1511" s="48">
        <f>HEX2DEC(RIGHT(Table1323212753[[#This Row],[h2]],8))</f>
        <v>0</v>
      </c>
    </row>
    <row r="1512" spans="1:18">
      <c r="A1512" s="15" t="str">
        <f t="shared" si="28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8" t="s">
        <v>75</v>
      </c>
      <c r="P1512" s="48">
        <f>HEX2DEC(RIGHT(Table1323212753[[#This Row],[h1]],8))</f>
        <v>0</v>
      </c>
      <c r="Q1512" s="48" t="s">
        <v>75</v>
      </c>
      <c r="R1512" s="48">
        <f>HEX2DEC(RIGHT(Table1323212753[[#This Row],[h2]],8))</f>
        <v>0</v>
      </c>
    </row>
    <row r="1513" spans="1:18">
      <c r="A1513" s="15" t="str">
        <f t="shared" si="28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8" t="s">
        <v>75</v>
      </c>
      <c r="P1513" s="48">
        <f>HEX2DEC(RIGHT(Table1323212753[[#This Row],[h1]],8))</f>
        <v>0</v>
      </c>
      <c r="Q1513" s="48" t="s">
        <v>75</v>
      </c>
      <c r="R1513" s="48">
        <f>HEX2DEC(RIGHT(Table1323212753[[#This Row],[h2]],8))</f>
        <v>0</v>
      </c>
    </row>
    <row r="1514" spans="1:18">
      <c r="A1514" s="15" t="str">
        <f t="shared" si="28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8" t="s">
        <v>75</v>
      </c>
      <c r="P1514" s="48">
        <f>HEX2DEC(RIGHT(Table1323212753[[#This Row],[h1]],8))</f>
        <v>0</v>
      </c>
      <c r="Q1514" s="48" t="s">
        <v>75</v>
      </c>
      <c r="R1514" s="48">
        <f>HEX2DEC(RIGHT(Table1323212753[[#This Row],[h2]],8))</f>
        <v>0</v>
      </c>
    </row>
    <row r="1515" spans="1:18">
      <c r="A1515" s="15" t="str">
        <f t="shared" si="28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8" t="s">
        <v>75</v>
      </c>
      <c r="P1515" s="48">
        <f>HEX2DEC(RIGHT(Table1323212753[[#This Row],[h1]],8))</f>
        <v>0</v>
      </c>
      <c r="Q1515" s="48" t="s">
        <v>75</v>
      </c>
      <c r="R1515" s="48">
        <f>HEX2DEC(RIGHT(Table1323212753[[#This Row],[h2]],8))</f>
        <v>0</v>
      </c>
    </row>
    <row r="1516" spans="1:18">
      <c r="A1516" s="15" t="str">
        <f t="shared" si="28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8" t="s">
        <v>75</v>
      </c>
      <c r="P1516" s="48">
        <f>HEX2DEC(RIGHT(Table1323212753[[#This Row],[h1]],8))</f>
        <v>0</v>
      </c>
      <c r="Q1516" s="48" t="s">
        <v>75</v>
      </c>
      <c r="R1516" s="48">
        <f>HEX2DEC(RIGHT(Table1323212753[[#This Row],[h2]],8))</f>
        <v>0</v>
      </c>
    </row>
    <row r="1517" spans="1:18">
      <c r="A1517" s="15" t="str">
        <f t="shared" si="28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8" t="s">
        <v>75</v>
      </c>
      <c r="P1517" s="48">
        <f>HEX2DEC(RIGHT(Table1323212753[[#This Row],[h1]],8))</f>
        <v>0</v>
      </c>
      <c r="Q1517" s="48" t="s">
        <v>75</v>
      </c>
      <c r="R1517" s="48">
        <f>HEX2DEC(RIGHT(Table1323212753[[#This Row],[h2]],8))</f>
        <v>0</v>
      </c>
    </row>
    <row r="1518" spans="1:18">
      <c r="A1518" s="15" t="str">
        <f t="shared" si="28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8" t="s">
        <v>75</v>
      </c>
      <c r="P1518" s="48">
        <f>HEX2DEC(RIGHT(Table1323212753[[#This Row],[h1]],8))</f>
        <v>0</v>
      </c>
      <c r="Q1518" s="48" t="s">
        <v>75</v>
      </c>
      <c r="R1518" s="48">
        <f>HEX2DEC(RIGHT(Table1323212753[[#This Row],[h2]],8))</f>
        <v>0</v>
      </c>
    </row>
    <row r="1519" spans="1:18">
      <c r="A1519" s="15" t="str">
        <f t="shared" si="28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8" t="s">
        <v>75</v>
      </c>
      <c r="P1519" s="48">
        <f>HEX2DEC(RIGHT(Table1323212753[[#This Row],[h1]],8))</f>
        <v>0</v>
      </c>
      <c r="Q1519" s="48" t="s">
        <v>75</v>
      </c>
      <c r="R1519" s="48">
        <f>HEX2DEC(RIGHT(Table1323212753[[#This Row],[h2]],8))</f>
        <v>0</v>
      </c>
    </row>
    <row r="1520" spans="1:18">
      <c r="A1520" s="15" t="str">
        <f t="shared" si="28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8" t="s">
        <v>75</v>
      </c>
      <c r="P1520" s="48">
        <f>HEX2DEC(RIGHT(Table1323212753[[#This Row],[h1]],8))</f>
        <v>0</v>
      </c>
      <c r="Q1520" s="48" t="s">
        <v>75</v>
      </c>
      <c r="R1520" s="48">
        <f>HEX2DEC(RIGHT(Table1323212753[[#This Row],[h2]],8))</f>
        <v>0</v>
      </c>
    </row>
    <row r="1521" spans="1:18">
      <c r="A1521" s="15" t="str">
        <f t="shared" si="28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8" t="s">
        <v>75</v>
      </c>
      <c r="P1521" s="48">
        <f>HEX2DEC(RIGHT(Table1323212753[[#This Row],[h1]],8))</f>
        <v>0</v>
      </c>
      <c r="Q1521" s="48" t="s">
        <v>75</v>
      </c>
      <c r="R1521" s="48">
        <f>HEX2DEC(RIGHT(Table1323212753[[#This Row],[h2]],8))</f>
        <v>0</v>
      </c>
    </row>
    <row r="1522" spans="1:18">
      <c r="A1522" s="15" t="str">
        <f t="shared" si="28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8" t="s">
        <v>75</v>
      </c>
      <c r="P1522" s="48">
        <f>HEX2DEC(RIGHT(Table1323212753[[#This Row],[h1]],8))</f>
        <v>0</v>
      </c>
      <c r="Q1522" s="48" t="s">
        <v>75</v>
      </c>
      <c r="R1522" s="48">
        <f>HEX2DEC(RIGHT(Table1323212753[[#This Row],[h2]],8))</f>
        <v>0</v>
      </c>
    </row>
    <row r="1523" spans="1:18">
      <c r="A1523" s="15" t="str">
        <f t="shared" si="28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8" t="s">
        <v>75</v>
      </c>
      <c r="P1523" s="48">
        <f>HEX2DEC(RIGHT(Table1323212753[[#This Row],[h1]],8))</f>
        <v>0</v>
      </c>
      <c r="Q1523" s="48" t="s">
        <v>75</v>
      </c>
      <c r="R1523" s="48">
        <f>HEX2DEC(RIGHT(Table1323212753[[#This Row],[h2]],8))</f>
        <v>0</v>
      </c>
    </row>
    <row r="1524" spans="1:18">
      <c r="A1524" s="15" t="str">
        <f t="shared" si="28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8" t="s">
        <v>75</v>
      </c>
      <c r="P1524" s="48">
        <f>HEX2DEC(RIGHT(Table1323212753[[#This Row],[h1]],8))</f>
        <v>0</v>
      </c>
      <c r="Q1524" s="48" t="s">
        <v>75</v>
      </c>
      <c r="R1524" s="48">
        <f>HEX2DEC(RIGHT(Table1323212753[[#This Row],[h2]],8))</f>
        <v>0</v>
      </c>
    </row>
    <row r="1525" spans="1:18">
      <c r="A1525" s="15" t="str">
        <f t="shared" si="28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8" t="s">
        <v>75</v>
      </c>
      <c r="P1525" s="48">
        <f>HEX2DEC(RIGHT(Table1323212753[[#This Row],[h1]],8))</f>
        <v>0</v>
      </c>
      <c r="Q1525" s="48" t="s">
        <v>75</v>
      </c>
      <c r="R1525" s="48">
        <f>HEX2DEC(RIGHT(Table1323212753[[#This Row],[h2]],8))</f>
        <v>0</v>
      </c>
    </row>
    <row r="1526" spans="1:18">
      <c r="A1526" s="15" t="str">
        <f t="shared" si="28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8" t="s">
        <v>75</v>
      </c>
      <c r="P1526" s="48">
        <f>HEX2DEC(RIGHT(Table1323212753[[#This Row],[h1]],8))</f>
        <v>0</v>
      </c>
      <c r="Q1526" s="48" t="s">
        <v>75</v>
      </c>
      <c r="R1526" s="48">
        <f>HEX2DEC(RIGHT(Table1323212753[[#This Row],[h2]],8))</f>
        <v>0</v>
      </c>
    </row>
    <row r="1527" spans="1:18">
      <c r="A1527" s="15" t="str">
        <f t="shared" si="28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8" t="s">
        <v>75</v>
      </c>
      <c r="P1527" s="48">
        <f>HEX2DEC(RIGHT(Table1323212753[[#This Row],[h1]],8))</f>
        <v>0</v>
      </c>
      <c r="Q1527" s="48" t="s">
        <v>75</v>
      </c>
      <c r="R1527" s="48">
        <f>HEX2DEC(RIGHT(Table1323212753[[#This Row],[h2]],8))</f>
        <v>0</v>
      </c>
    </row>
    <row r="1528" spans="1:18">
      <c r="A1528" s="15" t="str">
        <f t="shared" si="28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8" t="s">
        <v>75</v>
      </c>
      <c r="P1528" s="48">
        <f>HEX2DEC(RIGHT(Table1323212753[[#This Row],[h1]],8))</f>
        <v>0</v>
      </c>
      <c r="Q1528" s="48" t="s">
        <v>75</v>
      </c>
      <c r="R1528" s="48">
        <f>HEX2DEC(RIGHT(Table1323212753[[#This Row],[h2]],8))</f>
        <v>0</v>
      </c>
    </row>
    <row r="1529" spans="1:18">
      <c r="A1529" s="15" t="str">
        <f t="shared" si="28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8" t="s">
        <v>75</v>
      </c>
      <c r="P1529" s="48">
        <f>HEX2DEC(RIGHT(Table1323212753[[#This Row],[h1]],8))</f>
        <v>0</v>
      </c>
      <c r="Q1529" s="48" t="s">
        <v>75</v>
      </c>
      <c r="R1529" s="48">
        <f>HEX2DEC(RIGHT(Table1323212753[[#This Row],[h2]],8))</f>
        <v>0</v>
      </c>
    </row>
    <row r="1530" spans="1:18">
      <c r="A1530" s="15" t="str">
        <f t="shared" si="28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8" t="s">
        <v>75</v>
      </c>
      <c r="P1530" s="48">
        <f>HEX2DEC(RIGHT(Table1323212753[[#This Row],[h1]],8))</f>
        <v>0</v>
      </c>
      <c r="Q1530" s="48" t="s">
        <v>75</v>
      </c>
      <c r="R1530" s="48">
        <f>HEX2DEC(RIGHT(Table1323212753[[#This Row],[h2]],8))</f>
        <v>0</v>
      </c>
    </row>
    <row r="1531" spans="1:18">
      <c r="A1531" s="15" t="str">
        <f t="shared" si="28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8" t="s">
        <v>75</v>
      </c>
      <c r="P1531" s="48">
        <f>HEX2DEC(RIGHT(Table1323212753[[#This Row],[h1]],8))</f>
        <v>0</v>
      </c>
      <c r="Q1531" s="48" t="s">
        <v>75</v>
      </c>
      <c r="R1531" s="48">
        <f>HEX2DEC(RIGHT(Table1323212753[[#This Row],[h2]],8))</f>
        <v>0</v>
      </c>
    </row>
    <row r="1532" spans="1:18">
      <c r="A1532" s="15" t="str">
        <f t="shared" si="28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8" t="s">
        <v>75</v>
      </c>
      <c r="P1532" s="48">
        <f>HEX2DEC(RIGHT(Table1323212753[[#This Row],[h1]],8))</f>
        <v>0</v>
      </c>
      <c r="Q1532" s="48" t="s">
        <v>75</v>
      </c>
      <c r="R1532" s="48">
        <f>HEX2DEC(RIGHT(Table1323212753[[#This Row],[h2]],8))</f>
        <v>0</v>
      </c>
    </row>
    <row r="1533" spans="1:18">
      <c r="A1533" s="15" t="str">
        <f t="shared" si="28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8" t="s">
        <v>75</v>
      </c>
      <c r="P1533" s="48">
        <f>HEX2DEC(RIGHT(Table1323212753[[#This Row],[h1]],8))</f>
        <v>0</v>
      </c>
      <c r="Q1533" s="48" t="s">
        <v>75</v>
      </c>
      <c r="R1533" s="48">
        <f>HEX2DEC(RIGHT(Table1323212753[[#This Row],[h2]],8))</f>
        <v>0</v>
      </c>
    </row>
    <row r="1534" spans="1:18">
      <c r="A1534" s="15" t="str">
        <f t="shared" si="28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8" t="s">
        <v>75</v>
      </c>
      <c r="P1534" s="48">
        <f>HEX2DEC(RIGHT(Table1323212753[[#This Row],[h1]],8))</f>
        <v>0</v>
      </c>
      <c r="Q1534" s="48" t="s">
        <v>75</v>
      </c>
      <c r="R1534" s="48">
        <f>HEX2DEC(RIGHT(Table1323212753[[#This Row],[h2]],8))</f>
        <v>0</v>
      </c>
    </row>
    <row r="1535" spans="1:18">
      <c r="A1535" s="15" t="str">
        <f t="shared" si="28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8" t="s">
        <v>75</v>
      </c>
      <c r="P1535" s="48">
        <f>HEX2DEC(RIGHT(Table1323212753[[#This Row],[h1]],8))</f>
        <v>0</v>
      </c>
      <c r="Q1535" s="48" t="s">
        <v>75</v>
      </c>
      <c r="R1535" s="48">
        <f>HEX2DEC(RIGHT(Table1323212753[[#This Row],[h2]],8))</f>
        <v>0</v>
      </c>
    </row>
    <row r="1536" spans="1:18">
      <c r="A1536" s="15" t="str">
        <f t="shared" si="28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8" t="s">
        <v>75</v>
      </c>
      <c r="P1536" s="48">
        <f>HEX2DEC(RIGHT(Table1323212753[[#This Row],[h1]],8))</f>
        <v>0</v>
      </c>
      <c r="Q1536" s="48" t="s">
        <v>75</v>
      </c>
      <c r="R1536" s="48">
        <f>HEX2DEC(RIGHT(Table1323212753[[#This Row],[h2]],8))</f>
        <v>0</v>
      </c>
    </row>
    <row r="1537" spans="1:18">
      <c r="A1537" s="15" t="str">
        <f t="shared" si="28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8" t="s">
        <v>75</v>
      </c>
      <c r="P1537" s="48">
        <f>HEX2DEC(RIGHT(Table1323212753[[#This Row],[h1]],8))</f>
        <v>0</v>
      </c>
      <c r="Q1537" s="48" t="s">
        <v>75</v>
      </c>
      <c r="R1537" s="48">
        <f>HEX2DEC(RIGHT(Table1323212753[[#This Row],[h2]],8))</f>
        <v>0</v>
      </c>
    </row>
    <row r="1538" spans="1:18">
      <c r="A1538" s="15" t="str">
        <f t="shared" si="28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8" t="s">
        <v>75</v>
      </c>
      <c r="P1538" s="48">
        <f>HEX2DEC(RIGHT(Table1323212753[[#This Row],[h1]],8))</f>
        <v>0</v>
      </c>
      <c r="Q1538" s="48" t="s">
        <v>75</v>
      </c>
      <c r="R1538" s="48">
        <f>HEX2DEC(RIGHT(Table1323212753[[#This Row],[h2]],8))</f>
        <v>0</v>
      </c>
    </row>
    <row r="1539" spans="1:18">
      <c r="A1539" s="15" t="str">
        <f t="shared" si="28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8" t="s">
        <v>75</v>
      </c>
      <c r="P1539" s="48">
        <f>HEX2DEC(RIGHT(Table1323212753[[#This Row],[h1]],8))</f>
        <v>0</v>
      </c>
      <c r="Q1539" s="48" t="s">
        <v>75</v>
      </c>
      <c r="R1539" s="48">
        <f>HEX2DEC(RIGHT(Table1323212753[[#This Row],[h2]],8))</f>
        <v>0</v>
      </c>
    </row>
    <row r="1540" spans="1:18">
      <c r="A1540" s="15" t="str">
        <f t="shared" si="28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8" t="s">
        <v>75</v>
      </c>
      <c r="P1540" s="48">
        <f>HEX2DEC(RIGHT(Table1323212753[[#This Row],[h1]],8))</f>
        <v>0</v>
      </c>
      <c r="Q1540" s="48" t="s">
        <v>75</v>
      </c>
      <c r="R1540" s="48">
        <f>HEX2DEC(RIGHT(Table1323212753[[#This Row],[h2]],8))</f>
        <v>0</v>
      </c>
    </row>
    <row r="1541" spans="1:18">
      <c r="A1541" s="15" t="str">
        <f t="shared" si="28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8" t="s">
        <v>75</v>
      </c>
      <c r="P1541" s="48">
        <f>HEX2DEC(RIGHT(Table1323212753[[#This Row],[h1]],8))</f>
        <v>0</v>
      </c>
      <c r="Q1541" s="48" t="s">
        <v>75</v>
      </c>
      <c r="R1541" s="48">
        <f>HEX2DEC(RIGHT(Table1323212753[[#This Row],[h2]],8))</f>
        <v>0</v>
      </c>
    </row>
    <row r="1542" spans="1:18">
      <c r="A1542" s="15" t="str">
        <f t="shared" si="28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8" t="s">
        <v>75</v>
      </c>
      <c r="P1542" s="48">
        <f>HEX2DEC(RIGHT(Table1323212753[[#This Row],[h1]],8))</f>
        <v>0</v>
      </c>
      <c r="Q1542" s="48" t="s">
        <v>75</v>
      </c>
      <c r="R1542" s="48">
        <f>HEX2DEC(RIGHT(Table1323212753[[#This Row],[h2]],8))</f>
        <v>0</v>
      </c>
    </row>
    <row r="1543" spans="1:18">
      <c r="A1543" s="15" t="str">
        <f t="shared" si="28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8" t="s">
        <v>75</v>
      </c>
      <c r="P1543" s="48">
        <f>HEX2DEC(RIGHT(Table1323212753[[#This Row],[h1]],8))</f>
        <v>0</v>
      </c>
      <c r="Q1543" s="48" t="s">
        <v>75</v>
      </c>
      <c r="R1543" s="48">
        <f>HEX2DEC(RIGHT(Table1323212753[[#This Row],[h2]],8))</f>
        <v>0</v>
      </c>
    </row>
    <row r="1544" spans="1:18">
      <c r="A1544" s="15" t="str">
        <f t="shared" si="28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8" t="s">
        <v>75</v>
      </c>
      <c r="P1544" s="48">
        <f>HEX2DEC(RIGHT(Table1323212753[[#This Row],[h1]],8))</f>
        <v>0</v>
      </c>
      <c r="Q1544" s="48" t="s">
        <v>75</v>
      </c>
      <c r="R1544" s="48">
        <f>HEX2DEC(RIGHT(Table1323212753[[#This Row],[h2]],8))</f>
        <v>0</v>
      </c>
    </row>
    <row r="1545" spans="1:18">
      <c r="A1545" s="15" t="str">
        <f t="shared" si="28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8" t="s">
        <v>75</v>
      </c>
      <c r="P1545" s="48">
        <f>HEX2DEC(RIGHT(Table1323212753[[#This Row],[h1]],8))</f>
        <v>0</v>
      </c>
      <c r="Q1545" s="48" t="s">
        <v>75</v>
      </c>
      <c r="R1545" s="48">
        <f>HEX2DEC(RIGHT(Table1323212753[[#This Row],[h2]],8))</f>
        <v>0</v>
      </c>
    </row>
    <row r="1546" spans="1:18">
      <c r="A1546" s="15" t="str">
        <f t="shared" si="28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8" t="s">
        <v>75</v>
      </c>
      <c r="P1546" s="48">
        <f>HEX2DEC(RIGHT(Table1323212753[[#This Row],[h1]],8))</f>
        <v>0</v>
      </c>
      <c r="Q1546" s="48" t="s">
        <v>75</v>
      </c>
      <c r="R1546" s="48">
        <f>HEX2DEC(RIGHT(Table1323212753[[#This Row],[h2]],8))</f>
        <v>0</v>
      </c>
    </row>
    <row r="1547" spans="1:18">
      <c r="A1547" s="15" t="str">
        <f t="shared" ref="A1547:A1610" si="29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8" t="s">
        <v>75</v>
      </c>
      <c r="P1547" s="48">
        <f>HEX2DEC(RIGHT(Table1323212753[[#This Row],[h1]],8))</f>
        <v>0</v>
      </c>
      <c r="Q1547" s="48" t="s">
        <v>75</v>
      </c>
      <c r="R1547" s="48">
        <f>HEX2DEC(RIGHT(Table1323212753[[#This Row],[h2]],8))</f>
        <v>0</v>
      </c>
    </row>
    <row r="1548" spans="1:18">
      <c r="A1548" s="15" t="str">
        <f t="shared" si="29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8" t="s">
        <v>75</v>
      </c>
      <c r="P1548" s="48">
        <f>HEX2DEC(RIGHT(Table1323212753[[#This Row],[h1]],8))</f>
        <v>0</v>
      </c>
      <c r="Q1548" s="48" t="s">
        <v>75</v>
      </c>
      <c r="R1548" s="48">
        <f>HEX2DEC(RIGHT(Table1323212753[[#This Row],[h2]],8))</f>
        <v>0</v>
      </c>
    </row>
    <row r="1549" spans="1:18">
      <c r="A1549" s="15" t="str">
        <f t="shared" si="29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8" t="s">
        <v>75</v>
      </c>
      <c r="P1549" s="48">
        <f>HEX2DEC(RIGHT(Table1323212753[[#This Row],[h1]],8))</f>
        <v>0</v>
      </c>
      <c r="Q1549" s="48" t="s">
        <v>75</v>
      </c>
      <c r="R1549" s="48">
        <f>HEX2DEC(RIGHT(Table1323212753[[#This Row],[h2]],8))</f>
        <v>0</v>
      </c>
    </row>
    <row r="1550" spans="1:18">
      <c r="A1550" s="15" t="str">
        <f t="shared" si="29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8" t="s">
        <v>75</v>
      </c>
      <c r="P1550" s="48">
        <f>HEX2DEC(RIGHT(Table1323212753[[#This Row],[h1]],8))</f>
        <v>0</v>
      </c>
      <c r="Q1550" s="48" t="s">
        <v>75</v>
      </c>
      <c r="R1550" s="48">
        <f>HEX2DEC(RIGHT(Table1323212753[[#This Row],[h2]],8))</f>
        <v>0</v>
      </c>
    </row>
    <row r="1551" spans="1:18">
      <c r="A1551" s="15" t="str">
        <f t="shared" si="29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8" t="s">
        <v>75</v>
      </c>
      <c r="P1551" s="48">
        <f>HEX2DEC(RIGHT(Table1323212753[[#This Row],[h1]],8))</f>
        <v>0</v>
      </c>
      <c r="Q1551" s="48" t="s">
        <v>75</v>
      </c>
      <c r="R1551" s="48">
        <f>HEX2DEC(RIGHT(Table1323212753[[#This Row],[h2]],8))</f>
        <v>0</v>
      </c>
    </row>
    <row r="1552" spans="1:18">
      <c r="A1552" s="15" t="str">
        <f t="shared" si="29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8" t="s">
        <v>75</v>
      </c>
      <c r="P1552" s="48">
        <f>HEX2DEC(RIGHT(Table1323212753[[#This Row],[h1]],8))</f>
        <v>0</v>
      </c>
      <c r="Q1552" s="48" t="s">
        <v>75</v>
      </c>
      <c r="R1552" s="48">
        <f>HEX2DEC(RIGHT(Table1323212753[[#This Row],[h2]],8))</f>
        <v>0</v>
      </c>
    </row>
    <row r="1553" spans="1:18">
      <c r="A1553" s="15" t="str">
        <f t="shared" si="29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8" t="s">
        <v>75</v>
      </c>
      <c r="P1553" s="48">
        <f>HEX2DEC(RIGHT(Table1323212753[[#This Row],[h1]],8))</f>
        <v>0</v>
      </c>
      <c r="Q1553" s="48" t="s">
        <v>75</v>
      </c>
      <c r="R1553" s="48">
        <f>HEX2DEC(RIGHT(Table1323212753[[#This Row],[h2]],8))</f>
        <v>0</v>
      </c>
    </row>
    <row r="1554" spans="1:18">
      <c r="A1554" s="15" t="str">
        <f t="shared" si="29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8" t="s">
        <v>75</v>
      </c>
      <c r="P1554" s="48">
        <f>HEX2DEC(RIGHT(Table1323212753[[#This Row],[h1]],8))</f>
        <v>0</v>
      </c>
      <c r="Q1554" s="48" t="s">
        <v>75</v>
      </c>
      <c r="R1554" s="48">
        <f>HEX2DEC(RIGHT(Table1323212753[[#This Row],[h2]],8))</f>
        <v>0</v>
      </c>
    </row>
    <row r="1555" spans="1:18">
      <c r="A1555" s="15" t="str">
        <f t="shared" si="29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8" t="s">
        <v>75</v>
      </c>
      <c r="P1555" s="48">
        <f>HEX2DEC(RIGHT(Table1323212753[[#This Row],[h1]],8))</f>
        <v>0</v>
      </c>
      <c r="Q1555" s="48" t="s">
        <v>75</v>
      </c>
      <c r="R1555" s="48">
        <f>HEX2DEC(RIGHT(Table1323212753[[#This Row],[h2]],8))</f>
        <v>0</v>
      </c>
    </row>
    <row r="1556" spans="1:18">
      <c r="A1556" s="15" t="str">
        <f t="shared" si="29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8" t="s">
        <v>75</v>
      </c>
      <c r="P1556" s="48">
        <f>HEX2DEC(RIGHT(Table1323212753[[#This Row],[h1]],8))</f>
        <v>0</v>
      </c>
      <c r="Q1556" s="48" t="s">
        <v>75</v>
      </c>
      <c r="R1556" s="48">
        <f>HEX2DEC(RIGHT(Table1323212753[[#This Row],[h2]],8))</f>
        <v>0</v>
      </c>
    </row>
    <row r="1557" spans="1:18">
      <c r="A1557" s="15" t="str">
        <f t="shared" si="29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8" t="s">
        <v>75</v>
      </c>
      <c r="P1557" s="48">
        <f>HEX2DEC(RIGHT(Table1323212753[[#This Row],[h1]],8))</f>
        <v>0</v>
      </c>
      <c r="Q1557" s="48" t="s">
        <v>75</v>
      </c>
      <c r="R1557" s="48">
        <f>HEX2DEC(RIGHT(Table1323212753[[#This Row],[h2]],8))</f>
        <v>0</v>
      </c>
    </row>
    <row r="1558" spans="1:18">
      <c r="A1558" s="15" t="str">
        <f t="shared" si="29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8" t="s">
        <v>75</v>
      </c>
      <c r="P1558" s="48">
        <f>HEX2DEC(RIGHT(Table1323212753[[#This Row],[h1]],8))</f>
        <v>0</v>
      </c>
      <c r="Q1558" s="48" t="s">
        <v>75</v>
      </c>
      <c r="R1558" s="48">
        <f>HEX2DEC(RIGHT(Table1323212753[[#This Row],[h2]],8))</f>
        <v>0</v>
      </c>
    </row>
    <row r="1559" spans="1:18">
      <c r="A1559" s="15" t="str">
        <f t="shared" si="29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8" t="s">
        <v>75</v>
      </c>
      <c r="P1559" s="48">
        <f>HEX2DEC(RIGHT(Table1323212753[[#This Row],[h1]],8))</f>
        <v>0</v>
      </c>
      <c r="Q1559" s="48" t="s">
        <v>75</v>
      </c>
      <c r="R1559" s="48">
        <f>HEX2DEC(RIGHT(Table1323212753[[#This Row],[h2]],8))</f>
        <v>0</v>
      </c>
    </row>
    <row r="1560" spans="1:18">
      <c r="A1560" s="15" t="str">
        <f t="shared" si="29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8" t="s">
        <v>75</v>
      </c>
      <c r="P1560" s="48">
        <f>HEX2DEC(RIGHT(Table1323212753[[#This Row],[h1]],8))</f>
        <v>0</v>
      </c>
      <c r="Q1560" s="48" t="s">
        <v>75</v>
      </c>
      <c r="R1560" s="48">
        <f>HEX2DEC(RIGHT(Table1323212753[[#This Row],[h2]],8))</f>
        <v>0</v>
      </c>
    </row>
    <row r="1561" spans="1:18">
      <c r="A1561" s="15" t="str">
        <f t="shared" si="29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8" t="s">
        <v>75</v>
      </c>
      <c r="P1561" s="48">
        <f>HEX2DEC(RIGHT(Table1323212753[[#This Row],[h1]],8))</f>
        <v>0</v>
      </c>
      <c r="Q1561" s="48" t="s">
        <v>75</v>
      </c>
      <c r="R1561" s="48">
        <f>HEX2DEC(RIGHT(Table1323212753[[#This Row],[h2]],8))</f>
        <v>0</v>
      </c>
    </row>
    <row r="1562" spans="1:18">
      <c r="A1562" s="15" t="str">
        <f t="shared" si="29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8" t="s">
        <v>75</v>
      </c>
      <c r="P1562" s="48">
        <f>HEX2DEC(RIGHT(Table1323212753[[#This Row],[h1]],8))</f>
        <v>0</v>
      </c>
      <c r="Q1562" s="48" t="s">
        <v>75</v>
      </c>
      <c r="R1562" s="48">
        <f>HEX2DEC(RIGHT(Table1323212753[[#This Row],[h2]],8))</f>
        <v>0</v>
      </c>
    </row>
    <row r="1563" spans="1:18">
      <c r="A1563" s="15" t="str">
        <f t="shared" si="29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8" t="s">
        <v>75</v>
      </c>
      <c r="P1563" s="48">
        <f>HEX2DEC(RIGHT(Table1323212753[[#This Row],[h1]],8))</f>
        <v>0</v>
      </c>
      <c r="Q1563" s="48" t="s">
        <v>75</v>
      </c>
      <c r="R1563" s="48">
        <f>HEX2DEC(RIGHT(Table1323212753[[#This Row],[h2]],8))</f>
        <v>0</v>
      </c>
    </row>
    <row r="1564" spans="1:18">
      <c r="A1564" s="15" t="str">
        <f t="shared" si="29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8" t="s">
        <v>75</v>
      </c>
      <c r="P1564" s="48">
        <f>HEX2DEC(RIGHT(Table1323212753[[#This Row],[h1]],8))</f>
        <v>0</v>
      </c>
      <c r="Q1564" s="48" t="s">
        <v>75</v>
      </c>
      <c r="R1564" s="48">
        <f>HEX2DEC(RIGHT(Table1323212753[[#This Row],[h2]],8))</f>
        <v>0</v>
      </c>
    </row>
    <row r="1565" spans="1:18">
      <c r="A1565" s="15" t="str">
        <f t="shared" si="29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8" t="s">
        <v>75</v>
      </c>
      <c r="P1565" s="48">
        <f>HEX2DEC(RIGHT(Table1323212753[[#This Row],[h1]],8))</f>
        <v>0</v>
      </c>
      <c r="Q1565" s="48" t="s">
        <v>75</v>
      </c>
      <c r="R1565" s="48">
        <f>HEX2DEC(RIGHT(Table1323212753[[#This Row],[h2]],8))</f>
        <v>0</v>
      </c>
    </row>
    <row r="1566" spans="1:18">
      <c r="A1566" s="15" t="str">
        <f t="shared" si="29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8" t="s">
        <v>75</v>
      </c>
      <c r="P1566" s="48">
        <f>HEX2DEC(RIGHT(Table1323212753[[#This Row],[h1]],8))</f>
        <v>0</v>
      </c>
      <c r="Q1566" s="48" t="s">
        <v>75</v>
      </c>
      <c r="R1566" s="48">
        <f>HEX2DEC(RIGHT(Table1323212753[[#This Row],[h2]],8))</f>
        <v>0</v>
      </c>
    </row>
    <row r="1567" spans="1:18">
      <c r="A1567" s="15" t="str">
        <f t="shared" si="29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8" t="s">
        <v>75</v>
      </c>
      <c r="P1567" s="48">
        <f>HEX2DEC(RIGHT(Table1323212753[[#This Row],[h1]],8))</f>
        <v>0</v>
      </c>
      <c r="Q1567" s="48" t="s">
        <v>75</v>
      </c>
      <c r="R1567" s="48">
        <f>HEX2DEC(RIGHT(Table1323212753[[#This Row],[h2]],8))</f>
        <v>0</v>
      </c>
    </row>
    <row r="1568" spans="1:18">
      <c r="A1568" s="15" t="str">
        <f t="shared" si="29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8" t="s">
        <v>75</v>
      </c>
      <c r="P1568" s="48">
        <f>HEX2DEC(RIGHT(Table1323212753[[#This Row],[h1]],8))</f>
        <v>0</v>
      </c>
      <c r="Q1568" s="48" t="s">
        <v>75</v>
      </c>
      <c r="R1568" s="48">
        <f>HEX2DEC(RIGHT(Table1323212753[[#This Row],[h2]],8))</f>
        <v>0</v>
      </c>
    </row>
    <row r="1569" spans="1:18">
      <c r="A1569" s="15" t="str">
        <f t="shared" si="29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8" t="s">
        <v>75</v>
      </c>
      <c r="P1569" s="48">
        <f>HEX2DEC(RIGHT(Table1323212753[[#This Row],[h1]],8))</f>
        <v>0</v>
      </c>
      <c r="Q1569" s="48" t="s">
        <v>75</v>
      </c>
      <c r="R1569" s="48">
        <f>HEX2DEC(RIGHT(Table1323212753[[#This Row],[h2]],8))</f>
        <v>0</v>
      </c>
    </row>
    <row r="1570" spans="1:18">
      <c r="A1570" s="15" t="str">
        <f t="shared" si="29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8" t="s">
        <v>75</v>
      </c>
      <c r="P1570" s="48">
        <f>HEX2DEC(RIGHT(Table1323212753[[#This Row],[h1]],8))</f>
        <v>0</v>
      </c>
      <c r="Q1570" s="48" t="s">
        <v>75</v>
      </c>
      <c r="R1570" s="48">
        <f>HEX2DEC(RIGHT(Table1323212753[[#This Row],[h2]],8))</f>
        <v>0</v>
      </c>
    </row>
    <row r="1571" spans="1:18">
      <c r="A1571" s="15" t="str">
        <f t="shared" si="29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8" t="s">
        <v>75</v>
      </c>
      <c r="P1571" s="48">
        <f>HEX2DEC(RIGHT(Table1323212753[[#This Row],[h1]],8))</f>
        <v>0</v>
      </c>
      <c r="Q1571" s="48" t="s">
        <v>75</v>
      </c>
      <c r="R1571" s="48">
        <f>HEX2DEC(RIGHT(Table1323212753[[#This Row],[h2]],8))</f>
        <v>0</v>
      </c>
    </row>
    <row r="1572" spans="1:18">
      <c r="A1572" s="15" t="str">
        <f t="shared" si="29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8" t="s">
        <v>75</v>
      </c>
      <c r="P1572" s="48">
        <f>HEX2DEC(RIGHT(Table1323212753[[#This Row],[h1]],8))</f>
        <v>0</v>
      </c>
      <c r="Q1572" s="48" t="s">
        <v>75</v>
      </c>
      <c r="R1572" s="48">
        <f>HEX2DEC(RIGHT(Table1323212753[[#This Row],[h2]],8))</f>
        <v>0</v>
      </c>
    </row>
    <row r="1573" spans="1:18">
      <c r="A1573" s="15" t="str">
        <f t="shared" si="29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8" t="s">
        <v>75</v>
      </c>
      <c r="P1573" s="48">
        <f>HEX2DEC(RIGHT(Table1323212753[[#This Row],[h1]],8))</f>
        <v>0</v>
      </c>
      <c r="Q1573" s="48" t="s">
        <v>75</v>
      </c>
      <c r="R1573" s="48">
        <f>HEX2DEC(RIGHT(Table1323212753[[#This Row],[h2]],8))</f>
        <v>0</v>
      </c>
    </row>
    <row r="1574" spans="1:18">
      <c r="A1574" s="15" t="str">
        <f t="shared" si="29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8" t="s">
        <v>75</v>
      </c>
      <c r="P1574" s="48">
        <f>HEX2DEC(RIGHT(Table1323212753[[#This Row],[h1]],8))</f>
        <v>0</v>
      </c>
      <c r="Q1574" s="48" t="s">
        <v>75</v>
      </c>
      <c r="R1574" s="48">
        <f>HEX2DEC(RIGHT(Table1323212753[[#This Row],[h2]],8))</f>
        <v>0</v>
      </c>
    </row>
    <row r="1575" spans="1:18">
      <c r="A1575" s="15" t="str">
        <f t="shared" si="29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8" t="s">
        <v>75</v>
      </c>
      <c r="P1575" s="48">
        <f>HEX2DEC(RIGHT(Table1323212753[[#This Row],[h1]],8))</f>
        <v>0</v>
      </c>
      <c r="Q1575" s="48" t="s">
        <v>75</v>
      </c>
      <c r="R1575" s="48">
        <f>HEX2DEC(RIGHT(Table1323212753[[#This Row],[h2]],8))</f>
        <v>0</v>
      </c>
    </row>
    <row r="1576" spans="1:18">
      <c r="A1576" s="15" t="str">
        <f t="shared" si="29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8" t="s">
        <v>75</v>
      </c>
      <c r="P1576" s="48">
        <f>HEX2DEC(RIGHT(Table1323212753[[#This Row],[h1]],8))</f>
        <v>0</v>
      </c>
      <c r="Q1576" s="48" t="s">
        <v>75</v>
      </c>
      <c r="R1576" s="48">
        <f>HEX2DEC(RIGHT(Table1323212753[[#This Row],[h2]],8))</f>
        <v>0</v>
      </c>
    </row>
    <row r="1577" spans="1:18">
      <c r="A1577" s="15" t="str">
        <f t="shared" si="29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8" t="s">
        <v>75</v>
      </c>
      <c r="P1577" s="48">
        <f>HEX2DEC(RIGHT(Table1323212753[[#This Row],[h1]],8))</f>
        <v>0</v>
      </c>
      <c r="Q1577" s="48" t="s">
        <v>75</v>
      </c>
      <c r="R1577" s="48">
        <f>HEX2DEC(RIGHT(Table1323212753[[#This Row],[h2]],8))</f>
        <v>0</v>
      </c>
    </row>
    <row r="1578" spans="1:18">
      <c r="A1578" s="15" t="str">
        <f t="shared" si="29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8" t="s">
        <v>75</v>
      </c>
      <c r="P1578" s="48">
        <f>HEX2DEC(RIGHT(Table1323212753[[#This Row],[h1]],8))</f>
        <v>0</v>
      </c>
      <c r="Q1578" s="48" t="s">
        <v>75</v>
      </c>
      <c r="R1578" s="48">
        <f>HEX2DEC(RIGHT(Table1323212753[[#This Row],[h2]],8))</f>
        <v>0</v>
      </c>
    </row>
    <row r="1579" spans="1:18">
      <c r="A1579" s="15" t="str">
        <f t="shared" si="29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8" t="s">
        <v>75</v>
      </c>
      <c r="P1579" s="48">
        <f>HEX2DEC(RIGHT(Table1323212753[[#This Row],[h1]],8))</f>
        <v>0</v>
      </c>
      <c r="Q1579" s="48" t="s">
        <v>75</v>
      </c>
      <c r="R1579" s="48">
        <f>HEX2DEC(RIGHT(Table1323212753[[#This Row],[h2]],8))</f>
        <v>0</v>
      </c>
    </row>
    <row r="1580" spans="1:18">
      <c r="A1580" s="15" t="str">
        <f t="shared" si="29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8" t="s">
        <v>75</v>
      </c>
      <c r="P1580" s="48">
        <f>HEX2DEC(RIGHT(Table1323212753[[#This Row],[h1]],8))</f>
        <v>0</v>
      </c>
      <c r="Q1580" s="48" t="s">
        <v>75</v>
      </c>
      <c r="R1580" s="48">
        <f>HEX2DEC(RIGHT(Table1323212753[[#This Row],[h2]],8))</f>
        <v>0</v>
      </c>
    </row>
    <row r="1581" spans="1:18">
      <c r="A1581" s="15" t="str">
        <f t="shared" si="29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8" t="s">
        <v>75</v>
      </c>
      <c r="P1581" s="48">
        <f>HEX2DEC(RIGHT(Table1323212753[[#This Row],[h1]],8))</f>
        <v>0</v>
      </c>
      <c r="Q1581" s="48" t="s">
        <v>75</v>
      </c>
      <c r="R1581" s="48">
        <f>HEX2DEC(RIGHT(Table1323212753[[#This Row],[h2]],8))</f>
        <v>0</v>
      </c>
    </row>
    <row r="1582" spans="1:18">
      <c r="A1582" s="15" t="str">
        <f t="shared" si="29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8" t="s">
        <v>75</v>
      </c>
      <c r="P1582" s="48">
        <f>HEX2DEC(RIGHT(Table1323212753[[#This Row],[h1]],8))</f>
        <v>0</v>
      </c>
      <c r="Q1582" s="48" t="s">
        <v>75</v>
      </c>
      <c r="R1582" s="48">
        <f>HEX2DEC(RIGHT(Table1323212753[[#This Row],[h2]],8))</f>
        <v>0</v>
      </c>
    </row>
    <row r="1583" spans="1:18">
      <c r="A1583" s="15" t="str">
        <f t="shared" si="29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8" t="s">
        <v>75</v>
      </c>
      <c r="P1583" s="48">
        <f>HEX2DEC(RIGHT(Table1323212753[[#This Row],[h1]],8))</f>
        <v>0</v>
      </c>
      <c r="Q1583" s="48" t="s">
        <v>75</v>
      </c>
      <c r="R1583" s="48">
        <f>HEX2DEC(RIGHT(Table1323212753[[#This Row],[h2]],8))</f>
        <v>0</v>
      </c>
    </row>
    <row r="1584" spans="1:18">
      <c r="A1584" s="15" t="str">
        <f t="shared" si="29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8" t="s">
        <v>75</v>
      </c>
      <c r="P1584" s="48">
        <f>HEX2DEC(RIGHT(Table1323212753[[#This Row],[h1]],8))</f>
        <v>0</v>
      </c>
      <c r="Q1584" s="48" t="s">
        <v>75</v>
      </c>
      <c r="R1584" s="48">
        <f>HEX2DEC(RIGHT(Table1323212753[[#This Row],[h2]],8))</f>
        <v>0</v>
      </c>
    </row>
    <row r="1585" spans="1:18">
      <c r="A1585" s="15" t="str">
        <f t="shared" si="29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8" t="s">
        <v>75</v>
      </c>
      <c r="P1585" s="48">
        <f>HEX2DEC(RIGHT(Table1323212753[[#This Row],[h1]],8))</f>
        <v>0</v>
      </c>
      <c r="Q1585" s="48" t="s">
        <v>75</v>
      </c>
      <c r="R1585" s="48">
        <f>HEX2DEC(RIGHT(Table1323212753[[#This Row],[h2]],8))</f>
        <v>0</v>
      </c>
    </row>
    <row r="1586" spans="1:18">
      <c r="A1586" s="15" t="str">
        <f t="shared" si="29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8" t="s">
        <v>75</v>
      </c>
      <c r="P1586" s="48">
        <f>HEX2DEC(RIGHT(Table1323212753[[#This Row],[h1]],8))</f>
        <v>0</v>
      </c>
      <c r="Q1586" s="48" t="s">
        <v>75</v>
      </c>
      <c r="R1586" s="48">
        <f>HEX2DEC(RIGHT(Table1323212753[[#This Row],[h2]],8))</f>
        <v>0</v>
      </c>
    </row>
    <row r="1587" spans="1:18">
      <c r="A1587" s="15" t="str">
        <f t="shared" si="29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8" t="s">
        <v>75</v>
      </c>
      <c r="P1587" s="48">
        <f>HEX2DEC(RIGHT(Table1323212753[[#This Row],[h1]],8))</f>
        <v>0</v>
      </c>
      <c r="Q1587" s="48" t="s">
        <v>75</v>
      </c>
      <c r="R1587" s="48">
        <f>HEX2DEC(RIGHT(Table1323212753[[#This Row],[h2]],8))</f>
        <v>0</v>
      </c>
    </row>
    <row r="1588" spans="1:18">
      <c r="A1588" s="15" t="str">
        <f t="shared" si="29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8" t="s">
        <v>75</v>
      </c>
      <c r="P1588" s="48">
        <f>HEX2DEC(RIGHT(Table1323212753[[#This Row],[h1]],8))</f>
        <v>0</v>
      </c>
      <c r="Q1588" s="48" t="s">
        <v>75</v>
      </c>
      <c r="R1588" s="48">
        <f>HEX2DEC(RIGHT(Table1323212753[[#This Row],[h2]],8))</f>
        <v>0</v>
      </c>
    </row>
    <row r="1589" spans="1:18">
      <c r="A1589" s="15" t="str">
        <f t="shared" si="29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8" t="s">
        <v>75</v>
      </c>
      <c r="P1589" s="48">
        <f>HEX2DEC(RIGHT(Table1323212753[[#This Row],[h1]],8))</f>
        <v>0</v>
      </c>
      <c r="Q1589" s="48" t="s">
        <v>75</v>
      </c>
      <c r="R1589" s="48">
        <f>HEX2DEC(RIGHT(Table1323212753[[#This Row],[h2]],8))</f>
        <v>0</v>
      </c>
    </row>
    <row r="1590" spans="1:18">
      <c r="A1590" s="15" t="str">
        <f t="shared" si="29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8" t="s">
        <v>75</v>
      </c>
      <c r="P1590" s="48">
        <f>HEX2DEC(RIGHT(Table1323212753[[#This Row],[h1]],8))</f>
        <v>0</v>
      </c>
      <c r="Q1590" s="48" t="s">
        <v>75</v>
      </c>
      <c r="R1590" s="48">
        <f>HEX2DEC(RIGHT(Table1323212753[[#This Row],[h2]],8))</f>
        <v>0</v>
      </c>
    </row>
    <row r="1591" spans="1:18">
      <c r="A1591" s="15" t="str">
        <f t="shared" si="29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8" t="s">
        <v>75</v>
      </c>
      <c r="P1591" s="48">
        <f>HEX2DEC(RIGHT(Table1323212753[[#This Row],[h1]],8))</f>
        <v>0</v>
      </c>
      <c r="Q1591" s="48" t="s">
        <v>75</v>
      </c>
      <c r="R1591" s="48">
        <f>HEX2DEC(RIGHT(Table1323212753[[#This Row],[h2]],8))</f>
        <v>0</v>
      </c>
    </row>
    <row r="1592" spans="1:18">
      <c r="A1592" s="15" t="str">
        <f t="shared" si="29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8" t="s">
        <v>75</v>
      </c>
      <c r="P1592" s="48">
        <f>HEX2DEC(RIGHT(Table1323212753[[#This Row],[h1]],8))</f>
        <v>0</v>
      </c>
      <c r="Q1592" s="48" t="s">
        <v>75</v>
      </c>
      <c r="R1592" s="48">
        <f>HEX2DEC(RIGHT(Table1323212753[[#This Row],[h2]],8))</f>
        <v>0</v>
      </c>
    </row>
    <row r="1593" spans="1:18">
      <c r="A1593" s="15" t="str">
        <f t="shared" si="29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8" t="s">
        <v>75</v>
      </c>
      <c r="P1593" s="48">
        <f>HEX2DEC(RIGHT(Table1323212753[[#This Row],[h1]],8))</f>
        <v>0</v>
      </c>
      <c r="Q1593" s="48" t="s">
        <v>75</v>
      </c>
      <c r="R1593" s="48">
        <f>HEX2DEC(RIGHT(Table1323212753[[#This Row],[h2]],8))</f>
        <v>0</v>
      </c>
    </row>
    <row r="1594" spans="1:18">
      <c r="A1594" s="15" t="str">
        <f t="shared" si="29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8" t="s">
        <v>75</v>
      </c>
      <c r="P1594" s="48">
        <f>HEX2DEC(RIGHT(Table1323212753[[#This Row],[h1]],8))</f>
        <v>0</v>
      </c>
      <c r="Q1594" s="48" t="s">
        <v>75</v>
      </c>
      <c r="R1594" s="48">
        <f>HEX2DEC(RIGHT(Table1323212753[[#This Row],[h2]],8))</f>
        <v>0</v>
      </c>
    </row>
    <row r="1595" spans="1:18">
      <c r="A1595" s="15" t="str">
        <f t="shared" si="29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8" t="s">
        <v>75</v>
      </c>
      <c r="P1595" s="48">
        <f>HEX2DEC(RIGHT(Table1323212753[[#This Row],[h1]],8))</f>
        <v>0</v>
      </c>
      <c r="Q1595" s="48" t="s">
        <v>75</v>
      </c>
      <c r="R1595" s="48">
        <f>HEX2DEC(RIGHT(Table1323212753[[#This Row],[h2]],8))</f>
        <v>0</v>
      </c>
    </row>
    <row r="1596" spans="1:18">
      <c r="A1596" s="15" t="str">
        <f t="shared" si="29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8" t="s">
        <v>75</v>
      </c>
      <c r="P1596" s="48">
        <f>HEX2DEC(RIGHT(Table1323212753[[#This Row],[h1]],8))</f>
        <v>0</v>
      </c>
      <c r="Q1596" s="48" t="s">
        <v>75</v>
      </c>
      <c r="R1596" s="48">
        <f>HEX2DEC(RIGHT(Table1323212753[[#This Row],[h2]],8))</f>
        <v>0</v>
      </c>
    </row>
    <row r="1597" spans="1:18">
      <c r="A1597" s="15" t="str">
        <f t="shared" si="29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8" t="s">
        <v>75</v>
      </c>
      <c r="P1597" s="48">
        <f>HEX2DEC(RIGHT(Table1323212753[[#This Row],[h1]],8))</f>
        <v>0</v>
      </c>
      <c r="Q1597" s="48" t="s">
        <v>75</v>
      </c>
      <c r="R1597" s="48">
        <f>HEX2DEC(RIGHT(Table1323212753[[#This Row],[h2]],8))</f>
        <v>0</v>
      </c>
    </row>
    <row r="1598" spans="1:18">
      <c r="A1598" s="15" t="str">
        <f t="shared" si="29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8" t="s">
        <v>75</v>
      </c>
      <c r="P1598" s="48">
        <f>HEX2DEC(RIGHT(Table1323212753[[#This Row],[h1]],8))</f>
        <v>0</v>
      </c>
      <c r="Q1598" s="48" t="s">
        <v>75</v>
      </c>
      <c r="R1598" s="48">
        <f>HEX2DEC(RIGHT(Table1323212753[[#This Row],[h2]],8))</f>
        <v>0</v>
      </c>
    </row>
    <row r="1599" spans="1:18">
      <c r="A1599" s="15" t="str">
        <f t="shared" si="29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8" t="s">
        <v>75</v>
      </c>
      <c r="P1599" s="48">
        <f>HEX2DEC(RIGHT(Table1323212753[[#This Row],[h1]],8))</f>
        <v>0</v>
      </c>
      <c r="Q1599" s="48" t="s">
        <v>75</v>
      </c>
      <c r="R1599" s="48">
        <f>HEX2DEC(RIGHT(Table1323212753[[#This Row],[h2]],8))</f>
        <v>0</v>
      </c>
    </row>
    <row r="1600" spans="1:18">
      <c r="A1600" s="15" t="str">
        <f t="shared" si="29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8" t="s">
        <v>75</v>
      </c>
      <c r="P1600" s="48">
        <f>HEX2DEC(RIGHT(Table1323212753[[#This Row],[h1]],8))</f>
        <v>0</v>
      </c>
      <c r="Q1600" s="48" t="s">
        <v>75</v>
      </c>
      <c r="R1600" s="48">
        <f>HEX2DEC(RIGHT(Table1323212753[[#This Row],[h2]],8))</f>
        <v>0</v>
      </c>
    </row>
    <row r="1601" spans="1:18">
      <c r="A1601" s="15" t="str">
        <f t="shared" si="29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8" t="s">
        <v>75</v>
      </c>
      <c r="P1601" s="48">
        <f>HEX2DEC(RIGHT(Table1323212753[[#This Row],[h1]],8))</f>
        <v>0</v>
      </c>
      <c r="Q1601" s="48" t="s">
        <v>75</v>
      </c>
      <c r="R1601" s="48">
        <f>HEX2DEC(RIGHT(Table1323212753[[#This Row],[h2]],8))</f>
        <v>0</v>
      </c>
    </row>
    <row r="1602" spans="1:18">
      <c r="A1602" s="15" t="str">
        <f t="shared" si="29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8" t="s">
        <v>75</v>
      </c>
      <c r="P1602" s="48">
        <f>HEX2DEC(RIGHT(Table1323212753[[#This Row],[h1]],8))</f>
        <v>0</v>
      </c>
      <c r="Q1602" s="48" t="s">
        <v>75</v>
      </c>
      <c r="R1602" s="48">
        <f>HEX2DEC(RIGHT(Table1323212753[[#This Row],[h2]],8))</f>
        <v>0</v>
      </c>
    </row>
    <row r="1603" spans="1:18">
      <c r="A1603" s="15" t="str">
        <f t="shared" si="29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8" t="s">
        <v>75</v>
      </c>
      <c r="P1603" s="48">
        <f>HEX2DEC(RIGHT(Table1323212753[[#This Row],[h1]],8))</f>
        <v>0</v>
      </c>
      <c r="Q1603" s="48" t="s">
        <v>75</v>
      </c>
      <c r="R1603" s="48">
        <f>HEX2DEC(RIGHT(Table1323212753[[#This Row],[h2]],8))</f>
        <v>0</v>
      </c>
    </row>
    <row r="1604" spans="1:18">
      <c r="A1604" s="15" t="str">
        <f t="shared" si="29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8" t="s">
        <v>75</v>
      </c>
      <c r="P1604" s="48">
        <f>HEX2DEC(RIGHT(Table1323212753[[#This Row],[h1]],8))</f>
        <v>0</v>
      </c>
      <c r="Q1604" s="48" t="s">
        <v>75</v>
      </c>
      <c r="R1604" s="48">
        <f>HEX2DEC(RIGHT(Table1323212753[[#This Row],[h2]],8))</f>
        <v>0</v>
      </c>
    </row>
    <row r="1605" spans="1:18">
      <c r="A1605" s="15" t="str">
        <f t="shared" si="29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8" t="s">
        <v>75</v>
      </c>
      <c r="P1605" s="48">
        <f>HEX2DEC(RIGHT(Table1323212753[[#This Row],[h1]],8))</f>
        <v>0</v>
      </c>
      <c r="Q1605" s="48" t="s">
        <v>75</v>
      </c>
      <c r="R1605" s="48">
        <f>HEX2DEC(RIGHT(Table1323212753[[#This Row],[h2]],8))</f>
        <v>0</v>
      </c>
    </row>
    <row r="1606" spans="1:18">
      <c r="A1606" s="15" t="str">
        <f t="shared" si="29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8" t="s">
        <v>75</v>
      </c>
      <c r="P1606" s="48">
        <f>HEX2DEC(RIGHT(Table1323212753[[#This Row],[h1]],8))</f>
        <v>0</v>
      </c>
      <c r="Q1606" s="48" t="s">
        <v>75</v>
      </c>
      <c r="R1606" s="48">
        <f>HEX2DEC(RIGHT(Table1323212753[[#This Row],[h2]],8))</f>
        <v>0</v>
      </c>
    </row>
    <row r="1607" spans="1:18">
      <c r="A1607" s="15" t="str">
        <f t="shared" si="29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8" t="s">
        <v>75</v>
      </c>
      <c r="P1607" s="48">
        <f>HEX2DEC(RIGHT(Table1323212753[[#This Row],[h1]],8))</f>
        <v>0</v>
      </c>
      <c r="Q1607" s="48" t="s">
        <v>75</v>
      </c>
      <c r="R1607" s="48">
        <f>HEX2DEC(RIGHT(Table1323212753[[#This Row],[h2]],8))</f>
        <v>0</v>
      </c>
    </row>
    <row r="1608" spans="1:18">
      <c r="A1608" s="15" t="str">
        <f t="shared" si="29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8" t="s">
        <v>75</v>
      </c>
      <c r="P1608" s="48">
        <f>HEX2DEC(RIGHT(Table1323212753[[#This Row],[h1]],8))</f>
        <v>0</v>
      </c>
      <c r="Q1608" s="48" t="s">
        <v>75</v>
      </c>
      <c r="R1608" s="48">
        <f>HEX2DEC(RIGHT(Table1323212753[[#This Row],[h2]],8))</f>
        <v>0</v>
      </c>
    </row>
    <row r="1609" spans="1:18">
      <c r="A1609" s="15" t="str">
        <f t="shared" si="29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8" t="s">
        <v>75</v>
      </c>
      <c r="P1609" s="48">
        <f>HEX2DEC(RIGHT(Table1323212753[[#This Row],[h1]],8))</f>
        <v>0</v>
      </c>
      <c r="Q1609" s="48" t="s">
        <v>75</v>
      </c>
      <c r="R1609" s="48">
        <f>HEX2DEC(RIGHT(Table1323212753[[#This Row],[h2]],8))</f>
        <v>0</v>
      </c>
    </row>
    <row r="1610" spans="1:18">
      <c r="A1610" s="15" t="str">
        <f t="shared" si="29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8" t="s">
        <v>75</v>
      </c>
      <c r="P1610" s="48">
        <f>HEX2DEC(RIGHT(Table1323212753[[#This Row],[h1]],8))</f>
        <v>0</v>
      </c>
      <c r="Q1610" s="48" t="s">
        <v>75</v>
      </c>
      <c r="R1610" s="48">
        <f>HEX2DEC(RIGHT(Table1323212753[[#This Row],[h2]],8))</f>
        <v>0</v>
      </c>
    </row>
    <row r="1611" spans="1:18">
      <c r="A1611" s="15" t="str">
        <f t="shared" ref="A1611:A1674" si="30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8" t="s">
        <v>75</v>
      </c>
      <c r="P1611" s="48">
        <f>HEX2DEC(RIGHT(Table1323212753[[#This Row],[h1]],8))</f>
        <v>0</v>
      </c>
      <c r="Q1611" s="48" t="s">
        <v>75</v>
      </c>
      <c r="R1611" s="48">
        <f>HEX2DEC(RIGHT(Table1323212753[[#This Row],[h2]],8))</f>
        <v>0</v>
      </c>
    </row>
    <row r="1612" spans="1:18">
      <c r="A1612" s="15" t="str">
        <f t="shared" si="30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8" t="s">
        <v>75</v>
      </c>
      <c r="P1612" s="48">
        <f>HEX2DEC(RIGHT(Table1323212753[[#This Row],[h1]],8))</f>
        <v>0</v>
      </c>
      <c r="Q1612" s="48" t="s">
        <v>75</v>
      </c>
      <c r="R1612" s="48">
        <f>HEX2DEC(RIGHT(Table1323212753[[#This Row],[h2]],8))</f>
        <v>0</v>
      </c>
    </row>
    <row r="1613" spans="1:18">
      <c r="A1613" s="15" t="str">
        <f t="shared" si="30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8" t="s">
        <v>75</v>
      </c>
      <c r="P1613" s="48">
        <f>HEX2DEC(RIGHT(Table1323212753[[#This Row],[h1]],8))</f>
        <v>0</v>
      </c>
      <c r="Q1613" s="48" t="s">
        <v>75</v>
      </c>
      <c r="R1613" s="48">
        <f>HEX2DEC(RIGHT(Table1323212753[[#This Row],[h2]],8))</f>
        <v>0</v>
      </c>
    </row>
    <row r="1614" spans="1:18">
      <c r="A1614" s="15" t="str">
        <f t="shared" si="30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8" t="s">
        <v>75</v>
      </c>
      <c r="P1614" s="48">
        <f>HEX2DEC(RIGHT(Table1323212753[[#This Row],[h1]],8))</f>
        <v>0</v>
      </c>
      <c r="Q1614" s="48" t="s">
        <v>75</v>
      </c>
      <c r="R1614" s="48">
        <f>HEX2DEC(RIGHT(Table1323212753[[#This Row],[h2]],8))</f>
        <v>0</v>
      </c>
    </row>
    <row r="1615" spans="1:18">
      <c r="A1615" s="15" t="str">
        <f t="shared" si="30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8" t="s">
        <v>75</v>
      </c>
      <c r="P1615" s="48">
        <f>HEX2DEC(RIGHT(Table1323212753[[#This Row],[h1]],8))</f>
        <v>0</v>
      </c>
      <c r="Q1615" s="48" t="s">
        <v>75</v>
      </c>
      <c r="R1615" s="48">
        <f>HEX2DEC(RIGHT(Table1323212753[[#This Row],[h2]],8))</f>
        <v>0</v>
      </c>
    </row>
    <row r="1616" spans="1:18">
      <c r="A1616" s="15" t="str">
        <f t="shared" si="30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8" t="s">
        <v>75</v>
      </c>
      <c r="P1616" s="48">
        <f>HEX2DEC(RIGHT(Table1323212753[[#This Row],[h1]],8))</f>
        <v>0</v>
      </c>
      <c r="Q1616" s="48" t="s">
        <v>75</v>
      </c>
      <c r="R1616" s="48">
        <f>HEX2DEC(RIGHT(Table1323212753[[#This Row],[h2]],8))</f>
        <v>0</v>
      </c>
    </row>
    <row r="1617" spans="1:18">
      <c r="A1617" s="15" t="str">
        <f t="shared" si="30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8" t="s">
        <v>75</v>
      </c>
      <c r="P1617" s="48">
        <f>HEX2DEC(RIGHT(Table1323212753[[#This Row],[h1]],8))</f>
        <v>0</v>
      </c>
      <c r="Q1617" s="48" t="s">
        <v>75</v>
      </c>
      <c r="R1617" s="48">
        <f>HEX2DEC(RIGHT(Table1323212753[[#This Row],[h2]],8))</f>
        <v>0</v>
      </c>
    </row>
    <row r="1618" spans="1:18">
      <c r="A1618" s="15" t="str">
        <f t="shared" si="30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8" t="s">
        <v>75</v>
      </c>
      <c r="P1618" s="48">
        <f>HEX2DEC(RIGHT(Table1323212753[[#This Row],[h1]],8))</f>
        <v>0</v>
      </c>
      <c r="Q1618" s="48" t="s">
        <v>75</v>
      </c>
      <c r="R1618" s="48">
        <f>HEX2DEC(RIGHT(Table1323212753[[#This Row],[h2]],8))</f>
        <v>0</v>
      </c>
    </row>
    <row r="1619" spans="1:18">
      <c r="A1619" s="15" t="str">
        <f t="shared" si="30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8" t="s">
        <v>75</v>
      </c>
      <c r="P1619" s="48">
        <f>HEX2DEC(RIGHT(Table1323212753[[#This Row],[h1]],8))</f>
        <v>0</v>
      </c>
      <c r="Q1619" s="48" t="s">
        <v>75</v>
      </c>
      <c r="R1619" s="48">
        <f>HEX2DEC(RIGHT(Table1323212753[[#This Row],[h2]],8))</f>
        <v>0</v>
      </c>
    </row>
    <row r="1620" spans="1:18">
      <c r="A1620" s="15" t="str">
        <f t="shared" si="30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8" t="s">
        <v>75</v>
      </c>
      <c r="P1620" s="48">
        <f>HEX2DEC(RIGHT(Table1323212753[[#This Row],[h1]],8))</f>
        <v>0</v>
      </c>
      <c r="Q1620" s="48" t="s">
        <v>75</v>
      </c>
      <c r="R1620" s="48">
        <f>HEX2DEC(RIGHT(Table1323212753[[#This Row],[h2]],8))</f>
        <v>0</v>
      </c>
    </row>
    <row r="1621" spans="1:18">
      <c r="A1621" s="15" t="str">
        <f t="shared" si="30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8" t="s">
        <v>75</v>
      </c>
      <c r="P1621" s="48">
        <f>HEX2DEC(RIGHT(Table1323212753[[#This Row],[h1]],8))</f>
        <v>0</v>
      </c>
      <c r="Q1621" s="48" t="s">
        <v>75</v>
      </c>
      <c r="R1621" s="48">
        <f>HEX2DEC(RIGHT(Table1323212753[[#This Row],[h2]],8))</f>
        <v>0</v>
      </c>
    </row>
    <row r="1622" spans="1:18">
      <c r="A1622" s="15" t="str">
        <f t="shared" si="30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8" t="s">
        <v>75</v>
      </c>
      <c r="P1622" s="48">
        <f>HEX2DEC(RIGHT(Table1323212753[[#This Row],[h1]],8))</f>
        <v>0</v>
      </c>
      <c r="Q1622" s="48" t="s">
        <v>75</v>
      </c>
      <c r="R1622" s="48">
        <f>HEX2DEC(RIGHT(Table1323212753[[#This Row],[h2]],8))</f>
        <v>0</v>
      </c>
    </row>
    <row r="1623" spans="1:18">
      <c r="A1623" s="15" t="str">
        <f t="shared" si="30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8" t="s">
        <v>75</v>
      </c>
      <c r="P1623" s="48">
        <f>HEX2DEC(RIGHT(Table1323212753[[#This Row],[h1]],8))</f>
        <v>0</v>
      </c>
      <c r="Q1623" s="48" t="s">
        <v>75</v>
      </c>
      <c r="R1623" s="48">
        <f>HEX2DEC(RIGHT(Table1323212753[[#This Row],[h2]],8))</f>
        <v>0</v>
      </c>
    </row>
    <row r="1624" spans="1:18">
      <c r="A1624" s="15" t="str">
        <f t="shared" si="30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8" t="s">
        <v>75</v>
      </c>
      <c r="P1624" s="48">
        <f>HEX2DEC(RIGHT(Table1323212753[[#This Row],[h1]],8))</f>
        <v>0</v>
      </c>
      <c r="Q1624" s="48" t="s">
        <v>75</v>
      </c>
      <c r="R1624" s="48">
        <f>HEX2DEC(RIGHT(Table1323212753[[#This Row],[h2]],8))</f>
        <v>0</v>
      </c>
    </row>
    <row r="1625" spans="1:18">
      <c r="A1625" s="15" t="str">
        <f t="shared" si="30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8" t="s">
        <v>75</v>
      </c>
      <c r="P1625" s="48">
        <f>HEX2DEC(RIGHT(Table1323212753[[#This Row],[h1]],8))</f>
        <v>0</v>
      </c>
      <c r="Q1625" s="48" t="s">
        <v>75</v>
      </c>
      <c r="R1625" s="48">
        <f>HEX2DEC(RIGHT(Table1323212753[[#This Row],[h2]],8))</f>
        <v>0</v>
      </c>
    </row>
    <row r="1626" spans="1:18">
      <c r="A1626" s="15" t="str">
        <f t="shared" si="30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8" t="s">
        <v>75</v>
      </c>
      <c r="P1626" s="48">
        <f>HEX2DEC(RIGHT(Table1323212753[[#This Row],[h1]],8))</f>
        <v>0</v>
      </c>
      <c r="Q1626" s="48" t="s">
        <v>75</v>
      </c>
      <c r="R1626" s="48">
        <f>HEX2DEC(RIGHT(Table1323212753[[#This Row],[h2]],8))</f>
        <v>0</v>
      </c>
    </row>
    <row r="1627" spans="1:18">
      <c r="A1627" s="15" t="str">
        <f t="shared" si="30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8" t="s">
        <v>75</v>
      </c>
      <c r="P1627" s="48">
        <f>HEX2DEC(RIGHT(Table1323212753[[#This Row],[h1]],8))</f>
        <v>0</v>
      </c>
      <c r="Q1627" s="48" t="s">
        <v>75</v>
      </c>
      <c r="R1627" s="48">
        <f>HEX2DEC(RIGHT(Table1323212753[[#This Row],[h2]],8))</f>
        <v>0</v>
      </c>
    </row>
    <row r="1628" spans="1:18">
      <c r="A1628" s="15" t="str">
        <f t="shared" si="30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8" t="s">
        <v>75</v>
      </c>
      <c r="P1628" s="48">
        <f>HEX2DEC(RIGHT(Table1323212753[[#This Row],[h1]],8))</f>
        <v>0</v>
      </c>
      <c r="Q1628" s="48" t="s">
        <v>75</v>
      </c>
      <c r="R1628" s="48">
        <f>HEX2DEC(RIGHT(Table1323212753[[#This Row],[h2]],8))</f>
        <v>0</v>
      </c>
    </row>
    <row r="1629" spans="1:18">
      <c r="A1629" s="15" t="str">
        <f t="shared" si="30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8" t="s">
        <v>75</v>
      </c>
      <c r="P1629" s="48">
        <f>HEX2DEC(RIGHT(Table1323212753[[#This Row],[h1]],8))</f>
        <v>0</v>
      </c>
      <c r="Q1629" s="48" t="s">
        <v>75</v>
      </c>
      <c r="R1629" s="48">
        <f>HEX2DEC(RIGHT(Table1323212753[[#This Row],[h2]],8))</f>
        <v>0</v>
      </c>
    </row>
    <row r="1630" spans="1:18">
      <c r="A1630" s="15" t="str">
        <f t="shared" si="30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8" t="s">
        <v>75</v>
      </c>
      <c r="P1630" s="48">
        <f>HEX2DEC(RIGHT(Table1323212753[[#This Row],[h1]],8))</f>
        <v>0</v>
      </c>
      <c r="Q1630" s="48" t="s">
        <v>75</v>
      </c>
      <c r="R1630" s="48">
        <f>HEX2DEC(RIGHT(Table1323212753[[#This Row],[h2]],8))</f>
        <v>0</v>
      </c>
    </row>
    <row r="1631" spans="1:18">
      <c r="A1631" s="15" t="str">
        <f t="shared" si="30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8" t="s">
        <v>75</v>
      </c>
      <c r="P1631" s="48">
        <f>HEX2DEC(RIGHT(Table1323212753[[#This Row],[h1]],8))</f>
        <v>0</v>
      </c>
      <c r="Q1631" s="48" t="s">
        <v>75</v>
      </c>
      <c r="R1631" s="48">
        <f>HEX2DEC(RIGHT(Table1323212753[[#This Row],[h2]],8))</f>
        <v>0</v>
      </c>
    </row>
    <row r="1632" spans="1:18">
      <c r="A1632" s="15" t="str">
        <f t="shared" si="30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8" t="s">
        <v>75</v>
      </c>
      <c r="P1632" s="48">
        <f>HEX2DEC(RIGHT(Table1323212753[[#This Row],[h1]],8))</f>
        <v>0</v>
      </c>
      <c r="Q1632" s="48" t="s">
        <v>75</v>
      </c>
      <c r="R1632" s="48">
        <f>HEX2DEC(RIGHT(Table1323212753[[#This Row],[h2]],8))</f>
        <v>0</v>
      </c>
    </row>
    <row r="1633" spans="1:18">
      <c r="A1633" s="15" t="str">
        <f t="shared" si="30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8" t="s">
        <v>75</v>
      </c>
      <c r="P1633" s="48">
        <f>HEX2DEC(RIGHT(Table1323212753[[#This Row],[h1]],8))</f>
        <v>0</v>
      </c>
      <c r="Q1633" s="48" t="s">
        <v>75</v>
      </c>
      <c r="R1633" s="48">
        <f>HEX2DEC(RIGHT(Table1323212753[[#This Row],[h2]],8))</f>
        <v>0</v>
      </c>
    </row>
    <row r="1634" spans="1:18">
      <c r="A1634" s="15" t="str">
        <f t="shared" si="30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8" t="s">
        <v>75</v>
      </c>
      <c r="P1634" s="48">
        <f>HEX2DEC(RIGHT(Table1323212753[[#This Row],[h1]],8))</f>
        <v>0</v>
      </c>
      <c r="Q1634" s="48" t="s">
        <v>75</v>
      </c>
      <c r="R1634" s="48">
        <f>HEX2DEC(RIGHT(Table1323212753[[#This Row],[h2]],8))</f>
        <v>0</v>
      </c>
    </row>
    <row r="1635" spans="1:18">
      <c r="A1635" s="15" t="str">
        <f t="shared" si="30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8" t="s">
        <v>75</v>
      </c>
      <c r="P1635" s="48">
        <f>HEX2DEC(RIGHT(Table1323212753[[#This Row],[h1]],8))</f>
        <v>0</v>
      </c>
      <c r="Q1635" s="48" t="s">
        <v>75</v>
      </c>
      <c r="R1635" s="48">
        <f>HEX2DEC(RIGHT(Table1323212753[[#This Row],[h2]],8))</f>
        <v>0</v>
      </c>
    </row>
    <row r="1636" spans="1:18">
      <c r="A1636" s="15" t="str">
        <f t="shared" si="30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8" t="s">
        <v>75</v>
      </c>
      <c r="P1636" s="48">
        <f>HEX2DEC(RIGHT(Table1323212753[[#This Row],[h1]],8))</f>
        <v>0</v>
      </c>
      <c r="Q1636" s="48" t="s">
        <v>75</v>
      </c>
      <c r="R1636" s="48">
        <f>HEX2DEC(RIGHT(Table1323212753[[#This Row],[h2]],8))</f>
        <v>0</v>
      </c>
    </row>
    <row r="1637" spans="1:18">
      <c r="A1637" s="15" t="str">
        <f t="shared" si="30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8" t="s">
        <v>75</v>
      </c>
      <c r="P1637" s="48">
        <f>HEX2DEC(RIGHT(Table1323212753[[#This Row],[h1]],8))</f>
        <v>0</v>
      </c>
      <c r="Q1637" s="48" t="s">
        <v>75</v>
      </c>
      <c r="R1637" s="48">
        <f>HEX2DEC(RIGHT(Table1323212753[[#This Row],[h2]],8))</f>
        <v>0</v>
      </c>
    </row>
    <row r="1638" spans="1:18">
      <c r="A1638" s="15" t="str">
        <f t="shared" si="30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8" t="s">
        <v>75</v>
      </c>
      <c r="P1638" s="48">
        <f>HEX2DEC(RIGHT(Table1323212753[[#This Row],[h1]],8))</f>
        <v>0</v>
      </c>
      <c r="Q1638" s="48" t="s">
        <v>75</v>
      </c>
      <c r="R1638" s="48">
        <f>HEX2DEC(RIGHT(Table1323212753[[#This Row],[h2]],8))</f>
        <v>0</v>
      </c>
    </row>
    <row r="1639" spans="1:18">
      <c r="A1639" s="15" t="str">
        <f t="shared" si="30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8" t="s">
        <v>75</v>
      </c>
      <c r="P1639" s="48">
        <f>HEX2DEC(RIGHT(Table1323212753[[#This Row],[h1]],8))</f>
        <v>0</v>
      </c>
      <c r="Q1639" s="48" t="s">
        <v>75</v>
      </c>
      <c r="R1639" s="48">
        <f>HEX2DEC(RIGHT(Table1323212753[[#This Row],[h2]],8))</f>
        <v>0</v>
      </c>
    </row>
    <row r="1640" spans="1:18">
      <c r="A1640" s="15" t="str">
        <f t="shared" si="30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8" t="s">
        <v>75</v>
      </c>
      <c r="P1640" s="48">
        <f>HEX2DEC(RIGHT(Table1323212753[[#This Row],[h1]],8))</f>
        <v>0</v>
      </c>
      <c r="Q1640" s="48" t="s">
        <v>75</v>
      </c>
      <c r="R1640" s="48">
        <f>HEX2DEC(RIGHT(Table1323212753[[#This Row],[h2]],8))</f>
        <v>0</v>
      </c>
    </row>
    <row r="1641" spans="1:18">
      <c r="A1641" s="15" t="str">
        <f t="shared" si="30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8" t="s">
        <v>75</v>
      </c>
      <c r="P1641" s="48">
        <f>HEX2DEC(RIGHT(Table1323212753[[#This Row],[h1]],8))</f>
        <v>0</v>
      </c>
      <c r="Q1641" s="48" t="s">
        <v>75</v>
      </c>
      <c r="R1641" s="48">
        <f>HEX2DEC(RIGHT(Table1323212753[[#This Row],[h2]],8))</f>
        <v>0</v>
      </c>
    </row>
    <row r="1642" spans="1:18">
      <c r="A1642" s="15" t="str">
        <f t="shared" si="30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8" t="s">
        <v>75</v>
      </c>
      <c r="P1642" s="48">
        <f>HEX2DEC(RIGHT(Table1323212753[[#This Row],[h1]],8))</f>
        <v>0</v>
      </c>
      <c r="Q1642" s="48" t="s">
        <v>75</v>
      </c>
      <c r="R1642" s="48">
        <f>HEX2DEC(RIGHT(Table1323212753[[#This Row],[h2]],8))</f>
        <v>0</v>
      </c>
    </row>
    <row r="1643" spans="1:18">
      <c r="A1643" s="15" t="str">
        <f t="shared" si="30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8" t="s">
        <v>75</v>
      </c>
      <c r="P1643" s="48">
        <f>HEX2DEC(RIGHT(Table1323212753[[#This Row],[h1]],8))</f>
        <v>0</v>
      </c>
      <c r="Q1643" s="48" t="s">
        <v>75</v>
      </c>
      <c r="R1643" s="48">
        <f>HEX2DEC(RIGHT(Table1323212753[[#This Row],[h2]],8))</f>
        <v>0</v>
      </c>
    </row>
    <row r="1644" spans="1:18">
      <c r="A1644" s="15" t="str">
        <f t="shared" si="30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8" t="s">
        <v>75</v>
      </c>
      <c r="P1644" s="48">
        <f>HEX2DEC(RIGHT(Table1323212753[[#This Row],[h1]],8))</f>
        <v>0</v>
      </c>
      <c r="Q1644" s="48" t="s">
        <v>75</v>
      </c>
      <c r="R1644" s="48">
        <f>HEX2DEC(RIGHT(Table1323212753[[#This Row],[h2]],8))</f>
        <v>0</v>
      </c>
    </row>
    <row r="1645" spans="1:18">
      <c r="A1645" s="15" t="str">
        <f t="shared" si="30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8" t="s">
        <v>75</v>
      </c>
      <c r="P1645" s="48">
        <f>HEX2DEC(RIGHT(Table1323212753[[#This Row],[h1]],8))</f>
        <v>0</v>
      </c>
      <c r="Q1645" s="48" t="s">
        <v>75</v>
      </c>
      <c r="R1645" s="48">
        <f>HEX2DEC(RIGHT(Table1323212753[[#This Row],[h2]],8))</f>
        <v>0</v>
      </c>
    </row>
    <row r="1646" spans="1:18">
      <c r="A1646" s="15" t="str">
        <f t="shared" si="30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8" t="s">
        <v>75</v>
      </c>
      <c r="P1646" s="48">
        <f>HEX2DEC(RIGHT(Table1323212753[[#This Row],[h1]],8))</f>
        <v>0</v>
      </c>
      <c r="Q1646" s="48" t="s">
        <v>75</v>
      </c>
      <c r="R1646" s="48">
        <f>HEX2DEC(RIGHT(Table1323212753[[#This Row],[h2]],8))</f>
        <v>0</v>
      </c>
    </row>
    <row r="1647" spans="1:18">
      <c r="A1647" s="15" t="str">
        <f t="shared" si="30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8" t="s">
        <v>75</v>
      </c>
      <c r="P1647" s="48">
        <f>HEX2DEC(RIGHT(Table1323212753[[#This Row],[h1]],8))</f>
        <v>0</v>
      </c>
      <c r="Q1647" s="48" t="s">
        <v>75</v>
      </c>
      <c r="R1647" s="48">
        <f>HEX2DEC(RIGHT(Table1323212753[[#This Row],[h2]],8))</f>
        <v>0</v>
      </c>
    </row>
    <row r="1648" spans="1:18">
      <c r="A1648" s="15" t="str">
        <f t="shared" si="30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8" t="s">
        <v>75</v>
      </c>
      <c r="P1648" s="48">
        <f>HEX2DEC(RIGHT(Table1323212753[[#This Row],[h1]],8))</f>
        <v>0</v>
      </c>
      <c r="Q1648" s="48" t="s">
        <v>75</v>
      </c>
      <c r="R1648" s="48">
        <f>HEX2DEC(RIGHT(Table1323212753[[#This Row],[h2]],8))</f>
        <v>0</v>
      </c>
    </row>
    <row r="1649" spans="1:18">
      <c r="A1649" s="15" t="str">
        <f t="shared" si="30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8" t="s">
        <v>75</v>
      </c>
      <c r="P1649" s="48">
        <f>HEX2DEC(RIGHT(Table1323212753[[#This Row],[h1]],8))</f>
        <v>0</v>
      </c>
      <c r="Q1649" s="48" t="s">
        <v>75</v>
      </c>
      <c r="R1649" s="48">
        <f>HEX2DEC(RIGHT(Table1323212753[[#This Row],[h2]],8))</f>
        <v>0</v>
      </c>
    </row>
    <row r="1650" spans="1:18">
      <c r="A1650" s="15" t="str">
        <f t="shared" si="30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8" t="s">
        <v>75</v>
      </c>
      <c r="P1650" s="48">
        <f>HEX2DEC(RIGHT(Table1323212753[[#This Row],[h1]],8))</f>
        <v>0</v>
      </c>
      <c r="Q1650" s="48" t="s">
        <v>75</v>
      </c>
      <c r="R1650" s="48">
        <f>HEX2DEC(RIGHT(Table1323212753[[#This Row],[h2]],8))</f>
        <v>0</v>
      </c>
    </row>
    <row r="1651" spans="1:18">
      <c r="A1651" s="15" t="str">
        <f t="shared" si="30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8" t="s">
        <v>75</v>
      </c>
      <c r="P1651" s="48">
        <f>HEX2DEC(RIGHT(Table1323212753[[#This Row],[h1]],8))</f>
        <v>0</v>
      </c>
      <c r="Q1651" s="48" t="s">
        <v>75</v>
      </c>
      <c r="R1651" s="48">
        <f>HEX2DEC(RIGHT(Table1323212753[[#This Row],[h2]],8))</f>
        <v>0</v>
      </c>
    </row>
    <row r="1652" spans="1:18">
      <c r="A1652" s="15" t="str">
        <f t="shared" si="30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8" t="s">
        <v>75</v>
      </c>
      <c r="P1652" s="48">
        <f>HEX2DEC(RIGHT(Table1323212753[[#This Row],[h1]],8))</f>
        <v>0</v>
      </c>
      <c r="Q1652" s="48" t="s">
        <v>75</v>
      </c>
      <c r="R1652" s="48">
        <f>HEX2DEC(RIGHT(Table1323212753[[#This Row],[h2]],8))</f>
        <v>0</v>
      </c>
    </row>
    <row r="1653" spans="1:18">
      <c r="A1653" s="15" t="str">
        <f t="shared" si="30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8" t="s">
        <v>75</v>
      </c>
      <c r="P1653" s="48">
        <f>HEX2DEC(RIGHT(Table1323212753[[#This Row],[h1]],8))</f>
        <v>0</v>
      </c>
      <c r="Q1653" s="48" t="s">
        <v>75</v>
      </c>
      <c r="R1653" s="48">
        <f>HEX2DEC(RIGHT(Table1323212753[[#This Row],[h2]],8))</f>
        <v>0</v>
      </c>
    </row>
    <row r="1654" spans="1:18">
      <c r="A1654" s="15" t="str">
        <f t="shared" si="30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8" t="s">
        <v>75</v>
      </c>
      <c r="P1654" s="48">
        <f>HEX2DEC(RIGHT(Table1323212753[[#This Row],[h1]],8))</f>
        <v>0</v>
      </c>
      <c r="Q1654" s="48" t="s">
        <v>75</v>
      </c>
      <c r="R1654" s="48">
        <f>HEX2DEC(RIGHT(Table1323212753[[#This Row],[h2]],8))</f>
        <v>0</v>
      </c>
    </row>
    <row r="1655" spans="1:18">
      <c r="A1655" s="15" t="str">
        <f t="shared" si="30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8" t="s">
        <v>75</v>
      </c>
      <c r="P1655" s="48">
        <f>HEX2DEC(RIGHT(Table1323212753[[#This Row],[h1]],8))</f>
        <v>0</v>
      </c>
      <c r="Q1655" s="48" t="s">
        <v>75</v>
      </c>
      <c r="R1655" s="48">
        <f>HEX2DEC(RIGHT(Table1323212753[[#This Row],[h2]],8))</f>
        <v>0</v>
      </c>
    </row>
    <row r="1656" spans="1:18">
      <c r="A1656" s="15" t="str">
        <f t="shared" si="30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8" t="s">
        <v>75</v>
      </c>
      <c r="P1656" s="48">
        <f>HEX2DEC(RIGHT(Table1323212753[[#This Row],[h1]],8))</f>
        <v>0</v>
      </c>
      <c r="Q1656" s="48" t="s">
        <v>75</v>
      </c>
      <c r="R1656" s="48">
        <f>HEX2DEC(RIGHT(Table1323212753[[#This Row],[h2]],8))</f>
        <v>0</v>
      </c>
    </row>
    <row r="1657" spans="1:18">
      <c r="A1657" s="15" t="str">
        <f t="shared" si="30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8" t="s">
        <v>75</v>
      </c>
      <c r="P1657" s="48">
        <f>HEX2DEC(RIGHT(Table1323212753[[#This Row],[h1]],8))</f>
        <v>0</v>
      </c>
      <c r="Q1657" s="48" t="s">
        <v>75</v>
      </c>
      <c r="R1657" s="48">
        <f>HEX2DEC(RIGHT(Table1323212753[[#This Row],[h2]],8))</f>
        <v>0</v>
      </c>
    </row>
    <row r="1658" spans="1:18">
      <c r="A1658" s="15" t="str">
        <f t="shared" si="30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8" t="s">
        <v>75</v>
      </c>
      <c r="P1658" s="48">
        <f>HEX2DEC(RIGHT(Table1323212753[[#This Row],[h1]],8))</f>
        <v>0</v>
      </c>
      <c r="Q1658" s="48" t="s">
        <v>75</v>
      </c>
      <c r="R1658" s="48">
        <f>HEX2DEC(RIGHT(Table1323212753[[#This Row],[h2]],8))</f>
        <v>0</v>
      </c>
    </row>
    <row r="1659" spans="1:18">
      <c r="A1659" s="15" t="str">
        <f t="shared" si="30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8" t="s">
        <v>75</v>
      </c>
      <c r="P1659" s="48">
        <f>HEX2DEC(RIGHT(Table1323212753[[#This Row],[h1]],8))</f>
        <v>0</v>
      </c>
      <c r="Q1659" s="48" t="s">
        <v>75</v>
      </c>
      <c r="R1659" s="48">
        <f>HEX2DEC(RIGHT(Table1323212753[[#This Row],[h2]],8))</f>
        <v>0</v>
      </c>
    </row>
    <row r="1660" spans="1:18">
      <c r="A1660" s="15" t="str">
        <f t="shared" si="30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8" t="s">
        <v>75</v>
      </c>
      <c r="P1660" s="48">
        <f>HEX2DEC(RIGHT(Table1323212753[[#This Row],[h1]],8))</f>
        <v>0</v>
      </c>
      <c r="Q1660" s="48" t="s">
        <v>75</v>
      </c>
      <c r="R1660" s="48">
        <f>HEX2DEC(RIGHT(Table1323212753[[#This Row],[h2]],8))</f>
        <v>0</v>
      </c>
    </row>
    <row r="1661" spans="1:18">
      <c r="A1661" s="15" t="str">
        <f t="shared" si="30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8" t="s">
        <v>75</v>
      </c>
      <c r="P1661" s="48">
        <f>HEX2DEC(RIGHT(Table1323212753[[#This Row],[h1]],8))</f>
        <v>0</v>
      </c>
      <c r="Q1661" s="48" t="s">
        <v>75</v>
      </c>
      <c r="R1661" s="48">
        <f>HEX2DEC(RIGHT(Table1323212753[[#This Row],[h2]],8))</f>
        <v>0</v>
      </c>
    </row>
    <row r="1662" spans="1:18">
      <c r="A1662" s="15" t="str">
        <f t="shared" si="30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8" t="s">
        <v>75</v>
      </c>
      <c r="P1662" s="48">
        <f>HEX2DEC(RIGHT(Table1323212753[[#This Row],[h1]],8))</f>
        <v>0</v>
      </c>
      <c r="Q1662" s="48" t="s">
        <v>75</v>
      </c>
      <c r="R1662" s="48">
        <f>HEX2DEC(RIGHT(Table1323212753[[#This Row],[h2]],8))</f>
        <v>0</v>
      </c>
    </row>
    <row r="1663" spans="1:18">
      <c r="A1663" s="15" t="str">
        <f t="shared" si="30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8" t="s">
        <v>75</v>
      </c>
      <c r="P1663" s="48">
        <f>HEX2DEC(RIGHT(Table1323212753[[#This Row],[h1]],8))</f>
        <v>0</v>
      </c>
      <c r="Q1663" s="48" t="s">
        <v>75</v>
      </c>
      <c r="R1663" s="48">
        <f>HEX2DEC(RIGHT(Table1323212753[[#This Row],[h2]],8))</f>
        <v>0</v>
      </c>
    </row>
    <row r="1664" spans="1:18">
      <c r="A1664" s="15" t="str">
        <f t="shared" si="30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8" t="s">
        <v>75</v>
      </c>
      <c r="P1664" s="48">
        <f>HEX2DEC(RIGHT(Table1323212753[[#This Row],[h1]],8))</f>
        <v>0</v>
      </c>
      <c r="Q1664" s="48" t="s">
        <v>75</v>
      </c>
      <c r="R1664" s="48">
        <f>HEX2DEC(RIGHT(Table1323212753[[#This Row],[h2]],8))</f>
        <v>0</v>
      </c>
    </row>
    <row r="1665" spans="1:18">
      <c r="A1665" s="15" t="str">
        <f t="shared" si="30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8" t="s">
        <v>75</v>
      </c>
      <c r="P1665" s="48">
        <f>HEX2DEC(RIGHT(Table1323212753[[#This Row],[h1]],8))</f>
        <v>0</v>
      </c>
      <c r="Q1665" s="48" t="s">
        <v>75</v>
      </c>
      <c r="R1665" s="48">
        <f>HEX2DEC(RIGHT(Table1323212753[[#This Row],[h2]],8))</f>
        <v>0</v>
      </c>
    </row>
    <row r="1666" spans="1:18">
      <c r="A1666" s="15" t="str">
        <f t="shared" si="30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8" t="s">
        <v>75</v>
      </c>
      <c r="P1666" s="48">
        <f>HEX2DEC(RIGHT(Table1323212753[[#This Row],[h1]],8))</f>
        <v>0</v>
      </c>
      <c r="Q1666" s="48" t="s">
        <v>75</v>
      </c>
      <c r="R1666" s="48">
        <f>HEX2DEC(RIGHT(Table1323212753[[#This Row],[h2]],8))</f>
        <v>0</v>
      </c>
    </row>
    <row r="1667" spans="1:18">
      <c r="A1667" s="15" t="str">
        <f t="shared" si="30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8" t="s">
        <v>75</v>
      </c>
      <c r="P1667" s="48">
        <f>HEX2DEC(RIGHT(Table1323212753[[#This Row],[h1]],8))</f>
        <v>0</v>
      </c>
      <c r="Q1667" s="48" t="s">
        <v>75</v>
      </c>
      <c r="R1667" s="48">
        <f>HEX2DEC(RIGHT(Table1323212753[[#This Row],[h2]],8))</f>
        <v>0</v>
      </c>
    </row>
    <row r="1668" spans="1:18">
      <c r="A1668" s="15" t="str">
        <f t="shared" si="30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8" t="s">
        <v>75</v>
      </c>
      <c r="P1668" s="48">
        <f>HEX2DEC(RIGHT(Table1323212753[[#This Row],[h1]],8))</f>
        <v>0</v>
      </c>
      <c r="Q1668" s="48" t="s">
        <v>75</v>
      </c>
      <c r="R1668" s="48">
        <f>HEX2DEC(RIGHT(Table1323212753[[#This Row],[h2]],8))</f>
        <v>0</v>
      </c>
    </row>
    <row r="1669" spans="1:18">
      <c r="A1669" s="15" t="str">
        <f t="shared" si="30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8" t="s">
        <v>75</v>
      </c>
      <c r="P1669" s="48">
        <f>HEX2DEC(RIGHT(Table1323212753[[#This Row],[h1]],8))</f>
        <v>0</v>
      </c>
      <c r="Q1669" s="48" t="s">
        <v>75</v>
      </c>
      <c r="R1669" s="48">
        <f>HEX2DEC(RIGHT(Table1323212753[[#This Row],[h2]],8))</f>
        <v>0</v>
      </c>
    </row>
    <row r="1670" spans="1:18">
      <c r="A1670" s="15" t="str">
        <f t="shared" si="30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8" t="s">
        <v>75</v>
      </c>
      <c r="P1670" s="48">
        <f>HEX2DEC(RIGHT(Table1323212753[[#This Row],[h1]],8))</f>
        <v>0</v>
      </c>
      <c r="Q1670" s="48" t="s">
        <v>75</v>
      </c>
      <c r="R1670" s="48">
        <f>HEX2DEC(RIGHT(Table1323212753[[#This Row],[h2]],8))</f>
        <v>0</v>
      </c>
    </row>
    <row r="1671" spans="1:18">
      <c r="A1671" s="15" t="str">
        <f t="shared" si="30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8" t="s">
        <v>75</v>
      </c>
      <c r="P1671" s="48">
        <f>HEX2DEC(RIGHT(Table1323212753[[#This Row],[h1]],8))</f>
        <v>0</v>
      </c>
      <c r="Q1671" s="48" t="s">
        <v>75</v>
      </c>
      <c r="R1671" s="48">
        <f>HEX2DEC(RIGHT(Table1323212753[[#This Row],[h2]],8))</f>
        <v>0</v>
      </c>
    </row>
    <row r="1672" spans="1:18">
      <c r="A1672" s="15" t="str">
        <f t="shared" si="30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8" t="s">
        <v>75</v>
      </c>
      <c r="P1672" s="48">
        <f>HEX2DEC(RIGHT(Table1323212753[[#This Row],[h1]],8))</f>
        <v>0</v>
      </c>
      <c r="Q1672" s="48" t="s">
        <v>75</v>
      </c>
      <c r="R1672" s="48">
        <f>HEX2DEC(RIGHT(Table1323212753[[#This Row],[h2]],8))</f>
        <v>0</v>
      </c>
    </row>
    <row r="1673" spans="1:18">
      <c r="A1673" s="15" t="str">
        <f t="shared" si="30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8" t="s">
        <v>75</v>
      </c>
      <c r="P1673" s="48">
        <f>HEX2DEC(RIGHT(Table1323212753[[#This Row],[h1]],8))</f>
        <v>0</v>
      </c>
      <c r="Q1673" s="48" t="s">
        <v>75</v>
      </c>
      <c r="R1673" s="48">
        <f>HEX2DEC(RIGHT(Table1323212753[[#This Row],[h2]],8))</f>
        <v>0</v>
      </c>
    </row>
    <row r="1674" spans="1:18">
      <c r="A1674" s="15" t="str">
        <f t="shared" si="30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8" t="s">
        <v>75</v>
      </c>
      <c r="P1674" s="48">
        <f>HEX2DEC(RIGHT(Table1323212753[[#This Row],[h1]],8))</f>
        <v>0</v>
      </c>
      <c r="Q1674" s="48" t="s">
        <v>75</v>
      </c>
      <c r="R1674" s="48">
        <f>HEX2DEC(RIGHT(Table1323212753[[#This Row],[h2]],8))</f>
        <v>0</v>
      </c>
    </row>
    <row r="1675" spans="1:18">
      <c r="A1675" s="15" t="str">
        <f t="shared" ref="A1675:A1738" si="31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8" t="s">
        <v>75</v>
      </c>
      <c r="P1675" s="48">
        <f>HEX2DEC(RIGHT(Table1323212753[[#This Row],[h1]],8))</f>
        <v>0</v>
      </c>
      <c r="Q1675" s="48" t="s">
        <v>75</v>
      </c>
      <c r="R1675" s="48">
        <f>HEX2DEC(RIGHT(Table1323212753[[#This Row],[h2]],8))</f>
        <v>0</v>
      </c>
    </row>
    <row r="1676" spans="1:18">
      <c r="A1676" s="15" t="str">
        <f t="shared" si="31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8" t="s">
        <v>75</v>
      </c>
      <c r="P1676" s="48">
        <f>HEX2DEC(RIGHT(Table1323212753[[#This Row],[h1]],8))</f>
        <v>0</v>
      </c>
      <c r="Q1676" s="48" t="s">
        <v>75</v>
      </c>
      <c r="R1676" s="48">
        <f>HEX2DEC(RIGHT(Table1323212753[[#This Row],[h2]],8))</f>
        <v>0</v>
      </c>
    </row>
    <row r="1677" spans="1:18">
      <c r="A1677" s="15" t="str">
        <f t="shared" si="31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8" t="s">
        <v>75</v>
      </c>
      <c r="P1677" s="48">
        <f>HEX2DEC(RIGHT(Table1323212753[[#This Row],[h1]],8))</f>
        <v>0</v>
      </c>
      <c r="Q1677" s="48" t="s">
        <v>75</v>
      </c>
      <c r="R1677" s="48">
        <f>HEX2DEC(RIGHT(Table1323212753[[#This Row],[h2]],8))</f>
        <v>0</v>
      </c>
    </row>
    <row r="1678" spans="1:18">
      <c r="A1678" s="15" t="str">
        <f t="shared" si="31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8" t="s">
        <v>75</v>
      </c>
      <c r="P1678" s="48">
        <f>HEX2DEC(RIGHT(Table1323212753[[#This Row],[h1]],8))</f>
        <v>0</v>
      </c>
      <c r="Q1678" s="48" t="s">
        <v>75</v>
      </c>
      <c r="R1678" s="48">
        <f>HEX2DEC(RIGHT(Table1323212753[[#This Row],[h2]],8))</f>
        <v>0</v>
      </c>
    </row>
    <row r="1679" spans="1:18">
      <c r="A1679" s="15" t="str">
        <f t="shared" si="31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8" t="s">
        <v>75</v>
      </c>
      <c r="P1679" s="48">
        <f>HEX2DEC(RIGHT(Table1323212753[[#This Row],[h1]],8))</f>
        <v>0</v>
      </c>
      <c r="Q1679" s="48" t="s">
        <v>75</v>
      </c>
      <c r="R1679" s="48">
        <f>HEX2DEC(RIGHT(Table1323212753[[#This Row],[h2]],8))</f>
        <v>0</v>
      </c>
    </row>
    <row r="1680" spans="1:18">
      <c r="A1680" s="15" t="str">
        <f t="shared" si="31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8" t="s">
        <v>75</v>
      </c>
      <c r="P1680" s="48">
        <f>HEX2DEC(RIGHT(Table1323212753[[#This Row],[h1]],8))</f>
        <v>0</v>
      </c>
      <c r="Q1680" s="48" t="s">
        <v>75</v>
      </c>
      <c r="R1680" s="48">
        <f>HEX2DEC(RIGHT(Table1323212753[[#This Row],[h2]],8))</f>
        <v>0</v>
      </c>
    </row>
    <row r="1681" spans="1:18">
      <c r="A1681" s="15" t="str">
        <f t="shared" si="31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8" t="s">
        <v>75</v>
      </c>
      <c r="P1681" s="48">
        <f>HEX2DEC(RIGHT(Table1323212753[[#This Row],[h1]],8))</f>
        <v>0</v>
      </c>
      <c r="Q1681" s="48" t="s">
        <v>75</v>
      </c>
      <c r="R1681" s="48">
        <f>HEX2DEC(RIGHT(Table1323212753[[#This Row],[h2]],8))</f>
        <v>0</v>
      </c>
    </row>
    <row r="1682" spans="1:18">
      <c r="A1682" s="15" t="str">
        <f t="shared" si="31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8" t="s">
        <v>75</v>
      </c>
      <c r="P1682" s="48">
        <f>HEX2DEC(RIGHT(Table1323212753[[#This Row],[h1]],8))</f>
        <v>0</v>
      </c>
      <c r="Q1682" s="48" t="s">
        <v>75</v>
      </c>
      <c r="R1682" s="48">
        <f>HEX2DEC(RIGHT(Table1323212753[[#This Row],[h2]],8))</f>
        <v>0</v>
      </c>
    </row>
    <row r="1683" spans="1:18">
      <c r="A1683" s="15" t="str">
        <f t="shared" si="31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8" t="s">
        <v>75</v>
      </c>
      <c r="P1683" s="48">
        <f>HEX2DEC(RIGHT(Table1323212753[[#This Row],[h1]],8))</f>
        <v>0</v>
      </c>
      <c r="Q1683" s="48" t="s">
        <v>75</v>
      </c>
      <c r="R1683" s="48">
        <f>HEX2DEC(RIGHT(Table1323212753[[#This Row],[h2]],8))</f>
        <v>0</v>
      </c>
    </row>
    <row r="1684" spans="1:18">
      <c r="A1684" s="15" t="str">
        <f t="shared" si="31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8" t="s">
        <v>75</v>
      </c>
      <c r="P1684" s="48">
        <f>HEX2DEC(RIGHT(Table1323212753[[#This Row],[h1]],8))</f>
        <v>0</v>
      </c>
      <c r="Q1684" s="48" t="s">
        <v>75</v>
      </c>
      <c r="R1684" s="48">
        <f>HEX2DEC(RIGHT(Table1323212753[[#This Row],[h2]],8))</f>
        <v>0</v>
      </c>
    </row>
    <row r="1685" spans="1:18">
      <c r="A1685" s="15" t="str">
        <f t="shared" si="31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8" t="s">
        <v>75</v>
      </c>
      <c r="P1685" s="48">
        <f>HEX2DEC(RIGHT(Table1323212753[[#This Row],[h1]],8))</f>
        <v>0</v>
      </c>
      <c r="Q1685" s="48" t="s">
        <v>75</v>
      </c>
      <c r="R1685" s="48">
        <f>HEX2DEC(RIGHT(Table1323212753[[#This Row],[h2]],8))</f>
        <v>0</v>
      </c>
    </row>
    <row r="1686" spans="1:18">
      <c r="A1686" s="15" t="str">
        <f t="shared" si="31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8" t="s">
        <v>75</v>
      </c>
      <c r="P1686" s="48">
        <f>HEX2DEC(RIGHT(Table1323212753[[#This Row],[h1]],8))</f>
        <v>0</v>
      </c>
      <c r="Q1686" s="48" t="s">
        <v>75</v>
      </c>
      <c r="R1686" s="48">
        <f>HEX2DEC(RIGHT(Table1323212753[[#This Row],[h2]],8))</f>
        <v>0</v>
      </c>
    </row>
    <row r="1687" spans="1:18">
      <c r="A1687" s="15" t="str">
        <f t="shared" si="31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8" t="s">
        <v>75</v>
      </c>
      <c r="P1687" s="48">
        <f>HEX2DEC(RIGHT(Table1323212753[[#This Row],[h1]],8))</f>
        <v>0</v>
      </c>
      <c r="Q1687" s="48" t="s">
        <v>75</v>
      </c>
      <c r="R1687" s="48">
        <f>HEX2DEC(RIGHT(Table1323212753[[#This Row],[h2]],8))</f>
        <v>0</v>
      </c>
    </row>
    <row r="1688" spans="1:18">
      <c r="A1688" s="15" t="str">
        <f t="shared" si="31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8" t="s">
        <v>75</v>
      </c>
      <c r="P1688" s="48">
        <f>HEX2DEC(RIGHT(Table1323212753[[#This Row],[h1]],8))</f>
        <v>0</v>
      </c>
      <c r="Q1688" s="48" t="s">
        <v>75</v>
      </c>
      <c r="R1688" s="48">
        <f>HEX2DEC(RIGHT(Table1323212753[[#This Row],[h2]],8))</f>
        <v>0</v>
      </c>
    </row>
    <row r="1689" spans="1:18">
      <c r="A1689" s="15" t="str">
        <f t="shared" si="31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8" t="s">
        <v>75</v>
      </c>
      <c r="P1689" s="48">
        <f>HEX2DEC(RIGHT(Table1323212753[[#This Row],[h1]],8))</f>
        <v>0</v>
      </c>
      <c r="Q1689" s="48" t="s">
        <v>75</v>
      </c>
      <c r="R1689" s="48">
        <f>HEX2DEC(RIGHT(Table1323212753[[#This Row],[h2]],8))</f>
        <v>0</v>
      </c>
    </row>
    <row r="1690" spans="1:18">
      <c r="A1690" s="15" t="str">
        <f t="shared" si="31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8" t="s">
        <v>75</v>
      </c>
      <c r="P1690" s="48">
        <f>HEX2DEC(RIGHT(Table1323212753[[#This Row],[h1]],8))</f>
        <v>0</v>
      </c>
      <c r="Q1690" s="48" t="s">
        <v>75</v>
      </c>
      <c r="R1690" s="48">
        <f>HEX2DEC(RIGHT(Table1323212753[[#This Row],[h2]],8))</f>
        <v>0</v>
      </c>
    </row>
    <row r="1691" spans="1:18">
      <c r="A1691" s="15" t="str">
        <f t="shared" si="31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8" t="s">
        <v>75</v>
      </c>
      <c r="P1691" s="48">
        <f>HEX2DEC(RIGHT(Table1323212753[[#This Row],[h1]],8))</f>
        <v>0</v>
      </c>
      <c r="Q1691" s="48" t="s">
        <v>75</v>
      </c>
      <c r="R1691" s="48">
        <f>HEX2DEC(RIGHT(Table1323212753[[#This Row],[h2]],8))</f>
        <v>0</v>
      </c>
    </row>
    <row r="1692" spans="1:18">
      <c r="A1692" s="15" t="str">
        <f t="shared" si="31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8" t="s">
        <v>75</v>
      </c>
      <c r="P1692" s="48">
        <f>HEX2DEC(RIGHT(Table1323212753[[#This Row],[h1]],8))</f>
        <v>0</v>
      </c>
      <c r="Q1692" s="48" t="s">
        <v>75</v>
      </c>
      <c r="R1692" s="48">
        <f>HEX2DEC(RIGHT(Table1323212753[[#This Row],[h2]],8))</f>
        <v>0</v>
      </c>
    </row>
    <row r="1693" spans="1:18">
      <c r="A1693" s="15" t="str">
        <f t="shared" si="31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8" t="s">
        <v>75</v>
      </c>
      <c r="P1693" s="48">
        <f>HEX2DEC(RIGHT(Table1323212753[[#This Row],[h1]],8))</f>
        <v>0</v>
      </c>
      <c r="Q1693" s="48" t="s">
        <v>75</v>
      </c>
      <c r="R1693" s="48">
        <f>HEX2DEC(RIGHT(Table1323212753[[#This Row],[h2]],8))</f>
        <v>0</v>
      </c>
    </row>
    <row r="1694" spans="1:18">
      <c r="A1694" s="15" t="str">
        <f t="shared" si="31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8" t="s">
        <v>75</v>
      </c>
      <c r="P1694" s="48">
        <f>HEX2DEC(RIGHT(Table1323212753[[#This Row],[h1]],8))</f>
        <v>0</v>
      </c>
      <c r="Q1694" s="48" t="s">
        <v>75</v>
      </c>
      <c r="R1694" s="48">
        <f>HEX2DEC(RIGHT(Table1323212753[[#This Row],[h2]],8))</f>
        <v>0</v>
      </c>
    </row>
    <row r="1695" spans="1:18">
      <c r="A1695" s="15" t="str">
        <f t="shared" si="31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8" t="s">
        <v>75</v>
      </c>
      <c r="P1695" s="48">
        <f>HEX2DEC(RIGHT(Table1323212753[[#This Row],[h1]],8))</f>
        <v>0</v>
      </c>
      <c r="Q1695" s="48" t="s">
        <v>75</v>
      </c>
      <c r="R1695" s="48">
        <f>HEX2DEC(RIGHT(Table1323212753[[#This Row],[h2]],8))</f>
        <v>0</v>
      </c>
    </row>
    <row r="1696" spans="1:18">
      <c r="A1696" s="15" t="str">
        <f t="shared" si="31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8" t="s">
        <v>75</v>
      </c>
      <c r="P1696" s="48">
        <f>HEX2DEC(RIGHT(Table1323212753[[#This Row],[h1]],8))</f>
        <v>0</v>
      </c>
      <c r="Q1696" s="48" t="s">
        <v>75</v>
      </c>
      <c r="R1696" s="48">
        <f>HEX2DEC(RIGHT(Table1323212753[[#This Row],[h2]],8))</f>
        <v>0</v>
      </c>
    </row>
    <row r="1697" spans="1:18">
      <c r="A1697" s="15" t="str">
        <f t="shared" si="31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8" t="s">
        <v>75</v>
      </c>
      <c r="P1697" s="48">
        <f>HEX2DEC(RIGHT(Table1323212753[[#This Row],[h1]],8))</f>
        <v>0</v>
      </c>
      <c r="Q1697" s="48" t="s">
        <v>75</v>
      </c>
      <c r="R1697" s="48">
        <f>HEX2DEC(RIGHT(Table1323212753[[#This Row],[h2]],8))</f>
        <v>0</v>
      </c>
    </row>
    <row r="1698" spans="1:18">
      <c r="A1698" s="15" t="str">
        <f t="shared" si="31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8" t="s">
        <v>75</v>
      </c>
      <c r="P1698" s="48">
        <f>HEX2DEC(RIGHT(Table1323212753[[#This Row],[h1]],8))</f>
        <v>0</v>
      </c>
      <c r="Q1698" s="48" t="s">
        <v>75</v>
      </c>
      <c r="R1698" s="48">
        <f>HEX2DEC(RIGHT(Table1323212753[[#This Row],[h2]],8))</f>
        <v>0</v>
      </c>
    </row>
    <row r="1699" spans="1:18">
      <c r="A1699" s="15" t="str">
        <f t="shared" si="31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8" t="s">
        <v>75</v>
      </c>
      <c r="P1699" s="48">
        <f>HEX2DEC(RIGHT(Table1323212753[[#This Row],[h1]],8))</f>
        <v>0</v>
      </c>
      <c r="Q1699" s="48" t="s">
        <v>75</v>
      </c>
      <c r="R1699" s="48">
        <f>HEX2DEC(RIGHT(Table1323212753[[#This Row],[h2]],8))</f>
        <v>0</v>
      </c>
    </row>
    <row r="1700" spans="1:18">
      <c r="A1700" s="15" t="str">
        <f t="shared" si="31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8" t="s">
        <v>75</v>
      </c>
      <c r="P1700" s="48">
        <f>HEX2DEC(RIGHT(Table1323212753[[#This Row],[h1]],8))</f>
        <v>0</v>
      </c>
      <c r="Q1700" s="48" t="s">
        <v>75</v>
      </c>
      <c r="R1700" s="48">
        <f>HEX2DEC(RIGHT(Table1323212753[[#This Row],[h2]],8))</f>
        <v>0</v>
      </c>
    </row>
    <row r="1701" spans="1:18">
      <c r="A1701" s="15" t="str">
        <f t="shared" si="31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8" t="s">
        <v>75</v>
      </c>
      <c r="P1701" s="48">
        <f>HEX2DEC(RIGHT(Table1323212753[[#This Row],[h1]],8))</f>
        <v>0</v>
      </c>
      <c r="Q1701" s="48" t="s">
        <v>75</v>
      </c>
      <c r="R1701" s="48">
        <f>HEX2DEC(RIGHT(Table1323212753[[#This Row],[h2]],8))</f>
        <v>0</v>
      </c>
    </row>
    <row r="1702" spans="1:18">
      <c r="A1702" s="15" t="str">
        <f t="shared" si="31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8" t="s">
        <v>75</v>
      </c>
      <c r="P1702" s="48">
        <f>HEX2DEC(RIGHT(Table1323212753[[#This Row],[h1]],8))</f>
        <v>0</v>
      </c>
      <c r="Q1702" s="48" t="s">
        <v>75</v>
      </c>
      <c r="R1702" s="48">
        <f>HEX2DEC(RIGHT(Table1323212753[[#This Row],[h2]],8))</f>
        <v>0</v>
      </c>
    </row>
    <row r="1703" spans="1:18">
      <c r="A1703" s="15" t="str">
        <f t="shared" si="31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8" t="s">
        <v>75</v>
      </c>
      <c r="P1703" s="48">
        <f>HEX2DEC(RIGHT(Table1323212753[[#This Row],[h1]],8))</f>
        <v>0</v>
      </c>
      <c r="Q1703" s="48" t="s">
        <v>75</v>
      </c>
      <c r="R1703" s="48">
        <f>HEX2DEC(RIGHT(Table1323212753[[#This Row],[h2]],8))</f>
        <v>0</v>
      </c>
    </row>
    <row r="1704" spans="1:18">
      <c r="A1704" s="15" t="str">
        <f t="shared" si="31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8" t="s">
        <v>75</v>
      </c>
      <c r="P1704" s="48">
        <f>HEX2DEC(RIGHT(Table1323212753[[#This Row],[h1]],8))</f>
        <v>0</v>
      </c>
      <c r="Q1704" s="48" t="s">
        <v>75</v>
      </c>
      <c r="R1704" s="48">
        <f>HEX2DEC(RIGHT(Table1323212753[[#This Row],[h2]],8))</f>
        <v>0</v>
      </c>
    </row>
    <row r="1705" spans="1:18">
      <c r="A1705" s="15" t="str">
        <f t="shared" si="31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8" t="s">
        <v>75</v>
      </c>
      <c r="P1705" s="48">
        <f>HEX2DEC(RIGHT(Table1323212753[[#This Row],[h1]],8))</f>
        <v>0</v>
      </c>
      <c r="Q1705" s="48" t="s">
        <v>75</v>
      </c>
      <c r="R1705" s="48">
        <f>HEX2DEC(RIGHT(Table1323212753[[#This Row],[h2]],8))</f>
        <v>0</v>
      </c>
    </row>
    <row r="1706" spans="1:18">
      <c r="A1706" s="15" t="str">
        <f t="shared" si="31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8" t="s">
        <v>75</v>
      </c>
      <c r="P1706" s="48">
        <f>HEX2DEC(RIGHT(Table1323212753[[#This Row],[h1]],8))</f>
        <v>0</v>
      </c>
      <c r="Q1706" s="48" t="s">
        <v>75</v>
      </c>
      <c r="R1706" s="48">
        <f>HEX2DEC(RIGHT(Table1323212753[[#This Row],[h2]],8))</f>
        <v>0</v>
      </c>
    </row>
    <row r="1707" spans="1:18">
      <c r="A1707" s="15" t="str">
        <f t="shared" si="31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8" t="s">
        <v>75</v>
      </c>
      <c r="P1707" s="48">
        <f>HEX2DEC(RIGHT(Table1323212753[[#This Row],[h1]],8))</f>
        <v>0</v>
      </c>
      <c r="Q1707" s="48" t="s">
        <v>75</v>
      </c>
      <c r="R1707" s="48">
        <f>HEX2DEC(RIGHT(Table1323212753[[#This Row],[h2]],8))</f>
        <v>0</v>
      </c>
    </row>
    <row r="1708" spans="1:18">
      <c r="A1708" s="15" t="str">
        <f t="shared" si="31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8" t="s">
        <v>75</v>
      </c>
      <c r="P1708" s="48">
        <f>HEX2DEC(RIGHT(Table1323212753[[#This Row],[h1]],8))</f>
        <v>0</v>
      </c>
      <c r="Q1708" s="48" t="s">
        <v>75</v>
      </c>
      <c r="R1708" s="48">
        <f>HEX2DEC(RIGHT(Table1323212753[[#This Row],[h2]],8))</f>
        <v>0</v>
      </c>
    </row>
    <row r="1709" spans="1:18">
      <c r="A1709" s="15" t="str">
        <f t="shared" si="31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8" t="s">
        <v>75</v>
      </c>
      <c r="P1709" s="48">
        <f>HEX2DEC(RIGHT(Table1323212753[[#This Row],[h1]],8))</f>
        <v>0</v>
      </c>
      <c r="Q1709" s="48" t="s">
        <v>75</v>
      </c>
      <c r="R1709" s="48">
        <f>HEX2DEC(RIGHT(Table1323212753[[#This Row],[h2]],8))</f>
        <v>0</v>
      </c>
    </row>
    <row r="1710" spans="1:18">
      <c r="A1710" s="15" t="str">
        <f t="shared" si="31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8" t="s">
        <v>75</v>
      </c>
      <c r="P1710" s="48">
        <f>HEX2DEC(RIGHT(Table1323212753[[#This Row],[h1]],8))</f>
        <v>0</v>
      </c>
      <c r="Q1710" s="48" t="s">
        <v>75</v>
      </c>
      <c r="R1710" s="48">
        <f>HEX2DEC(RIGHT(Table1323212753[[#This Row],[h2]],8))</f>
        <v>0</v>
      </c>
    </row>
    <row r="1711" spans="1:18">
      <c r="A1711" s="15" t="str">
        <f t="shared" si="31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8" t="s">
        <v>75</v>
      </c>
      <c r="P1711" s="48">
        <f>HEX2DEC(RIGHT(Table1323212753[[#This Row],[h1]],8))</f>
        <v>0</v>
      </c>
      <c r="Q1711" s="48" t="s">
        <v>75</v>
      </c>
      <c r="R1711" s="48">
        <f>HEX2DEC(RIGHT(Table1323212753[[#This Row],[h2]],8))</f>
        <v>0</v>
      </c>
    </row>
    <row r="1712" spans="1:18">
      <c r="A1712" s="15" t="str">
        <f t="shared" si="31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8" t="s">
        <v>75</v>
      </c>
      <c r="P1712" s="48">
        <f>HEX2DEC(RIGHT(Table1323212753[[#This Row],[h1]],8))</f>
        <v>0</v>
      </c>
      <c r="Q1712" s="48" t="s">
        <v>75</v>
      </c>
      <c r="R1712" s="48">
        <f>HEX2DEC(RIGHT(Table1323212753[[#This Row],[h2]],8))</f>
        <v>0</v>
      </c>
    </row>
    <row r="1713" spans="1:18">
      <c r="A1713" s="15" t="str">
        <f t="shared" si="31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8" t="s">
        <v>75</v>
      </c>
      <c r="P1713" s="48">
        <f>HEX2DEC(RIGHT(Table1323212753[[#This Row],[h1]],8))</f>
        <v>0</v>
      </c>
      <c r="Q1713" s="48" t="s">
        <v>75</v>
      </c>
      <c r="R1713" s="48">
        <f>HEX2DEC(RIGHT(Table1323212753[[#This Row],[h2]],8))</f>
        <v>0</v>
      </c>
    </row>
    <row r="1714" spans="1:18">
      <c r="A1714" s="15" t="str">
        <f t="shared" si="31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8" t="s">
        <v>75</v>
      </c>
      <c r="P1714" s="48">
        <f>HEX2DEC(RIGHT(Table1323212753[[#This Row],[h1]],8))</f>
        <v>0</v>
      </c>
      <c r="Q1714" s="48" t="s">
        <v>75</v>
      </c>
      <c r="R1714" s="48">
        <f>HEX2DEC(RIGHT(Table1323212753[[#This Row],[h2]],8))</f>
        <v>0</v>
      </c>
    </row>
    <row r="1715" spans="1:18">
      <c r="A1715" s="15" t="str">
        <f t="shared" si="31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8" t="s">
        <v>75</v>
      </c>
      <c r="P1715" s="48">
        <f>HEX2DEC(RIGHT(Table1323212753[[#This Row],[h1]],8))</f>
        <v>0</v>
      </c>
      <c r="Q1715" s="48" t="s">
        <v>75</v>
      </c>
      <c r="R1715" s="48">
        <f>HEX2DEC(RIGHT(Table1323212753[[#This Row],[h2]],8))</f>
        <v>0</v>
      </c>
    </row>
    <row r="1716" spans="1:18">
      <c r="A1716" s="15" t="str">
        <f t="shared" si="31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8" t="s">
        <v>75</v>
      </c>
      <c r="P1716" s="48">
        <f>HEX2DEC(RIGHT(Table1323212753[[#This Row],[h1]],8))</f>
        <v>0</v>
      </c>
      <c r="Q1716" s="48" t="s">
        <v>75</v>
      </c>
      <c r="R1716" s="48">
        <f>HEX2DEC(RIGHT(Table1323212753[[#This Row],[h2]],8))</f>
        <v>0</v>
      </c>
    </row>
    <row r="1717" spans="1:18">
      <c r="A1717" s="15" t="str">
        <f t="shared" si="31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8" t="s">
        <v>75</v>
      </c>
      <c r="P1717" s="48">
        <f>HEX2DEC(RIGHT(Table1323212753[[#This Row],[h1]],8))</f>
        <v>0</v>
      </c>
      <c r="Q1717" s="48" t="s">
        <v>75</v>
      </c>
      <c r="R1717" s="48">
        <f>HEX2DEC(RIGHT(Table1323212753[[#This Row],[h2]],8))</f>
        <v>0</v>
      </c>
    </row>
    <row r="1718" spans="1:18">
      <c r="A1718" s="15" t="str">
        <f t="shared" si="31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8" t="s">
        <v>75</v>
      </c>
      <c r="P1718" s="48">
        <f>HEX2DEC(RIGHT(Table1323212753[[#This Row],[h1]],8))</f>
        <v>0</v>
      </c>
      <c r="Q1718" s="48" t="s">
        <v>75</v>
      </c>
      <c r="R1718" s="48">
        <f>HEX2DEC(RIGHT(Table1323212753[[#This Row],[h2]],8))</f>
        <v>0</v>
      </c>
    </row>
    <row r="1719" spans="1:18">
      <c r="A1719" s="15" t="str">
        <f t="shared" si="31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8" t="s">
        <v>75</v>
      </c>
      <c r="P1719" s="48">
        <f>HEX2DEC(RIGHT(Table1323212753[[#This Row],[h1]],8))</f>
        <v>0</v>
      </c>
      <c r="Q1719" s="48" t="s">
        <v>75</v>
      </c>
      <c r="R1719" s="48">
        <f>HEX2DEC(RIGHT(Table1323212753[[#This Row],[h2]],8))</f>
        <v>0</v>
      </c>
    </row>
    <row r="1720" spans="1:18">
      <c r="A1720" s="15" t="str">
        <f t="shared" si="31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8" t="s">
        <v>75</v>
      </c>
      <c r="P1720" s="48">
        <f>HEX2DEC(RIGHT(Table1323212753[[#This Row],[h1]],8))</f>
        <v>0</v>
      </c>
      <c r="Q1720" s="48" t="s">
        <v>75</v>
      </c>
      <c r="R1720" s="48">
        <f>HEX2DEC(RIGHT(Table1323212753[[#This Row],[h2]],8))</f>
        <v>0</v>
      </c>
    </row>
    <row r="1721" spans="1:18">
      <c r="A1721" s="15" t="str">
        <f t="shared" si="31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8" t="s">
        <v>75</v>
      </c>
      <c r="P1721" s="48">
        <f>HEX2DEC(RIGHT(Table1323212753[[#This Row],[h1]],8))</f>
        <v>0</v>
      </c>
      <c r="Q1721" s="48" t="s">
        <v>75</v>
      </c>
      <c r="R1721" s="48">
        <f>HEX2DEC(RIGHT(Table1323212753[[#This Row],[h2]],8))</f>
        <v>0</v>
      </c>
    </row>
    <row r="1722" spans="1:18">
      <c r="A1722" s="15" t="str">
        <f t="shared" si="31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8" t="s">
        <v>75</v>
      </c>
      <c r="P1722" s="48">
        <f>HEX2DEC(RIGHT(Table1323212753[[#This Row],[h1]],8))</f>
        <v>0</v>
      </c>
      <c r="Q1722" s="48" t="s">
        <v>75</v>
      </c>
      <c r="R1722" s="48">
        <f>HEX2DEC(RIGHT(Table1323212753[[#This Row],[h2]],8))</f>
        <v>0</v>
      </c>
    </row>
    <row r="1723" spans="1:18">
      <c r="A1723" s="15" t="str">
        <f t="shared" si="31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8" t="s">
        <v>75</v>
      </c>
      <c r="P1723" s="48">
        <f>HEX2DEC(RIGHT(Table1323212753[[#This Row],[h1]],8))</f>
        <v>0</v>
      </c>
      <c r="Q1723" s="48" t="s">
        <v>75</v>
      </c>
      <c r="R1723" s="48">
        <f>HEX2DEC(RIGHT(Table1323212753[[#This Row],[h2]],8))</f>
        <v>0</v>
      </c>
    </row>
    <row r="1724" spans="1:18">
      <c r="A1724" s="15" t="str">
        <f t="shared" si="31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8" t="s">
        <v>75</v>
      </c>
      <c r="P1724" s="48">
        <f>HEX2DEC(RIGHT(Table1323212753[[#This Row],[h1]],8))</f>
        <v>0</v>
      </c>
      <c r="Q1724" s="48" t="s">
        <v>75</v>
      </c>
      <c r="R1724" s="48">
        <f>HEX2DEC(RIGHT(Table1323212753[[#This Row],[h2]],8))</f>
        <v>0</v>
      </c>
    </row>
    <row r="1725" spans="1:18">
      <c r="A1725" s="15" t="str">
        <f t="shared" si="31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8" t="s">
        <v>75</v>
      </c>
      <c r="P1725" s="48">
        <f>HEX2DEC(RIGHT(Table1323212753[[#This Row],[h1]],8))</f>
        <v>0</v>
      </c>
      <c r="Q1725" s="48" t="s">
        <v>75</v>
      </c>
      <c r="R1725" s="48">
        <f>HEX2DEC(RIGHT(Table1323212753[[#This Row],[h2]],8))</f>
        <v>0</v>
      </c>
    </row>
    <row r="1726" spans="1:18">
      <c r="A1726" s="15" t="str">
        <f t="shared" si="31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8" t="s">
        <v>75</v>
      </c>
      <c r="P1726" s="48">
        <f>HEX2DEC(RIGHT(Table1323212753[[#This Row],[h1]],8))</f>
        <v>0</v>
      </c>
      <c r="Q1726" s="48" t="s">
        <v>75</v>
      </c>
      <c r="R1726" s="48">
        <f>HEX2DEC(RIGHT(Table1323212753[[#This Row],[h2]],8))</f>
        <v>0</v>
      </c>
    </row>
    <row r="1727" spans="1:18">
      <c r="A1727" s="15" t="str">
        <f t="shared" si="31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8" t="s">
        <v>75</v>
      </c>
      <c r="P1727" s="48">
        <f>HEX2DEC(RIGHT(Table1323212753[[#This Row],[h1]],8))</f>
        <v>0</v>
      </c>
      <c r="Q1727" s="48" t="s">
        <v>75</v>
      </c>
      <c r="R1727" s="48">
        <f>HEX2DEC(RIGHT(Table1323212753[[#This Row],[h2]],8))</f>
        <v>0</v>
      </c>
    </row>
    <row r="1728" spans="1:18">
      <c r="A1728" s="15" t="str">
        <f t="shared" si="31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8" t="s">
        <v>75</v>
      </c>
      <c r="P1728" s="48">
        <f>HEX2DEC(RIGHT(Table1323212753[[#This Row],[h1]],8))</f>
        <v>0</v>
      </c>
      <c r="Q1728" s="48" t="s">
        <v>75</v>
      </c>
      <c r="R1728" s="48">
        <f>HEX2DEC(RIGHT(Table1323212753[[#This Row],[h2]],8))</f>
        <v>0</v>
      </c>
    </row>
    <row r="1729" spans="1:18">
      <c r="A1729" s="15" t="str">
        <f t="shared" si="31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8" t="s">
        <v>75</v>
      </c>
      <c r="P1729" s="48">
        <f>HEX2DEC(RIGHT(Table1323212753[[#This Row],[h1]],8))</f>
        <v>0</v>
      </c>
      <c r="Q1729" s="48" t="s">
        <v>75</v>
      </c>
      <c r="R1729" s="48">
        <f>HEX2DEC(RIGHT(Table1323212753[[#This Row],[h2]],8))</f>
        <v>0</v>
      </c>
    </row>
    <row r="1730" spans="1:18">
      <c r="A1730" s="15" t="str">
        <f t="shared" si="31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8" t="s">
        <v>75</v>
      </c>
      <c r="P1730" s="48">
        <f>HEX2DEC(RIGHT(Table1323212753[[#This Row],[h1]],8))</f>
        <v>0</v>
      </c>
      <c r="Q1730" s="48" t="s">
        <v>75</v>
      </c>
      <c r="R1730" s="48">
        <f>HEX2DEC(RIGHT(Table1323212753[[#This Row],[h2]],8))</f>
        <v>0</v>
      </c>
    </row>
    <row r="1731" spans="1:18">
      <c r="A1731" s="15" t="str">
        <f t="shared" si="31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8" t="s">
        <v>75</v>
      </c>
      <c r="P1731" s="48">
        <f>HEX2DEC(RIGHT(Table1323212753[[#This Row],[h1]],8))</f>
        <v>0</v>
      </c>
      <c r="Q1731" s="48" t="s">
        <v>75</v>
      </c>
      <c r="R1731" s="48">
        <f>HEX2DEC(RIGHT(Table1323212753[[#This Row],[h2]],8))</f>
        <v>0</v>
      </c>
    </row>
    <row r="1732" spans="1:18">
      <c r="A1732" s="15" t="str">
        <f t="shared" si="31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8" t="s">
        <v>75</v>
      </c>
      <c r="P1732" s="48">
        <f>HEX2DEC(RIGHT(Table1323212753[[#This Row],[h1]],8))</f>
        <v>0</v>
      </c>
      <c r="Q1732" s="48" t="s">
        <v>75</v>
      </c>
      <c r="R1732" s="48">
        <f>HEX2DEC(RIGHT(Table1323212753[[#This Row],[h2]],8))</f>
        <v>0</v>
      </c>
    </row>
    <row r="1733" spans="1:18">
      <c r="A1733" s="15" t="str">
        <f t="shared" si="31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8" t="s">
        <v>75</v>
      </c>
      <c r="P1733" s="48">
        <f>HEX2DEC(RIGHT(Table1323212753[[#This Row],[h1]],8))</f>
        <v>0</v>
      </c>
      <c r="Q1733" s="48" t="s">
        <v>75</v>
      </c>
      <c r="R1733" s="48">
        <f>HEX2DEC(RIGHT(Table1323212753[[#This Row],[h2]],8))</f>
        <v>0</v>
      </c>
    </row>
    <row r="1734" spans="1:18">
      <c r="A1734" s="15" t="str">
        <f t="shared" si="31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8" t="s">
        <v>75</v>
      </c>
      <c r="P1734" s="48">
        <f>HEX2DEC(RIGHT(Table1323212753[[#This Row],[h1]],8))</f>
        <v>0</v>
      </c>
      <c r="Q1734" s="48" t="s">
        <v>75</v>
      </c>
      <c r="R1734" s="48">
        <f>HEX2DEC(RIGHT(Table1323212753[[#This Row],[h2]],8))</f>
        <v>0</v>
      </c>
    </row>
    <row r="1735" spans="1:18">
      <c r="A1735" s="15" t="str">
        <f t="shared" si="31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8" t="s">
        <v>75</v>
      </c>
      <c r="P1735" s="48">
        <f>HEX2DEC(RIGHT(Table1323212753[[#This Row],[h1]],8))</f>
        <v>0</v>
      </c>
      <c r="Q1735" s="48" t="s">
        <v>75</v>
      </c>
      <c r="R1735" s="48">
        <f>HEX2DEC(RIGHT(Table1323212753[[#This Row],[h2]],8))</f>
        <v>0</v>
      </c>
    </row>
    <row r="1736" spans="1:18">
      <c r="A1736" s="15" t="str">
        <f t="shared" si="31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8" t="s">
        <v>75</v>
      </c>
      <c r="P1736" s="48">
        <f>HEX2DEC(RIGHT(Table1323212753[[#This Row],[h1]],8))</f>
        <v>0</v>
      </c>
      <c r="Q1736" s="48" t="s">
        <v>75</v>
      </c>
      <c r="R1736" s="48">
        <f>HEX2DEC(RIGHT(Table1323212753[[#This Row],[h2]],8))</f>
        <v>0</v>
      </c>
    </row>
    <row r="1737" spans="1:18">
      <c r="A1737" s="15" t="str">
        <f t="shared" si="31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8" t="s">
        <v>75</v>
      </c>
      <c r="P1737" s="48">
        <f>HEX2DEC(RIGHT(Table1323212753[[#This Row],[h1]],8))</f>
        <v>0</v>
      </c>
      <c r="Q1737" s="48" t="s">
        <v>75</v>
      </c>
      <c r="R1737" s="48">
        <f>HEX2DEC(RIGHT(Table1323212753[[#This Row],[h2]],8))</f>
        <v>0</v>
      </c>
    </row>
    <row r="1738" spans="1:18">
      <c r="A1738" s="15" t="str">
        <f t="shared" si="31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8" t="s">
        <v>75</v>
      </c>
      <c r="P1738" s="48">
        <f>HEX2DEC(RIGHT(Table1323212753[[#This Row],[h1]],8))</f>
        <v>0</v>
      </c>
      <c r="Q1738" s="48" t="s">
        <v>75</v>
      </c>
      <c r="R1738" s="48">
        <f>HEX2DEC(RIGHT(Table1323212753[[#This Row],[h2]],8))</f>
        <v>0</v>
      </c>
    </row>
    <row r="1739" spans="1:18">
      <c r="A1739" s="15" t="str">
        <f t="shared" ref="A1739:A1802" si="32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8" t="s">
        <v>75</v>
      </c>
      <c r="P1739" s="48">
        <f>HEX2DEC(RIGHT(Table1323212753[[#This Row],[h1]],8))</f>
        <v>0</v>
      </c>
      <c r="Q1739" s="48" t="s">
        <v>75</v>
      </c>
      <c r="R1739" s="48">
        <f>HEX2DEC(RIGHT(Table1323212753[[#This Row],[h2]],8))</f>
        <v>0</v>
      </c>
    </row>
    <row r="1740" spans="1:18">
      <c r="A1740" s="15" t="str">
        <f t="shared" si="32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8" t="s">
        <v>75</v>
      </c>
      <c r="P1740" s="48">
        <f>HEX2DEC(RIGHT(Table1323212753[[#This Row],[h1]],8))</f>
        <v>0</v>
      </c>
      <c r="Q1740" s="48" t="s">
        <v>75</v>
      </c>
      <c r="R1740" s="48">
        <f>HEX2DEC(RIGHT(Table1323212753[[#This Row],[h2]],8))</f>
        <v>0</v>
      </c>
    </row>
    <row r="1741" spans="1:18">
      <c r="A1741" s="15" t="str">
        <f t="shared" si="32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8" t="s">
        <v>75</v>
      </c>
      <c r="P1741" s="48">
        <f>HEX2DEC(RIGHT(Table1323212753[[#This Row],[h1]],8))</f>
        <v>0</v>
      </c>
      <c r="Q1741" s="48" t="s">
        <v>75</v>
      </c>
      <c r="R1741" s="48">
        <f>HEX2DEC(RIGHT(Table1323212753[[#This Row],[h2]],8))</f>
        <v>0</v>
      </c>
    </row>
    <row r="1742" spans="1:18">
      <c r="A1742" s="15" t="str">
        <f t="shared" si="32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8" t="s">
        <v>75</v>
      </c>
      <c r="P1742" s="48">
        <f>HEX2DEC(RIGHT(Table1323212753[[#This Row],[h1]],8))</f>
        <v>0</v>
      </c>
      <c r="Q1742" s="48" t="s">
        <v>75</v>
      </c>
      <c r="R1742" s="48">
        <f>HEX2DEC(RIGHT(Table1323212753[[#This Row],[h2]],8))</f>
        <v>0</v>
      </c>
    </row>
    <row r="1743" spans="1:18">
      <c r="A1743" s="15" t="str">
        <f t="shared" si="32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8" t="s">
        <v>75</v>
      </c>
      <c r="P1743" s="48">
        <f>HEX2DEC(RIGHT(Table1323212753[[#This Row],[h1]],8))</f>
        <v>0</v>
      </c>
      <c r="Q1743" s="48" t="s">
        <v>75</v>
      </c>
      <c r="R1743" s="48">
        <f>HEX2DEC(RIGHT(Table1323212753[[#This Row],[h2]],8))</f>
        <v>0</v>
      </c>
    </row>
    <row r="1744" spans="1:18">
      <c r="A1744" s="15" t="str">
        <f t="shared" si="32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8" t="s">
        <v>75</v>
      </c>
      <c r="P1744" s="48">
        <f>HEX2DEC(RIGHT(Table1323212753[[#This Row],[h1]],8))</f>
        <v>0</v>
      </c>
      <c r="Q1744" s="48" t="s">
        <v>75</v>
      </c>
      <c r="R1744" s="48">
        <f>HEX2DEC(RIGHT(Table1323212753[[#This Row],[h2]],8))</f>
        <v>0</v>
      </c>
    </row>
    <row r="1745" spans="1:18">
      <c r="A1745" s="15" t="str">
        <f t="shared" si="32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8" t="s">
        <v>75</v>
      </c>
      <c r="P1745" s="48">
        <f>HEX2DEC(RIGHT(Table1323212753[[#This Row],[h1]],8))</f>
        <v>0</v>
      </c>
      <c r="Q1745" s="48" t="s">
        <v>75</v>
      </c>
      <c r="R1745" s="48">
        <f>HEX2DEC(RIGHT(Table1323212753[[#This Row],[h2]],8))</f>
        <v>0</v>
      </c>
    </row>
    <row r="1746" spans="1:18">
      <c r="A1746" s="15" t="str">
        <f t="shared" si="32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8" t="s">
        <v>75</v>
      </c>
      <c r="P1746" s="48">
        <f>HEX2DEC(RIGHT(Table1323212753[[#This Row],[h1]],8))</f>
        <v>0</v>
      </c>
      <c r="Q1746" s="48" t="s">
        <v>75</v>
      </c>
      <c r="R1746" s="48">
        <f>HEX2DEC(RIGHT(Table1323212753[[#This Row],[h2]],8))</f>
        <v>0</v>
      </c>
    </row>
    <row r="1747" spans="1:18">
      <c r="A1747" s="15" t="str">
        <f t="shared" si="32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8" t="s">
        <v>75</v>
      </c>
      <c r="P1747" s="48">
        <f>HEX2DEC(RIGHT(Table1323212753[[#This Row],[h1]],8))</f>
        <v>0</v>
      </c>
      <c r="Q1747" s="48" t="s">
        <v>75</v>
      </c>
      <c r="R1747" s="48">
        <f>HEX2DEC(RIGHT(Table1323212753[[#This Row],[h2]],8))</f>
        <v>0</v>
      </c>
    </row>
    <row r="1748" spans="1:18">
      <c r="A1748" s="15" t="str">
        <f t="shared" si="32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8" t="s">
        <v>75</v>
      </c>
      <c r="P1748" s="48">
        <f>HEX2DEC(RIGHT(Table1323212753[[#This Row],[h1]],8))</f>
        <v>0</v>
      </c>
      <c r="Q1748" s="48" t="s">
        <v>75</v>
      </c>
      <c r="R1748" s="48">
        <f>HEX2DEC(RIGHT(Table1323212753[[#This Row],[h2]],8))</f>
        <v>0</v>
      </c>
    </row>
    <row r="1749" spans="1:18">
      <c r="A1749" s="15" t="str">
        <f t="shared" si="32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8" t="s">
        <v>75</v>
      </c>
      <c r="P1749" s="48">
        <f>HEX2DEC(RIGHT(Table1323212753[[#This Row],[h1]],8))</f>
        <v>0</v>
      </c>
      <c r="Q1749" s="48" t="s">
        <v>75</v>
      </c>
      <c r="R1749" s="48">
        <f>HEX2DEC(RIGHT(Table1323212753[[#This Row],[h2]],8))</f>
        <v>0</v>
      </c>
    </row>
    <row r="1750" spans="1:18">
      <c r="A1750" s="15" t="str">
        <f t="shared" si="32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8" t="s">
        <v>75</v>
      </c>
      <c r="P1750" s="48">
        <f>HEX2DEC(RIGHT(Table1323212753[[#This Row],[h1]],8))</f>
        <v>0</v>
      </c>
      <c r="Q1750" s="48" t="s">
        <v>75</v>
      </c>
      <c r="R1750" s="48">
        <f>HEX2DEC(RIGHT(Table1323212753[[#This Row],[h2]],8))</f>
        <v>0</v>
      </c>
    </row>
    <row r="1751" spans="1:18">
      <c r="A1751" s="15" t="str">
        <f t="shared" si="32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8" t="s">
        <v>75</v>
      </c>
      <c r="P1751" s="48">
        <f>HEX2DEC(RIGHT(Table1323212753[[#This Row],[h1]],8))</f>
        <v>0</v>
      </c>
      <c r="Q1751" s="48" t="s">
        <v>75</v>
      </c>
      <c r="R1751" s="48">
        <f>HEX2DEC(RIGHT(Table1323212753[[#This Row],[h2]],8))</f>
        <v>0</v>
      </c>
    </row>
    <row r="1752" spans="1:18">
      <c r="A1752" s="15" t="str">
        <f t="shared" si="32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8" t="s">
        <v>75</v>
      </c>
      <c r="P1752" s="48">
        <f>HEX2DEC(RIGHT(Table1323212753[[#This Row],[h1]],8))</f>
        <v>0</v>
      </c>
      <c r="Q1752" s="48" t="s">
        <v>75</v>
      </c>
      <c r="R1752" s="48">
        <f>HEX2DEC(RIGHT(Table1323212753[[#This Row],[h2]],8))</f>
        <v>0</v>
      </c>
    </row>
    <row r="1753" spans="1:18">
      <c r="A1753" s="15" t="str">
        <f t="shared" si="32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8" t="s">
        <v>75</v>
      </c>
      <c r="P1753" s="48">
        <f>HEX2DEC(RIGHT(Table1323212753[[#This Row],[h1]],8))</f>
        <v>0</v>
      </c>
      <c r="Q1753" s="48" t="s">
        <v>75</v>
      </c>
      <c r="R1753" s="48">
        <f>HEX2DEC(RIGHT(Table1323212753[[#This Row],[h2]],8))</f>
        <v>0</v>
      </c>
    </row>
    <row r="1754" spans="1:18">
      <c r="A1754" s="15" t="str">
        <f t="shared" si="32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8" t="s">
        <v>75</v>
      </c>
      <c r="P1754" s="48">
        <f>HEX2DEC(RIGHT(Table1323212753[[#This Row],[h1]],8))</f>
        <v>0</v>
      </c>
      <c r="Q1754" s="48" t="s">
        <v>75</v>
      </c>
      <c r="R1754" s="48">
        <f>HEX2DEC(RIGHT(Table1323212753[[#This Row],[h2]],8))</f>
        <v>0</v>
      </c>
    </row>
    <row r="1755" spans="1:18">
      <c r="A1755" s="15" t="str">
        <f t="shared" si="32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8" t="s">
        <v>75</v>
      </c>
      <c r="P1755" s="48">
        <f>HEX2DEC(RIGHT(Table1323212753[[#This Row],[h1]],8))</f>
        <v>0</v>
      </c>
      <c r="Q1755" s="48" t="s">
        <v>75</v>
      </c>
      <c r="R1755" s="48">
        <f>HEX2DEC(RIGHT(Table1323212753[[#This Row],[h2]],8))</f>
        <v>0</v>
      </c>
    </row>
    <row r="1756" spans="1:18">
      <c r="A1756" s="15" t="str">
        <f t="shared" si="32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8" t="s">
        <v>75</v>
      </c>
      <c r="P1756" s="48">
        <f>HEX2DEC(RIGHT(Table1323212753[[#This Row],[h1]],8))</f>
        <v>0</v>
      </c>
      <c r="Q1756" s="48" t="s">
        <v>75</v>
      </c>
      <c r="R1756" s="48">
        <f>HEX2DEC(RIGHT(Table1323212753[[#This Row],[h2]],8))</f>
        <v>0</v>
      </c>
    </row>
    <row r="1757" spans="1:18">
      <c r="A1757" s="15" t="str">
        <f t="shared" si="32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8" t="s">
        <v>75</v>
      </c>
      <c r="P1757" s="48">
        <f>HEX2DEC(RIGHT(Table1323212753[[#This Row],[h1]],8))</f>
        <v>0</v>
      </c>
      <c r="Q1757" s="48" t="s">
        <v>75</v>
      </c>
      <c r="R1757" s="48">
        <f>HEX2DEC(RIGHT(Table1323212753[[#This Row],[h2]],8))</f>
        <v>0</v>
      </c>
    </row>
    <row r="1758" spans="1:18">
      <c r="A1758" s="15" t="str">
        <f t="shared" si="32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8" t="s">
        <v>75</v>
      </c>
      <c r="P1758" s="48">
        <f>HEX2DEC(RIGHT(Table1323212753[[#This Row],[h1]],8))</f>
        <v>0</v>
      </c>
      <c r="Q1758" s="48" t="s">
        <v>75</v>
      </c>
      <c r="R1758" s="48">
        <f>HEX2DEC(RIGHT(Table1323212753[[#This Row],[h2]],8))</f>
        <v>0</v>
      </c>
    </row>
    <row r="1759" spans="1:18">
      <c r="A1759" s="15" t="str">
        <f t="shared" si="32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8" t="s">
        <v>75</v>
      </c>
      <c r="P1759" s="48">
        <f>HEX2DEC(RIGHT(Table1323212753[[#This Row],[h1]],8))</f>
        <v>0</v>
      </c>
      <c r="Q1759" s="48" t="s">
        <v>75</v>
      </c>
      <c r="R1759" s="48">
        <f>HEX2DEC(RIGHT(Table1323212753[[#This Row],[h2]],8))</f>
        <v>0</v>
      </c>
    </row>
    <row r="1760" spans="1:18">
      <c r="A1760" s="15" t="str">
        <f t="shared" si="32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8" t="s">
        <v>75</v>
      </c>
      <c r="P1760" s="48">
        <f>HEX2DEC(RIGHT(Table1323212753[[#This Row],[h1]],8))</f>
        <v>0</v>
      </c>
      <c r="Q1760" s="48" t="s">
        <v>75</v>
      </c>
      <c r="R1760" s="48">
        <f>HEX2DEC(RIGHT(Table1323212753[[#This Row],[h2]],8))</f>
        <v>0</v>
      </c>
    </row>
    <row r="1761" spans="1:18">
      <c r="A1761" s="15" t="str">
        <f t="shared" si="32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8" t="s">
        <v>75</v>
      </c>
      <c r="P1761" s="48">
        <f>HEX2DEC(RIGHT(Table1323212753[[#This Row],[h1]],8))</f>
        <v>0</v>
      </c>
      <c r="Q1761" s="48" t="s">
        <v>75</v>
      </c>
      <c r="R1761" s="48">
        <f>HEX2DEC(RIGHT(Table1323212753[[#This Row],[h2]],8))</f>
        <v>0</v>
      </c>
    </row>
    <row r="1762" spans="1:18">
      <c r="A1762" s="15" t="str">
        <f t="shared" si="32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8" t="s">
        <v>75</v>
      </c>
      <c r="P1762" s="48">
        <f>HEX2DEC(RIGHT(Table1323212753[[#This Row],[h1]],8))</f>
        <v>0</v>
      </c>
      <c r="Q1762" s="48" t="s">
        <v>75</v>
      </c>
      <c r="R1762" s="48">
        <f>HEX2DEC(RIGHT(Table1323212753[[#This Row],[h2]],8))</f>
        <v>0</v>
      </c>
    </row>
    <row r="1763" spans="1:18">
      <c r="A1763" s="15" t="str">
        <f t="shared" si="32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8" t="s">
        <v>75</v>
      </c>
      <c r="P1763" s="48">
        <f>HEX2DEC(RIGHT(Table1323212753[[#This Row],[h1]],8))</f>
        <v>0</v>
      </c>
      <c r="Q1763" s="48" t="s">
        <v>75</v>
      </c>
      <c r="R1763" s="48">
        <f>HEX2DEC(RIGHT(Table1323212753[[#This Row],[h2]],8))</f>
        <v>0</v>
      </c>
    </row>
    <row r="1764" spans="1:18">
      <c r="A1764" s="15" t="str">
        <f t="shared" si="32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8" t="s">
        <v>75</v>
      </c>
      <c r="P1764" s="48">
        <f>HEX2DEC(RIGHT(Table1323212753[[#This Row],[h1]],8))</f>
        <v>0</v>
      </c>
      <c r="Q1764" s="48" t="s">
        <v>75</v>
      </c>
      <c r="R1764" s="48">
        <f>HEX2DEC(RIGHT(Table1323212753[[#This Row],[h2]],8))</f>
        <v>0</v>
      </c>
    </row>
    <row r="1765" spans="1:18">
      <c r="A1765" s="15" t="str">
        <f t="shared" si="32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8" t="s">
        <v>75</v>
      </c>
      <c r="P1765" s="48">
        <f>HEX2DEC(RIGHT(Table1323212753[[#This Row],[h1]],8))</f>
        <v>0</v>
      </c>
      <c r="Q1765" s="48" t="s">
        <v>75</v>
      </c>
      <c r="R1765" s="48">
        <f>HEX2DEC(RIGHT(Table1323212753[[#This Row],[h2]],8))</f>
        <v>0</v>
      </c>
    </row>
    <row r="1766" spans="1:18">
      <c r="A1766" s="15" t="str">
        <f t="shared" si="32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8" t="s">
        <v>75</v>
      </c>
      <c r="P1766" s="48">
        <f>HEX2DEC(RIGHT(Table1323212753[[#This Row],[h1]],8))</f>
        <v>0</v>
      </c>
      <c r="Q1766" s="48" t="s">
        <v>75</v>
      </c>
      <c r="R1766" s="48">
        <f>HEX2DEC(RIGHT(Table1323212753[[#This Row],[h2]],8))</f>
        <v>0</v>
      </c>
    </row>
    <row r="1767" spans="1:18">
      <c r="A1767" s="15" t="str">
        <f t="shared" si="32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8" t="s">
        <v>75</v>
      </c>
      <c r="P1767" s="48">
        <f>HEX2DEC(RIGHT(Table1323212753[[#This Row],[h1]],8))</f>
        <v>0</v>
      </c>
      <c r="Q1767" s="48" t="s">
        <v>75</v>
      </c>
      <c r="R1767" s="48">
        <f>HEX2DEC(RIGHT(Table1323212753[[#This Row],[h2]],8))</f>
        <v>0</v>
      </c>
    </row>
    <row r="1768" spans="1:18">
      <c r="A1768" s="15" t="str">
        <f t="shared" si="32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8" t="s">
        <v>75</v>
      </c>
      <c r="P1768" s="48">
        <f>HEX2DEC(RIGHT(Table1323212753[[#This Row],[h1]],8))</f>
        <v>0</v>
      </c>
      <c r="Q1768" s="48" t="s">
        <v>75</v>
      </c>
      <c r="R1768" s="48">
        <f>HEX2DEC(RIGHT(Table1323212753[[#This Row],[h2]],8))</f>
        <v>0</v>
      </c>
    </row>
    <row r="1769" spans="1:18">
      <c r="A1769" s="15" t="str">
        <f t="shared" si="32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8" t="s">
        <v>75</v>
      </c>
      <c r="P1769" s="48">
        <f>HEX2DEC(RIGHT(Table1323212753[[#This Row],[h1]],8))</f>
        <v>0</v>
      </c>
      <c r="Q1769" s="48" t="s">
        <v>75</v>
      </c>
      <c r="R1769" s="48">
        <f>HEX2DEC(RIGHT(Table1323212753[[#This Row],[h2]],8))</f>
        <v>0</v>
      </c>
    </row>
    <row r="1770" spans="1:18">
      <c r="A1770" s="15" t="str">
        <f t="shared" si="32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8" t="s">
        <v>75</v>
      </c>
      <c r="P1770" s="48">
        <f>HEX2DEC(RIGHT(Table1323212753[[#This Row],[h1]],8))</f>
        <v>0</v>
      </c>
      <c r="Q1770" s="48" t="s">
        <v>75</v>
      </c>
      <c r="R1770" s="48">
        <f>HEX2DEC(RIGHT(Table1323212753[[#This Row],[h2]],8))</f>
        <v>0</v>
      </c>
    </row>
    <row r="1771" spans="1:18">
      <c r="A1771" s="15" t="str">
        <f t="shared" si="32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8" t="s">
        <v>75</v>
      </c>
      <c r="P1771" s="48">
        <f>HEX2DEC(RIGHT(Table1323212753[[#This Row],[h1]],8))</f>
        <v>0</v>
      </c>
      <c r="Q1771" s="48" t="s">
        <v>75</v>
      </c>
      <c r="R1771" s="48">
        <f>HEX2DEC(RIGHT(Table1323212753[[#This Row],[h2]],8))</f>
        <v>0</v>
      </c>
    </row>
    <row r="1772" spans="1:18">
      <c r="A1772" s="15" t="str">
        <f t="shared" si="32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8" t="s">
        <v>75</v>
      </c>
      <c r="P1772" s="48">
        <f>HEX2DEC(RIGHT(Table1323212753[[#This Row],[h1]],8))</f>
        <v>0</v>
      </c>
      <c r="Q1772" s="48" t="s">
        <v>75</v>
      </c>
      <c r="R1772" s="48">
        <f>HEX2DEC(RIGHT(Table1323212753[[#This Row],[h2]],8))</f>
        <v>0</v>
      </c>
    </row>
    <row r="1773" spans="1:18">
      <c r="A1773" s="15" t="str">
        <f t="shared" si="32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8" t="s">
        <v>75</v>
      </c>
      <c r="P1773" s="48">
        <f>HEX2DEC(RIGHT(Table1323212753[[#This Row],[h1]],8))</f>
        <v>0</v>
      </c>
      <c r="Q1773" s="48" t="s">
        <v>75</v>
      </c>
      <c r="R1773" s="48">
        <f>HEX2DEC(RIGHT(Table1323212753[[#This Row],[h2]],8))</f>
        <v>0</v>
      </c>
    </row>
    <row r="1774" spans="1:18">
      <c r="A1774" s="15" t="str">
        <f t="shared" si="32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8" t="s">
        <v>75</v>
      </c>
      <c r="P1774" s="48">
        <f>HEX2DEC(RIGHT(Table1323212753[[#This Row],[h1]],8))</f>
        <v>0</v>
      </c>
      <c r="Q1774" s="48" t="s">
        <v>75</v>
      </c>
      <c r="R1774" s="48">
        <f>HEX2DEC(RIGHT(Table1323212753[[#This Row],[h2]],8))</f>
        <v>0</v>
      </c>
    </row>
    <row r="1775" spans="1:18">
      <c r="A1775" s="15" t="str">
        <f t="shared" si="32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8" t="s">
        <v>75</v>
      </c>
      <c r="P1775" s="48">
        <f>HEX2DEC(RIGHT(Table1323212753[[#This Row],[h1]],8))</f>
        <v>0</v>
      </c>
      <c r="Q1775" s="48" t="s">
        <v>75</v>
      </c>
      <c r="R1775" s="48">
        <f>HEX2DEC(RIGHT(Table1323212753[[#This Row],[h2]],8))</f>
        <v>0</v>
      </c>
    </row>
    <row r="1776" spans="1:18">
      <c r="A1776" s="15" t="str">
        <f t="shared" si="32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8" t="s">
        <v>75</v>
      </c>
      <c r="P1776" s="48">
        <f>HEX2DEC(RIGHT(Table1323212753[[#This Row],[h1]],8))</f>
        <v>0</v>
      </c>
      <c r="Q1776" s="48" t="s">
        <v>75</v>
      </c>
      <c r="R1776" s="48">
        <f>HEX2DEC(RIGHT(Table1323212753[[#This Row],[h2]],8))</f>
        <v>0</v>
      </c>
    </row>
    <row r="1777" spans="1:18">
      <c r="A1777" s="15" t="str">
        <f t="shared" si="32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8" t="s">
        <v>75</v>
      </c>
      <c r="P1777" s="48">
        <f>HEX2DEC(RIGHT(Table1323212753[[#This Row],[h1]],8))</f>
        <v>0</v>
      </c>
      <c r="Q1777" s="48" t="s">
        <v>75</v>
      </c>
      <c r="R1777" s="48">
        <f>HEX2DEC(RIGHT(Table1323212753[[#This Row],[h2]],8))</f>
        <v>0</v>
      </c>
    </row>
    <row r="1778" spans="1:18">
      <c r="A1778" s="15" t="str">
        <f t="shared" si="32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8" t="s">
        <v>75</v>
      </c>
      <c r="P1778" s="48">
        <f>HEX2DEC(RIGHT(Table1323212753[[#This Row],[h1]],8))</f>
        <v>0</v>
      </c>
      <c r="Q1778" s="48" t="s">
        <v>75</v>
      </c>
      <c r="R1778" s="48">
        <f>HEX2DEC(RIGHT(Table1323212753[[#This Row],[h2]],8))</f>
        <v>0</v>
      </c>
    </row>
    <row r="1779" spans="1:18">
      <c r="A1779" s="15" t="str">
        <f t="shared" si="32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8" t="s">
        <v>75</v>
      </c>
      <c r="P1779" s="48">
        <f>HEX2DEC(RIGHT(Table1323212753[[#This Row],[h1]],8))</f>
        <v>0</v>
      </c>
      <c r="Q1779" s="48" t="s">
        <v>75</v>
      </c>
      <c r="R1779" s="48">
        <f>HEX2DEC(RIGHT(Table1323212753[[#This Row],[h2]],8))</f>
        <v>0</v>
      </c>
    </row>
    <row r="1780" spans="1:18">
      <c r="A1780" s="15" t="str">
        <f t="shared" si="32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8" t="s">
        <v>75</v>
      </c>
      <c r="P1780" s="48">
        <f>HEX2DEC(RIGHT(Table1323212753[[#This Row],[h1]],8))</f>
        <v>0</v>
      </c>
      <c r="Q1780" s="48" t="s">
        <v>75</v>
      </c>
      <c r="R1780" s="48">
        <f>HEX2DEC(RIGHT(Table1323212753[[#This Row],[h2]],8))</f>
        <v>0</v>
      </c>
    </row>
    <row r="1781" spans="1:18">
      <c r="A1781" s="15" t="str">
        <f t="shared" si="32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8" t="s">
        <v>75</v>
      </c>
      <c r="P1781" s="48">
        <f>HEX2DEC(RIGHT(Table1323212753[[#This Row],[h1]],8))</f>
        <v>0</v>
      </c>
      <c r="Q1781" s="48" t="s">
        <v>75</v>
      </c>
      <c r="R1781" s="48">
        <f>HEX2DEC(RIGHT(Table1323212753[[#This Row],[h2]],8))</f>
        <v>0</v>
      </c>
    </row>
    <row r="1782" spans="1:18">
      <c r="A1782" s="15" t="str">
        <f t="shared" si="32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8" t="s">
        <v>75</v>
      </c>
      <c r="P1782" s="48">
        <f>HEX2DEC(RIGHT(Table1323212753[[#This Row],[h1]],8))</f>
        <v>0</v>
      </c>
      <c r="Q1782" s="48" t="s">
        <v>75</v>
      </c>
      <c r="R1782" s="48">
        <f>HEX2DEC(RIGHT(Table1323212753[[#This Row],[h2]],8))</f>
        <v>0</v>
      </c>
    </row>
    <row r="1783" spans="1:18">
      <c r="A1783" s="15" t="str">
        <f t="shared" si="32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8" t="s">
        <v>75</v>
      </c>
      <c r="P1783" s="48">
        <f>HEX2DEC(RIGHT(Table1323212753[[#This Row],[h1]],8))</f>
        <v>0</v>
      </c>
      <c r="Q1783" s="48" t="s">
        <v>75</v>
      </c>
      <c r="R1783" s="48">
        <f>HEX2DEC(RIGHT(Table1323212753[[#This Row],[h2]],8))</f>
        <v>0</v>
      </c>
    </row>
    <row r="1784" spans="1:18">
      <c r="A1784" s="15" t="str">
        <f t="shared" si="32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8" t="s">
        <v>75</v>
      </c>
      <c r="P1784" s="48">
        <f>HEX2DEC(RIGHT(Table1323212753[[#This Row],[h1]],8))</f>
        <v>0</v>
      </c>
      <c r="Q1784" s="48" t="s">
        <v>75</v>
      </c>
      <c r="R1784" s="48">
        <f>HEX2DEC(RIGHT(Table1323212753[[#This Row],[h2]],8))</f>
        <v>0</v>
      </c>
    </row>
    <row r="1785" spans="1:18">
      <c r="A1785" s="15" t="str">
        <f t="shared" si="32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8" t="s">
        <v>75</v>
      </c>
      <c r="P1785" s="48">
        <f>HEX2DEC(RIGHT(Table1323212753[[#This Row],[h1]],8))</f>
        <v>0</v>
      </c>
      <c r="Q1785" s="48" t="s">
        <v>75</v>
      </c>
      <c r="R1785" s="48">
        <f>HEX2DEC(RIGHT(Table1323212753[[#This Row],[h2]],8))</f>
        <v>0</v>
      </c>
    </row>
    <row r="1786" spans="1:18">
      <c r="A1786" s="15" t="str">
        <f t="shared" si="32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8" t="s">
        <v>75</v>
      </c>
      <c r="P1786" s="48">
        <f>HEX2DEC(RIGHT(Table1323212753[[#This Row],[h1]],8))</f>
        <v>0</v>
      </c>
      <c r="Q1786" s="48" t="s">
        <v>75</v>
      </c>
      <c r="R1786" s="48">
        <f>HEX2DEC(RIGHT(Table1323212753[[#This Row],[h2]],8))</f>
        <v>0</v>
      </c>
    </row>
    <row r="1787" spans="1:18">
      <c r="A1787" s="15" t="str">
        <f t="shared" si="32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8" t="s">
        <v>75</v>
      </c>
      <c r="P1787" s="48">
        <f>HEX2DEC(RIGHT(Table1323212753[[#This Row],[h1]],8))</f>
        <v>0</v>
      </c>
      <c r="Q1787" s="48" t="s">
        <v>75</v>
      </c>
      <c r="R1787" s="48">
        <f>HEX2DEC(RIGHT(Table1323212753[[#This Row],[h2]],8))</f>
        <v>0</v>
      </c>
    </row>
    <row r="1788" spans="1:18">
      <c r="A1788" s="15" t="str">
        <f t="shared" si="32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8" t="s">
        <v>75</v>
      </c>
      <c r="P1788" s="48">
        <f>HEX2DEC(RIGHT(Table1323212753[[#This Row],[h1]],8))</f>
        <v>0</v>
      </c>
      <c r="Q1788" s="48" t="s">
        <v>75</v>
      </c>
      <c r="R1788" s="48">
        <f>HEX2DEC(RIGHT(Table1323212753[[#This Row],[h2]],8))</f>
        <v>0</v>
      </c>
    </row>
    <row r="1789" spans="1:18">
      <c r="A1789" s="15" t="str">
        <f t="shared" si="32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8" t="s">
        <v>75</v>
      </c>
      <c r="P1789" s="48">
        <f>HEX2DEC(RIGHT(Table1323212753[[#This Row],[h1]],8))</f>
        <v>0</v>
      </c>
      <c r="Q1789" s="48" t="s">
        <v>75</v>
      </c>
      <c r="R1789" s="48">
        <f>HEX2DEC(RIGHT(Table1323212753[[#This Row],[h2]],8))</f>
        <v>0</v>
      </c>
    </row>
    <row r="1790" spans="1:18">
      <c r="A1790" s="15" t="str">
        <f t="shared" si="32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8" t="s">
        <v>75</v>
      </c>
      <c r="P1790" s="48">
        <f>HEX2DEC(RIGHT(Table1323212753[[#This Row],[h1]],8))</f>
        <v>0</v>
      </c>
      <c r="Q1790" s="48" t="s">
        <v>75</v>
      </c>
      <c r="R1790" s="48">
        <f>HEX2DEC(RIGHT(Table1323212753[[#This Row],[h2]],8))</f>
        <v>0</v>
      </c>
    </row>
    <row r="1791" spans="1:18">
      <c r="A1791" s="15" t="str">
        <f t="shared" si="32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8" t="s">
        <v>75</v>
      </c>
      <c r="P1791" s="48">
        <f>HEX2DEC(RIGHT(Table1323212753[[#This Row],[h1]],8))</f>
        <v>0</v>
      </c>
      <c r="Q1791" s="48" t="s">
        <v>75</v>
      </c>
      <c r="R1791" s="48">
        <f>HEX2DEC(RIGHT(Table1323212753[[#This Row],[h2]],8))</f>
        <v>0</v>
      </c>
    </row>
    <row r="1792" spans="1:18">
      <c r="A1792" s="15" t="str">
        <f t="shared" si="32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8" t="s">
        <v>75</v>
      </c>
      <c r="P1792" s="48">
        <f>HEX2DEC(RIGHT(Table1323212753[[#This Row],[h1]],8))</f>
        <v>0</v>
      </c>
      <c r="Q1792" s="48" t="s">
        <v>75</v>
      </c>
      <c r="R1792" s="48">
        <f>HEX2DEC(RIGHT(Table1323212753[[#This Row],[h2]],8))</f>
        <v>0</v>
      </c>
    </row>
    <row r="1793" spans="1:18">
      <c r="A1793" s="15" t="str">
        <f t="shared" si="32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8" t="s">
        <v>75</v>
      </c>
      <c r="P1793" s="48">
        <f>HEX2DEC(RIGHT(Table1323212753[[#This Row],[h1]],8))</f>
        <v>0</v>
      </c>
      <c r="Q1793" s="48" t="s">
        <v>75</v>
      </c>
      <c r="R1793" s="48">
        <f>HEX2DEC(RIGHT(Table1323212753[[#This Row],[h2]],8))</f>
        <v>0</v>
      </c>
    </row>
    <row r="1794" spans="1:18">
      <c r="A1794" s="15" t="str">
        <f t="shared" si="32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8" t="s">
        <v>75</v>
      </c>
      <c r="P1794" s="48">
        <f>HEX2DEC(RIGHT(Table1323212753[[#This Row],[h1]],8))</f>
        <v>0</v>
      </c>
      <c r="Q1794" s="48" t="s">
        <v>75</v>
      </c>
      <c r="R1794" s="48">
        <f>HEX2DEC(RIGHT(Table1323212753[[#This Row],[h2]],8))</f>
        <v>0</v>
      </c>
    </row>
    <row r="1795" spans="1:18">
      <c r="A1795" s="15" t="str">
        <f t="shared" si="32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8" t="s">
        <v>75</v>
      </c>
      <c r="P1795" s="48">
        <f>HEX2DEC(RIGHT(Table1323212753[[#This Row],[h1]],8))</f>
        <v>0</v>
      </c>
      <c r="Q1795" s="48" t="s">
        <v>75</v>
      </c>
      <c r="R1795" s="48">
        <f>HEX2DEC(RIGHT(Table1323212753[[#This Row],[h2]],8))</f>
        <v>0</v>
      </c>
    </row>
    <row r="1796" spans="1:18">
      <c r="A1796" s="15" t="str">
        <f t="shared" si="32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8" t="s">
        <v>75</v>
      </c>
      <c r="P1796" s="48">
        <f>HEX2DEC(RIGHT(Table1323212753[[#This Row],[h1]],8))</f>
        <v>0</v>
      </c>
      <c r="Q1796" s="48" t="s">
        <v>75</v>
      </c>
      <c r="R1796" s="48">
        <f>HEX2DEC(RIGHT(Table1323212753[[#This Row],[h2]],8))</f>
        <v>0</v>
      </c>
    </row>
    <row r="1797" spans="1:18">
      <c r="A1797" s="15" t="str">
        <f t="shared" si="32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8" t="s">
        <v>75</v>
      </c>
      <c r="P1797" s="48">
        <f>HEX2DEC(RIGHT(Table1323212753[[#This Row],[h1]],8))</f>
        <v>0</v>
      </c>
      <c r="Q1797" s="48" t="s">
        <v>75</v>
      </c>
      <c r="R1797" s="48">
        <f>HEX2DEC(RIGHT(Table1323212753[[#This Row],[h2]],8))</f>
        <v>0</v>
      </c>
    </row>
    <row r="1798" spans="1:18">
      <c r="A1798" s="15" t="str">
        <f t="shared" si="32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8" t="s">
        <v>75</v>
      </c>
      <c r="P1798" s="48">
        <f>HEX2DEC(RIGHT(Table1323212753[[#This Row],[h1]],8))</f>
        <v>0</v>
      </c>
      <c r="Q1798" s="48" t="s">
        <v>75</v>
      </c>
      <c r="R1798" s="48">
        <f>HEX2DEC(RIGHT(Table1323212753[[#This Row],[h2]],8))</f>
        <v>0</v>
      </c>
    </row>
    <row r="1799" spans="1:18">
      <c r="A1799" s="15" t="str">
        <f t="shared" si="32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8" t="s">
        <v>75</v>
      </c>
      <c r="P1799" s="48">
        <f>HEX2DEC(RIGHT(Table1323212753[[#This Row],[h1]],8))</f>
        <v>0</v>
      </c>
      <c r="Q1799" s="48" t="s">
        <v>75</v>
      </c>
      <c r="R1799" s="48">
        <f>HEX2DEC(RIGHT(Table1323212753[[#This Row],[h2]],8))</f>
        <v>0</v>
      </c>
    </row>
    <row r="1800" spans="1:18">
      <c r="A1800" s="15" t="str">
        <f t="shared" si="32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8" t="s">
        <v>75</v>
      </c>
      <c r="P1800" s="48">
        <f>HEX2DEC(RIGHT(Table1323212753[[#This Row],[h1]],8))</f>
        <v>0</v>
      </c>
      <c r="Q1800" s="48" t="s">
        <v>75</v>
      </c>
      <c r="R1800" s="48">
        <f>HEX2DEC(RIGHT(Table1323212753[[#This Row],[h2]],8))</f>
        <v>0</v>
      </c>
    </row>
    <row r="1801" spans="1:18">
      <c r="A1801" s="15" t="str">
        <f t="shared" si="32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8" t="s">
        <v>75</v>
      </c>
      <c r="P1801" s="48">
        <f>HEX2DEC(RIGHT(Table1323212753[[#This Row],[h1]],8))</f>
        <v>0</v>
      </c>
      <c r="Q1801" s="48" t="s">
        <v>75</v>
      </c>
      <c r="R1801" s="48">
        <f>HEX2DEC(RIGHT(Table1323212753[[#This Row],[h2]],8))</f>
        <v>0</v>
      </c>
    </row>
    <row r="1802" spans="1:18">
      <c r="A1802" s="15" t="str">
        <f t="shared" si="32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8" t="s">
        <v>75</v>
      </c>
      <c r="P1802" s="48">
        <f>HEX2DEC(RIGHT(Table1323212753[[#This Row],[h1]],8))</f>
        <v>0</v>
      </c>
      <c r="Q1802" s="48" t="s">
        <v>75</v>
      </c>
      <c r="R1802" s="48">
        <f>HEX2DEC(RIGHT(Table1323212753[[#This Row],[h2]],8))</f>
        <v>0</v>
      </c>
    </row>
    <row r="1803" spans="1:18">
      <c r="A1803" s="15" t="str">
        <f t="shared" ref="A1803:A1866" si="33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8" t="s">
        <v>75</v>
      </c>
      <c r="P1803" s="48">
        <f>HEX2DEC(RIGHT(Table1323212753[[#This Row],[h1]],8))</f>
        <v>0</v>
      </c>
      <c r="Q1803" s="48" t="s">
        <v>75</v>
      </c>
      <c r="R1803" s="48">
        <f>HEX2DEC(RIGHT(Table1323212753[[#This Row],[h2]],8))</f>
        <v>0</v>
      </c>
    </row>
    <row r="1804" spans="1:18">
      <c r="A1804" s="15" t="str">
        <f t="shared" si="33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8" t="s">
        <v>75</v>
      </c>
      <c r="P1804" s="48">
        <f>HEX2DEC(RIGHT(Table1323212753[[#This Row],[h1]],8))</f>
        <v>0</v>
      </c>
      <c r="Q1804" s="48" t="s">
        <v>75</v>
      </c>
      <c r="R1804" s="48">
        <f>HEX2DEC(RIGHT(Table1323212753[[#This Row],[h2]],8))</f>
        <v>0</v>
      </c>
    </row>
    <row r="1805" spans="1:18">
      <c r="A1805" s="15" t="str">
        <f t="shared" si="33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8" t="s">
        <v>75</v>
      </c>
      <c r="P1805" s="48">
        <f>HEX2DEC(RIGHT(Table1323212753[[#This Row],[h1]],8))</f>
        <v>0</v>
      </c>
      <c r="Q1805" s="48" t="s">
        <v>75</v>
      </c>
      <c r="R1805" s="48">
        <f>HEX2DEC(RIGHT(Table1323212753[[#This Row],[h2]],8))</f>
        <v>0</v>
      </c>
    </row>
    <row r="1806" spans="1:18">
      <c r="A1806" s="15" t="str">
        <f t="shared" si="33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8" t="s">
        <v>75</v>
      </c>
      <c r="P1806" s="48">
        <f>HEX2DEC(RIGHT(Table1323212753[[#This Row],[h1]],8))</f>
        <v>0</v>
      </c>
      <c r="Q1806" s="48" t="s">
        <v>75</v>
      </c>
      <c r="R1806" s="48">
        <f>HEX2DEC(RIGHT(Table1323212753[[#This Row],[h2]],8))</f>
        <v>0</v>
      </c>
    </row>
    <row r="1807" spans="1:18">
      <c r="A1807" s="15" t="str">
        <f t="shared" si="33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8" t="s">
        <v>75</v>
      </c>
      <c r="P1807" s="48">
        <f>HEX2DEC(RIGHT(Table1323212753[[#This Row],[h1]],8))</f>
        <v>0</v>
      </c>
      <c r="Q1807" s="48" t="s">
        <v>75</v>
      </c>
      <c r="R1807" s="48">
        <f>HEX2DEC(RIGHT(Table1323212753[[#This Row],[h2]],8))</f>
        <v>0</v>
      </c>
    </row>
    <row r="1808" spans="1:18">
      <c r="A1808" s="15" t="str">
        <f t="shared" si="33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8" t="s">
        <v>75</v>
      </c>
      <c r="P1808" s="48">
        <f>HEX2DEC(RIGHT(Table1323212753[[#This Row],[h1]],8))</f>
        <v>0</v>
      </c>
      <c r="Q1808" s="48" t="s">
        <v>75</v>
      </c>
      <c r="R1808" s="48">
        <f>HEX2DEC(RIGHT(Table1323212753[[#This Row],[h2]],8))</f>
        <v>0</v>
      </c>
    </row>
    <row r="1809" spans="1:18">
      <c r="A1809" s="15" t="str">
        <f t="shared" si="33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8" t="s">
        <v>75</v>
      </c>
      <c r="P1809" s="48">
        <f>HEX2DEC(RIGHT(Table1323212753[[#This Row],[h1]],8))</f>
        <v>0</v>
      </c>
      <c r="Q1809" s="48" t="s">
        <v>75</v>
      </c>
      <c r="R1809" s="48">
        <f>HEX2DEC(RIGHT(Table1323212753[[#This Row],[h2]],8))</f>
        <v>0</v>
      </c>
    </row>
    <row r="1810" spans="1:18">
      <c r="A1810" s="15" t="str">
        <f t="shared" si="33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8" t="s">
        <v>75</v>
      </c>
      <c r="P1810" s="48">
        <f>HEX2DEC(RIGHT(Table1323212753[[#This Row],[h1]],8))</f>
        <v>0</v>
      </c>
      <c r="Q1810" s="48" t="s">
        <v>75</v>
      </c>
      <c r="R1810" s="48">
        <f>HEX2DEC(RIGHT(Table1323212753[[#This Row],[h2]],8))</f>
        <v>0</v>
      </c>
    </row>
    <row r="1811" spans="1:18">
      <c r="A1811" s="15" t="str">
        <f t="shared" si="33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8" t="s">
        <v>75</v>
      </c>
      <c r="P1811" s="48">
        <f>HEX2DEC(RIGHT(Table1323212753[[#This Row],[h1]],8))</f>
        <v>0</v>
      </c>
      <c r="Q1811" s="48" t="s">
        <v>75</v>
      </c>
      <c r="R1811" s="48">
        <f>HEX2DEC(RIGHT(Table1323212753[[#This Row],[h2]],8))</f>
        <v>0</v>
      </c>
    </row>
    <row r="1812" spans="1:18">
      <c r="A1812" s="15" t="str">
        <f t="shared" si="33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8" t="s">
        <v>75</v>
      </c>
      <c r="P1812" s="48">
        <f>HEX2DEC(RIGHT(Table1323212753[[#This Row],[h1]],8))</f>
        <v>0</v>
      </c>
      <c r="Q1812" s="48" t="s">
        <v>75</v>
      </c>
      <c r="R1812" s="48">
        <f>HEX2DEC(RIGHT(Table1323212753[[#This Row],[h2]],8))</f>
        <v>0</v>
      </c>
    </row>
    <row r="1813" spans="1:18">
      <c r="A1813" s="15" t="str">
        <f t="shared" si="33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8" t="s">
        <v>75</v>
      </c>
      <c r="P1813" s="48">
        <f>HEX2DEC(RIGHT(Table1323212753[[#This Row],[h1]],8))</f>
        <v>0</v>
      </c>
      <c r="Q1813" s="48" t="s">
        <v>75</v>
      </c>
      <c r="R1813" s="48">
        <f>HEX2DEC(RIGHT(Table1323212753[[#This Row],[h2]],8))</f>
        <v>0</v>
      </c>
    </row>
    <row r="1814" spans="1:18">
      <c r="A1814" s="15" t="str">
        <f t="shared" si="33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8" t="s">
        <v>75</v>
      </c>
      <c r="P1814" s="48">
        <f>HEX2DEC(RIGHT(Table1323212753[[#This Row],[h1]],8))</f>
        <v>0</v>
      </c>
      <c r="Q1814" s="48" t="s">
        <v>75</v>
      </c>
      <c r="R1814" s="48">
        <f>HEX2DEC(RIGHT(Table1323212753[[#This Row],[h2]],8))</f>
        <v>0</v>
      </c>
    </row>
    <row r="1815" spans="1:18">
      <c r="A1815" s="15" t="str">
        <f t="shared" si="33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8" t="s">
        <v>75</v>
      </c>
      <c r="P1815" s="48">
        <f>HEX2DEC(RIGHT(Table1323212753[[#This Row],[h1]],8))</f>
        <v>0</v>
      </c>
      <c r="Q1815" s="48" t="s">
        <v>75</v>
      </c>
      <c r="R1815" s="48">
        <f>HEX2DEC(RIGHT(Table1323212753[[#This Row],[h2]],8))</f>
        <v>0</v>
      </c>
    </row>
    <row r="1816" spans="1:18">
      <c r="A1816" s="15" t="str">
        <f t="shared" si="33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8" t="s">
        <v>75</v>
      </c>
      <c r="P1816" s="48">
        <f>HEX2DEC(RIGHT(Table1323212753[[#This Row],[h1]],8))</f>
        <v>0</v>
      </c>
      <c r="Q1816" s="48" t="s">
        <v>75</v>
      </c>
      <c r="R1816" s="48">
        <f>HEX2DEC(RIGHT(Table1323212753[[#This Row],[h2]],8))</f>
        <v>0</v>
      </c>
    </row>
    <row r="1817" spans="1:18">
      <c r="A1817" s="15" t="str">
        <f t="shared" si="33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8" t="s">
        <v>75</v>
      </c>
      <c r="P1817" s="48">
        <f>HEX2DEC(RIGHT(Table1323212753[[#This Row],[h1]],8))</f>
        <v>0</v>
      </c>
      <c r="Q1817" s="48" t="s">
        <v>75</v>
      </c>
      <c r="R1817" s="48">
        <f>HEX2DEC(RIGHT(Table1323212753[[#This Row],[h2]],8))</f>
        <v>0</v>
      </c>
    </row>
    <row r="1818" spans="1:18">
      <c r="A1818" s="15" t="str">
        <f t="shared" si="33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8" t="s">
        <v>75</v>
      </c>
      <c r="P1818" s="48">
        <f>HEX2DEC(RIGHT(Table1323212753[[#This Row],[h1]],8))</f>
        <v>0</v>
      </c>
      <c r="Q1818" s="48" t="s">
        <v>75</v>
      </c>
      <c r="R1818" s="48">
        <f>HEX2DEC(RIGHT(Table1323212753[[#This Row],[h2]],8))</f>
        <v>0</v>
      </c>
    </row>
    <row r="1819" spans="1:18">
      <c r="A1819" s="15" t="str">
        <f t="shared" si="33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8" t="s">
        <v>75</v>
      </c>
      <c r="P1819" s="48">
        <f>HEX2DEC(RIGHT(Table1323212753[[#This Row],[h1]],8))</f>
        <v>0</v>
      </c>
      <c r="Q1819" s="48" t="s">
        <v>75</v>
      </c>
      <c r="R1819" s="48">
        <f>HEX2DEC(RIGHT(Table1323212753[[#This Row],[h2]],8))</f>
        <v>0</v>
      </c>
    </row>
    <row r="1820" spans="1:18">
      <c r="A1820" s="15" t="str">
        <f t="shared" si="33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8" t="s">
        <v>75</v>
      </c>
      <c r="P1820" s="48">
        <f>HEX2DEC(RIGHT(Table1323212753[[#This Row],[h1]],8))</f>
        <v>0</v>
      </c>
      <c r="Q1820" s="48" t="s">
        <v>75</v>
      </c>
      <c r="R1820" s="48">
        <f>HEX2DEC(RIGHT(Table1323212753[[#This Row],[h2]],8))</f>
        <v>0</v>
      </c>
    </row>
    <row r="1821" spans="1:18">
      <c r="A1821" s="15" t="str">
        <f t="shared" si="33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8" t="s">
        <v>75</v>
      </c>
      <c r="P1821" s="48">
        <f>HEX2DEC(RIGHT(Table1323212753[[#This Row],[h1]],8))</f>
        <v>0</v>
      </c>
      <c r="Q1821" s="48" t="s">
        <v>75</v>
      </c>
      <c r="R1821" s="48">
        <f>HEX2DEC(RIGHT(Table1323212753[[#This Row],[h2]],8))</f>
        <v>0</v>
      </c>
    </row>
    <row r="1822" spans="1:18">
      <c r="A1822" s="15" t="str">
        <f t="shared" si="33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8" t="s">
        <v>75</v>
      </c>
      <c r="P1822" s="48">
        <f>HEX2DEC(RIGHT(Table1323212753[[#This Row],[h1]],8))</f>
        <v>0</v>
      </c>
      <c r="Q1822" s="48" t="s">
        <v>75</v>
      </c>
      <c r="R1822" s="48">
        <f>HEX2DEC(RIGHT(Table1323212753[[#This Row],[h2]],8))</f>
        <v>0</v>
      </c>
    </row>
    <row r="1823" spans="1:18">
      <c r="A1823" s="15" t="str">
        <f t="shared" si="33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8" t="s">
        <v>75</v>
      </c>
      <c r="P1823" s="48">
        <f>HEX2DEC(RIGHT(Table1323212753[[#This Row],[h1]],8))</f>
        <v>0</v>
      </c>
      <c r="Q1823" s="48" t="s">
        <v>75</v>
      </c>
      <c r="R1823" s="48">
        <f>HEX2DEC(RIGHT(Table1323212753[[#This Row],[h2]],8))</f>
        <v>0</v>
      </c>
    </row>
    <row r="1824" spans="1:18">
      <c r="A1824" s="15" t="str">
        <f t="shared" si="33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8" t="s">
        <v>75</v>
      </c>
      <c r="P1824" s="48">
        <f>HEX2DEC(RIGHT(Table1323212753[[#This Row],[h1]],8))</f>
        <v>0</v>
      </c>
      <c r="Q1824" s="48" t="s">
        <v>75</v>
      </c>
      <c r="R1824" s="48">
        <f>HEX2DEC(RIGHT(Table1323212753[[#This Row],[h2]],8))</f>
        <v>0</v>
      </c>
    </row>
    <row r="1825" spans="1:18">
      <c r="A1825" s="15" t="str">
        <f t="shared" si="33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8" t="s">
        <v>75</v>
      </c>
      <c r="P1825" s="48">
        <f>HEX2DEC(RIGHT(Table1323212753[[#This Row],[h1]],8))</f>
        <v>0</v>
      </c>
      <c r="Q1825" s="48" t="s">
        <v>75</v>
      </c>
      <c r="R1825" s="48">
        <f>HEX2DEC(RIGHT(Table1323212753[[#This Row],[h2]],8))</f>
        <v>0</v>
      </c>
    </row>
    <row r="1826" spans="1:18">
      <c r="A1826" s="15" t="str">
        <f t="shared" si="33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8" t="s">
        <v>75</v>
      </c>
      <c r="P1826" s="48">
        <f>HEX2DEC(RIGHT(Table1323212753[[#This Row],[h1]],8))</f>
        <v>0</v>
      </c>
      <c r="Q1826" s="48" t="s">
        <v>75</v>
      </c>
      <c r="R1826" s="48">
        <f>HEX2DEC(RIGHT(Table1323212753[[#This Row],[h2]],8))</f>
        <v>0</v>
      </c>
    </row>
    <row r="1827" spans="1:18">
      <c r="A1827" s="15" t="str">
        <f t="shared" si="33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8" t="s">
        <v>75</v>
      </c>
      <c r="P1827" s="48">
        <f>HEX2DEC(RIGHT(Table1323212753[[#This Row],[h1]],8))</f>
        <v>0</v>
      </c>
      <c r="Q1827" s="48" t="s">
        <v>75</v>
      </c>
      <c r="R1827" s="48">
        <f>HEX2DEC(RIGHT(Table1323212753[[#This Row],[h2]],8))</f>
        <v>0</v>
      </c>
    </row>
    <row r="1828" spans="1:18">
      <c r="A1828" s="15" t="str">
        <f t="shared" si="33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8" t="s">
        <v>75</v>
      </c>
      <c r="P1828" s="48">
        <f>HEX2DEC(RIGHT(Table1323212753[[#This Row],[h1]],8))</f>
        <v>0</v>
      </c>
      <c r="Q1828" s="48" t="s">
        <v>75</v>
      </c>
      <c r="R1828" s="48">
        <f>HEX2DEC(RIGHT(Table1323212753[[#This Row],[h2]],8))</f>
        <v>0</v>
      </c>
    </row>
    <row r="1829" spans="1:18">
      <c r="A1829" s="15" t="str">
        <f t="shared" si="33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8" t="s">
        <v>75</v>
      </c>
      <c r="P1829" s="48">
        <f>HEX2DEC(RIGHT(Table1323212753[[#This Row],[h1]],8))</f>
        <v>0</v>
      </c>
      <c r="Q1829" s="48" t="s">
        <v>75</v>
      </c>
      <c r="R1829" s="48">
        <f>HEX2DEC(RIGHT(Table1323212753[[#This Row],[h2]],8))</f>
        <v>0</v>
      </c>
    </row>
    <row r="1830" spans="1:18">
      <c r="A1830" s="15" t="str">
        <f t="shared" si="33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8" t="s">
        <v>75</v>
      </c>
      <c r="P1830" s="48">
        <f>HEX2DEC(RIGHT(Table1323212753[[#This Row],[h1]],8))</f>
        <v>0</v>
      </c>
      <c r="Q1830" s="48" t="s">
        <v>75</v>
      </c>
      <c r="R1830" s="48">
        <f>HEX2DEC(RIGHT(Table1323212753[[#This Row],[h2]],8))</f>
        <v>0</v>
      </c>
    </row>
    <row r="1831" spans="1:18">
      <c r="A1831" s="15" t="str">
        <f t="shared" si="33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8" t="s">
        <v>75</v>
      </c>
      <c r="P1831" s="48">
        <f>HEX2DEC(RIGHT(Table1323212753[[#This Row],[h1]],8))</f>
        <v>0</v>
      </c>
      <c r="Q1831" s="48" t="s">
        <v>75</v>
      </c>
      <c r="R1831" s="48">
        <f>HEX2DEC(RIGHT(Table1323212753[[#This Row],[h2]],8))</f>
        <v>0</v>
      </c>
    </row>
    <row r="1832" spans="1:18">
      <c r="A1832" s="15" t="str">
        <f t="shared" si="33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8" t="s">
        <v>75</v>
      </c>
      <c r="P1832" s="48">
        <f>HEX2DEC(RIGHT(Table1323212753[[#This Row],[h1]],8))</f>
        <v>0</v>
      </c>
      <c r="Q1832" s="48" t="s">
        <v>75</v>
      </c>
      <c r="R1832" s="48">
        <f>HEX2DEC(RIGHT(Table1323212753[[#This Row],[h2]],8))</f>
        <v>0</v>
      </c>
    </row>
    <row r="1833" spans="1:18">
      <c r="A1833" s="15" t="str">
        <f t="shared" si="33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8" t="s">
        <v>75</v>
      </c>
      <c r="P1833" s="48">
        <f>HEX2DEC(RIGHT(Table1323212753[[#This Row],[h1]],8))</f>
        <v>0</v>
      </c>
      <c r="Q1833" s="48" t="s">
        <v>75</v>
      </c>
      <c r="R1833" s="48">
        <f>HEX2DEC(RIGHT(Table1323212753[[#This Row],[h2]],8))</f>
        <v>0</v>
      </c>
    </row>
    <row r="1834" spans="1:18">
      <c r="A1834" s="15" t="str">
        <f t="shared" si="33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8" t="s">
        <v>75</v>
      </c>
      <c r="P1834" s="48">
        <f>HEX2DEC(RIGHT(Table1323212753[[#This Row],[h1]],8))</f>
        <v>0</v>
      </c>
      <c r="Q1834" s="48" t="s">
        <v>75</v>
      </c>
      <c r="R1834" s="48">
        <f>HEX2DEC(RIGHT(Table1323212753[[#This Row],[h2]],8))</f>
        <v>0</v>
      </c>
    </row>
    <row r="1835" spans="1:18">
      <c r="A1835" s="15" t="str">
        <f t="shared" si="33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8" t="s">
        <v>75</v>
      </c>
      <c r="P1835" s="48">
        <f>HEX2DEC(RIGHT(Table1323212753[[#This Row],[h1]],8))</f>
        <v>0</v>
      </c>
      <c r="Q1835" s="48" t="s">
        <v>75</v>
      </c>
      <c r="R1835" s="48">
        <f>HEX2DEC(RIGHT(Table1323212753[[#This Row],[h2]],8))</f>
        <v>0</v>
      </c>
    </row>
    <row r="1836" spans="1:18">
      <c r="A1836" s="15" t="str">
        <f t="shared" si="33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8" t="s">
        <v>75</v>
      </c>
      <c r="P1836" s="48">
        <f>HEX2DEC(RIGHT(Table1323212753[[#This Row],[h1]],8))</f>
        <v>0</v>
      </c>
      <c r="Q1836" s="48" t="s">
        <v>75</v>
      </c>
      <c r="R1836" s="48">
        <f>HEX2DEC(RIGHT(Table1323212753[[#This Row],[h2]],8))</f>
        <v>0</v>
      </c>
    </row>
    <row r="1837" spans="1:18">
      <c r="A1837" s="15" t="str">
        <f t="shared" si="33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8" t="s">
        <v>75</v>
      </c>
      <c r="P1837" s="48">
        <f>HEX2DEC(RIGHT(Table1323212753[[#This Row],[h1]],8))</f>
        <v>0</v>
      </c>
      <c r="Q1837" s="48" t="s">
        <v>75</v>
      </c>
      <c r="R1837" s="48">
        <f>HEX2DEC(RIGHT(Table1323212753[[#This Row],[h2]],8))</f>
        <v>0</v>
      </c>
    </row>
    <row r="1838" spans="1:18">
      <c r="A1838" s="15" t="str">
        <f t="shared" si="33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8" t="s">
        <v>75</v>
      </c>
      <c r="P1838" s="48">
        <f>HEX2DEC(RIGHT(Table1323212753[[#This Row],[h1]],8))</f>
        <v>0</v>
      </c>
      <c r="Q1838" s="48" t="s">
        <v>75</v>
      </c>
      <c r="R1838" s="48">
        <f>HEX2DEC(RIGHT(Table1323212753[[#This Row],[h2]],8))</f>
        <v>0</v>
      </c>
    </row>
    <row r="1839" spans="1:18">
      <c r="A1839" s="15" t="str">
        <f t="shared" si="33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8" t="s">
        <v>75</v>
      </c>
      <c r="P1839" s="48">
        <f>HEX2DEC(RIGHT(Table1323212753[[#This Row],[h1]],8))</f>
        <v>0</v>
      </c>
      <c r="Q1839" s="48" t="s">
        <v>75</v>
      </c>
      <c r="R1839" s="48">
        <f>HEX2DEC(RIGHT(Table1323212753[[#This Row],[h2]],8))</f>
        <v>0</v>
      </c>
    </row>
    <row r="1840" spans="1:18">
      <c r="A1840" s="15" t="str">
        <f t="shared" si="33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8" t="s">
        <v>75</v>
      </c>
      <c r="P1840" s="48">
        <f>HEX2DEC(RIGHT(Table1323212753[[#This Row],[h1]],8))</f>
        <v>0</v>
      </c>
      <c r="Q1840" s="48" t="s">
        <v>75</v>
      </c>
      <c r="R1840" s="48">
        <f>HEX2DEC(RIGHT(Table1323212753[[#This Row],[h2]],8))</f>
        <v>0</v>
      </c>
    </row>
    <row r="1841" spans="1:18">
      <c r="A1841" s="15" t="str">
        <f t="shared" si="33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8" t="s">
        <v>75</v>
      </c>
      <c r="P1841" s="48">
        <f>HEX2DEC(RIGHT(Table1323212753[[#This Row],[h1]],8))</f>
        <v>0</v>
      </c>
      <c r="Q1841" s="48" t="s">
        <v>75</v>
      </c>
      <c r="R1841" s="48">
        <f>HEX2DEC(RIGHT(Table1323212753[[#This Row],[h2]],8))</f>
        <v>0</v>
      </c>
    </row>
    <row r="1842" spans="1:18">
      <c r="A1842" s="15" t="str">
        <f t="shared" si="33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8" t="s">
        <v>75</v>
      </c>
      <c r="P1842" s="48">
        <f>HEX2DEC(RIGHT(Table1323212753[[#This Row],[h1]],8))</f>
        <v>0</v>
      </c>
      <c r="Q1842" s="48" t="s">
        <v>75</v>
      </c>
      <c r="R1842" s="48">
        <f>HEX2DEC(RIGHT(Table1323212753[[#This Row],[h2]],8))</f>
        <v>0</v>
      </c>
    </row>
    <row r="1843" spans="1:18">
      <c r="A1843" s="15" t="str">
        <f t="shared" si="33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8" t="s">
        <v>75</v>
      </c>
      <c r="P1843" s="48">
        <f>HEX2DEC(RIGHT(Table1323212753[[#This Row],[h1]],8))</f>
        <v>0</v>
      </c>
      <c r="Q1843" s="48" t="s">
        <v>75</v>
      </c>
      <c r="R1843" s="48">
        <f>HEX2DEC(RIGHT(Table1323212753[[#This Row],[h2]],8))</f>
        <v>0</v>
      </c>
    </row>
    <row r="1844" spans="1:18">
      <c r="A1844" s="15" t="str">
        <f t="shared" si="33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8" t="s">
        <v>75</v>
      </c>
      <c r="P1844" s="48">
        <f>HEX2DEC(RIGHT(Table1323212753[[#This Row],[h1]],8))</f>
        <v>0</v>
      </c>
      <c r="Q1844" s="48" t="s">
        <v>75</v>
      </c>
      <c r="R1844" s="48">
        <f>HEX2DEC(RIGHT(Table1323212753[[#This Row],[h2]],8))</f>
        <v>0</v>
      </c>
    </row>
    <row r="1845" spans="1:18">
      <c r="A1845" s="15" t="str">
        <f t="shared" si="33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8" t="s">
        <v>75</v>
      </c>
      <c r="P1845" s="48">
        <f>HEX2DEC(RIGHT(Table1323212753[[#This Row],[h1]],8))</f>
        <v>0</v>
      </c>
      <c r="Q1845" s="48" t="s">
        <v>75</v>
      </c>
      <c r="R1845" s="48">
        <f>HEX2DEC(RIGHT(Table1323212753[[#This Row],[h2]],8))</f>
        <v>0</v>
      </c>
    </row>
    <row r="1846" spans="1:18">
      <c r="A1846" s="15" t="str">
        <f t="shared" si="33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8" t="s">
        <v>75</v>
      </c>
      <c r="P1846" s="48">
        <f>HEX2DEC(RIGHT(Table1323212753[[#This Row],[h1]],8))</f>
        <v>0</v>
      </c>
      <c r="Q1846" s="48" t="s">
        <v>75</v>
      </c>
      <c r="R1846" s="48">
        <f>HEX2DEC(RIGHT(Table1323212753[[#This Row],[h2]],8))</f>
        <v>0</v>
      </c>
    </row>
    <row r="1847" spans="1:18">
      <c r="A1847" s="15" t="str">
        <f t="shared" si="33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8" t="s">
        <v>75</v>
      </c>
      <c r="P1847" s="48">
        <f>HEX2DEC(RIGHT(Table1323212753[[#This Row],[h1]],8))</f>
        <v>0</v>
      </c>
      <c r="Q1847" s="48" t="s">
        <v>75</v>
      </c>
      <c r="R1847" s="48">
        <f>HEX2DEC(RIGHT(Table1323212753[[#This Row],[h2]],8))</f>
        <v>0</v>
      </c>
    </row>
    <row r="1848" spans="1:18">
      <c r="A1848" s="15" t="str">
        <f t="shared" si="33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8" t="s">
        <v>75</v>
      </c>
      <c r="P1848" s="48">
        <f>HEX2DEC(RIGHT(Table1323212753[[#This Row],[h1]],8))</f>
        <v>0</v>
      </c>
      <c r="Q1848" s="48" t="s">
        <v>75</v>
      </c>
      <c r="R1848" s="48">
        <f>HEX2DEC(RIGHT(Table1323212753[[#This Row],[h2]],8))</f>
        <v>0</v>
      </c>
    </row>
    <row r="1849" spans="1:18">
      <c r="A1849" s="15" t="str">
        <f t="shared" si="33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8" t="s">
        <v>75</v>
      </c>
      <c r="P1849" s="48">
        <f>HEX2DEC(RIGHT(Table1323212753[[#This Row],[h1]],8))</f>
        <v>0</v>
      </c>
      <c r="Q1849" s="48" t="s">
        <v>75</v>
      </c>
      <c r="R1849" s="48">
        <f>HEX2DEC(RIGHT(Table1323212753[[#This Row],[h2]],8))</f>
        <v>0</v>
      </c>
    </row>
    <row r="1850" spans="1:18">
      <c r="A1850" s="15" t="str">
        <f t="shared" si="33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8" t="s">
        <v>75</v>
      </c>
      <c r="P1850" s="48">
        <f>HEX2DEC(RIGHT(Table1323212753[[#This Row],[h1]],8))</f>
        <v>0</v>
      </c>
      <c r="Q1850" s="48" t="s">
        <v>75</v>
      </c>
      <c r="R1850" s="48">
        <f>HEX2DEC(RIGHT(Table1323212753[[#This Row],[h2]],8))</f>
        <v>0</v>
      </c>
    </row>
    <row r="1851" spans="1:18">
      <c r="A1851" s="15" t="str">
        <f t="shared" si="33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8" t="s">
        <v>75</v>
      </c>
      <c r="P1851" s="48">
        <f>HEX2DEC(RIGHT(Table1323212753[[#This Row],[h1]],8))</f>
        <v>0</v>
      </c>
      <c r="Q1851" s="48" t="s">
        <v>75</v>
      </c>
      <c r="R1851" s="48">
        <f>HEX2DEC(RIGHT(Table1323212753[[#This Row],[h2]],8))</f>
        <v>0</v>
      </c>
    </row>
    <row r="1852" spans="1:18">
      <c r="A1852" s="15" t="str">
        <f t="shared" si="33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8" t="s">
        <v>75</v>
      </c>
      <c r="P1852" s="48">
        <f>HEX2DEC(RIGHT(Table1323212753[[#This Row],[h1]],8))</f>
        <v>0</v>
      </c>
      <c r="Q1852" s="48" t="s">
        <v>75</v>
      </c>
      <c r="R1852" s="48">
        <f>HEX2DEC(RIGHT(Table1323212753[[#This Row],[h2]],8))</f>
        <v>0</v>
      </c>
    </row>
    <row r="1853" spans="1:18">
      <c r="A1853" s="15" t="str">
        <f t="shared" si="33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8" t="s">
        <v>75</v>
      </c>
      <c r="P1853" s="48">
        <f>HEX2DEC(RIGHT(Table1323212753[[#This Row],[h1]],8))</f>
        <v>0</v>
      </c>
      <c r="Q1853" s="48" t="s">
        <v>75</v>
      </c>
      <c r="R1853" s="48">
        <f>HEX2DEC(RIGHT(Table1323212753[[#This Row],[h2]],8))</f>
        <v>0</v>
      </c>
    </row>
    <row r="1854" spans="1:18">
      <c r="A1854" s="15" t="str">
        <f t="shared" si="33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8" t="s">
        <v>75</v>
      </c>
      <c r="P1854" s="48">
        <f>HEX2DEC(RIGHT(Table1323212753[[#This Row],[h1]],8))</f>
        <v>0</v>
      </c>
      <c r="Q1854" s="48" t="s">
        <v>75</v>
      </c>
      <c r="R1854" s="48">
        <f>HEX2DEC(RIGHT(Table1323212753[[#This Row],[h2]],8))</f>
        <v>0</v>
      </c>
    </row>
    <row r="1855" spans="1:18">
      <c r="A1855" s="15" t="str">
        <f t="shared" si="33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8" t="s">
        <v>75</v>
      </c>
      <c r="P1855" s="48">
        <f>HEX2DEC(RIGHT(Table1323212753[[#This Row],[h1]],8))</f>
        <v>0</v>
      </c>
      <c r="Q1855" s="48" t="s">
        <v>75</v>
      </c>
      <c r="R1855" s="48">
        <f>HEX2DEC(RIGHT(Table1323212753[[#This Row],[h2]],8))</f>
        <v>0</v>
      </c>
    </row>
    <row r="1856" spans="1:18">
      <c r="A1856" s="15" t="str">
        <f t="shared" si="33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8" t="s">
        <v>75</v>
      </c>
      <c r="P1856" s="48">
        <f>HEX2DEC(RIGHT(Table1323212753[[#This Row],[h1]],8))</f>
        <v>0</v>
      </c>
      <c r="Q1856" s="48" t="s">
        <v>75</v>
      </c>
      <c r="R1856" s="48">
        <f>HEX2DEC(RIGHT(Table1323212753[[#This Row],[h2]],8))</f>
        <v>0</v>
      </c>
    </row>
    <row r="1857" spans="1:18">
      <c r="A1857" s="15" t="str">
        <f t="shared" si="33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8" t="s">
        <v>75</v>
      </c>
      <c r="P1857" s="48">
        <f>HEX2DEC(RIGHT(Table1323212753[[#This Row],[h1]],8))</f>
        <v>0</v>
      </c>
      <c r="Q1857" s="48" t="s">
        <v>75</v>
      </c>
      <c r="R1857" s="48">
        <f>HEX2DEC(RIGHT(Table1323212753[[#This Row],[h2]],8))</f>
        <v>0</v>
      </c>
    </row>
    <row r="1858" spans="1:18">
      <c r="A1858" s="15" t="str">
        <f t="shared" si="33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8" t="s">
        <v>75</v>
      </c>
      <c r="P1858" s="48">
        <f>HEX2DEC(RIGHT(Table1323212753[[#This Row],[h1]],8))</f>
        <v>0</v>
      </c>
      <c r="Q1858" s="48" t="s">
        <v>75</v>
      </c>
      <c r="R1858" s="48">
        <f>HEX2DEC(RIGHT(Table1323212753[[#This Row],[h2]],8))</f>
        <v>0</v>
      </c>
    </row>
    <row r="1859" spans="1:18">
      <c r="A1859" s="15" t="str">
        <f t="shared" si="33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8" t="s">
        <v>75</v>
      </c>
      <c r="P1859" s="48">
        <f>HEX2DEC(RIGHT(Table1323212753[[#This Row],[h1]],8))</f>
        <v>0</v>
      </c>
      <c r="Q1859" s="48" t="s">
        <v>75</v>
      </c>
      <c r="R1859" s="48">
        <f>HEX2DEC(RIGHT(Table1323212753[[#This Row],[h2]],8))</f>
        <v>0</v>
      </c>
    </row>
    <row r="1860" spans="1:18">
      <c r="A1860" s="15" t="str">
        <f t="shared" si="33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8" t="s">
        <v>75</v>
      </c>
      <c r="P1860" s="48">
        <f>HEX2DEC(RIGHT(Table1323212753[[#This Row],[h1]],8))</f>
        <v>0</v>
      </c>
      <c r="Q1860" s="48" t="s">
        <v>75</v>
      </c>
      <c r="R1860" s="48">
        <f>HEX2DEC(RIGHT(Table1323212753[[#This Row],[h2]],8))</f>
        <v>0</v>
      </c>
    </row>
    <row r="1861" spans="1:18">
      <c r="A1861" s="15" t="str">
        <f t="shared" si="33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8" t="s">
        <v>75</v>
      </c>
      <c r="P1861" s="48">
        <f>HEX2DEC(RIGHT(Table1323212753[[#This Row],[h1]],8))</f>
        <v>0</v>
      </c>
      <c r="Q1861" s="48" t="s">
        <v>75</v>
      </c>
      <c r="R1861" s="48">
        <f>HEX2DEC(RIGHT(Table1323212753[[#This Row],[h2]],8))</f>
        <v>0</v>
      </c>
    </row>
    <row r="1862" spans="1:18">
      <c r="A1862" s="15" t="str">
        <f t="shared" si="33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8" t="s">
        <v>75</v>
      </c>
      <c r="P1862" s="48">
        <f>HEX2DEC(RIGHT(Table1323212753[[#This Row],[h1]],8))</f>
        <v>0</v>
      </c>
      <c r="Q1862" s="48" t="s">
        <v>75</v>
      </c>
      <c r="R1862" s="48">
        <f>HEX2DEC(RIGHT(Table1323212753[[#This Row],[h2]],8))</f>
        <v>0</v>
      </c>
    </row>
    <row r="1863" spans="1:18">
      <c r="A1863" s="15" t="str">
        <f t="shared" si="33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8" t="s">
        <v>75</v>
      </c>
      <c r="P1863" s="48">
        <f>HEX2DEC(RIGHT(Table1323212753[[#This Row],[h1]],8))</f>
        <v>0</v>
      </c>
      <c r="Q1863" s="48" t="s">
        <v>75</v>
      </c>
      <c r="R1863" s="48">
        <f>HEX2DEC(RIGHT(Table1323212753[[#This Row],[h2]],8))</f>
        <v>0</v>
      </c>
    </row>
    <row r="1864" spans="1:18">
      <c r="A1864" s="15" t="str">
        <f t="shared" si="33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8" t="s">
        <v>75</v>
      </c>
      <c r="P1864" s="48">
        <f>HEX2DEC(RIGHT(Table1323212753[[#This Row],[h1]],8))</f>
        <v>0</v>
      </c>
      <c r="Q1864" s="48" t="s">
        <v>75</v>
      </c>
      <c r="R1864" s="48">
        <f>HEX2DEC(RIGHT(Table1323212753[[#This Row],[h2]],8))</f>
        <v>0</v>
      </c>
    </row>
    <row r="1865" spans="1:18">
      <c r="A1865" s="15" t="str">
        <f t="shared" si="33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8" t="s">
        <v>75</v>
      </c>
      <c r="P1865" s="48">
        <f>HEX2DEC(RIGHT(Table1323212753[[#This Row],[h1]],8))</f>
        <v>0</v>
      </c>
      <c r="Q1865" s="48" t="s">
        <v>75</v>
      </c>
      <c r="R1865" s="48">
        <f>HEX2DEC(RIGHT(Table1323212753[[#This Row],[h2]],8))</f>
        <v>0</v>
      </c>
    </row>
    <row r="1866" spans="1:18">
      <c r="A1866" s="15" t="str">
        <f t="shared" si="33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8" t="s">
        <v>75</v>
      </c>
      <c r="P1866" s="48">
        <f>HEX2DEC(RIGHT(Table1323212753[[#This Row],[h1]],8))</f>
        <v>0</v>
      </c>
      <c r="Q1866" s="48" t="s">
        <v>75</v>
      </c>
      <c r="R1866" s="48">
        <f>HEX2DEC(RIGHT(Table1323212753[[#This Row],[h2]],8))</f>
        <v>0</v>
      </c>
    </row>
    <row r="1867" spans="1:18">
      <c r="A1867" s="15" t="str">
        <f t="shared" ref="A1867:A1930" si="34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8" t="s">
        <v>75</v>
      </c>
      <c r="P1867" s="48">
        <f>HEX2DEC(RIGHT(Table1323212753[[#This Row],[h1]],8))</f>
        <v>0</v>
      </c>
      <c r="Q1867" s="48" t="s">
        <v>75</v>
      </c>
      <c r="R1867" s="48">
        <f>HEX2DEC(RIGHT(Table1323212753[[#This Row],[h2]],8))</f>
        <v>0</v>
      </c>
    </row>
    <row r="1868" spans="1:18">
      <c r="A1868" s="15" t="str">
        <f t="shared" si="34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8" t="s">
        <v>75</v>
      </c>
      <c r="P1868" s="48">
        <f>HEX2DEC(RIGHT(Table1323212753[[#This Row],[h1]],8))</f>
        <v>0</v>
      </c>
      <c r="Q1868" s="48" t="s">
        <v>75</v>
      </c>
      <c r="R1868" s="48">
        <f>HEX2DEC(RIGHT(Table1323212753[[#This Row],[h2]],8))</f>
        <v>0</v>
      </c>
    </row>
    <row r="1869" spans="1:18">
      <c r="A1869" s="15" t="str">
        <f t="shared" si="34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8" t="s">
        <v>75</v>
      </c>
      <c r="P1869" s="48">
        <f>HEX2DEC(RIGHT(Table1323212753[[#This Row],[h1]],8))</f>
        <v>0</v>
      </c>
      <c r="Q1869" s="48" t="s">
        <v>75</v>
      </c>
      <c r="R1869" s="48">
        <f>HEX2DEC(RIGHT(Table1323212753[[#This Row],[h2]],8))</f>
        <v>0</v>
      </c>
    </row>
    <row r="1870" spans="1:18">
      <c r="A1870" s="15" t="str">
        <f t="shared" si="34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8" t="s">
        <v>75</v>
      </c>
      <c r="P1870" s="48">
        <f>HEX2DEC(RIGHT(Table1323212753[[#This Row],[h1]],8))</f>
        <v>0</v>
      </c>
      <c r="Q1870" s="48" t="s">
        <v>75</v>
      </c>
      <c r="R1870" s="48">
        <f>HEX2DEC(RIGHT(Table1323212753[[#This Row],[h2]],8))</f>
        <v>0</v>
      </c>
    </row>
    <row r="1871" spans="1:18">
      <c r="A1871" s="15" t="str">
        <f t="shared" si="34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8" t="s">
        <v>75</v>
      </c>
      <c r="P1871" s="48">
        <f>HEX2DEC(RIGHT(Table1323212753[[#This Row],[h1]],8))</f>
        <v>0</v>
      </c>
      <c r="Q1871" s="48" t="s">
        <v>75</v>
      </c>
      <c r="R1871" s="48">
        <f>HEX2DEC(RIGHT(Table1323212753[[#This Row],[h2]],8))</f>
        <v>0</v>
      </c>
    </row>
    <row r="1872" spans="1:18">
      <c r="A1872" s="15" t="str">
        <f t="shared" si="34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8" t="s">
        <v>75</v>
      </c>
      <c r="P1872" s="48">
        <f>HEX2DEC(RIGHT(Table1323212753[[#This Row],[h1]],8))</f>
        <v>0</v>
      </c>
      <c r="Q1872" s="48" t="s">
        <v>75</v>
      </c>
      <c r="R1872" s="48">
        <f>HEX2DEC(RIGHT(Table1323212753[[#This Row],[h2]],8))</f>
        <v>0</v>
      </c>
    </row>
    <row r="1873" spans="1:18">
      <c r="A1873" s="15" t="str">
        <f t="shared" si="34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8" t="s">
        <v>75</v>
      </c>
      <c r="P1873" s="48">
        <f>HEX2DEC(RIGHT(Table1323212753[[#This Row],[h1]],8))</f>
        <v>0</v>
      </c>
      <c r="Q1873" s="48" t="s">
        <v>75</v>
      </c>
      <c r="R1873" s="48">
        <f>HEX2DEC(RIGHT(Table1323212753[[#This Row],[h2]],8))</f>
        <v>0</v>
      </c>
    </row>
    <row r="1874" spans="1:18">
      <c r="A1874" s="15" t="str">
        <f t="shared" si="34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8" t="s">
        <v>75</v>
      </c>
      <c r="P1874" s="48">
        <f>HEX2DEC(RIGHT(Table1323212753[[#This Row],[h1]],8))</f>
        <v>0</v>
      </c>
      <c r="Q1874" s="48" t="s">
        <v>75</v>
      </c>
      <c r="R1874" s="48">
        <f>HEX2DEC(RIGHT(Table1323212753[[#This Row],[h2]],8))</f>
        <v>0</v>
      </c>
    </row>
    <row r="1875" spans="1:18">
      <c r="A1875" s="15" t="str">
        <f t="shared" si="34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8" t="s">
        <v>75</v>
      </c>
      <c r="P1875" s="48">
        <f>HEX2DEC(RIGHT(Table1323212753[[#This Row],[h1]],8))</f>
        <v>0</v>
      </c>
      <c r="Q1875" s="48" t="s">
        <v>75</v>
      </c>
      <c r="R1875" s="48">
        <f>HEX2DEC(RIGHT(Table1323212753[[#This Row],[h2]],8))</f>
        <v>0</v>
      </c>
    </row>
    <row r="1876" spans="1:18">
      <c r="A1876" s="15" t="str">
        <f t="shared" si="34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8" t="s">
        <v>75</v>
      </c>
      <c r="P1876" s="48">
        <f>HEX2DEC(RIGHT(Table1323212753[[#This Row],[h1]],8))</f>
        <v>0</v>
      </c>
      <c r="Q1876" s="48" t="s">
        <v>75</v>
      </c>
      <c r="R1876" s="48">
        <f>HEX2DEC(RIGHT(Table1323212753[[#This Row],[h2]],8))</f>
        <v>0</v>
      </c>
    </row>
    <row r="1877" spans="1:18">
      <c r="A1877" s="15" t="str">
        <f t="shared" si="34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8" t="s">
        <v>75</v>
      </c>
      <c r="P1877" s="48">
        <f>HEX2DEC(RIGHT(Table1323212753[[#This Row],[h1]],8))</f>
        <v>0</v>
      </c>
      <c r="Q1877" s="48" t="s">
        <v>75</v>
      </c>
      <c r="R1877" s="48">
        <f>HEX2DEC(RIGHT(Table1323212753[[#This Row],[h2]],8))</f>
        <v>0</v>
      </c>
    </row>
    <row r="1878" spans="1:18">
      <c r="A1878" s="15" t="str">
        <f t="shared" si="34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8" t="s">
        <v>75</v>
      </c>
      <c r="P1878" s="48">
        <f>HEX2DEC(RIGHT(Table1323212753[[#This Row],[h1]],8))</f>
        <v>0</v>
      </c>
      <c r="Q1878" s="48" t="s">
        <v>75</v>
      </c>
      <c r="R1878" s="48">
        <f>HEX2DEC(RIGHT(Table1323212753[[#This Row],[h2]],8))</f>
        <v>0</v>
      </c>
    </row>
    <row r="1879" spans="1:18">
      <c r="A1879" s="15" t="str">
        <f t="shared" si="34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8" t="s">
        <v>75</v>
      </c>
      <c r="P1879" s="48">
        <f>HEX2DEC(RIGHT(Table1323212753[[#This Row],[h1]],8))</f>
        <v>0</v>
      </c>
      <c r="Q1879" s="48" t="s">
        <v>75</v>
      </c>
      <c r="R1879" s="48">
        <f>HEX2DEC(RIGHT(Table1323212753[[#This Row],[h2]],8))</f>
        <v>0</v>
      </c>
    </row>
    <row r="1880" spans="1:18">
      <c r="A1880" s="15" t="str">
        <f t="shared" si="34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8" t="s">
        <v>75</v>
      </c>
      <c r="P1880" s="48">
        <f>HEX2DEC(RIGHT(Table1323212753[[#This Row],[h1]],8))</f>
        <v>0</v>
      </c>
      <c r="Q1880" s="48" t="s">
        <v>75</v>
      </c>
      <c r="R1880" s="48">
        <f>HEX2DEC(RIGHT(Table1323212753[[#This Row],[h2]],8))</f>
        <v>0</v>
      </c>
    </row>
    <row r="1881" spans="1:18">
      <c r="A1881" s="15" t="str">
        <f t="shared" si="34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8" t="s">
        <v>75</v>
      </c>
      <c r="P1881" s="48">
        <f>HEX2DEC(RIGHT(Table1323212753[[#This Row],[h1]],8))</f>
        <v>0</v>
      </c>
      <c r="Q1881" s="48" t="s">
        <v>75</v>
      </c>
      <c r="R1881" s="48">
        <f>HEX2DEC(RIGHT(Table1323212753[[#This Row],[h2]],8))</f>
        <v>0</v>
      </c>
    </row>
    <row r="1882" spans="1:18">
      <c r="A1882" s="15" t="str">
        <f t="shared" si="34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8" t="s">
        <v>75</v>
      </c>
      <c r="P1882" s="48">
        <f>HEX2DEC(RIGHT(Table1323212753[[#This Row],[h1]],8))</f>
        <v>0</v>
      </c>
      <c r="Q1882" s="48" t="s">
        <v>75</v>
      </c>
      <c r="R1882" s="48">
        <f>HEX2DEC(RIGHT(Table1323212753[[#This Row],[h2]],8))</f>
        <v>0</v>
      </c>
    </row>
    <row r="1883" spans="1:18">
      <c r="A1883" s="15" t="str">
        <f t="shared" si="34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8" t="s">
        <v>75</v>
      </c>
      <c r="P1883" s="48">
        <f>HEX2DEC(RIGHT(Table1323212753[[#This Row],[h1]],8))</f>
        <v>0</v>
      </c>
      <c r="Q1883" s="48" t="s">
        <v>75</v>
      </c>
      <c r="R1883" s="48">
        <f>HEX2DEC(RIGHT(Table1323212753[[#This Row],[h2]],8))</f>
        <v>0</v>
      </c>
    </row>
    <row r="1884" spans="1:18">
      <c r="A1884" s="15" t="str">
        <f t="shared" si="34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8" t="s">
        <v>75</v>
      </c>
      <c r="P1884" s="48">
        <f>HEX2DEC(RIGHT(Table1323212753[[#This Row],[h1]],8))</f>
        <v>0</v>
      </c>
      <c r="Q1884" s="48" t="s">
        <v>75</v>
      </c>
      <c r="R1884" s="48">
        <f>HEX2DEC(RIGHT(Table1323212753[[#This Row],[h2]],8))</f>
        <v>0</v>
      </c>
    </row>
    <row r="1885" spans="1:18">
      <c r="A1885" s="15" t="str">
        <f t="shared" si="34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8" t="s">
        <v>75</v>
      </c>
      <c r="P1885" s="48">
        <f>HEX2DEC(RIGHT(Table1323212753[[#This Row],[h1]],8))</f>
        <v>0</v>
      </c>
      <c r="Q1885" s="48" t="s">
        <v>75</v>
      </c>
      <c r="R1885" s="48">
        <f>HEX2DEC(RIGHT(Table1323212753[[#This Row],[h2]],8))</f>
        <v>0</v>
      </c>
    </row>
    <row r="1886" spans="1:18">
      <c r="A1886" s="15" t="str">
        <f t="shared" si="34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8" t="s">
        <v>75</v>
      </c>
      <c r="P1886" s="48">
        <f>HEX2DEC(RIGHT(Table1323212753[[#This Row],[h1]],8))</f>
        <v>0</v>
      </c>
      <c r="Q1886" s="48" t="s">
        <v>75</v>
      </c>
      <c r="R1886" s="48">
        <f>HEX2DEC(RIGHT(Table1323212753[[#This Row],[h2]],8))</f>
        <v>0</v>
      </c>
    </row>
    <row r="1887" spans="1:18">
      <c r="A1887" s="15" t="str">
        <f t="shared" si="34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8" t="s">
        <v>75</v>
      </c>
      <c r="P1887" s="48">
        <f>HEX2DEC(RIGHT(Table1323212753[[#This Row],[h1]],8))</f>
        <v>0</v>
      </c>
      <c r="Q1887" s="48" t="s">
        <v>75</v>
      </c>
      <c r="R1887" s="48">
        <f>HEX2DEC(RIGHT(Table1323212753[[#This Row],[h2]],8))</f>
        <v>0</v>
      </c>
    </row>
    <row r="1888" spans="1:18">
      <c r="A1888" s="15" t="str">
        <f t="shared" si="34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8" t="s">
        <v>75</v>
      </c>
      <c r="P1888" s="48">
        <f>HEX2DEC(RIGHT(Table1323212753[[#This Row],[h1]],8))</f>
        <v>0</v>
      </c>
      <c r="Q1888" s="48" t="s">
        <v>75</v>
      </c>
      <c r="R1888" s="48">
        <f>HEX2DEC(RIGHT(Table1323212753[[#This Row],[h2]],8))</f>
        <v>0</v>
      </c>
    </row>
    <row r="1889" spans="1:18">
      <c r="A1889" s="15" t="str">
        <f t="shared" si="34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8" t="s">
        <v>75</v>
      </c>
      <c r="P1889" s="48">
        <f>HEX2DEC(RIGHT(Table1323212753[[#This Row],[h1]],8))</f>
        <v>0</v>
      </c>
      <c r="Q1889" s="48" t="s">
        <v>75</v>
      </c>
      <c r="R1889" s="48">
        <f>HEX2DEC(RIGHT(Table1323212753[[#This Row],[h2]],8))</f>
        <v>0</v>
      </c>
    </row>
    <row r="1890" spans="1:18">
      <c r="A1890" s="15" t="str">
        <f t="shared" si="34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8" t="s">
        <v>75</v>
      </c>
      <c r="P1890" s="48">
        <f>HEX2DEC(RIGHT(Table1323212753[[#This Row],[h1]],8))</f>
        <v>0</v>
      </c>
      <c r="Q1890" s="48" t="s">
        <v>75</v>
      </c>
      <c r="R1890" s="48">
        <f>HEX2DEC(RIGHT(Table1323212753[[#This Row],[h2]],8))</f>
        <v>0</v>
      </c>
    </row>
    <row r="1891" spans="1:18">
      <c r="A1891" s="15" t="str">
        <f t="shared" si="34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8" t="s">
        <v>75</v>
      </c>
      <c r="P1891" s="48">
        <f>HEX2DEC(RIGHT(Table1323212753[[#This Row],[h1]],8))</f>
        <v>0</v>
      </c>
      <c r="Q1891" s="48" t="s">
        <v>75</v>
      </c>
      <c r="R1891" s="48">
        <f>HEX2DEC(RIGHT(Table1323212753[[#This Row],[h2]],8))</f>
        <v>0</v>
      </c>
    </row>
    <row r="1892" spans="1:18">
      <c r="A1892" s="15" t="str">
        <f t="shared" si="34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8" t="s">
        <v>75</v>
      </c>
      <c r="P1892" s="48">
        <f>HEX2DEC(RIGHT(Table1323212753[[#This Row],[h1]],8))</f>
        <v>0</v>
      </c>
      <c r="Q1892" s="48" t="s">
        <v>75</v>
      </c>
      <c r="R1892" s="48">
        <f>HEX2DEC(RIGHT(Table1323212753[[#This Row],[h2]],8))</f>
        <v>0</v>
      </c>
    </row>
    <row r="1893" spans="1:18">
      <c r="A1893" s="15" t="str">
        <f t="shared" si="34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8" t="s">
        <v>75</v>
      </c>
      <c r="P1893" s="48">
        <f>HEX2DEC(RIGHT(Table1323212753[[#This Row],[h1]],8))</f>
        <v>0</v>
      </c>
      <c r="Q1893" s="48" t="s">
        <v>75</v>
      </c>
      <c r="R1893" s="48">
        <f>HEX2DEC(RIGHT(Table1323212753[[#This Row],[h2]],8))</f>
        <v>0</v>
      </c>
    </row>
    <row r="1894" spans="1:18">
      <c r="A1894" s="15" t="str">
        <f t="shared" si="34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8" t="s">
        <v>75</v>
      </c>
      <c r="P1894" s="48">
        <f>HEX2DEC(RIGHT(Table1323212753[[#This Row],[h1]],8))</f>
        <v>0</v>
      </c>
      <c r="Q1894" s="48" t="s">
        <v>75</v>
      </c>
      <c r="R1894" s="48">
        <f>HEX2DEC(RIGHT(Table1323212753[[#This Row],[h2]],8))</f>
        <v>0</v>
      </c>
    </row>
    <row r="1895" spans="1:18">
      <c r="A1895" s="15" t="str">
        <f t="shared" si="34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8" t="s">
        <v>75</v>
      </c>
      <c r="P1895" s="48">
        <f>HEX2DEC(RIGHT(Table1323212753[[#This Row],[h1]],8))</f>
        <v>0</v>
      </c>
      <c r="Q1895" s="48" t="s">
        <v>75</v>
      </c>
      <c r="R1895" s="48">
        <f>HEX2DEC(RIGHT(Table1323212753[[#This Row],[h2]],8))</f>
        <v>0</v>
      </c>
    </row>
    <row r="1896" spans="1:18">
      <c r="A1896" s="15" t="str">
        <f t="shared" si="34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8" t="s">
        <v>75</v>
      </c>
      <c r="P1896" s="48">
        <f>HEX2DEC(RIGHT(Table1323212753[[#This Row],[h1]],8))</f>
        <v>0</v>
      </c>
      <c r="Q1896" s="48" t="s">
        <v>75</v>
      </c>
      <c r="R1896" s="48">
        <f>HEX2DEC(RIGHT(Table1323212753[[#This Row],[h2]],8))</f>
        <v>0</v>
      </c>
    </row>
    <row r="1897" spans="1:18">
      <c r="A1897" s="15" t="str">
        <f t="shared" si="34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8" t="s">
        <v>75</v>
      </c>
      <c r="P1897" s="48">
        <f>HEX2DEC(RIGHT(Table1323212753[[#This Row],[h1]],8))</f>
        <v>0</v>
      </c>
      <c r="Q1897" s="48" t="s">
        <v>75</v>
      </c>
      <c r="R1897" s="48">
        <f>HEX2DEC(RIGHT(Table1323212753[[#This Row],[h2]],8))</f>
        <v>0</v>
      </c>
    </row>
    <row r="1898" spans="1:18">
      <c r="A1898" s="15" t="str">
        <f t="shared" si="34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8" t="s">
        <v>75</v>
      </c>
      <c r="P1898" s="48">
        <f>HEX2DEC(RIGHT(Table1323212753[[#This Row],[h1]],8))</f>
        <v>0</v>
      </c>
      <c r="Q1898" s="48" t="s">
        <v>75</v>
      </c>
      <c r="R1898" s="48">
        <f>HEX2DEC(RIGHT(Table1323212753[[#This Row],[h2]],8))</f>
        <v>0</v>
      </c>
    </row>
    <row r="1899" spans="1:18">
      <c r="A1899" s="15" t="str">
        <f t="shared" si="34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8" t="s">
        <v>75</v>
      </c>
      <c r="P1899" s="48">
        <f>HEX2DEC(RIGHT(Table1323212753[[#This Row],[h1]],8))</f>
        <v>0</v>
      </c>
      <c r="Q1899" s="48" t="s">
        <v>75</v>
      </c>
      <c r="R1899" s="48">
        <f>HEX2DEC(RIGHT(Table1323212753[[#This Row],[h2]],8))</f>
        <v>0</v>
      </c>
    </row>
    <row r="1900" spans="1:18">
      <c r="A1900" s="15" t="str">
        <f t="shared" si="34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8" t="s">
        <v>75</v>
      </c>
      <c r="P1900" s="48">
        <f>HEX2DEC(RIGHT(Table1323212753[[#This Row],[h1]],8))</f>
        <v>0</v>
      </c>
      <c r="Q1900" s="48" t="s">
        <v>75</v>
      </c>
      <c r="R1900" s="48">
        <f>HEX2DEC(RIGHT(Table1323212753[[#This Row],[h2]],8))</f>
        <v>0</v>
      </c>
    </row>
    <row r="1901" spans="1:18">
      <c r="A1901" s="15" t="str">
        <f t="shared" si="34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8" t="s">
        <v>75</v>
      </c>
      <c r="P1901" s="48">
        <f>HEX2DEC(RIGHT(Table1323212753[[#This Row],[h1]],8))</f>
        <v>0</v>
      </c>
      <c r="Q1901" s="48" t="s">
        <v>75</v>
      </c>
      <c r="R1901" s="48">
        <f>HEX2DEC(RIGHT(Table1323212753[[#This Row],[h2]],8))</f>
        <v>0</v>
      </c>
    </row>
    <row r="1902" spans="1:18">
      <c r="A1902" s="15" t="str">
        <f t="shared" si="34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8" t="s">
        <v>75</v>
      </c>
      <c r="P1902" s="48">
        <f>HEX2DEC(RIGHT(Table1323212753[[#This Row],[h1]],8))</f>
        <v>0</v>
      </c>
      <c r="Q1902" s="48" t="s">
        <v>75</v>
      </c>
      <c r="R1902" s="48">
        <f>HEX2DEC(RIGHT(Table1323212753[[#This Row],[h2]],8))</f>
        <v>0</v>
      </c>
    </row>
    <row r="1903" spans="1:18">
      <c r="A1903" s="15" t="str">
        <f t="shared" si="34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8" t="s">
        <v>75</v>
      </c>
      <c r="P1903" s="48">
        <f>HEX2DEC(RIGHT(Table1323212753[[#This Row],[h1]],8))</f>
        <v>0</v>
      </c>
      <c r="Q1903" s="48" t="s">
        <v>75</v>
      </c>
      <c r="R1903" s="48">
        <f>HEX2DEC(RIGHT(Table1323212753[[#This Row],[h2]],8))</f>
        <v>0</v>
      </c>
    </row>
    <row r="1904" spans="1:18">
      <c r="A1904" s="15" t="str">
        <f t="shared" si="34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8" t="s">
        <v>75</v>
      </c>
      <c r="P1904" s="48">
        <f>HEX2DEC(RIGHT(Table1323212753[[#This Row],[h1]],8))</f>
        <v>0</v>
      </c>
      <c r="Q1904" s="48" t="s">
        <v>75</v>
      </c>
      <c r="R1904" s="48">
        <f>HEX2DEC(RIGHT(Table1323212753[[#This Row],[h2]],8))</f>
        <v>0</v>
      </c>
    </row>
    <row r="1905" spans="1:18">
      <c r="A1905" s="15" t="str">
        <f t="shared" si="34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8" t="s">
        <v>75</v>
      </c>
      <c r="P1905" s="48">
        <f>HEX2DEC(RIGHT(Table1323212753[[#This Row],[h1]],8))</f>
        <v>0</v>
      </c>
      <c r="Q1905" s="48" t="s">
        <v>75</v>
      </c>
      <c r="R1905" s="48">
        <f>HEX2DEC(RIGHT(Table1323212753[[#This Row],[h2]],8))</f>
        <v>0</v>
      </c>
    </row>
    <row r="1906" spans="1:18">
      <c r="A1906" s="15" t="str">
        <f t="shared" si="34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8" t="s">
        <v>75</v>
      </c>
      <c r="P1906" s="48">
        <f>HEX2DEC(RIGHT(Table1323212753[[#This Row],[h1]],8))</f>
        <v>0</v>
      </c>
      <c r="Q1906" s="48" t="s">
        <v>75</v>
      </c>
      <c r="R1906" s="48">
        <f>HEX2DEC(RIGHT(Table1323212753[[#This Row],[h2]],8))</f>
        <v>0</v>
      </c>
    </row>
    <row r="1907" spans="1:18">
      <c r="A1907" s="15" t="str">
        <f t="shared" si="34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8" t="s">
        <v>75</v>
      </c>
      <c r="P1907" s="48">
        <f>HEX2DEC(RIGHT(Table1323212753[[#This Row],[h1]],8))</f>
        <v>0</v>
      </c>
      <c r="Q1907" s="48" t="s">
        <v>75</v>
      </c>
      <c r="R1907" s="48">
        <f>HEX2DEC(RIGHT(Table1323212753[[#This Row],[h2]],8))</f>
        <v>0</v>
      </c>
    </row>
    <row r="1908" spans="1:18">
      <c r="A1908" s="15" t="str">
        <f t="shared" si="34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8" t="s">
        <v>75</v>
      </c>
      <c r="P1908" s="48">
        <f>HEX2DEC(RIGHT(Table1323212753[[#This Row],[h1]],8))</f>
        <v>0</v>
      </c>
      <c r="Q1908" s="48" t="s">
        <v>75</v>
      </c>
      <c r="R1908" s="48">
        <f>HEX2DEC(RIGHT(Table1323212753[[#This Row],[h2]],8))</f>
        <v>0</v>
      </c>
    </row>
    <row r="1909" spans="1:18">
      <c r="A1909" s="15" t="str">
        <f t="shared" si="34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8" t="s">
        <v>75</v>
      </c>
      <c r="P1909" s="48">
        <f>HEX2DEC(RIGHT(Table1323212753[[#This Row],[h1]],8))</f>
        <v>0</v>
      </c>
      <c r="Q1909" s="48" t="s">
        <v>75</v>
      </c>
      <c r="R1909" s="48">
        <f>HEX2DEC(RIGHT(Table1323212753[[#This Row],[h2]],8))</f>
        <v>0</v>
      </c>
    </row>
    <row r="1910" spans="1:18">
      <c r="A1910" s="15" t="str">
        <f t="shared" si="34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8" t="s">
        <v>75</v>
      </c>
      <c r="P1910" s="48">
        <f>HEX2DEC(RIGHT(Table1323212753[[#This Row],[h1]],8))</f>
        <v>0</v>
      </c>
      <c r="Q1910" s="48" t="s">
        <v>75</v>
      </c>
      <c r="R1910" s="48">
        <f>HEX2DEC(RIGHT(Table1323212753[[#This Row],[h2]],8))</f>
        <v>0</v>
      </c>
    </row>
    <row r="1911" spans="1:18">
      <c r="A1911" s="15" t="str">
        <f t="shared" si="34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8" t="s">
        <v>75</v>
      </c>
      <c r="P1911" s="48">
        <f>HEX2DEC(RIGHT(Table1323212753[[#This Row],[h1]],8))</f>
        <v>0</v>
      </c>
      <c r="Q1911" s="48" t="s">
        <v>75</v>
      </c>
      <c r="R1911" s="48">
        <f>HEX2DEC(RIGHT(Table1323212753[[#This Row],[h2]],8))</f>
        <v>0</v>
      </c>
    </row>
    <row r="1912" spans="1:18">
      <c r="A1912" s="15" t="str">
        <f t="shared" si="34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8" t="s">
        <v>75</v>
      </c>
      <c r="P1912" s="48">
        <f>HEX2DEC(RIGHT(Table1323212753[[#This Row],[h1]],8))</f>
        <v>0</v>
      </c>
      <c r="Q1912" s="48" t="s">
        <v>75</v>
      </c>
      <c r="R1912" s="48">
        <f>HEX2DEC(RIGHT(Table1323212753[[#This Row],[h2]],8))</f>
        <v>0</v>
      </c>
    </row>
    <row r="1913" spans="1:18">
      <c r="A1913" s="15" t="str">
        <f t="shared" si="34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8" t="s">
        <v>75</v>
      </c>
      <c r="P1913" s="48">
        <f>HEX2DEC(RIGHT(Table1323212753[[#This Row],[h1]],8))</f>
        <v>0</v>
      </c>
      <c r="Q1913" s="48" t="s">
        <v>75</v>
      </c>
      <c r="R1913" s="48">
        <f>HEX2DEC(RIGHT(Table1323212753[[#This Row],[h2]],8))</f>
        <v>0</v>
      </c>
    </row>
    <row r="1914" spans="1:18">
      <c r="A1914" s="15" t="str">
        <f t="shared" si="34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8" t="s">
        <v>75</v>
      </c>
      <c r="P1914" s="48">
        <f>HEX2DEC(RIGHT(Table1323212753[[#This Row],[h1]],8))</f>
        <v>0</v>
      </c>
      <c r="Q1914" s="48" t="s">
        <v>75</v>
      </c>
      <c r="R1914" s="48">
        <f>HEX2DEC(RIGHT(Table1323212753[[#This Row],[h2]],8))</f>
        <v>0</v>
      </c>
    </row>
    <row r="1915" spans="1:18">
      <c r="A1915" s="15" t="str">
        <f t="shared" si="34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8" t="s">
        <v>75</v>
      </c>
      <c r="P1915" s="48">
        <f>HEX2DEC(RIGHT(Table1323212753[[#This Row],[h1]],8))</f>
        <v>0</v>
      </c>
      <c r="Q1915" s="48" t="s">
        <v>75</v>
      </c>
      <c r="R1915" s="48">
        <f>HEX2DEC(RIGHT(Table1323212753[[#This Row],[h2]],8))</f>
        <v>0</v>
      </c>
    </row>
    <row r="1916" spans="1:18">
      <c r="A1916" s="15" t="str">
        <f t="shared" si="34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8" t="s">
        <v>75</v>
      </c>
      <c r="P1916" s="48">
        <f>HEX2DEC(RIGHT(Table1323212753[[#This Row],[h1]],8))</f>
        <v>0</v>
      </c>
      <c r="Q1916" s="48" t="s">
        <v>75</v>
      </c>
      <c r="R1916" s="48">
        <f>HEX2DEC(RIGHT(Table1323212753[[#This Row],[h2]],8))</f>
        <v>0</v>
      </c>
    </row>
    <row r="1917" spans="1:18">
      <c r="A1917" s="15" t="str">
        <f t="shared" si="34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8" t="s">
        <v>75</v>
      </c>
      <c r="P1917" s="48">
        <f>HEX2DEC(RIGHT(Table1323212753[[#This Row],[h1]],8))</f>
        <v>0</v>
      </c>
      <c r="Q1917" s="48" t="s">
        <v>75</v>
      </c>
      <c r="R1917" s="48">
        <f>HEX2DEC(RIGHT(Table1323212753[[#This Row],[h2]],8))</f>
        <v>0</v>
      </c>
    </row>
    <row r="1918" spans="1:18">
      <c r="A1918" s="15" t="str">
        <f t="shared" si="34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8" t="s">
        <v>75</v>
      </c>
      <c r="P1918" s="48">
        <f>HEX2DEC(RIGHT(Table1323212753[[#This Row],[h1]],8))</f>
        <v>0</v>
      </c>
      <c r="Q1918" s="48" t="s">
        <v>75</v>
      </c>
      <c r="R1918" s="48">
        <f>HEX2DEC(RIGHT(Table1323212753[[#This Row],[h2]],8))</f>
        <v>0</v>
      </c>
    </row>
    <row r="1919" spans="1:18">
      <c r="A1919" s="15" t="str">
        <f t="shared" si="34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8" t="s">
        <v>75</v>
      </c>
      <c r="P1919" s="48">
        <f>HEX2DEC(RIGHT(Table1323212753[[#This Row],[h1]],8))</f>
        <v>0</v>
      </c>
      <c r="Q1919" s="48" t="s">
        <v>75</v>
      </c>
      <c r="R1919" s="48">
        <f>HEX2DEC(RIGHT(Table1323212753[[#This Row],[h2]],8))</f>
        <v>0</v>
      </c>
    </row>
    <row r="1920" spans="1:18">
      <c r="A1920" s="15" t="str">
        <f t="shared" si="34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8" t="s">
        <v>75</v>
      </c>
      <c r="P1920" s="48">
        <f>HEX2DEC(RIGHT(Table1323212753[[#This Row],[h1]],8))</f>
        <v>0</v>
      </c>
      <c r="Q1920" s="48" t="s">
        <v>75</v>
      </c>
      <c r="R1920" s="48">
        <f>HEX2DEC(RIGHT(Table1323212753[[#This Row],[h2]],8))</f>
        <v>0</v>
      </c>
    </row>
    <row r="1921" spans="1:18">
      <c r="A1921" s="15" t="str">
        <f t="shared" si="34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8" t="s">
        <v>75</v>
      </c>
      <c r="P1921" s="48">
        <f>HEX2DEC(RIGHT(Table1323212753[[#This Row],[h1]],8))</f>
        <v>0</v>
      </c>
      <c r="Q1921" s="48" t="s">
        <v>75</v>
      </c>
      <c r="R1921" s="48">
        <f>HEX2DEC(RIGHT(Table1323212753[[#This Row],[h2]],8))</f>
        <v>0</v>
      </c>
    </row>
    <row r="1922" spans="1:18">
      <c r="A1922" s="15" t="str">
        <f t="shared" si="34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8" t="s">
        <v>75</v>
      </c>
      <c r="P1922" s="48">
        <f>HEX2DEC(RIGHT(Table1323212753[[#This Row],[h1]],8))</f>
        <v>0</v>
      </c>
      <c r="Q1922" s="48" t="s">
        <v>75</v>
      </c>
      <c r="R1922" s="48">
        <f>HEX2DEC(RIGHT(Table1323212753[[#This Row],[h2]],8))</f>
        <v>0</v>
      </c>
    </row>
    <row r="1923" spans="1:18">
      <c r="A1923" s="15" t="str">
        <f t="shared" si="34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8" t="s">
        <v>75</v>
      </c>
      <c r="P1923" s="48">
        <f>HEX2DEC(RIGHT(Table1323212753[[#This Row],[h1]],8))</f>
        <v>0</v>
      </c>
      <c r="Q1923" s="48" t="s">
        <v>75</v>
      </c>
      <c r="R1923" s="48">
        <f>HEX2DEC(RIGHT(Table1323212753[[#This Row],[h2]],8))</f>
        <v>0</v>
      </c>
    </row>
    <row r="1924" spans="1:18">
      <c r="A1924" s="15" t="str">
        <f t="shared" si="34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8" t="s">
        <v>75</v>
      </c>
      <c r="P1924" s="48">
        <f>HEX2DEC(RIGHT(Table1323212753[[#This Row],[h1]],8))</f>
        <v>0</v>
      </c>
      <c r="Q1924" s="48" t="s">
        <v>75</v>
      </c>
      <c r="R1924" s="48">
        <f>HEX2DEC(RIGHT(Table1323212753[[#This Row],[h2]],8))</f>
        <v>0</v>
      </c>
    </row>
    <row r="1925" spans="1:18">
      <c r="A1925" s="15" t="str">
        <f t="shared" si="34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8" t="s">
        <v>75</v>
      </c>
      <c r="P1925" s="48">
        <f>HEX2DEC(RIGHT(Table1323212753[[#This Row],[h1]],8))</f>
        <v>0</v>
      </c>
      <c r="Q1925" s="48" t="s">
        <v>75</v>
      </c>
      <c r="R1925" s="48">
        <f>HEX2DEC(RIGHT(Table1323212753[[#This Row],[h2]],8))</f>
        <v>0</v>
      </c>
    </row>
    <row r="1926" spans="1:18">
      <c r="A1926" s="15" t="str">
        <f t="shared" si="34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8" t="s">
        <v>75</v>
      </c>
      <c r="P1926" s="48">
        <f>HEX2DEC(RIGHT(Table1323212753[[#This Row],[h1]],8))</f>
        <v>0</v>
      </c>
      <c r="Q1926" s="48" t="s">
        <v>75</v>
      </c>
      <c r="R1926" s="48">
        <f>HEX2DEC(RIGHT(Table1323212753[[#This Row],[h2]],8))</f>
        <v>0</v>
      </c>
    </row>
    <row r="1927" spans="1:18">
      <c r="A1927" s="15" t="str">
        <f t="shared" si="34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8" t="s">
        <v>75</v>
      </c>
      <c r="P1927" s="48">
        <f>HEX2DEC(RIGHT(Table1323212753[[#This Row],[h1]],8))</f>
        <v>0</v>
      </c>
      <c r="Q1927" s="48" t="s">
        <v>75</v>
      </c>
      <c r="R1927" s="48">
        <f>HEX2DEC(RIGHT(Table1323212753[[#This Row],[h2]],8))</f>
        <v>0</v>
      </c>
    </row>
    <row r="1928" spans="1:18">
      <c r="A1928" s="15" t="str">
        <f t="shared" si="34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8" t="s">
        <v>75</v>
      </c>
      <c r="P1928" s="48">
        <f>HEX2DEC(RIGHT(Table1323212753[[#This Row],[h1]],8))</f>
        <v>0</v>
      </c>
      <c r="Q1928" s="48" t="s">
        <v>75</v>
      </c>
      <c r="R1928" s="48">
        <f>HEX2DEC(RIGHT(Table1323212753[[#This Row],[h2]],8))</f>
        <v>0</v>
      </c>
    </row>
    <row r="1929" spans="1:18">
      <c r="A1929" s="15" t="str">
        <f t="shared" si="34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8" t="s">
        <v>75</v>
      </c>
      <c r="P1929" s="48">
        <f>HEX2DEC(RIGHT(Table1323212753[[#This Row],[h1]],8))</f>
        <v>0</v>
      </c>
      <c r="Q1929" s="48" t="s">
        <v>75</v>
      </c>
      <c r="R1929" s="48">
        <f>HEX2DEC(RIGHT(Table1323212753[[#This Row],[h2]],8))</f>
        <v>0</v>
      </c>
    </row>
    <row r="1930" spans="1:18">
      <c r="A1930" s="15" t="str">
        <f t="shared" si="34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8" t="s">
        <v>75</v>
      </c>
      <c r="P1930" s="48">
        <f>HEX2DEC(RIGHT(Table1323212753[[#This Row],[h1]],8))</f>
        <v>0</v>
      </c>
      <c r="Q1930" s="48" t="s">
        <v>75</v>
      </c>
      <c r="R1930" s="48">
        <f>HEX2DEC(RIGHT(Table1323212753[[#This Row],[h2]],8))</f>
        <v>0</v>
      </c>
    </row>
    <row r="1931" spans="1:18">
      <c r="A1931" s="15" t="str">
        <f t="shared" ref="A1931:A1994" si="35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8" t="s">
        <v>75</v>
      </c>
      <c r="P1931" s="48">
        <f>HEX2DEC(RIGHT(Table1323212753[[#This Row],[h1]],8))</f>
        <v>0</v>
      </c>
      <c r="Q1931" s="48" t="s">
        <v>75</v>
      </c>
      <c r="R1931" s="48">
        <f>HEX2DEC(RIGHT(Table1323212753[[#This Row],[h2]],8))</f>
        <v>0</v>
      </c>
    </row>
    <row r="1932" spans="1:18">
      <c r="A1932" s="15" t="str">
        <f t="shared" si="35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8" t="s">
        <v>75</v>
      </c>
      <c r="P1932" s="48">
        <f>HEX2DEC(RIGHT(Table1323212753[[#This Row],[h1]],8))</f>
        <v>0</v>
      </c>
      <c r="Q1932" s="48" t="s">
        <v>75</v>
      </c>
      <c r="R1932" s="48">
        <f>HEX2DEC(RIGHT(Table1323212753[[#This Row],[h2]],8))</f>
        <v>0</v>
      </c>
    </row>
    <row r="1933" spans="1:18">
      <c r="A1933" s="15" t="str">
        <f t="shared" si="35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8" t="s">
        <v>75</v>
      </c>
      <c r="P1933" s="48">
        <f>HEX2DEC(RIGHT(Table1323212753[[#This Row],[h1]],8))</f>
        <v>0</v>
      </c>
      <c r="Q1933" s="48" t="s">
        <v>75</v>
      </c>
      <c r="R1933" s="48">
        <f>HEX2DEC(RIGHT(Table1323212753[[#This Row],[h2]],8))</f>
        <v>0</v>
      </c>
    </row>
    <row r="1934" spans="1:18">
      <c r="A1934" s="15" t="str">
        <f t="shared" si="35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8" t="s">
        <v>75</v>
      </c>
      <c r="P1934" s="48">
        <f>HEX2DEC(RIGHT(Table1323212753[[#This Row],[h1]],8))</f>
        <v>0</v>
      </c>
      <c r="Q1934" s="48" t="s">
        <v>75</v>
      </c>
      <c r="R1934" s="48">
        <f>HEX2DEC(RIGHT(Table1323212753[[#This Row],[h2]],8))</f>
        <v>0</v>
      </c>
    </row>
    <row r="1935" spans="1:18">
      <c r="A1935" s="15" t="str">
        <f t="shared" si="35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8" t="s">
        <v>75</v>
      </c>
      <c r="P1935" s="48">
        <f>HEX2DEC(RIGHT(Table1323212753[[#This Row],[h1]],8))</f>
        <v>0</v>
      </c>
      <c r="Q1935" s="48" t="s">
        <v>75</v>
      </c>
      <c r="R1935" s="48">
        <f>HEX2DEC(RIGHT(Table1323212753[[#This Row],[h2]],8))</f>
        <v>0</v>
      </c>
    </row>
    <row r="1936" spans="1:18">
      <c r="A1936" s="15" t="str">
        <f t="shared" si="35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8" t="s">
        <v>75</v>
      </c>
      <c r="P1936" s="48">
        <f>HEX2DEC(RIGHT(Table1323212753[[#This Row],[h1]],8))</f>
        <v>0</v>
      </c>
      <c r="Q1936" s="48" t="s">
        <v>75</v>
      </c>
      <c r="R1936" s="48">
        <f>HEX2DEC(RIGHT(Table1323212753[[#This Row],[h2]],8))</f>
        <v>0</v>
      </c>
    </row>
    <row r="1937" spans="1:18">
      <c r="A1937" s="15" t="str">
        <f t="shared" si="35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8" t="s">
        <v>75</v>
      </c>
      <c r="P1937" s="48">
        <f>HEX2DEC(RIGHT(Table1323212753[[#This Row],[h1]],8))</f>
        <v>0</v>
      </c>
      <c r="Q1937" s="48" t="s">
        <v>75</v>
      </c>
      <c r="R1937" s="48">
        <f>HEX2DEC(RIGHT(Table1323212753[[#This Row],[h2]],8))</f>
        <v>0</v>
      </c>
    </row>
    <row r="1938" spans="1:18">
      <c r="A1938" s="15" t="str">
        <f t="shared" si="35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8" t="s">
        <v>75</v>
      </c>
      <c r="P1938" s="48">
        <f>HEX2DEC(RIGHT(Table1323212753[[#This Row],[h1]],8))</f>
        <v>0</v>
      </c>
      <c r="Q1938" s="48" t="s">
        <v>75</v>
      </c>
      <c r="R1938" s="48">
        <f>HEX2DEC(RIGHT(Table1323212753[[#This Row],[h2]],8))</f>
        <v>0</v>
      </c>
    </row>
    <row r="1939" spans="1:18">
      <c r="A1939" s="15" t="str">
        <f t="shared" si="35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8" t="s">
        <v>75</v>
      </c>
      <c r="P1939" s="48">
        <f>HEX2DEC(RIGHT(Table1323212753[[#This Row],[h1]],8))</f>
        <v>0</v>
      </c>
      <c r="Q1939" s="48" t="s">
        <v>75</v>
      </c>
      <c r="R1939" s="48">
        <f>HEX2DEC(RIGHT(Table1323212753[[#This Row],[h2]],8))</f>
        <v>0</v>
      </c>
    </row>
    <row r="1940" spans="1:18">
      <c r="A1940" s="15" t="str">
        <f t="shared" si="35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8" t="s">
        <v>75</v>
      </c>
      <c r="P1940" s="48">
        <f>HEX2DEC(RIGHT(Table1323212753[[#This Row],[h1]],8))</f>
        <v>0</v>
      </c>
      <c r="Q1940" s="48" t="s">
        <v>75</v>
      </c>
      <c r="R1940" s="48">
        <f>HEX2DEC(RIGHT(Table1323212753[[#This Row],[h2]],8))</f>
        <v>0</v>
      </c>
    </row>
    <row r="1941" spans="1:18">
      <c r="A1941" s="15" t="str">
        <f t="shared" si="35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8" t="s">
        <v>75</v>
      </c>
      <c r="P1941" s="48">
        <f>HEX2DEC(RIGHT(Table1323212753[[#This Row],[h1]],8))</f>
        <v>0</v>
      </c>
      <c r="Q1941" s="48" t="s">
        <v>75</v>
      </c>
      <c r="R1941" s="48">
        <f>HEX2DEC(RIGHT(Table1323212753[[#This Row],[h2]],8))</f>
        <v>0</v>
      </c>
    </row>
    <row r="1942" spans="1:18">
      <c r="A1942" s="15" t="str">
        <f t="shared" si="35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8" t="s">
        <v>75</v>
      </c>
      <c r="P1942" s="48">
        <f>HEX2DEC(RIGHT(Table1323212753[[#This Row],[h1]],8))</f>
        <v>0</v>
      </c>
      <c r="Q1942" s="48" t="s">
        <v>75</v>
      </c>
      <c r="R1942" s="48">
        <f>HEX2DEC(RIGHT(Table1323212753[[#This Row],[h2]],8))</f>
        <v>0</v>
      </c>
    </row>
    <row r="1943" spans="1:18">
      <c r="A1943" s="15" t="str">
        <f t="shared" si="35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8" t="s">
        <v>75</v>
      </c>
      <c r="P1943" s="48">
        <f>HEX2DEC(RIGHT(Table1323212753[[#This Row],[h1]],8))</f>
        <v>0</v>
      </c>
      <c r="Q1943" s="48" t="s">
        <v>75</v>
      </c>
      <c r="R1943" s="48">
        <f>HEX2DEC(RIGHT(Table1323212753[[#This Row],[h2]],8))</f>
        <v>0</v>
      </c>
    </row>
    <row r="1944" spans="1:18">
      <c r="A1944" s="15" t="str">
        <f t="shared" si="35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8" t="s">
        <v>75</v>
      </c>
      <c r="P1944" s="48">
        <f>HEX2DEC(RIGHT(Table1323212753[[#This Row],[h1]],8))</f>
        <v>0</v>
      </c>
      <c r="Q1944" s="48" t="s">
        <v>75</v>
      </c>
      <c r="R1944" s="48">
        <f>HEX2DEC(RIGHT(Table1323212753[[#This Row],[h2]],8))</f>
        <v>0</v>
      </c>
    </row>
    <row r="1945" spans="1:18">
      <c r="A1945" s="15" t="str">
        <f t="shared" si="35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8" t="s">
        <v>75</v>
      </c>
      <c r="P1945" s="48">
        <f>HEX2DEC(RIGHT(Table1323212753[[#This Row],[h1]],8))</f>
        <v>0</v>
      </c>
      <c r="Q1945" s="48" t="s">
        <v>75</v>
      </c>
      <c r="R1945" s="48">
        <f>HEX2DEC(RIGHT(Table1323212753[[#This Row],[h2]],8))</f>
        <v>0</v>
      </c>
    </row>
    <row r="1946" spans="1:18">
      <c r="A1946" s="15" t="str">
        <f t="shared" si="35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8" t="s">
        <v>75</v>
      </c>
      <c r="P1946" s="48">
        <f>HEX2DEC(RIGHT(Table1323212753[[#This Row],[h1]],8))</f>
        <v>0</v>
      </c>
      <c r="Q1946" s="48" t="s">
        <v>75</v>
      </c>
      <c r="R1946" s="48">
        <f>HEX2DEC(RIGHT(Table1323212753[[#This Row],[h2]],8))</f>
        <v>0</v>
      </c>
    </row>
    <row r="1947" spans="1:18">
      <c r="A1947" s="15" t="str">
        <f t="shared" si="35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8" t="s">
        <v>75</v>
      </c>
      <c r="P1947" s="48">
        <f>HEX2DEC(RIGHT(Table1323212753[[#This Row],[h1]],8))</f>
        <v>0</v>
      </c>
      <c r="Q1947" s="48" t="s">
        <v>75</v>
      </c>
      <c r="R1947" s="48">
        <f>HEX2DEC(RIGHT(Table1323212753[[#This Row],[h2]],8))</f>
        <v>0</v>
      </c>
    </row>
    <row r="1948" spans="1:18">
      <c r="A1948" s="15" t="str">
        <f t="shared" si="35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8" t="s">
        <v>75</v>
      </c>
      <c r="P1948" s="48">
        <f>HEX2DEC(RIGHT(Table1323212753[[#This Row],[h1]],8))</f>
        <v>0</v>
      </c>
      <c r="Q1948" s="48" t="s">
        <v>75</v>
      </c>
      <c r="R1948" s="48">
        <f>HEX2DEC(RIGHT(Table1323212753[[#This Row],[h2]],8))</f>
        <v>0</v>
      </c>
    </row>
    <row r="1949" spans="1:18">
      <c r="A1949" s="15" t="str">
        <f t="shared" si="35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8" t="s">
        <v>75</v>
      </c>
      <c r="P1949" s="48">
        <f>HEX2DEC(RIGHT(Table1323212753[[#This Row],[h1]],8))</f>
        <v>0</v>
      </c>
      <c r="Q1949" s="48" t="s">
        <v>75</v>
      </c>
      <c r="R1949" s="48">
        <f>HEX2DEC(RIGHT(Table1323212753[[#This Row],[h2]],8))</f>
        <v>0</v>
      </c>
    </row>
    <row r="1950" spans="1:18">
      <c r="A1950" s="15" t="str">
        <f t="shared" si="35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8" t="s">
        <v>75</v>
      </c>
      <c r="P1950" s="48">
        <f>HEX2DEC(RIGHT(Table1323212753[[#This Row],[h1]],8))</f>
        <v>0</v>
      </c>
      <c r="Q1950" s="48" t="s">
        <v>75</v>
      </c>
      <c r="R1950" s="48">
        <f>HEX2DEC(RIGHT(Table1323212753[[#This Row],[h2]],8))</f>
        <v>0</v>
      </c>
    </row>
    <row r="1951" spans="1:18">
      <c r="A1951" s="15" t="str">
        <f t="shared" si="35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8" t="s">
        <v>75</v>
      </c>
      <c r="P1951" s="48">
        <f>HEX2DEC(RIGHT(Table1323212753[[#This Row],[h1]],8))</f>
        <v>0</v>
      </c>
      <c r="Q1951" s="48" t="s">
        <v>75</v>
      </c>
      <c r="R1951" s="48">
        <f>HEX2DEC(RIGHT(Table1323212753[[#This Row],[h2]],8))</f>
        <v>0</v>
      </c>
    </row>
    <row r="1952" spans="1:18">
      <c r="A1952" s="15" t="str">
        <f t="shared" si="35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8" t="s">
        <v>75</v>
      </c>
      <c r="P1952" s="48">
        <f>HEX2DEC(RIGHT(Table1323212753[[#This Row],[h1]],8))</f>
        <v>0</v>
      </c>
      <c r="Q1952" s="48" t="s">
        <v>75</v>
      </c>
      <c r="R1952" s="48">
        <f>HEX2DEC(RIGHT(Table1323212753[[#This Row],[h2]],8))</f>
        <v>0</v>
      </c>
    </row>
    <row r="1953" spans="1:18">
      <c r="A1953" s="15" t="str">
        <f t="shared" si="35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8" t="s">
        <v>75</v>
      </c>
      <c r="P1953" s="48">
        <f>HEX2DEC(RIGHT(Table1323212753[[#This Row],[h1]],8))</f>
        <v>0</v>
      </c>
      <c r="Q1953" s="48" t="s">
        <v>75</v>
      </c>
      <c r="R1953" s="48">
        <f>HEX2DEC(RIGHT(Table1323212753[[#This Row],[h2]],8))</f>
        <v>0</v>
      </c>
    </row>
    <row r="1954" spans="1:18">
      <c r="A1954" s="15" t="str">
        <f t="shared" si="35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8" t="s">
        <v>75</v>
      </c>
      <c r="P1954" s="48">
        <f>HEX2DEC(RIGHT(Table1323212753[[#This Row],[h1]],8))</f>
        <v>0</v>
      </c>
      <c r="Q1954" s="48" t="s">
        <v>75</v>
      </c>
      <c r="R1954" s="48">
        <f>HEX2DEC(RIGHT(Table1323212753[[#This Row],[h2]],8))</f>
        <v>0</v>
      </c>
    </row>
    <row r="1955" spans="1:18">
      <c r="A1955" s="15" t="str">
        <f t="shared" si="35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8" t="s">
        <v>75</v>
      </c>
      <c r="P1955" s="48">
        <f>HEX2DEC(RIGHT(Table1323212753[[#This Row],[h1]],8))</f>
        <v>0</v>
      </c>
      <c r="Q1955" s="48" t="s">
        <v>75</v>
      </c>
      <c r="R1955" s="48">
        <f>HEX2DEC(RIGHT(Table1323212753[[#This Row],[h2]],8))</f>
        <v>0</v>
      </c>
    </row>
    <row r="1956" spans="1:18">
      <c r="A1956" s="15" t="str">
        <f t="shared" si="35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8" t="s">
        <v>75</v>
      </c>
      <c r="P1956" s="48">
        <f>HEX2DEC(RIGHT(Table1323212753[[#This Row],[h1]],8))</f>
        <v>0</v>
      </c>
      <c r="Q1956" s="48" t="s">
        <v>75</v>
      </c>
      <c r="R1956" s="48">
        <f>HEX2DEC(RIGHT(Table1323212753[[#This Row],[h2]],8))</f>
        <v>0</v>
      </c>
    </row>
    <row r="1957" spans="1:18">
      <c r="A1957" s="15" t="str">
        <f t="shared" si="35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8" t="s">
        <v>75</v>
      </c>
      <c r="P1957" s="48">
        <f>HEX2DEC(RIGHT(Table1323212753[[#This Row],[h1]],8))</f>
        <v>0</v>
      </c>
      <c r="Q1957" s="48" t="s">
        <v>75</v>
      </c>
      <c r="R1957" s="48">
        <f>HEX2DEC(RIGHT(Table1323212753[[#This Row],[h2]],8))</f>
        <v>0</v>
      </c>
    </row>
    <row r="1958" spans="1:18">
      <c r="A1958" s="15" t="str">
        <f t="shared" si="35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8" t="s">
        <v>75</v>
      </c>
      <c r="P1958" s="48">
        <f>HEX2DEC(RIGHT(Table1323212753[[#This Row],[h1]],8))</f>
        <v>0</v>
      </c>
      <c r="Q1958" s="48" t="s">
        <v>75</v>
      </c>
      <c r="R1958" s="48">
        <f>HEX2DEC(RIGHT(Table1323212753[[#This Row],[h2]],8))</f>
        <v>0</v>
      </c>
    </row>
    <row r="1959" spans="1:18">
      <c r="A1959" s="15" t="str">
        <f t="shared" si="35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8" t="s">
        <v>75</v>
      </c>
      <c r="P1959" s="48">
        <f>HEX2DEC(RIGHT(Table1323212753[[#This Row],[h1]],8))</f>
        <v>0</v>
      </c>
      <c r="Q1959" s="48" t="s">
        <v>75</v>
      </c>
      <c r="R1959" s="48">
        <f>HEX2DEC(RIGHT(Table1323212753[[#This Row],[h2]],8))</f>
        <v>0</v>
      </c>
    </row>
    <row r="1960" spans="1:18">
      <c r="A1960" s="15" t="str">
        <f t="shared" si="35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8" t="s">
        <v>75</v>
      </c>
      <c r="P1960" s="48">
        <f>HEX2DEC(RIGHT(Table1323212753[[#This Row],[h1]],8))</f>
        <v>0</v>
      </c>
      <c r="Q1960" s="48" t="s">
        <v>75</v>
      </c>
      <c r="R1960" s="48">
        <f>HEX2DEC(RIGHT(Table1323212753[[#This Row],[h2]],8))</f>
        <v>0</v>
      </c>
    </row>
    <row r="1961" spans="1:18">
      <c r="A1961" s="15" t="str">
        <f t="shared" si="35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8" t="s">
        <v>75</v>
      </c>
      <c r="P1961" s="48">
        <f>HEX2DEC(RIGHT(Table1323212753[[#This Row],[h1]],8))</f>
        <v>0</v>
      </c>
      <c r="Q1961" s="48" t="s">
        <v>75</v>
      </c>
      <c r="R1961" s="48">
        <f>HEX2DEC(RIGHT(Table1323212753[[#This Row],[h2]],8))</f>
        <v>0</v>
      </c>
    </row>
    <row r="1962" spans="1:18">
      <c r="A1962" s="15" t="str">
        <f t="shared" si="35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8" t="s">
        <v>75</v>
      </c>
      <c r="P1962" s="48">
        <f>HEX2DEC(RIGHT(Table1323212753[[#This Row],[h1]],8))</f>
        <v>0</v>
      </c>
      <c r="Q1962" s="48" t="s">
        <v>75</v>
      </c>
      <c r="R1962" s="48">
        <f>HEX2DEC(RIGHT(Table1323212753[[#This Row],[h2]],8))</f>
        <v>0</v>
      </c>
    </row>
    <row r="1963" spans="1:18">
      <c r="A1963" s="15" t="str">
        <f t="shared" si="35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8" t="s">
        <v>75</v>
      </c>
      <c r="P1963" s="48">
        <f>HEX2DEC(RIGHT(Table1323212753[[#This Row],[h1]],8))</f>
        <v>0</v>
      </c>
      <c r="Q1963" s="48" t="s">
        <v>75</v>
      </c>
      <c r="R1963" s="48">
        <f>HEX2DEC(RIGHT(Table1323212753[[#This Row],[h2]],8))</f>
        <v>0</v>
      </c>
    </row>
    <row r="1964" spans="1:18">
      <c r="A1964" s="15" t="str">
        <f t="shared" si="35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8" t="s">
        <v>75</v>
      </c>
      <c r="P1964" s="48">
        <f>HEX2DEC(RIGHT(Table1323212753[[#This Row],[h1]],8))</f>
        <v>0</v>
      </c>
      <c r="Q1964" s="48" t="s">
        <v>75</v>
      </c>
      <c r="R1964" s="48">
        <f>HEX2DEC(RIGHT(Table1323212753[[#This Row],[h2]],8))</f>
        <v>0</v>
      </c>
    </row>
    <row r="1965" spans="1:18">
      <c r="A1965" s="15" t="str">
        <f t="shared" si="35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8" t="s">
        <v>75</v>
      </c>
      <c r="P1965" s="48">
        <f>HEX2DEC(RIGHT(Table1323212753[[#This Row],[h1]],8))</f>
        <v>0</v>
      </c>
      <c r="Q1965" s="48" t="s">
        <v>75</v>
      </c>
      <c r="R1965" s="48">
        <f>HEX2DEC(RIGHT(Table1323212753[[#This Row],[h2]],8))</f>
        <v>0</v>
      </c>
    </row>
    <row r="1966" spans="1:18">
      <c r="A1966" s="15" t="str">
        <f t="shared" si="35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8" t="s">
        <v>75</v>
      </c>
      <c r="P1966" s="48">
        <f>HEX2DEC(RIGHT(Table1323212753[[#This Row],[h1]],8))</f>
        <v>0</v>
      </c>
      <c r="Q1966" s="48" t="s">
        <v>75</v>
      </c>
      <c r="R1966" s="48">
        <f>HEX2DEC(RIGHT(Table1323212753[[#This Row],[h2]],8))</f>
        <v>0</v>
      </c>
    </row>
    <row r="1967" spans="1:18">
      <c r="A1967" s="15" t="str">
        <f t="shared" si="35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8" t="s">
        <v>75</v>
      </c>
      <c r="P1967" s="48">
        <f>HEX2DEC(RIGHT(Table1323212753[[#This Row],[h1]],8))</f>
        <v>0</v>
      </c>
      <c r="Q1967" s="48" t="s">
        <v>75</v>
      </c>
      <c r="R1967" s="48">
        <f>HEX2DEC(RIGHT(Table1323212753[[#This Row],[h2]],8))</f>
        <v>0</v>
      </c>
    </row>
    <row r="1968" spans="1:18">
      <c r="A1968" s="15" t="str">
        <f t="shared" si="35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8" t="s">
        <v>75</v>
      </c>
      <c r="P1968" s="48">
        <f>HEX2DEC(RIGHT(Table1323212753[[#This Row],[h1]],8))</f>
        <v>0</v>
      </c>
      <c r="Q1968" s="48" t="s">
        <v>75</v>
      </c>
      <c r="R1968" s="48">
        <f>HEX2DEC(RIGHT(Table1323212753[[#This Row],[h2]],8))</f>
        <v>0</v>
      </c>
    </row>
    <row r="1969" spans="1:18">
      <c r="A1969" s="15" t="str">
        <f t="shared" si="35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8" t="s">
        <v>75</v>
      </c>
      <c r="P1969" s="48">
        <f>HEX2DEC(RIGHT(Table1323212753[[#This Row],[h1]],8))</f>
        <v>0</v>
      </c>
      <c r="Q1969" s="48" t="s">
        <v>75</v>
      </c>
      <c r="R1969" s="48">
        <f>HEX2DEC(RIGHT(Table1323212753[[#This Row],[h2]],8))</f>
        <v>0</v>
      </c>
    </row>
    <row r="1970" spans="1:18">
      <c r="A1970" s="15" t="str">
        <f t="shared" si="35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8" t="s">
        <v>75</v>
      </c>
      <c r="P1970" s="48">
        <f>HEX2DEC(RIGHT(Table1323212753[[#This Row],[h1]],8))</f>
        <v>0</v>
      </c>
      <c r="Q1970" s="48" t="s">
        <v>75</v>
      </c>
      <c r="R1970" s="48">
        <f>HEX2DEC(RIGHT(Table1323212753[[#This Row],[h2]],8))</f>
        <v>0</v>
      </c>
    </row>
    <row r="1971" spans="1:18">
      <c r="A1971" s="15" t="str">
        <f t="shared" si="35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8" t="s">
        <v>75</v>
      </c>
      <c r="P1971" s="48">
        <f>HEX2DEC(RIGHT(Table1323212753[[#This Row],[h1]],8))</f>
        <v>0</v>
      </c>
      <c r="Q1971" s="48" t="s">
        <v>75</v>
      </c>
      <c r="R1971" s="48">
        <f>HEX2DEC(RIGHT(Table1323212753[[#This Row],[h2]],8))</f>
        <v>0</v>
      </c>
    </row>
    <row r="1972" spans="1:18">
      <c r="A1972" s="15" t="str">
        <f t="shared" si="35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8" t="s">
        <v>75</v>
      </c>
      <c r="P1972" s="48">
        <f>HEX2DEC(RIGHT(Table1323212753[[#This Row],[h1]],8))</f>
        <v>0</v>
      </c>
      <c r="Q1972" s="48" t="s">
        <v>75</v>
      </c>
      <c r="R1972" s="48">
        <f>HEX2DEC(RIGHT(Table1323212753[[#This Row],[h2]],8))</f>
        <v>0</v>
      </c>
    </row>
    <row r="1973" spans="1:18">
      <c r="A1973" s="15" t="str">
        <f t="shared" si="35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8" t="s">
        <v>75</v>
      </c>
      <c r="P1973" s="48">
        <f>HEX2DEC(RIGHT(Table1323212753[[#This Row],[h1]],8))</f>
        <v>0</v>
      </c>
      <c r="Q1973" s="48" t="s">
        <v>75</v>
      </c>
      <c r="R1973" s="48">
        <f>HEX2DEC(RIGHT(Table1323212753[[#This Row],[h2]],8))</f>
        <v>0</v>
      </c>
    </row>
    <row r="1974" spans="1:18">
      <c r="A1974" s="15" t="str">
        <f t="shared" si="35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8" t="s">
        <v>75</v>
      </c>
      <c r="P1974" s="48">
        <f>HEX2DEC(RIGHT(Table1323212753[[#This Row],[h1]],8))</f>
        <v>0</v>
      </c>
      <c r="Q1974" s="48" t="s">
        <v>75</v>
      </c>
      <c r="R1974" s="48">
        <f>HEX2DEC(RIGHT(Table1323212753[[#This Row],[h2]],8))</f>
        <v>0</v>
      </c>
    </row>
    <row r="1975" spans="1:18">
      <c r="A1975" s="15" t="str">
        <f t="shared" si="35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8" t="s">
        <v>75</v>
      </c>
      <c r="P1975" s="48">
        <f>HEX2DEC(RIGHT(Table1323212753[[#This Row],[h1]],8))</f>
        <v>0</v>
      </c>
      <c r="Q1975" s="48" t="s">
        <v>75</v>
      </c>
      <c r="R1975" s="48">
        <f>HEX2DEC(RIGHT(Table1323212753[[#This Row],[h2]],8))</f>
        <v>0</v>
      </c>
    </row>
    <row r="1976" spans="1:18">
      <c r="A1976" s="15" t="str">
        <f t="shared" si="35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8" t="s">
        <v>75</v>
      </c>
      <c r="P1976" s="48">
        <f>HEX2DEC(RIGHT(Table1323212753[[#This Row],[h1]],8))</f>
        <v>0</v>
      </c>
      <c r="Q1976" s="48" t="s">
        <v>75</v>
      </c>
      <c r="R1976" s="48">
        <f>HEX2DEC(RIGHT(Table1323212753[[#This Row],[h2]],8))</f>
        <v>0</v>
      </c>
    </row>
    <row r="1977" spans="1:18">
      <c r="A1977" s="15" t="str">
        <f t="shared" si="35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8" t="s">
        <v>75</v>
      </c>
      <c r="P1977" s="48">
        <f>HEX2DEC(RIGHT(Table1323212753[[#This Row],[h1]],8))</f>
        <v>0</v>
      </c>
      <c r="Q1977" s="48" t="s">
        <v>75</v>
      </c>
      <c r="R1977" s="48">
        <f>HEX2DEC(RIGHT(Table1323212753[[#This Row],[h2]],8))</f>
        <v>0</v>
      </c>
    </row>
    <row r="1978" spans="1:18">
      <c r="A1978" s="15" t="str">
        <f t="shared" si="35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8" t="s">
        <v>75</v>
      </c>
      <c r="P1978" s="48">
        <f>HEX2DEC(RIGHT(Table1323212753[[#This Row],[h1]],8))</f>
        <v>0</v>
      </c>
      <c r="Q1978" s="48" t="s">
        <v>75</v>
      </c>
      <c r="R1978" s="48">
        <f>HEX2DEC(RIGHT(Table1323212753[[#This Row],[h2]],8))</f>
        <v>0</v>
      </c>
    </row>
    <row r="1979" spans="1:18">
      <c r="A1979" s="15" t="str">
        <f t="shared" si="35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8" t="s">
        <v>75</v>
      </c>
      <c r="P1979" s="48">
        <f>HEX2DEC(RIGHT(Table1323212753[[#This Row],[h1]],8))</f>
        <v>0</v>
      </c>
      <c r="Q1979" s="48" t="s">
        <v>75</v>
      </c>
      <c r="R1979" s="48">
        <f>HEX2DEC(RIGHT(Table1323212753[[#This Row],[h2]],8))</f>
        <v>0</v>
      </c>
    </row>
    <row r="1980" spans="1:18">
      <c r="A1980" s="15" t="str">
        <f t="shared" si="35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8" t="s">
        <v>75</v>
      </c>
      <c r="P1980" s="48">
        <f>HEX2DEC(RIGHT(Table1323212753[[#This Row],[h1]],8))</f>
        <v>0</v>
      </c>
      <c r="Q1980" s="48" t="s">
        <v>75</v>
      </c>
      <c r="R1980" s="48">
        <f>HEX2DEC(RIGHT(Table1323212753[[#This Row],[h2]],8))</f>
        <v>0</v>
      </c>
    </row>
    <row r="1981" spans="1:18">
      <c r="A1981" s="15" t="str">
        <f t="shared" si="35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8" t="s">
        <v>75</v>
      </c>
      <c r="P1981" s="48">
        <f>HEX2DEC(RIGHT(Table1323212753[[#This Row],[h1]],8))</f>
        <v>0</v>
      </c>
      <c r="Q1981" s="48" t="s">
        <v>75</v>
      </c>
      <c r="R1981" s="48">
        <f>HEX2DEC(RIGHT(Table1323212753[[#This Row],[h2]],8))</f>
        <v>0</v>
      </c>
    </row>
    <row r="1982" spans="1:18">
      <c r="A1982" s="15" t="str">
        <f t="shared" si="35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8" t="s">
        <v>75</v>
      </c>
      <c r="P1982" s="48">
        <f>HEX2DEC(RIGHT(Table1323212753[[#This Row],[h1]],8))</f>
        <v>0</v>
      </c>
      <c r="Q1982" s="48" t="s">
        <v>75</v>
      </c>
      <c r="R1982" s="48">
        <f>HEX2DEC(RIGHT(Table1323212753[[#This Row],[h2]],8))</f>
        <v>0</v>
      </c>
    </row>
    <row r="1983" spans="1:18">
      <c r="A1983" s="15" t="str">
        <f t="shared" si="35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8" t="s">
        <v>75</v>
      </c>
      <c r="P1983" s="48">
        <f>HEX2DEC(RIGHT(Table1323212753[[#This Row],[h1]],8))</f>
        <v>0</v>
      </c>
      <c r="Q1983" s="48" t="s">
        <v>75</v>
      </c>
      <c r="R1983" s="48">
        <f>HEX2DEC(RIGHT(Table1323212753[[#This Row],[h2]],8))</f>
        <v>0</v>
      </c>
    </row>
    <row r="1984" spans="1:18">
      <c r="A1984" s="15" t="str">
        <f t="shared" si="35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8" t="s">
        <v>75</v>
      </c>
      <c r="P1984" s="48">
        <f>HEX2DEC(RIGHT(Table1323212753[[#This Row],[h1]],8))</f>
        <v>0</v>
      </c>
      <c r="Q1984" s="48" t="s">
        <v>75</v>
      </c>
      <c r="R1984" s="48">
        <f>HEX2DEC(RIGHT(Table1323212753[[#This Row],[h2]],8))</f>
        <v>0</v>
      </c>
    </row>
    <row r="1985" spans="1:18">
      <c r="A1985" s="15" t="str">
        <f t="shared" si="35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8" t="s">
        <v>75</v>
      </c>
      <c r="P1985" s="48">
        <f>HEX2DEC(RIGHT(Table1323212753[[#This Row],[h1]],8))</f>
        <v>0</v>
      </c>
      <c r="Q1985" s="48" t="s">
        <v>75</v>
      </c>
      <c r="R1985" s="48">
        <f>HEX2DEC(RIGHT(Table1323212753[[#This Row],[h2]],8))</f>
        <v>0</v>
      </c>
    </row>
    <row r="1986" spans="1:18">
      <c r="A1986" s="15" t="str">
        <f t="shared" si="35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8" t="s">
        <v>75</v>
      </c>
      <c r="P1986" s="48">
        <f>HEX2DEC(RIGHT(Table1323212753[[#This Row],[h1]],8))</f>
        <v>0</v>
      </c>
      <c r="Q1986" s="48" t="s">
        <v>75</v>
      </c>
      <c r="R1986" s="48">
        <f>HEX2DEC(RIGHT(Table1323212753[[#This Row],[h2]],8))</f>
        <v>0</v>
      </c>
    </row>
    <row r="1987" spans="1:18">
      <c r="A1987" s="15" t="str">
        <f t="shared" si="35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8" t="s">
        <v>75</v>
      </c>
      <c r="P1987" s="48">
        <f>HEX2DEC(RIGHT(Table1323212753[[#This Row],[h1]],8))</f>
        <v>0</v>
      </c>
      <c r="Q1987" s="48" t="s">
        <v>75</v>
      </c>
      <c r="R1987" s="48">
        <f>HEX2DEC(RIGHT(Table1323212753[[#This Row],[h2]],8))</f>
        <v>0</v>
      </c>
    </row>
    <row r="1988" spans="1:18">
      <c r="A1988" s="15" t="str">
        <f t="shared" si="35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8" t="s">
        <v>75</v>
      </c>
      <c r="P1988" s="48">
        <f>HEX2DEC(RIGHT(Table1323212753[[#This Row],[h1]],8))</f>
        <v>0</v>
      </c>
      <c r="Q1988" s="48" t="s">
        <v>75</v>
      </c>
      <c r="R1988" s="48">
        <f>HEX2DEC(RIGHT(Table1323212753[[#This Row],[h2]],8))</f>
        <v>0</v>
      </c>
    </row>
    <row r="1989" spans="1:18">
      <c r="A1989" s="15" t="str">
        <f t="shared" si="35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8" t="s">
        <v>75</v>
      </c>
      <c r="P1989" s="48">
        <f>HEX2DEC(RIGHT(Table1323212753[[#This Row],[h1]],8))</f>
        <v>0</v>
      </c>
      <c r="Q1989" s="48" t="s">
        <v>75</v>
      </c>
      <c r="R1989" s="48">
        <f>HEX2DEC(RIGHT(Table1323212753[[#This Row],[h2]],8))</f>
        <v>0</v>
      </c>
    </row>
    <row r="1990" spans="1:18">
      <c r="A1990" s="15" t="str">
        <f t="shared" si="35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8" t="s">
        <v>75</v>
      </c>
      <c r="P1990" s="48">
        <f>HEX2DEC(RIGHT(Table1323212753[[#This Row],[h1]],8))</f>
        <v>0</v>
      </c>
      <c r="Q1990" s="48" t="s">
        <v>75</v>
      </c>
      <c r="R1990" s="48">
        <f>HEX2DEC(RIGHT(Table1323212753[[#This Row],[h2]],8))</f>
        <v>0</v>
      </c>
    </row>
    <row r="1991" spans="1:18">
      <c r="A1991" s="15" t="str">
        <f t="shared" si="35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8" t="s">
        <v>75</v>
      </c>
      <c r="P1991" s="48">
        <f>HEX2DEC(RIGHT(Table1323212753[[#This Row],[h1]],8))</f>
        <v>0</v>
      </c>
      <c r="Q1991" s="48" t="s">
        <v>75</v>
      </c>
      <c r="R1991" s="48">
        <f>HEX2DEC(RIGHT(Table1323212753[[#This Row],[h2]],8))</f>
        <v>0</v>
      </c>
    </row>
    <row r="1992" spans="1:18">
      <c r="A1992" s="15" t="str">
        <f t="shared" si="35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8" t="s">
        <v>75</v>
      </c>
      <c r="P1992" s="48">
        <f>HEX2DEC(RIGHT(Table1323212753[[#This Row],[h1]],8))</f>
        <v>0</v>
      </c>
      <c r="Q1992" s="48" t="s">
        <v>75</v>
      </c>
      <c r="R1992" s="48">
        <f>HEX2DEC(RIGHT(Table1323212753[[#This Row],[h2]],8))</f>
        <v>0</v>
      </c>
    </row>
    <row r="1993" spans="1:18">
      <c r="A1993" s="15" t="str">
        <f t="shared" si="35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8" t="s">
        <v>75</v>
      </c>
      <c r="P1993" s="48">
        <f>HEX2DEC(RIGHT(Table1323212753[[#This Row],[h1]],8))</f>
        <v>0</v>
      </c>
      <c r="Q1993" s="48" t="s">
        <v>75</v>
      </c>
      <c r="R1993" s="48">
        <f>HEX2DEC(RIGHT(Table1323212753[[#This Row],[h2]],8))</f>
        <v>0</v>
      </c>
    </row>
    <row r="1994" spans="1:18">
      <c r="A1994" s="15" t="str">
        <f t="shared" si="35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8" t="s">
        <v>75</v>
      </c>
      <c r="P1994" s="48">
        <f>HEX2DEC(RIGHT(Table1323212753[[#This Row],[h1]],8))</f>
        <v>0</v>
      </c>
      <c r="Q1994" s="48" t="s">
        <v>75</v>
      </c>
      <c r="R1994" s="48">
        <f>HEX2DEC(RIGHT(Table1323212753[[#This Row],[h2]],8))</f>
        <v>0</v>
      </c>
    </row>
    <row r="1995" spans="1:18">
      <c r="A1995" s="15" t="str">
        <f t="shared" ref="A1995:A2057" si="36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8" t="s">
        <v>75</v>
      </c>
      <c r="P1995" s="48">
        <f>HEX2DEC(RIGHT(Table1323212753[[#This Row],[h1]],8))</f>
        <v>0</v>
      </c>
      <c r="Q1995" s="48" t="s">
        <v>75</v>
      </c>
      <c r="R1995" s="48">
        <f>HEX2DEC(RIGHT(Table1323212753[[#This Row],[h2]],8))</f>
        <v>0</v>
      </c>
    </row>
    <row r="1996" spans="1:18">
      <c r="A1996" s="15" t="str">
        <f t="shared" si="36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8" t="s">
        <v>75</v>
      </c>
      <c r="P1996" s="48">
        <f>HEX2DEC(RIGHT(Table1323212753[[#This Row],[h1]],8))</f>
        <v>0</v>
      </c>
      <c r="Q1996" s="48" t="s">
        <v>75</v>
      </c>
      <c r="R1996" s="48">
        <f>HEX2DEC(RIGHT(Table1323212753[[#This Row],[h2]],8))</f>
        <v>0</v>
      </c>
    </row>
    <row r="1997" spans="1:18">
      <c r="A1997" s="15" t="str">
        <f t="shared" si="36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8" t="s">
        <v>75</v>
      </c>
      <c r="P1997" s="48">
        <f>HEX2DEC(RIGHT(Table1323212753[[#This Row],[h1]],8))</f>
        <v>0</v>
      </c>
      <c r="Q1997" s="48" t="s">
        <v>75</v>
      </c>
      <c r="R1997" s="48">
        <f>HEX2DEC(RIGHT(Table1323212753[[#This Row],[h2]],8))</f>
        <v>0</v>
      </c>
    </row>
    <row r="1998" spans="1:18">
      <c r="A1998" s="15" t="str">
        <f t="shared" si="36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8" t="s">
        <v>75</v>
      </c>
      <c r="P1998" s="48">
        <f>HEX2DEC(RIGHT(Table1323212753[[#This Row],[h1]],8))</f>
        <v>0</v>
      </c>
      <c r="Q1998" s="48" t="s">
        <v>75</v>
      </c>
      <c r="R1998" s="48">
        <f>HEX2DEC(RIGHT(Table1323212753[[#This Row],[h2]],8))</f>
        <v>0</v>
      </c>
    </row>
    <row r="1999" spans="1:18">
      <c r="A1999" s="15" t="str">
        <f t="shared" si="36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8" t="s">
        <v>75</v>
      </c>
      <c r="P1999" s="48">
        <f>HEX2DEC(RIGHT(Table1323212753[[#This Row],[h1]],8))</f>
        <v>0</v>
      </c>
      <c r="Q1999" s="48" t="s">
        <v>75</v>
      </c>
      <c r="R1999" s="48">
        <f>HEX2DEC(RIGHT(Table1323212753[[#This Row],[h2]],8))</f>
        <v>0</v>
      </c>
    </row>
    <row r="2000" spans="1:18">
      <c r="A2000" s="15" t="str">
        <f t="shared" si="36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8" t="s">
        <v>75</v>
      </c>
      <c r="P2000" s="48">
        <f>HEX2DEC(RIGHT(Table1323212753[[#This Row],[h1]],8))</f>
        <v>0</v>
      </c>
      <c r="Q2000" s="48" t="s">
        <v>75</v>
      </c>
      <c r="R2000" s="48">
        <f>HEX2DEC(RIGHT(Table1323212753[[#This Row],[h2]],8))</f>
        <v>0</v>
      </c>
    </row>
    <row r="2001" spans="1:18">
      <c r="A2001" s="15" t="str">
        <f t="shared" si="36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8" t="s">
        <v>75</v>
      </c>
      <c r="P2001" s="48">
        <f>HEX2DEC(RIGHT(Table1323212753[[#This Row],[h1]],8))</f>
        <v>0</v>
      </c>
      <c r="Q2001" s="48" t="s">
        <v>75</v>
      </c>
      <c r="R2001" s="48">
        <f>HEX2DEC(RIGHT(Table1323212753[[#This Row],[h2]],8))</f>
        <v>0</v>
      </c>
    </row>
    <row r="2002" spans="1:18">
      <c r="A2002" s="15" t="str">
        <f t="shared" si="36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8" t="s">
        <v>75</v>
      </c>
      <c r="P2002" s="48">
        <f>HEX2DEC(RIGHT(Table1323212753[[#This Row],[h1]],8))</f>
        <v>0</v>
      </c>
      <c r="Q2002" s="48" t="s">
        <v>75</v>
      </c>
      <c r="R2002" s="48">
        <f>HEX2DEC(RIGHT(Table1323212753[[#This Row],[h2]],8))</f>
        <v>0</v>
      </c>
    </row>
    <row r="2003" spans="1:18">
      <c r="A2003" s="15" t="str">
        <f t="shared" si="36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8" t="s">
        <v>75</v>
      </c>
      <c r="P2003" s="48">
        <f>HEX2DEC(RIGHT(Table1323212753[[#This Row],[h1]],8))</f>
        <v>0</v>
      </c>
      <c r="Q2003" s="48" t="s">
        <v>75</v>
      </c>
      <c r="R2003" s="48">
        <f>HEX2DEC(RIGHT(Table1323212753[[#This Row],[h2]],8))</f>
        <v>0</v>
      </c>
    </row>
    <row r="2004" spans="1:18">
      <c r="A2004" s="15" t="str">
        <f t="shared" si="36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8" t="s">
        <v>75</v>
      </c>
      <c r="P2004" s="48">
        <f>HEX2DEC(RIGHT(Table1323212753[[#This Row],[h1]],8))</f>
        <v>0</v>
      </c>
      <c r="Q2004" s="48" t="s">
        <v>75</v>
      </c>
      <c r="R2004" s="48">
        <f>HEX2DEC(RIGHT(Table1323212753[[#This Row],[h2]],8))</f>
        <v>0</v>
      </c>
    </row>
    <row r="2005" spans="1:18">
      <c r="A2005" s="15" t="str">
        <f t="shared" si="36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8" t="s">
        <v>75</v>
      </c>
      <c r="P2005" s="48">
        <f>HEX2DEC(RIGHT(Table1323212753[[#This Row],[h1]],8))</f>
        <v>0</v>
      </c>
      <c r="Q2005" s="48" t="s">
        <v>75</v>
      </c>
      <c r="R2005" s="48">
        <f>HEX2DEC(RIGHT(Table1323212753[[#This Row],[h2]],8))</f>
        <v>0</v>
      </c>
    </row>
    <row r="2006" spans="1:18">
      <c r="A2006" s="15" t="str">
        <f t="shared" si="36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8" t="s">
        <v>75</v>
      </c>
      <c r="P2006" s="48">
        <f>HEX2DEC(RIGHT(Table1323212753[[#This Row],[h1]],8))</f>
        <v>0</v>
      </c>
      <c r="Q2006" s="48" t="s">
        <v>75</v>
      </c>
      <c r="R2006" s="48">
        <f>HEX2DEC(RIGHT(Table1323212753[[#This Row],[h2]],8))</f>
        <v>0</v>
      </c>
    </row>
    <row r="2007" spans="1:18">
      <c r="A2007" s="15" t="str">
        <f t="shared" si="36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8" t="s">
        <v>75</v>
      </c>
      <c r="P2007" s="48">
        <f>HEX2DEC(RIGHT(Table1323212753[[#This Row],[h1]],8))</f>
        <v>0</v>
      </c>
      <c r="Q2007" s="48" t="s">
        <v>75</v>
      </c>
      <c r="R2007" s="48">
        <f>HEX2DEC(RIGHT(Table1323212753[[#This Row],[h2]],8))</f>
        <v>0</v>
      </c>
    </row>
    <row r="2008" spans="1:18">
      <c r="A2008" s="15" t="str">
        <f t="shared" si="36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8" t="s">
        <v>75</v>
      </c>
      <c r="P2008" s="48">
        <f>HEX2DEC(RIGHT(Table1323212753[[#This Row],[h1]],8))</f>
        <v>0</v>
      </c>
      <c r="Q2008" s="48" t="s">
        <v>75</v>
      </c>
      <c r="R2008" s="48">
        <f>HEX2DEC(RIGHT(Table1323212753[[#This Row],[h2]],8))</f>
        <v>0</v>
      </c>
    </row>
    <row r="2009" spans="1:18">
      <c r="A2009" s="15" t="str">
        <f t="shared" si="36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8" t="s">
        <v>75</v>
      </c>
      <c r="P2009" s="48">
        <f>HEX2DEC(RIGHT(Table1323212753[[#This Row],[h1]],8))</f>
        <v>0</v>
      </c>
      <c r="Q2009" s="48" t="s">
        <v>75</v>
      </c>
      <c r="R2009" s="48">
        <f>HEX2DEC(RIGHT(Table1323212753[[#This Row],[h2]],8))</f>
        <v>0</v>
      </c>
    </row>
    <row r="2010" spans="1:18">
      <c r="A2010" s="15" t="str">
        <f t="shared" si="36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8" t="s">
        <v>75</v>
      </c>
      <c r="P2010" s="48">
        <f>HEX2DEC(RIGHT(Table1323212753[[#This Row],[h1]],8))</f>
        <v>0</v>
      </c>
      <c r="Q2010" s="48" t="s">
        <v>75</v>
      </c>
      <c r="R2010" s="48">
        <f>HEX2DEC(RIGHT(Table1323212753[[#This Row],[h2]],8))</f>
        <v>0</v>
      </c>
    </row>
    <row r="2011" spans="1:18">
      <c r="A2011" s="15" t="str">
        <f t="shared" si="36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8" t="s">
        <v>75</v>
      </c>
      <c r="P2011" s="48">
        <f>HEX2DEC(RIGHT(Table1323212753[[#This Row],[h1]],8))</f>
        <v>0</v>
      </c>
      <c r="Q2011" s="48" t="s">
        <v>75</v>
      </c>
      <c r="R2011" s="48">
        <f>HEX2DEC(RIGHT(Table1323212753[[#This Row],[h2]],8))</f>
        <v>0</v>
      </c>
    </row>
    <row r="2012" spans="1:18">
      <c r="A2012" s="15" t="str">
        <f t="shared" si="36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8" t="s">
        <v>75</v>
      </c>
      <c r="P2012" s="48">
        <f>HEX2DEC(RIGHT(Table1323212753[[#This Row],[h1]],8))</f>
        <v>0</v>
      </c>
      <c r="Q2012" s="48" t="s">
        <v>75</v>
      </c>
      <c r="R2012" s="48">
        <f>HEX2DEC(RIGHT(Table1323212753[[#This Row],[h2]],8))</f>
        <v>0</v>
      </c>
    </row>
    <row r="2013" spans="1:18">
      <c r="A2013" s="15" t="str">
        <f t="shared" si="36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8" t="s">
        <v>75</v>
      </c>
      <c r="P2013" s="48">
        <f>HEX2DEC(RIGHT(Table1323212753[[#This Row],[h1]],8))</f>
        <v>0</v>
      </c>
      <c r="Q2013" s="48" t="s">
        <v>75</v>
      </c>
      <c r="R2013" s="48">
        <f>HEX2DEC(RIGHT(Table1323212753[[#This Row],[h2]],8))</f>
        <v>0</v>
      </c>
    </row>
    <row r="2014" spans="1:18">
      <c r="A2014" s="15" t="str">
        <f t="shared" si="36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8" t="s">
        <v>75</v>
      </c>
      <c r="P2014" s="48">
        <f>HEX2DEC(RIGHT(Table1323212753[[#This Row],[h1]],8))</f>
        <v>0</v>
      </c>
      <c r="Q2014" s="48" t="s">
        <v>75</v>
      </c>
      <c r="R2014" s="48">
        <f>HEX2DEC(RIGHT(Table1323212753[[#This Row],[h2]],8))</f>
        <v>0</v>
      </c>
    </row>
    <row r="2015" spans="1:18">
      <c r="A2015" s="15" t="str">
        <f t="shared" si="36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8" t="s">
        <v>75</v>
      </c>
      <c r="P2015" s="48">
        <f>HEX2DEC(RIGHT(Table1323212753[[#This Row],[h1]],8))</f>
        <v>0</v>
      </c>
      <c r="Q2015" s="48" t="s">
        <v>75</v>
      </c>
      <c r="R2015" s="48">
        <f>HEX2DEC(RIGHT(Table1323212753[[#This Row],[h2]],8))</f>
        <v>0</v>
      </c>
    </row>
    <row r="2016" spans="1:18">
      <c r="A2016" s="15" t="str">
        <f t="shared" si="36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8" t="s">
        <v>75</v>
      </c>
      <c r="P2016" s="48">
        <f>HEX2DEC(RIGHT(Table1323212753[[#This Row],[h1]],8))</f>
        <v>0</v>
      </c>
      <c r="Q2016" s="48" t="s">
        <v>75</v>
      </c>
      <c r="R2016" s="48">
        <f>HEX2DEC(RIGHT(Table1323212753[[#This Row],[h2]],8))</f>
        <v>0</v>
      </c>
    </row>
    <row r="2017" spans="1:18">
      <c r="A2017" s="15" t="str">
        <f t="shared" si="36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8" t="s">
        <v>75</v>
      </c>
      <c r="P2017" s="48">
        <f>HEX2DEC(RIGHT(Table1323212753[[#This Row],[h1]],8))</f>
        <v>0</v>
      </c>
      <c r="Q2017" s="48" t="s">
        <v>75</v>
      </c>
      <c r="R2017" s="48">
        <f>HEX2DEC(RIGHT(Table1323212753[[#This Row],[h2]],8))</f>
        <v>0</v>
      </c>
    </row>
    <row r="2018" spans="1:18">
      <c r="A2018" s="15" t="str">
        <f t="shared" si="36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8" t="s">
        <v>75</v>
      </c>
      <c r="P2018" s="48">
        <f>HEX2DEC(RIGHT(Table1323212753[[#This Row],[h1]],8))</f>
        <v>0</v>
      </c>
      <c r="Q2018" s="48" t="s">
        <v>75</v>
      </c>
      <c r="R2018" s="48">
        <f>HEX2DEC(RIGHT(Table1323212753[[#This Row],[h2]],8))</f>
        <v>0</v>
      </c>
    </row>
    <row r="2019" spans="1:18">
      <c r="A2019" s="15" t="str">
        <f t="shared" si="36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8" t="s">
        <v>75</v>
      </c>
      <c r="P2019" s="48">
        <f>HEX2DEC(RIGHT(Table1323212753[[#This Row],[h1]],8))</f>
        <v>0</v>
      </c>
      <c r="Q2019" s="48" t="s">
        <v>75</v>
      </c>
      <c r="R2019" s="48">
        <f>HEX2DEC(RIGHT(Table1323212753[[#This Row],[h2]],8))</f>
        <v>0</v>
      </c>
    </row>
    <row r="2020" spans="1:18">
      <c r="A2020" s="15" t="str">
        <f t="shared" si="36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8" t="s">
        <v>75</v>
      </c>
      <c r="P2020" s="48">
        <f>HEX2DEC(RIGHT(Table1323212753[[#This Row],[h1]],8))</f>
        <v>0</v>
      </c>
      <c r="Q2020" s="48" t="s">
        <v>75</v>
      </c>
      <c r="R2020" s="48">
        <f>HEX2DEC(RIGHT(Table1323212753[[#This Row],[h2]],8))</f>
        <v>0</v>
      </c>
    </row>
    <row r="2021" spans="1:18">
      <c r="A2021" s="15" t="str">
        <f t="shared" si="36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8" t="s">
        <v>75</v>
      </c>
      <c r="P2021" s="48">
        <f>HEX2DEC(RIGHT(Table1323212753[[#This Row],[h1]],8))</f>
        <v>0</v>
      </c>
      <c r="Q2021" s="48" t="s">
        <v>75</v>
      </c>
      <c r="R2021" s="48">
        <f>HEX2DEC(RIGHT(Table1323212753[[#This Row],[h2]],8))</f>
        <v>0</v>
      </c>
    </row>
    <row r="2022" spans="1:18">
      <c r="A2022" s="15" t="str">
        <f t="shared" si="36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8" t="s">
        <v>75</v>
      </c>
      <c r="P2022" s="48">
        <f>HEX2DEC(RIGHT(Table1323212753[[#This Row],[h1]],8))</f>
        <v>0</v>
      </c>
      <c r="Q2022" s="48" t="s">
        <v>75</v>
      </c>
      <c r="R2022" s="48">
        <f>HEX2DEC(RIGHT(Table1323212753[[#This Row],[h2]],8))</f>
        <v>0</v>
      </c>
    </row>
    <row r="2023" spans="1:18">
      <c r="A2023" s="15" t="str">
        <f t="shared" si="36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8" t="s">
        <v>75</v>
      </c>
      <c r="P2023" s="48">
        <f>HEX2DEC(RIGHT(Table1323212753[[#This Row],[h1]],8))</f>
        <v>0</v>
      </c>
      <c r="Q2023" s="48" t="s">
        <v>75</v>
      </c>
      <c r="R2023" s="48">
        <f>HEX2DEC(RIGHT(Table1323212753[[#This Row],[h2]],8))</f>
        <v>0</v>
      </c>
    </row>
    <row r="2024" spans="1:18">
      <c r="A2024" s="15" t="str">
        <f t="shared" si="36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8" t="s">
        <v>75</v>
      </c>
      <c r="P2024" s="48">
        <f>HEX2DEC(RIGHT(Table1323212753[[#This Row],[h1]],8))</f>
        <v>0</v>
      </c>
      <c r="Q2024" s="48" t="s">
        <v>75</v>
      </c>
      <c r="R2024" s="48">
        <f>HEX2DEC(RIGHT(Table1323212753[[#This Row],[h2]],8))</f>
        <v>0</v>
      </c>
    </row>
    <row r="2025" spans="1:18">
      <c r="A2025" s="15" t="str">
        <f t="shared" si="36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8" t="s">
        <v>75</v>
      </c>
      <c r="P2025" s="48">
        <f>HEX2DEC(RIGHT(Table1323212753[[#This Row],[h1]],8))</f>
        <v>0</v>
      </c>
      <c r="Q2025" s="48" t="s">
        <v>75</v>
      </c>
      <c r="R2025" s="48">
        <f>HEX2DEC(RIGHT(Table1323212753[[#This Row],[h2]],8))</f>
        <v>0</v>
      </c>
    </row>
    <row r="2026" spans="1:18">
      <c r="A2026" s="15" t="str">
        <f t="shared" si="36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8" t="s">
        <v>75</v>
      </c>
      <c r="P2026" s="48">
        <f>HEX2DEC(RIGHT(Table1323212753[[#This Row],[h1]],8))</f>
        <v>0</v>
      </c>
      <c r="Q2026" s="48" t="s">
        <v>75</v>
      </c>
      <c r="R2026" s="48">
        <f>HEX2DEC(RIGHT(Table1323212753[[#This Row],[h2]],8))</f>
        <v>0</v>
      </c>
    </row>
    <row r="2027" spans="1:18">
      <c r="A2027" s="15" t="str">
        <f t="shared" si="36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8" t="s">
        <v>75</v>
      </c>
      <c r="P2027" s="48">
        <f>HEX2DEC(RIGHT(Table1323212753[[#This Row],[h1]],8))</f>
        <v>0</v>
      </c>
      <c r="Q2027" s="48" t="s">
        <v>75</v>
      </c>
      <c r="R2027" s="48">
        <f>HEX2DEC(RIGHT(Table1323212753[[#This Row],[h2]],8))</f>
        <v>0</v>
      </c>
    </row>
    <row r="2028" spans="1:18">
      <c r="A2028" s="15" t="str">
        <f t="shared" si="36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8" t="s">
        <v>75</v>
      </c>
      <c r="P2028" s="48">
        <f>HEX2DEC(RIGHT(Table1323212753[[#This Row],[h1]],8))</f>
        <v>0</v>
      </c>
      <c r="Q2028" s="48" t="s">
        <v>75</v>
      </c>
      <c r="R2028" s="48">
        <f>HEX2DEC(RIGHT(Table1323212753[[#This Row],[h2]],8))</f>
        <v>0</v>
      </c>
    </row>
    <row r="2029" spans="1:18">
      <c r="A2029" s="15" t="str">
        <f t="shared" si="36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8" t="s">
        <v>75</v>
      </c>
      <c r="P2029" s="48">
        <f>HEX2DEC(RIGHT(Table1323212753[[#This Row],[h1]],8))</f>
        <v>0</v>
      </c>
      <c r="Q2029" s="48" t="s">
        <v>75</v>
      </c>
      <c r="R2029" s="48">
        <f>HEX2DEC(RIGHT(Table1323212753[[#This Row],[h2]],8))</f>
        <v>0</v>
      </c>
    </row>
    <row r="2030" spans="1:18">
      <c r="A2030" s="15" t="str">
        <f t="shared" si="36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8" t="s">
        <v>75</v>
      </c>
      <c r="P2030" s="48">
        <f>HEX2DEC(RIGHT(Table1323212753[[#This Row],[h1]],8))</f>
        <v>0</v>
      </c>
      <c r="Q2030" s="48" t="s">
        <v>75</v>
      </c>
      <c r="R2030" s="48">
        <f>HEX2DEC(RIGHT(Table1323212753[[#This Row],[h2]],8))</f>
        <v>0</v>
      </c>
    </row>
    <row r="2031" spans="1:18">
      <c r="A2031" s="15" t="str">
        <f t="shared" si="36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8" t="s">
        <v>75</v>
      </c>
      <c r="P2031" s="48">
        <f>HEX2DEC(RIGHT(Table1323212753[[#This Row],[h1]],8))</f>
        <v>0</v>
      </c>
      <c r="Q2031" s="48" t="s">
        <v>75</v>
      </c>
      <c r="R2031" s="48">
        <f>HEX2DEC(RIGHT(Table1323212753[[#This Row],[h2]],8))</f>
        <v>0</v>
      </c>
    </row>
    <row r="2032" spans="1:18">
      <c r="A2032" s="15" t="str">
        <f t="shared" si="36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8" t="s">
        <v>75</v>
      </c>
      <c r="P2032" s="48">
        <f>HEX2DEC(RIGHT(Table1323212753[[#This Row],[h1]],8))</f>
        <v>0</v>
      </c>
      <c r="Q2032" s="48" t="s">
        <v>75</v>
      </c>
      <c r="R2032" s="48">
        <f>HEX2DEC(RIGHT(Table1323212753[[#This Row],[h2]],8))</f>
        <v>0</v>
      </c>
    </row>
    <row r="2033" spans="1:18">
      <c r="A2033" s="15" t="str">
        <f t="shared" si="36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8" t="s">
        <v>75</v>
      </c>
      <c r="P2033" s="48">
        <f>HEX2DEC(RIGHT(Table1323212753[[#This Row],[h1]],8))</f>
        <v>0</v>
      </c>
      <c r="Q2033" s="48" t="s">
        <v>75</v>
      </c>
      <c r="R2033" s="48">
        <f>HEX2DEC(RIGHT(Table1323212753[[#This Row],[h2]],8))</f>
        <v>0</v>
      </c>
    </row>
    <row r="2034" spans="1:18">
      <c r="A2034" s="15" t="str">
        <f t="shared" si="36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8" t="s">
        <v>75</v>
      </c>
      <c r="P2034" s="48">
        <f>HEX2DEC(RIGHT(Table1323212753[[#This Row],[h1]],8))</f>
        <v>0</v>
      </c>
      <c r="Q2034" s="48" t="s">
        <v>75</v>
      </c>
      <c r="R2034" s="48">
        <f>HEX2DEC(RIGHT(Table1323212753[[#This Row],[h2]],8))</f>
        <v>0</v>
      </c>
    </row>
    <row r="2035" spans="1:18">
      <c r="A2035" s="15" t="str">
        <f t="shared" si="36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8" t="s">
        <v>75</v>
      </c>
      <c r="P2035" s="48">
        <f>HEX2DEC(RIGHT(Table1323212753[[#This Row],[h1]],8))</f>
        <v>0</v>
      </c>
      <c r="Q2035" s="48" t="s">
        <v>75</v>
      </c>
      <c r="R2035" s="48">
        <f>HEX2DEC(RIGHT(Table1323212753[[#This Row],[h2]],8))</f>
        <v>0</v>
      </c>
    </row>
    <row r="2036" spans="1:18">
      <c r="A2036" s="15" t="str">
        <f t="shared" si="36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8" t="s">
        <v>75</v>
      </c>
      <c r="P2036" s="48">
        <f>HEX2DEC(RIGHT(Table1323212753[[#This Row],[h1]],8))</f>
        <v>0</v>
      </c>
      <c r="Q2036" s="48" t="s">
        <v>75</v>
      </c>
      <c r="R2036" s="48">
        <f>HEX2DEC(RIGHT(Table1323212753[[#This Row],[h2]],8))</f>
        <v>0</v>
      </c>
    </row>
    <row r="2037" spans="1:18">
      <c r="A2037" s="15" t="str">
        <f t="shared" si="36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8" t="s">
        <v>75</v>
      </c>
      <c r="P2037" s="48">
        <f>HEX2DEC(RIGHT(Table1323212753[[#This Row],[h1]],8))</f>
        <v>0</v>
      </c>
      <c r="Q2037" s="48" t="s">
        <v>75</v>
      </c>
      <c r="R2037" s="48">
        <f>HEX2DEC(RIGHT(Table1323212753[[#This Row],[h2]],8))</f>
        <v>0</v>
      </c>
    </row>
    <row r="2038" spans="1:18">
      <c r="A2038" s="15" t="str">
        <f t="shared" si="36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8" t="s">
        <v>75</v>
      </c>
      <c r="P2038" s="48">
        <f>HEX2DEC(RIGHT(Table1323212753[[#This Row],[h1]],8))</f>
        <v>0</v>
      </c>
      <c r="Q2038" s="48" t="s">
        <v>75</v>
      </c>
      <c r="R2038" s="48">
        <f>HEX2DEC(RIGHT(Table1323212753[[#This Row],[h2]],8))</f>
        <v>0</v>
      </c>
    </row>
    <row r="2039" spans="1:18">
      <c r="A2039" s="15" t="str">
        <f t="shared" si="36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8" t="s">
        <v>75</v>
      </c>
      <c r="P2039" s="48">
        <f>HEX2DEC(RIGHT(Table1323212753[[#This Row],[h1]],8))</f>
        <v>0</v>
      </c>
      <c r="Q2039" s="48" t="s">
        <v>75</v>
      </c>
      <c r="R2039" s="48">
        <f>HEX2DEC(RIGHT(Table1323212753[[#This Row],[h2]],8))</f>
        <v>0</v>
      </c>
    </row>
    <row r="2040" spans="1:18">
      <c r="A2040" s="15" t="str">
        <f t="shared" si="36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8" t="s">
        <v>75</v>
      </c>
      <c r="P2040" s="48">
        <f>HEX2DEC(RIGHT(Table1323212753[[#This Row],[h1]],8))</f>
        <v>0</v>
      </c>
      <c r="Q2040" s="48" t="s">
        <v>75</v>
      </c>
      <c r="R2040" s="48">
        <f>HEX2DEC(RIGHT(Table1323212753[[#This Row],[h2]],8))</f>
        <v>0</v>
      </c>
    </row>
    <row r="2041" spans="1:18">
      <c r="A2041" s="15" t="str">
        <f t="shared" si="36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8" t="s">
        <v>75</v>
      </c>
      <c r="P2041" s="48">
        <f>HEX2DEC(RIGHT(Table1323212753[[#This Row],[h1]],8))</f>
        <v>0</v>
      </c>
      <c r="Q2041" s="48" t="s">
        <v>75</v>
      </c>
      <c r="R2041" s="48">
        <f>HEX2DEC(RIGHT(Table1323212753[[#This Row],[h2]],8))</f>
        <v>0</v>
      </c>
    </row>
    <row r="2042" spans="1:18">
      <c r="A2042" s="15" t="str">
        <f t="shared" si="36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8" t="s">
        <v>26</v>
      </c>
      <c r="Q2042" s="48" t="s">
        <v>26</v>
      </c>
    </row>
    <row r="2043" spans="1:18">
      <c r="A2043" s="15" t="str">
        <f t="shared" si="36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6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6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6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6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6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6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6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6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6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6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6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6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6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6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48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67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G221:G222 T2061:U2064</xm:sqref>
        </x14:dataValidation>
        <x14:dataValidation type="list" allowBlank="1" showInputMessage="1" showErrorMessage="1">
          <x14:formula1>
            <xm:f>org!$B$36:$B$43</xm:f>
          </x14:formula1>
          <xm:sqref>A5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2115"/>
  <sheetViews>
    <sheetView zoomScaleNormal="100" workbookViewId="0">
      <pane xSplit="3" ySplit="6" topLeftCell="D73" activePane="bottomRight" state="frozen"/>
      <selection pane="topRight" activeCell="C1" sqref="C1"/>
      <selection pane="bottomLeft" activeCell="A7" sqref="A7"/>
      <selection pane="bottomRight" activeCell="G88" sqref="G88"/>
    </sheetView>
  </sheetViews>
  <sheetFormatPr defaultColWidth="11.5" defaultRowHeight="12"/>
  <cols>
    <col min="1" max="1" width="8.5" style="15" bestFit="1" customWidth="1"/>
    <col min="2" max="2" width="16.09765625" style="15" bestFit="1" customWidth="1"/>
    <col min="3" max="3" width="5" style="48" bestFit="1" customWidth="1"/>
    <col min="4" max="4" width="25.69921875" style="15" bestFit="1" customWidth="1"/>
    <col min="5" max="5" width="11.19921875" style="15" bestFit="1" customWidth="1"/>
    <col min="6" max="6" width="11.59765625" style="15" bestFit="1" customWidth="1"/>
    <col min="7" max="7" width="24.8984375" style="15" bestFit="1" customWidth="1"/>
    <col min="8" max="8" width="1.5" style="15" bestFit="1" customWidth="1"/>
    <col min="9" max="9" width="13.09765625" style="23" bestFit="1" customWidth="1"/>
    <col min="10" max="10" width="16.09765625" style="23" bestFit="1" customWidth="1"/>
    <col min="11" max="11" width="1.69921875" style="15" bestFit="1" customWidth="1"/>
    <col min="12" max="12" width="13.09765625" style="23" bestFit="1" customWidth="1"/>
    <col min="13" max="13" width="16.09765625" style="23" bestFit="1" customWidth="1"/>
    <col min="14" max="14" width="3.19921875" style="48" hidden="1" customWidth="1"/>
    <col min="15" max="16" width="12.19921875" style="48" hidden="1" customWidth="1"/>
    <col min="17" max="18" width="14.09765625" style="48" hidden="1" customWidth="1"/>
    <col min="19" max="19" width="1.69921875" style="48" hidden="1" customWidth="1"/>
    <col min="20" max="20" width="11.59765625" style="15" hidden="1" customWidth="1"/>
    <col min="21" max="21" width="10.69921875" style="15" hidden="1" customWidth="1"/>
    <col min="22" max="22" width="9" style="15" hidden="1" customWidth="1"/>
    <col min="23" max="23" width="13.3984375" style="15" hidden="1" customWidth="1"/>
    <col min="24" max="24" width="13.69921875" style="15" customWidth="1"/>
    <col min="25" max="16384" width="11.5" style="15"/>
  </cols>
  <sheetData>
    <row r="1" spans="1:23" s="48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8" customFormat="1">
      <c r="A2" s="9" t="s">
        <v>30</v>
      </c>
      <c r="B2" s="10" t="s">
        <v>33</v>
      </c>
      <c r="D2" s="60" t="s">
        <v>28</v>
      </c>
      <c r="E2" s="60"/>
      <c r="F2" s="60"/>
      <c r="G2" s="60"/>
      <c r="I2" s="60" t="s">
        <v>68</v>
      </c>
      <c r="J2" s="60"/>
      <c r="K2" s="11"/>
      <c r="L2" s="60" t="s">
        <v>69</v>
      </c>
      <c r="M2" s="60"/>
      <c r="O2" s="60" t="s">
        <v>135</v>
      </c>
      <c r="P2" s="60"/>
      <c r="Q2" s="60"/>
      <c r="R2" s="60"/>
      <c r="T2" s="60" t="s">
        <v>29</v>
      </c>
      <c r="U2" s="60"/>
      <c r="V2" s="60"/>
      <c r="W2" s="60"/>
    </row>
    <row r="3" spans="1:23" s="48" customFormat="1">
      <c r="A3" s="12" t="s">
        <v>31</v>
      </c>
      <c r="C3" s="48" t="s">
        <v>22</v>
      </c>
      <c r="D3" s="48" t="s">
        <v>9</v>
      </c>
      <c r="E3" s="48" t="s">
        <v>10</v>
      </c>
      <c r="F3" s="48" t="s">
        <v>11</v>
      </c>
      <c r="G3" s="48" t="s">
        <v>83</v>
      </c>
      <c r="I3" s="48" t="s">
        <v>6</v>
      </c>
      <c r="J3" s="48" t="s">
        <v>7</v>
      </c>
      <c r="L3" s="48" t="s">
        <v>6</v>
      </c>
      <c r="M3" s="48" t="s">
        <v>7</v>
      </c>
      <c r="O3" s="48" t="s">
        <v>76</v>
      </c>
      <c r="P3" s="32" t="s">
        <v>77</v>
      </c>
      <c r="Q3" s="48" t="s">
        <v>78</v>
      </c>
      <c r="R3" s="48" t="s">
        <v>79</v>
      </c>
      <c r="T3" s="48" t="s">
        <v>5</v>
      </c>
      <c r="U3" s="48" t="s">
        <v>6</v>
      </c>
      <c r="V3" s="48" t="s">
        <v>8</v>
      </c>
      <c r="W3" s="48" t="s">
        <v>7</v>
      </c>
    </row>
    <row r="4" spans="1:23" s="48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8" customFormat="1">
      <c r="A5" s="12" t="s">
        <v>329</v>
      </c>
      <c r="B5" s="48" t="str">
        <f>A3&amp;"."&amp;A4&amp;"."&amp;A5&amp;A6&amp;"."</f>
        <v>SCL3.TS.EVR001.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8" customFormat="1">
      <c r="A6" s="12" t="s">
        <v>40</v>
      </c>
      <c r="B6" s="48" t="str">
        <f>A3&amp;":"&amp;A4&amp;":"&amp;A5&amp;A6&amp;":"</f>
        <v>SCL3:TS:EVR001: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48"/>
      <c r="I7" s="27" t="s">
        <v>250</v>
      </c>
      <c r="J7" s="28" t="s">
        <v>251</v>
      </c>
      <c r="K7" s="29"/>
      <c r="L7" s="27" t="s">
        <v>252</v>
      </c>
      <c r="M7" s="28" t="s">
        <v>253</v>
      </c>
      <c r="O7" s="18" t="s">
        <v>136</v>
      </c>
      <c r="P7" s="18"/>
      <c r="Q7" s="18" t="s">
        <v>137</v>
      </c>
    </row>
    <row r="8" spans="1:23">
      <c r="C8" s="38"/>
      <c r="G8" s="19"/>
      <c r="H8" s="48"/>
      <c r="I8" s="58">
        <v>32768</v>
      </c>
      <c r="J8" s="59">
        <v>10</v>
      </c>
      <c r="K8" s="14"/>
      <c r="L8" s="58">
        <v>32768</v>
      </c>
      <c r="M8" s="59">
        <v>10</v>
      </c>
      <c r="O8" s="18"/>
      <c r="P8" s="18"/>
      <c r="Q8" s="18"/>
      <c r="R8" s="18"/>
    </row>
    <row r="9" spans="1:23">
      <c r="C9" s="38"/>
      <c r="G9" s="19"/>
      <c r="H9" s="48"/>
      <c r="I9" s="58">
        <v>0</v>
      </c>
      <c r="J9" s="59">
        <v>10</v>
      </c>
      <c r="K9" s="14"/>
      <c r="L9" s="58">
        <v>0</v>
      </c>
      <c r="M9" s="59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8"/>
      <c r="I10" s="58">
        <v>0</v>
      </c>
      <c r="J10" s="58">
        <v>10</v>
      </c>
      <c r="K10" s="14"/>
      <c r="L10" s="58">
        <v>0</v>
      </c>
      <c r="M10" s="58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138</v>
      </c>
      <c r="G11" s="31">
        <v>500</v>
      </c>
      <c r="H11" s="48"/>
      <c r="I11" s="27">
        <v>5</v>
      </c>
      <c r="J11" s="27">
        <v>50000</v>
      </c>
      <c r="K11" s="48"/>
      <c r="L11" s="27">
        <v>31</v>
      </c>
      <c r="M11" s="27">
        <v>249999</v>
      </c>
      <c r="N11" s="48">
        <v>1</v>
      </c>
      <c r="O11" s="48" t="s">
        <v>332</v>
      </c>
      <c r="P11" s="48">
        <f>HEX2DEC(RIGHT(Table132321275358[[#This Row],[h1]],8))</f>
        <v>65536</v>
      </c>
      <c r="Q11" s="48" t="s">
        <v>75</v>
      </c>
      <c r="R11" s="48">
        <f>HEX2DEC(RIGHT(Table132321275358[[#This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48"/>
      <c r="I12" s="27">
        <v>1</v>
      </c>
      <c r="J12" s="27">
        <v>50000</v>
      </c>
      <c r="K12" s="48"/>
      <c r="L12" s="27">
        <v>32</v>
      </c>
      <c r="M12" s="27">
        <v>249999</v>
      </c>
      <c r="N12" s="48">
        <v>2</v>
      </c>
      <c r="O12" s="48" t="s">
        <v>333</v>
      </c>
      <c r="P12" s="48">
        <f>HEX2DEC(RIGHT(Table132321275358[[#This Row],[h1]],8))</f>
        <v>196608</v>
      </c>
      <c r="Q12" s="48" t="s">
        <v>75</v>
      </c>
      <c r="R12" s="48">
        <f>HEX2DEC(RIGHT(Table132321275358[[#This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48"/>
      <c r="I13" s="27">
        <v>2</v>
      </c>
      <c r="J13" s="27">
        <v>50000</v>
      </c>
      <c r="K13" s="48"/>
      <c r="L13" s="27">
        <v>33</v>
      </c>
      <c r="M13" s="27">
        <v>249999</v>
      </c>
      <c r="N13" s="48">
        <v>3</v>
      </c>
      <c r="O13" s="48" t="s">
        <v>334</v>
      </c>
      <c r="P13" s="48">
        <f>HEX2DEC(RIGHT(Table132321275358[[#This Row],[h1]],8))</f>
        <v>458752</v>
      </c>
      <c r="Q13" s="48" t="s">
        <v>75</v>
      </c>
      <c r="R13" s="48">
        <f>HEX2DEC(RIGHT(Table132321275358[[#This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9"/>
      <c r="H14" s="48"/>
      <c r="I14" s="27">
        <v>1</v>
      </c>
      <c r="J14" s="27">
        <v>50000</v>
      </c>
      <c r="K14" s="48"/>
      <c r="L14" s="27">
        <v>34</v>
      </c>
      <c r="M14" s="27">
        <v>249999</v>
      </c>
      <c r="N14" s="48">
        <v>4</v>
      </c>
      <c r="O14" s="48" t="s">
        <v>335</v>
      </c>
      <c r="P14" s="48">
        <f>HEX2DEC(RIGHT(Table132321275358[[#This Row],[h1]],8))</f>
        <v>983040</v>
      </c>
      <c r="Q14" s="48" t="s">
        <v>75</v>
      </c>
      <c r="R14" s="48">
        <f>HEX2DEC(RIGHT(Table132321275358[[#This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147</v>
      </c>
      <c r="G15" s="49">
        <v>0</v>
      </c>
      <c r="H15" s="48"/>
      <c r="I15" s="27">
        <v>3</v>
      </c>
      <c r="J15" s="27">
        <v>50000</v>
      </c>
      <c r="K15" s="48"/>
      <c r="L15" s="57" t="s">
        <v>67</v>
      </c>
      <c r="M15" s="57">
        <v>249999</v>
      </c>
      <c r="N15" s="48">
        <v>5</v>
      </c>
      <c r="O15" s="48" t="s">
        <v>407</v>
      </c>
      <c r="P15" s="48">
        <f>HEX2DEC(RIGHT(Table132321275358[[#This Row],[h1]],8))</f>
        <v>2031616</v>
      </c>
      <c r="Q15" s="48" t="s">
        <v>75</v>
      </c>
      <c r="R15" s="48">
        <f>HEX2DEC(RIGHT(Table132321275358[[#This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148</v>
      </c>
      <c r="G16" s="49">
        <v>0</v>
      </c>
      <c r="H16" s="48"/>
      <c r="I16" s="27">
        <v>1</v>
      </c>
      <c r="J16" s="27">
        <v>50000</v>
      </c>
      <c r="K16" s="48"/>
      <c r="L16" s="27"/>
      <c r="M16" s="27">
        <v>50000</v>
      </c>
      <c r="N16" s="48">
        <v>6</v>
      </c>
      <c r="O16" s="48" t="s">
        <v>75</v>
      </c>
      <c r="P16" s="48">
        <f>HEX2DEC(RIGHT(Table132321275358[[#This Row],[h1]],8))</f>
        <v>0</v>
      </c>
      <c r="Q16" s="48" t="s">
        <v>75</v>
      </c>
      <c r="R16" s="48">
        <f>HEX2DEC(RIGHT(Table132321275358[[#This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149</v>
      </c>
      <c r="G17" s="49">
        <v>0</v>
      </c>
      <c r="H17" s="48"/>
      <c r="I17" s="27">
        <v>2</v>
      </c>
      <c r="J17" s="27">
        <v>50000</v>
      </c>
      <c r="K17" s="48"/>
      <c r="L17" s="27"/>
      <c r="M17" s="27">
        <v>50000</v>
      </c>
      <c r="N17" s="48">
        <v>7</v>
      </c>
      <c r="O17" s="48" t="s">
        <v>75</v>
      </c>
      <c r="P17" s="48">
        <f>HEX2DEC(RIGHT(Table132321275358[[#This Row],[h1]],8))</f>
        <v>0</v>
      </c>
      <c r="Q17" s="48" t="s">
        <v>75</v>
      </c>
      <c r="R17" s="48">
        <f>HEX2DEC(RIGHT(Table132321275358[[#This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150</v>
      </c>
      <c r="G18" s="49">
        <v>0</v>
      </c>
      <c r="H18" s="48"/>
      <c r="I18" s="27">
        <v>1</v>
      </c>
      <c r="J18" s="27">
        <v>50000</v>
      </c>
      <c r="K18" s="48"/>
      <c r="L18" s="27"/>
      <c r="M18" s="27">
        <v>50000</v>
      </c>
      <c r="N18" s="48">
        <v>8</v>
      </c>
      <c r="O18" s="48" t="s">
        <v>75</v>
      </c>
      <c r="P18" s="48">
        <f>HEX2DEC(RIGHT(Table132321275358[[#This Row],[h1]],8))</f>
        <v>0</v>
      </c>
      <c r="Q18" s="48" t="s">
        <v>75</v>
      </c>
      <c r="R18" s="48">
        <f>HEX2DEC(RIGHT(Table132321275358[[#This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151</v>
      </c>
      <c r="G19" s="49">
        <v>0</v>
      </c>
      <c r="H19" s="48"/>
      <c r="I19" s="27">
        <v>3</v>
      </c>
      <c r="J19" s="27">
        <v>50000</v>
      </c>
      <c r="K19" s="48"/>
      <c r="L19" s="27"/>
      <c r="M19" s="27">
        <v>50000</v>
      </c>
      <c r="N19" s="48">
        <v>9</v>
      </c>
      <c r="O19" s="48" t="s">
        <v>75</v>
      </c>
      <c r="P19" s="48">
        <f>HEX2DEC(RIGHT(Table132321275358[[#This Row],[h1]],8))</f>
        <v>0</v>
      </c>
      <c r="Q19" s="48" t="s">
        <v>75</v>
      </c>
      <c r="R19" s="48">
        <f>HEX2DEC(RIGHT(Table132321275358[[#This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152</v>
      </c>
      <c r="G20" s="49">
        <v>0</v>
      </c>
      <c r="H20" s="48"/>
      <c r="I20" s="27">
        <v>1</v>
      </c>
      <c r="J20" s="27">
        <v>50000</v>
      </c>
      <c r="K20" s="48"/>
      <c r="L20" s="27"/>
      <c r="M20" s="27">
        <v>50000</v>
      </c>
      <c r="N20" s="48">
        <v>10</v>
      </c>
      <c r="O20" s="48" t="s">
        <v>75</v>
      </c>
      <c r="P20" s="48">
        <f>HEX2DEC(RIGHT(Table132321275358[[#This Row],[h1]],8))</f>
        <v>0</v>
      </c>
      <c r="Q20" s="48" t="s">
        <v>75</v>
      </c>
      <c r="R20" s="48">
        <f>HEX2DEC(RIGHT(Table132321275358[[#This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153</v>
      </c>
      <c r="G21" s="49">
        <v>0</v>
      </c>
      <c r="H21" s="48"/>
      <c r="I21" s="27">
        <v>2</v>
      </c>
      <c r="J21" s="27">
        <v>50000</v>
      </c>
      <c r="K21" s="48"/>
      <c r="L21" s="27"/>
      <c r="M21" s="27">
        <v>50000</v>
      </c>
      <c r="N21" s="48">
        <v>11</v>
      </c>
      <c r="O21" s="48" t="s">
        <v>75</v>
      </c>
      <c r="P21" s="48">
        <f>HEX2DEC(RIGHT(Table132321275358[[#This Row],[h1]],8))</f>
        <v>0</v>
      </c>
      <c r="Q21" s="48" t="s">
        <v>75</v>
      </c>
      <c r="R21" s="48">
        <f>HEX2DEC(RIGHT(Table132321275358[[#This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154</v>
      </c>
      <c r="G22" s="49">
        <v>0</v>
      </c>
      <c r="H22" s="48"/>
      <c r="I22" s="27">
        <v>1</v>
      </c>
      <c r="J22" s="27">
        <v>50000</v>
      </c>
      <c r="K22" s="48"/>
      <c r="L22" s="27"/>
      <c r="M22" s="27">
        <v>50000</v>
      </c>
      <c r="N22" s="48">
        <v>12</v>
      </c>
      <c r="O22" s="48" t="s">
        <v>75</v>
      </c>
      <c r="P22" s="48">
        <f>HEX2DEC(RIGHT(Table132321275358[[#This Row],[h1]],8))</f>
        <v>0</v>
      </c>
      <c r="Q22" s="48" t="s">
        <v>75</v>
      </c>
      <c r="R22" s="48">
        <f>HEX2DEC(RIGHT(Table132321275358[[#This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155</v>
      </c>
      <c r="G23" s="49">
        <v>0</v>
      </c>
      <c r="H23" s="48"/>
      <c r="I23" s="27">
        <v>4</v>
      </c>
      <c r="J23" s="27">
        <v>50000</v>
      </c>
      <c r="K23" s="48"/>
      <c r="L23" s="27"/>
      <c r="M23" s="27">
        <v>50000</v>
      </c>
      <c r="N23" s="48">
        <v>13</v>
      </c>
      <c r="O23" s="48" t="s">
        <v>75</v>
      </c>
      <c r="P23" s="48">
        <f>HEX2DEC(RIGHT(Table132321275358[[#This Row],[h1]],8))</f>
        <v>0</v>
      </c>
      <c r="Q23" s="48" t="s">
        <v>75</v>
      </c>
      <c r="R23" s="48">
        <f>HEX2DEC(RIGHT(Table132321275358[[#This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156</v>
      </c>
      <c r="G24" s="49">
        <v>0</v>
      </c>
      <c r="H24" s="48"/>
      <c r="I24" s="27">
        <v>1</v>
      </c>
      <c r="J24" s="27">
        <v>50000</v>
      </c>
      <c r="K24" s="48"/>
      <c r="L24" s="27"/>
      <c r="M24" s="27">
        <v>50000</v>
      </c>
      <c r="N24" s="48">
        <v>14</v>
      </c>
      <c r="O24" s="48" t="s">
        <v>75</v>
      </c>
      <c r="P24" s="48">
        <f>HEX2DEC(RIGHT(Table132321275358[[#This Row],[h1]],8))</f>
        <v>0</v>
      </c>
      <c r="Q24" s="48" t="s">
        <v>75</v>
      </c>
      <c r="R24" s="48">
        <f>HEX2DEC(RIGHT(Table132321275358[[#This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157</v>
      </c>
      <c r="G25" s="49">
        <v>0</v>
      </c>
      <c r="H25" s="48"/>
      <c r="I25" s="27">
        <v>2</v>
      </c>
      <c r="J25" s="27">
        <v>50000</v>
      </c>
      <c r="K25" s="48"/>
      <c r="L25" s="27"/>
      <c r="M25" s="27">
        <v>50000</v>
      </c>
      <c r="N25" s="48">
        <v>15</v>
      </c>
      <c r="O25" s="48" t="s">
        <v>75</v>
      </c>
      <c r="P25" s="48">
        <f>HEX2DEC(RIGHT(Table132321275358[[#This Row],[h1]],8))</f>
        <v>0</v>
      </c>
      <c r="Q25" s="48" t="s">
        <v>75</v>
      </c>
      <c r="R25" s="48">
        <f>HEX2DEC(RIGHT(Table132321275358[[#This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158</v>
      </c>
      <c r="G26" s="49">
        <v>0</v>
      </c>
      <c r="H26" s="48"/>
      <c r="I26" s="27">
        <v>1</v>
      </c>
      <c r="J26" s="27">
        <v>50000</v>
      </c>
      <c r="K26" s="48"/>
      <c r="L26" s="27"/>
      <c r="M26" s="27">
        <v>50000</v>
      </c>
      <c r="N26" s="48">
        <v>16</v>
      </c>
      <c r="O26" s="48" t="s">
        <v>75</v>
      </c>
      <c r="P26" s="48">
        <f>HEX2DEC(RIGHT(Table132321275358[[#This Row],[h1]],8))</f>
        <v>0</v>
      </c>
      <c r="Q26" s="48" t="s">
        <v>75</v>
      </c>
      <c r="R26" s="48">
        <f>HEX2DEC(RIGHT(Table132321275358[[#This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159</v>
      </c>
      <c r="G27" s="49">
        <v>0</v>
      </c>
      <c r="H27" s="48"/>
      <c r="I27" s="27">
        <v>3</v>
      </c>
      <c r="J27" s="27">
        <v>50000</v>
      </c>
      <c r="K27" s="48"/>
      <c r="L27" s="27"/>
      <c r="M27" s="27">
        <v>50000</v>
      </c>
      <c r="N27" s="48">
        <v>17</v>
      </c>
      <c r="O27" s="48" t="s">
        <v>75</v>
      </c>
      <c r="P27" s="48">
        <f>HEX2DEC(RIGHT(Table132321275358[[#This Row],[h1]],8))</f>
        <v>0</v>
      </c>
      <c r="Q27" s="48" t="s">
        <v>75</v>
      </c>
      <c r="R27" s="48">
        <f>HEX2DEC(RIGHT(Table132321275358[[#This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160</v>
      </c>
      <c r="G28" s="49">
        <v>0</v>
      </c>
      <c r="H28" s="48"/>
      <c r="I28" s="27">
        <v>1</v>
      </c>
      <c r="J28" s="27">
        <v>50000</v>
      </c>
      <c r="K28" s="48"/>
      <c r="L28" s="27"/>
      <c r="M28" s="27">
        <v>50000</v>
      </c>
      <c r="N28" s="48">
        <v>18</v>
      </c>
      <c r="O28" s="48" t="s">
        <v>75</v>
      </c>
      <c r="P28" s="48">
        <f>HEX2DEC(RIGHT(Table132321275358[[#This Row],[h1]],8))</f>
        <v>0</v>
      </c>
      <c r="Q28" s="48" t="s">
        <v>75</v>
      </c>
      <c r="R28" s="48">
        <f>HEX2DEC(RIGHT(Table132321275358[[#This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161</v>
      </c>
      <c r="G29" s="49">
        <v>0</v>
      </c>
      <c r="H29" s="48"/>
      <c r="I29" s="27">
        <v>2</v>
      </c>
      <c r="J29" s="27">
        <v>50000</v>
      </c>
      <c r="K29" s="48"/>
      <c r="L29" s="27"/>
      <c r="M29" s="27">
        <v>50000</v>
      </c>
      <c r="N29" s="48">
        <v>19</v>
      </c>
      <c r="O29" s="48" t="s">
        <v>75</v>
      </c>
      <c r="P29" s="48">
        <f>HEX2DEC(RIGHT(Table132321275358[[#This Row],[h1]],8))</f>
        <v>0</v>
      </c>
      <c r="Q29" s="48" t="s">
        <v>75</v>
      </c>
      <c r="R29" s="48">
        <f>HEX2DEC(RIGHT(Table132321275358[[#This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162</v>
      </c>
      <c r="G30" s="49">
        <v>0</v>
      </c>
      <c r="H30" s="48"/>
      <c r="I30" s="27">
        <v>1</v>
      </c>
      <c r="J30" s="27">
        <v>50000</v>
      </c>
      <c r="K30" s="48"/>
      <c r="L30" s="27"/>
      <c r="M30" s="27">
        <v>50000</v>
      </c>
      <c r="N30" s="48">
        <v>20</v>
      </c>
      <c r="O30" s="48" t="s">
        <v>75</v>
      </c>
      <c r="P30" s="48">
        <f>HEX2DEC(RIGHT(Table132321275358[[#This Row],[h1]],8))</f>
        <v>0</v>
      </c>
      <c r="Q30" s="48" t="s">
        <v>75</v>
      </c>
      <c r="R30" s="48">
        <f>HEX2DEC(RIGHT(Table132321275358[[#This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163</v>
      </c>
      <c r="G31" s="49">
        <v>0</v>
      </c>
      <c r="H31" s="48"/>
      <c r="I31" s="27">
        <v>3</v>
      </c>
      <c r="J31" s="27">
        <v>50000</v>
      </c>
      <c r="K31" s="48"/>
      <c r="L31" s="27"/>
      <c r="M31" s="27">
        <v>50000</v>
      </c>
      <c r="N31" s="48">
        <v>21</v>
      </c>
      <c r="O31" s="48" t="s">
        <v>75</v>
      </c>
      <c r="P31" s="48">
        <f>HEX2DEC(RIGHT(Table132321275358[[#This Row],[h1]],8))</f>
        <v>0</v>
      </c>
      <c r="Q31" s="48" t="s">
        <v>75</v>
      </c>
      <c r="R31" s="48">
        <f>HEX2DEC(RIGHT(Table132321275358[[#This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164</v>
      </c>
      <c r="G32" s="49">
        <v>0</v>
      </c>
      <c r="H32" s="48"/>
      <c r="I32" s="27">
        <v>1</v>
      </c>
      <c r="J32" s="27">
        <v>50000</v>
      </c>
      <c r="K32" s="48"/>
      <c r="L32" s="27"/>
      <c r="M32" s="27">
        <v>50000</v>
      </c>
      <c r="N32" s="48">
        <v>22</v>
      </c>
      <c r="O32" s="48" t="s">
        <v>75</v>
      </c>
      <c r="P32" s="48">
        <f>HEX2DEC(RIGHT(Table132321275358[[#This Row],[h1]],8))</f>
        <v>0</v>
      </c>
      <c r="Q32" s="48" t="s">
        <v>75</v>
      </c>
      <c r="R32" s="48">
        <f>HEX2DEC(RIGHT(Table132321275358[[#This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165</v>
      </c>
      <c r="G33" s="49">
        <v>0</v>
      </c>
      <c r="H33" s="48"/>
      <c r="I33" s="27">
        <v>2</v>
      </c>
      <c r="J33" s="27">
        <v>50000</v>
      </c>
      <c r="K33" s="48"/>
      <c r="L33" s="27"/>
      <c r="M33" s="27">
        <v>50000</v>
      </c>
      <c r="N33" s="48">
        <v>23</v>
      </c>
      <c r="O33" s="48" t="s">
        <v>75</v>
      </c>
      <c r="P33" s="48">
        <f>HEX2DEC(RIGHT(Table132321275358[[#This Row],[h1]],8))</f>
        <v>0</v>
      </c>
      <c r="Q33" s="48" t="s">
        <v>75</v>
      </c>
      <c r="R33" s="48">
        <f>HEX2DEC(RIGHT(Table132321275358[[#This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166</v>
      </c>
      <c r="G34" s="49">
        <v>0</v>
      </c>
      <c r="H34" s="48"/>
      <c r="I34" s="27">
        <v>1</v>
      </c>
      <c r="J34" s="27">
        <v>50000</v>
      </c>
      <c r="K34" s="48"/>
      <c r="L34" s="27"/>
      <c r="M34" s="27">
        <v>50000</v>
      </c>
      <c r="N34" s="48">
        <v>24</v>
      </c>
      <c r="O34" s="48" t="s">
        <v>75</v>
      </c>
      <c r="P34" s="48">
        <f>HEX2DEC(RIGHT(Table132321275358[[#This Row],[h1]],8))</f>
        <v>0</v>
      </c>
      <c r="Q34" s="48" t="s">
        <v>75</v>
      </c>
      <c r="R34" s="48">
        <f>HEX2DEC(RIGHT(Table132321275358[[#This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167</v>
      </c>
      <c r="G35" s="49">
        <v>0</v>
      </c>
      <c r="H35" s="48"/>
      <c r="I35" s="27">
        <v>4</v>
      </c>
      <c r="J35" s="27">
        <v>50000</v>
      </c>
      <c r="K35" s="48"/>
      <c r="L35" s="27"/>
      <c r="M35" s="27">
        <v>50000</v>
      </c>
      <c r="N35" s="48">
        <v>25</v>
      </c>
      <c r="O35" s="48" t="s">
        <v>75</v>
      </c>
      <c r="P35" s="48">
        <f>HEX2DEC(RIGHT(Table132321275358[[#This Row],[h1]],8))</f>
        <v>0</v>
      </c>
      <c r="Q35" s="48" t="s">
        <v>75</v>
      </c>
      <c r="R35" s="48">
        <f>HEX2DEC(RIGHT(Table132321275358[[#This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168</v>
      </c>
      <c r="G36" s="49">
        <v>0</v>
      </c>
      <c r="H36" s="48"/>
      <c r="I36" s="27">
        <v>1</v>
      </c>
      <c r="J36" s="27">
        <v>50000</v>
      </c>
      <c r="K36" s="48"/>
      <c r="L36" s="27"/>
      <c r="M36" s="27">
        <v>50000</v>
      </c>
      <c r="N36" s="48">
        <v>26</v>
      </c>
      <c r="O36" s="48" t="s">
        <v>75</v>
      </c>
      <c r="P36" s="48">
        <f>HEX2DEC(RIGHT(Table132321275358[[#This Row],[h1]],8))</f>
        <v>0</v>
      </c>
      <c r="Q36" s="48" t="s">
        <v>75</v>
      </c>
      <c r="R36" s="48">
        <f>HEX2DEC(RIGHT(Table132321275358[[#This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169</v>
      </c>
      <c r="G37" s="49">
        <v>0</v>
      </c>
      <c r="H37" s="48"/>
      <c r="I37" s="27">
        <v>2</v>
      </c>
      <c r="J37" s="27">
        <v>50000</v>
      </c>
      <c r="K37" s="48"/>
      <c r="L37" s="27"/>
      <c r="M37" s="27">
        <v>50000</v>
      </c>
      <c r="N37" s="48">
        <v>27</v>
      </c>
      <c r="O37" s="48" t="s">
        <v>75</v>
      </c>
      <c r="P37" s="48">
        <f>HEX2DEC(RIGHT(Table132321275358[[#This Row],[h1]],8))</f>
        <v>0</v>
      </c>
      <c r="Q37" s="48" t="s">
        <v>75</v>
      </c>
      <c r="R37" s="48">
        <f>HEX2DEC(RIGHT(Table132321275358[[#This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170</v>
      </c>
      <c r="G38" s="49">
        <v>0</v>
      </c>
      <c r="H38" s="48"/>
      <c r="I38" s="27">
        <v>1</v>
      </c>
      <c r="J38" s="27">
        <v>50000</v>
      </c>
      <c r="K38" s="48"/>
      <c r="L38" s="27"/>
      <c r="M38" s="27">
        <v>50000</v>
      </c>
      <c r="N38" s="48">
        <v>28</v>
      </c>
      <c r="O38" s="48" t="s">
        <v>75</v>
      </c>
      <c r="P38" s="48">
        <f>HEX2DEC(RIGHT(Table132321275358[[#This Row],[h1]],8))</f>
        <v>0</v>
      </c>
      <c r="Q38" s="48" t="s">
        <v>75</v>
      </c>
      <c r="R38" s="48">
        <f>HEX2DEC(RIGHT(Table132321275358[[#This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171</v>
      </c>
      <c r="G39" s="49">
        <v>0</v>
      </c>
      <c r="H39" s="48"/>
      <c r="I39" s="27">
        <v>3</v>
      </c>
      <c r="J39" s="27">
        <v>50000</v>
      </c>
      <c r="K39" s="48"/>
      <c r="L39" s="27"/>
      <c r="M39" s="27">
        <v>50000</v>
      </c>
      <c r="N39" s="48">
        <v>29</v>
      </c>
      <c r="O39" s="48" t="s">
        <v>75</v>
      </c>
      <c r="P39" s="48">
        <f>HEX2DEC(RIGHT(Table132321275358[[#This Row],[h1]],8))</f>
        <v>0</v>
      </c>
      <c r="Q39" s="48" t="s">
        <v>75</v>
      </c>
      <c r="R39" s="48">
        <f>HEX2DEC(RIGHT(Table132321275358[[#This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172</v>
      </c>
      <c r="G40" s="49">
        <v>0</v>
      </c>
      <c r="H40" s="48"/>
      <c r="I40" s="27">
        <v>1</v>
      </c>
      <c r="J40" s="27">
        <v>50000</v>
      </c>
      <c r="K40" s="48"/>
      <c r="L40" s="27"/>
      <c r="M40" s="27">
        <v>50000</v>
      </c>
      <c r="N40" s="48">
        <v>30</v>
      </c>
      <c r="O40" s="48" t="s">
        <v>75</v>
      </c>
      <c r="P40" s="48">
        <f>HEX2DEC(RIGHT(Table132321275358[[#This Row],[h1]],8))</f>
        <v>0</v>
      </c>
      <c r="Q40" s="48" t="s">
        <v>75</v>
      </c>
      <c r="R40" s="48">
        <f>HEX2DEC(RIGHT(Table132321275358[[#This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173</v>
      </c>
      <c r="G41" s="49">
        <v>0</v>
      </c>
      <c r="H41" s="48"/>
      <c r="I41" s="27">
        <v>2</v>
      </c>
      <c r="J41" s="27">
        <v>50000</v>
      </c>
      <c r="K41" s="48"/>
      <c r="L41" s="27"/>
      <c r="M41" s="27">
        <v>50000</v>
      </c>
      <c r="N41" s="48">
        <v>31</v>
      </c>
      <c r="O41" s="48" t="s">
        <v>75</v>
      </c>
      <c r="P41" s="48">
        <f>HEX2DEC(RIGHT(Table132321275358[[#This Row],[h1]],8))</f>
        <v>0</v>
      </c>
      <c r="Q41" s="48" t="s">
        <v>75</v>
      </c>
      <c r="R41" s="48">
        <f>HEX2DEC(RIGHT(Table132321275358[[#This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174</v>
      </c>
      <c r="G42" s="49">
        <v>0</v>
      </c>
      <c r="H42" s="48"/>
      <c r="I42" s="27">
        <v>1</v>
      </c>
      <c r="J42" s="27">
        <v>50000</v>
      </c>
      <c r="K42" s="48"/>
      <c r="L42" s="27"/>
      <c r="M42" s="27">
        <v>50000</v>
      </c>
      <c r="N42" s="48">
        <v>32</v>
      </c>
      <c r="O42" s="48" t="s">
        <v>75</v>
      </c>
      <c r="P42" s="48">
        <f>HEX2DEC(RIGHT(Table132321275358[[#This Row],[h1]],8))</f>
        <v>0</v>
      </c>
      <c r="Q42" s="48" t="s">
        <v>75</v>
      </c>
      <c r="R42" s="48">
        <f>HEX2DEC(RIGHT(Table132321275358[[#This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175</v>
      </c>
      <c r="G43" s="49">
        <v>0</v>
      </c>
      <c r="H43" s="48"/>
      <c r="I43" s="27">
        <v>3</v>
      </c>
      <c r="J43" s="27">
        <v>50000</v>
      </c>
      <c r="K43" s="48"/>
      <c r="L43" s="27"/>
      <c r="M43" s="27">
        <v>50000</v>
      </c>
      <c r="N43" s="48">
        <v>33</v>
      </c>
      <c r="O43" s="48" t="s">
        <v>75</v>
      </c>
      <c r="P43" s="48">
        <f>HEX2DEC(RIGHT(Table132321275358[[#This Row],[h1]],8))</f>
        <v>0</v>
      </c>
      <c r="Q43" s="48" t="s">
        <v>75</v>
      </c>
      <c r="R43" s="48">
        <f>HEX2DEC(RIGHT(Table132321275358[[#This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176</v>
      </c>
      <c r="G44" s="49">
        <v>0</v>
      </c>
      <c r="H44" s="48"/>
      <c r="I44" s="27">
        <v>1</v>
      </c>
      <c r="J44" s="27">
        <v>50000</v>
      </c>
      <c r="K44" s="48"/>
      <c r="L44" s="27"/>
      <c r="M44" s="27">
        <v>50000</v>
      </c>
      <c r="N44" s="48">
        <v>34</v>
      </c>
      <c r="O44" s="48" t="s">
        <v>75</v>
      </c>
      <c r="P44" s="48">
        <f>HEX2DEC(RIGHT(Table132321275358[[#This Row],[h1]],8))</f>
        <v>0</v>
      </c>
      <c r="Q44" s="48" t="s">
        <v>75</v>
      </c>
      <c r="R44" s="48">
        <f>HEX2DEC(RIGHT(Table132321275358[[#This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177</v>
      </c>
      <c r="G45" s="49">
        <v>0</v>
      </c>
      <c r="H45" s="48"/>
      <c r="I45" s="27">
        <v>2</v>
      </c>
      <c r="J45" s="27">
        <v>50000</v>
      </c>
      <c r="K45" s="48"/>
      <c r="L45" s="27"/>
      <c r="M45" s="27">
        <v>50000</v>
      </c>
      <c r="N45" s="48">
        <v>35</v>
      </c>
      <c r="O45" s="48" t="s">
        <v>75</v>
      </c>
      <c r="P45" s="48">
        <f>HEX2DEC(RIGHT(Table132321275358[[#This Row],[h1]],8))</f>
        <v>0</v>
      </c>
      <c r="Q45" s="48" t="s">
        <v>75</v>
      </c>
      <c r="R45" s="48">
        <f>HEX2DEC(RIGHT(Table132321275358[[#This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178</v>
      </c>
      <c r="G46" s="49">
        <v>0</v>
      </c>
      <c r="H46" s="48"/>
      <c r="I46" s="27">
        <v>1</v>
      </c>
      <c r="J46" s="27">
        <v>50000</v>
      </c>
      <c r="K46" s="48"/>
      <c r="L46" s="27"/>
      <c r="M46" s="27">
        <v>50000</v>
      </c>
      <c r="N46" s="48">
        <v>36</v>
      </c>
      <c r="O46" s="48" t="s">
        <v>75</v>
      </c>
      <c r="P46" s="48">
        <f>HEX2DEC(RIGHT(Table132321275358[[#This Row],[h1]],8))</f>
        <v>0</v>
      </c>
      <c r="Q46" s="48" t="s">
        <v>75</v>
      </c>
      <c r="R46" s="48">
        <f>HEX2DEC(RIGHT(Table132321275358[[#This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9"/>
      <c r="H47" s="48"/>
      <c r="I47" s="27">
        <v>4</v>
      </c>
      <c r="J47" s="27">
        <v>50000</v>
      </c>
      <c r="K47" s="48"/>
      <c r="L47" s="27"/>
      <c r="M47" s="27">
        <v>50000</v>
      </c>
      <c r="N47" s="48">
        <v>37</v>
      </c>
      <c r="O47" s="48" t="s">
        <v>75</v>
      </c>
      <c r="P47" s="48">
        <f>HEX2DEC(RIGHT(Table132321275358[[#This Row],[h1]],8))</f>
        <v>0</v>
      </c>
      <c r="Q47" s="48" t="s">
        <v>75</v>
      </c>
      <c r="R47" s="48">
        <f>HEX2DEC(RIGHT(Table132321275358[[#This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179</v>
      </c>
      <c r="G48" s="49">
        <v>0</v>
      </c>
      <c r="H48" s="48"/>
      <c r="I48" s="27">
        <v>1</v>
      </c>
      <c r="J48" s="27">
        <v>50000</v>
      </c>
      <c r="K48" s="48"/>
      <c r="L48" s="27"/>
      <c r="M48" s="27">
        <v>50000</v>
      </c>
      <c r="N48" s="48">
        <v>38</v>
      </c>
      <c r="O48" s="48" t="s">
        <v>75</v>
      </c>
      <c r="P48" s="48">
        <f>HEX2DEC(RIGHT(Table132321275358[[#This Row],[h1]],8))</f>
        <v>0</v>
      </c>
      <c r="Q48" s="48" t="s">
        <v>75</v>
      </c>
      <c r="R48" s="48">
        <f>HEX2DEC(RIGHT(Table132321275358[[#This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180</v>
      </c>
      <c r="G49" s="49">
        <v>0</v>
      </c>
      <c r="H49" s="48"/>
      <c r="I49" s="27">
        <v>2</v>
      </c>
      <c r="J49" s="27">
        <v>50000</v>
      </c>
      <c r="K49" s="48"/>
      <c r="L49" s="27"/>
      <c r="M49" s="27">
        <v>50000</v>
      </c>
      <c r="N49" s="48">
        <v>39</v>
      </c>
      <c r="O49" s="48" t="s">
        <v>75</v>
      </c>
      <c r="P49" s="48">
        <f>HEX2DEC(RIGHT(Table132321275358[[#This Row],[h1]],8))</f>
        <v>0</v>
      </c>
      <c r="Q49" s="48" t="s">
        <v>75</v>
      </c>
      <c r="R49" s="48">
        <f>HEX2DEC(RIGHT(Table132321275358[[#This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181</v>
      </c>
      <c r="G50" s="49">
        <v>0</v>
      </c>
      <c r="H50" s="48"/>
      <c r="I50" s="27">
        <v>1</v>
      </c>
      <c r="J50" s="27">
        <v>50000</v>
      </c>
      <c r="K50" s="48"/>
      <c r="L50" s="27"/>
      <c r="M50" s="27">
        <v>50000</v>
      </c>
      <c r="N50" s="48">
        <v>40</v>
      </c>
      <c r="O50" s="48" t="s">
        <v>75</v>
      </c>
      <c r="P50" s="48">
        <f>HEX2DEC(RIGHT(Table132321275358[[#This Row],[h1]],8))</f>
        <v>0</v>
      </c>
      <c r="Q50" s="48" t="s">
        <v>75</v>
      </c>
      <c r="R50" s="48">
        <f>HEX2DEC(RIGHT(Table132321275358[[#This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182</v>
      </c>
      <c r="G51" s="49">
        <v>0</v>
      </c>
      <c r="H51" s="48"/>
      <c r="I51" s="27">
        <v>3</v>
      </c>
      <c r="J51" s="27">
        <v>50000</v>
      </c>
      <c r="K51" s="48"/>
      <c r="L51" s="27"/>
      <c r="M51" s="27">
        <v>50000</v>
      </c>
      <c r="N51" s="48">
        <v>41</v>
      </c>
      <c r="O51" s="48" t="s">
        <v>75</v>
      </c>
      <c r="P51" s="48">
        <f>HEX2DEC(RIGHT(Table132321275358[[#This Row],[h1]],8))</f>
        <v>0</v>
      </c>
      <c r="Q51" s="48" t="s">
        <v>75</v>
      </c>
      <c r="R51" s="48">
        <f>HEX2DEC(RIGHT(Table132321275358[[#This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183</v>
      </c>
      <c r="G52" s="49">
        <v>0</v>
      </c>
      <c r="H52" s="48"/>
      <c r="I52" s="27">
        <v>1</v>
      </c>
      <c r="J52" s="27">
        <v>50000</v>
      </c>
      <c r="K52" s="48"/>
      <c r="L52" s="27"/>
      <c r="M52" s="27">
        <v>50000</v>
      </c>
      <c r="N52" s="48">
        <v>42</v>
      </c>
      <c r="O52" s="48" t="s">
        <v>75</v>
      </c>
      <c r="P52" s="48">
        <f>HEX2DEC(RIGHT(Table132321275358[[#This Row],[h1]],8))</f>
        <v>0</v>
      </c>
      <c r="Q52" s="48" t="s">
        <v>75</v>
      </c>
      <c r="R52" s="48">
        <f>HEX2DEC(RIGHT(Table132321275358[[#This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184</v>
      </c>
      <c r="G53" s="49">
        <v>0</v>
      </c>
      <c r="H53" s="48"/>
      <c r="I53" s="27">
        <v>2</v>
      </c>
      <c r="J53" s="27">
        <v>50000</v>
      </c>
      <c r="K53" s="48"/>
      <c r="L53" s="27"/>
      <c r="M53" s="27">
        <v>50000</v>
      </c>
      <c r="N53" s="48">
        <v>43</v>
      </c>
      <c r="O53" s="48" t="s">
        <v>75</v>
      </c>
      <c r="P53" s="48">
        <f>HEX2DEC(RIGHT(Table132321275358[[#This Row],[h1]],8))</f>
        <v>0</v>
      </c>
      <c r="Q53" s="48" t="s">
        <v>75</v>
      </c>
      <c r="R53" s="48">
        <f>HEX2DEC(RIGHT(Table132321275358[[#This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185</v>
      </c>
      <c r="G54" s="49">
        <v>0</v>
      </c>
      <c r="H54" s="48"/>
      <c r="I54" s="27">
        <v>1</v>
      </c>
      <c r="J54" s="27">
        <v>50000</v>
      </c>
      <c r="K54" s="48"/>
      <c r="L54" s="27"/>
      <c r="M54" s="27">
        <v>50000</v>
      </c>
      <c r="N54" s="48">
        <v>44</v>
      </c>
      <c r="O54" s="48" t="s">
        <v>75</v>
      </c>
      <c r="P54" s="48">
        <f>HEX2DEC(RIGHT(Table132321275358[[#This Row],[h1]],8))</f>
        <v>0</v>
      </c>
      <c r="Q54" s="48" t="s">
        <v>75</v>
      </c>
      <c r="R54" s="48">
        <f>HEX2DEC(RIGHT(Table132321275358[[#This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186</v>
      </c>
      <c r="G55" s="49">
        <v>0</v>
      </c>
      <c r="H55" s="48"/>
      <c r="I55" s="27">
        <v>3</v>
      </c>
      <c r="J55" s="27">
        <v>50000</v>
      </c>
      <c r="K55" s="48"/>
      <c r="L55" s="27"/>
      <c r="M55" s="27">
        <v>50000</v>
      </c>
      <c r="N55" s="48">
        <v>45</v>
      </c>
      <c r="O55" s="48" t="s">
        <v>75</v>
      </c>
      <c r="P55" s="48">
        <f>HEX2DEC(RIGHT(Table132321275358[[#This Row],[h1]],8))</f>
        <v>0</v>
      </c>
      <c r="Q55" s="48" t="s">
        <v>75</v>
      </c>
      <c r="R55" s="48">
        <f>HEX2DEC(RIGHT(Table132321275358[[#This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187</v>
      </c>
      <c r="G56" s="49">
        <v>0</v>
      </c>
      <c r="H56" s="48"/>
      <c r="I56" s="27">
        <v>1</v>
      </c>
      <c r="J56" s="27">
        <v>50000</v>
      </c>
      <c r="K56" s="48"/>
      <c r="L56" s="27"/>
      <c r="M56" s="27">
        <v>50000</v>
      </c>
      <c r="N56" s="48">
        <v>46</v>
      </c>
      <c r="O56" s="48" t="s">
        <v>75</v>
      </c>
      <c r="P56" s="48">
        <f>HEX2DEC(RIGHT(Table132321275358[[#This Row],[h1]],8))</f>
        <v>0</v>
      </c>
      <c r="Q56" s="48" t="s">
        <v>75</v>
      </c>
      <c r="R56" s="48">
        <f>HEX2DEC(RIGHT(Table132321275358[[#This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188</v>
      </c>
      <c r="G57" s="49">
        <v>0</v>
      </c>
      <c r="H57" s="48"/>
      <c r="I57" s="27">
        <v>2</v>
      </c>
      <c r="J57" s="27">
        <v>50000</v>
      </c>
      <c r="K57" s="48"/>
      <c r="L57" s="27"/>
      <c r="M57" s="27">
        <v>50000</v>
      </c>
      <c r="N57" s="48">
        <v>47</v>
      </c>
      <c r="O57" s="48" t="s">
        <v>75</v>
      </c>
      <c r="P57" s="48">
        <f>HEX2DEC(RIGHT(Table132321275358[[#This Row],[h1]],8))</f>
        <v>0</v>
      </c>
      <c r="Q57" s="48" t="s">
        <v>75</v>
      </c>
      <c r="R57" s="48">
        <f>HEX2DEC(RIGHT(Table132321275358[[#This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189</v>
      </c>
      <c r="G58" s="49">
        <v>0</v>
      </c>
      <c r="H58" s="48"/>
      <c r="I58" s="27">
        <v>1</v>
      </c>
      <c r="J58" s="27">
        <v>50000</v>
      </c>
      <c r="K58" s="48"/>
      <c r="L58" s="27"/>
      <c r="M58" s="27">
        <v>50000</v>
      </c>
      <c r="N58" s="48">
        <v>48</v>
      </c>
      <c r="O58" s="48" t="s">
        <v>75</v>
      </c>
      <c r="P58" s="48">
        <f>HEX2DEC(RIGHT(Table132321275358[[#This Row],[h1]],8))</f>
        <v>0</v>
      </c>
      <c r="Q58" s="48" t="s">
        <v>75</v>
      </c>
      <c r="R58" s="48">
        <f>HEX2DEC(RIGHT(Table132321275358[[#This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190</v>
      </c>
      <c r="G59" s="49">
        <v>0</v>
      </c>
      <c r="H59" s="48"/>
      <c r="I59" s="27">
        <v>4</v>
      </c>
      <c r="J59" s="27">
        <v>50000</v>
      </c>
      <c r="K59" s="48"/>
      <c r="L59" s="27"/>
      <c r="M59" s="27">
        <v>50000</v>
      </c>
      <c r="N59" s="48">
        <v>49</v>
      </c>
      <c r="O59" s="48" t="s">
        <v>75</v>
      </c>
      <c r="P59" s="48">
        <f>HEX2DEC(RIGHT(Table132321275358[[#This Row],[h1]],8))</f>
        <v>0</v>
      </c>
      <c r="Q59" s="48" t="s">
        <v>75</v>
      </c>
      <c r="R59" s="48">
        <f>HEX2DEC(RIGHT(Table132321275358[[#This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191</v>
      </c>
      <c r="G60" s="49">
        <v>0</v>
      </c>
      <c r="H60" s="48"/>
      <c r="I60" s="27">
        <v>1</v>
      </c>
      <c r="J60" s="27">
        <v>50000</v>
      </c>
      <c r="K60" s="48"/>
      <c r="L60" s="27"/>
      <c r="M60" s="27">
        <v>50000</v>
      </c>
      <c r="N60" s="48">
        <v>50</v>
      </c>
      <c r="O60" s="48" t="s">
        <v>75</v>
      </c>
      <c r="P60" s="48">
        <f>HEX2DEC(RIGHT(Table132321275358[[#This Row],[h1]],8))</f>
        <v>0</v>
      </c>
      <c r="Q60" s="48" t="s">
        <v>75</v>
      </c>
      <c r="R60" s="48">
        <f>HEX2DEC(RIGHT(Table132321275358[[#This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192</v>
      </c>
      <c r="G61" s="49">
        <v>0</v>
      </c>
      <c r="H61" s="48"/>
      <c r="I61" s="27">
        <v>2</v>
      </c>
      <c r="J61" s="27">
        <v>50000</v>
      </c>
      <c r="K61" s="48"/>
      <c r="L61" s="27"/>
      <c r="M61" s="27">
        <v>50000</v>
      </c>
      <c r="O61" s="48" t="s">
        <v>75</v>
      </c>
      <c r="P61" s="48">
        <f>HEX2DEC(RIGHT(Table132321275358[[#This Row],[h1]],8))</f>
        <v>0</v>
      </c>
      <c r="Q61" s="48" t="s">
        <v>75</v>
      </c>
      <c r="R61" s="48">
        <f>HEX2DEC(RIGHT(Table132321275358[[#This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193</v>
      </c>
      <c r="G62" s="49">
        <v>0</v>
      </c>
      <c r="I62" s="27">
        <v>1</v>
      </c>
      <c r="J62" s="27">
        <v>50000</v>
      </c>
      <c r="L62" s="27"/>
      <c r="M62" s="27">
        <v>50000</v>
      </c>
      <c r="O62" s="48" t="s">
        <v>75</v>
      </c>
      <c r="P62" s="48">
        <f>HEX2DEC(RIGHT(Table132321275358[[#This Row],[h1]],8))</f>
        <v>0</v>
      </c>
      <c r="Q62" s="48" t="s">
        <v>75</v>
      </c>
      <c r="R62" s="48">
        <f>HEX2DEC(RIGHT(Table132321275358[[#This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194</v>
      </c>
      <c r="G63" s="49">
        <v>0</v>
      </c>
      <c r="I63" s="27">
        <v>3</v>
      </c>
      <c r="J63" s="27">
        <v>50000</v>
      </c>
      <c r="L63" s="27"/>
      <c r="M63" s="27">
        <v>50000</v>
      </c>
      <c r="O63" s="48" t="s">
        <v>75</v>
      </c>
      <c r="P63" s="48">
        <f>HEX2DEC(RIGHT(Table132321275358[[#This Row],[h1]],8))</f>
        <v>0</v>
      </c>
      <c r="Q63" s="48" t="s">
        <v>75</v>
      </c>
      <c r="R63" s="48">
        <f>HEX2DEC(RIGHT(Table132321275358[[#This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195</v>
      </c>
      <c r="F64" s="24" t="s">
        <v>427</v>
      </c>
      <c r="G64" s="49">
        <v>1</v>
      </c>
      <c r="I64" s="27">
        <v>1</v>
      </c>
      <c r="J64" s="27">
        <v>50000</v>
      </c>
      <c r="L64" s="27"/>
      <c r="M64" s="27">
        <v>50000</v>
      </c>
      <c r="O64" s="48" t="s">
        <v>75</v>
      </c>
      <c r="P64" s="48">
        <f>HEX2DEC(RIGHT(Table132321275358[[#This Row],[h1]],8))</f>
        <v>0</v>
      </c>
      <c r="Q64" s="48" t="s">
        <v>75</v>
      </c>
      <c r="R64" s="48">
        <f>HEX2DEC(RIGHT(Table132321275358[[#This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196</v>
      </c>
      <c r="F65" s="24" t="s">
        <v>427</v>
      </c>
      <c r="G65" s="49">
        <v>1</v>
      </c>
      <c r="I65" s="27">
        <v>2</v>
      </c>
      <c r="J65" s="27">
        <v>50000</v>
      </c>
      <c r="L65" s="27"/>
      <c r="M65" s="27">
        <v>50000</v>
      </c>
      <c r="O65" s="48" t="s">
        <v>75</v>
      </c>
      <c r="P65" s="48">
        <f>HEX2DEC(RIGHT(Table132321275358[[#This Row],[h1]],8))</f>
        <v>0</v>
      </c>
      <c r="Q65" s="48" t="s">
        <v>75</v>
      </c>
      <c r="R65" s="48">
        <f>HEX2DEC(RIGHT(Table132321275358[[#This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197</v>
      </c>
      <c r="F66" s="24" t="s">
        <v>427</v>
      </c>
      <c r="G66" s="49">
        <v>1</v>
      </c>
      <c r="I66" s="27">
        <v>1</v>
      </c>
      <c r="J66" s="27">
        <v>50000</v>
      </c>
      <c r="L66" s="27"/>
      <c r="M66" s="27">
        <v>50000</v>
      </c>
      <c r="O66" s="48" t="s">
        <v>75</v>
      </c>
      <c r="P66" s="48">
        <f>HEX2DEC(RIGHT(Table132321275358[[#This Row],[h1]],8))</f>
        <v>0</v>
      </c>
      <c r="Q66" s="48" t="s">
        <v>75</v>
      </c>
      <c r="R66" s="48">
        <f>HEX2DEC(RIGHT(Table132321275358[[#This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198</v>
      </c>
      <c r="F67" s="24" t="s">
        <v>427</v>
      </c>
      <c r="G67" s="49">
        <v>1</v>
      </c>
      <c r="I67" s="27">
        <v>3</v>
      </c>
      <c r="J67" s="27">
        <v>50000</v>
      </c>
      <c r="L67" s="27"/>
      <c r="M67" s="27">
        <v>50000</v>
      </c>
      <c r="O67" s="48" t="s">
        <v>75</v>
      </c>
      <c r="P67" s="48">
        <f>HEX2DEC(RIGHT(Table132321275358[[#This Row],[h1]],8))</f>
        <v>0</v>
      </c>
      <c r="Q67" s="48" t="s">
        <v>75</v>
      </c>
      <c r="R67" s="48">
        <f>HEX2DEC(RIGHT(Table132321275358[[#This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199</v>
      </c>
      <c r="F68" s="24" t="s">
        <v>427</v>
      </c>
      <c r="G68" s="49">
        <v>1</v>
      </c>
      <c r="I68" s="27">
        <v>1</v>
      </c>
      <c r="J68" s="27">
        <v>50000</v>
      </c>
      <c r="L68" s="27"/>
      <c r="M68" s="27">
        <v>50000</v>
      </c>
      <c r="O68" s="48" t="s">
        <v>75</v>
      </c>
      <c r="P68" s="48">
        <f>HEX2DEC(RIGHT(Table132321275358[[#This Row],[h1]],8))</f>
        <v>0</v>
      </c>
      <c r="Q68" s="48" t="s">
        <v>75</v>
      </c>
      <c r="R68" s="48">
        <f>HEX2DEC(RIGHT(Table132321275358[[#This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200</v>
      </c>
      <c r="F69" s="24" t="s">
        <v>427</v>
      </c>
      <c r="G69" s="49">
        <v>1</v>
      </c>
      <c r="I69" s="27">
        <v>2</v>
      </c>
      <c r="J69" s="27">
        <v>50000</v>
      </c>
      <c r="L69" s="27"/>
      <c r="M69" s="27">
        <v>50000</v>
      </c>
      <c r="O69" s="48" t="s">
        <v>75</v>
      </c>
      <c r="P69" s="48">
        <f>HEX2DEC(RIGHT(Table132321275358[[#This Row],[h1]],8))</f>
        <v>0</v>
      </c>
      <c r="Q69" s="48" t="s">
        <v>75</v>
      </c>
      <c r="R69" s="48">
        <f>HEX2DEC(RIGHT(Table132321275358[[#This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201</v>
      </c>
      <c r="F70" s="24" t="s">
        <v>427</v>
      </c>
      <c r="G70" s="49">
        <v>1</v>
      </c>
      <c r="I70" s="27">
        <v>1</v>
      </c>
      <c r="J70" s="27">
        <v>50000</v>
      </c>
      <c r="L70" s="27"/>
      <c r="M70" s="27">
        <v>50000</v>
      </c>
      <c r="O70" s="48" t="s">
        <v>75</v>
      </c>
      <c r="P70" s="48">
        <f>HEX2DEC(RIGHT(Table132321275358[[#This Row],[h1]],8))</f>
        <v>0</v>
      </c>
      <c r="Q70" s="48" t="s">
        <v>75</v>
      </c>
      <c r="R70" s="48">
        <f>HEX2DEC(RIGHT(Table132321275358[[#This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202</v>
      </c>
      <c r="F71" s="24" t="s">
        <v>427</v>
      </c>
      <c r="G71" s="49">
        <v>1</v>
      </c>
      <c r="I71" s="27">
        <v>4</v>
      </c>
      <c r="J71" s="27">
        <v>50000</v>
      </c>
      <c r="L71" s="27"/>
      <c r="M71" s="27">
        <v>50000</v>
      </c>
      <c r="O71" s="48" t="s">
        <v>75</v>
      </c>
      <c r="P71" s="48">
        <f>HEX2DEC(RIGHT(Table132321275358[[#This Row],[h1]],8))</f>
        <v>0</v>
      </c>
      <c r="Q71" s="48" t="s">
        <v>75</v>
      </c>
      <c r="R71" s="48">
        <f>HEX2DEC(RIGHT(Table132321275358[[#This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203</v>
      </c>
      <c r="F72" s="24" t="s">
        <v>427</v>
      </c>
      <c r="G72" s="49">
        <v>1</v>
      </c>
      <c r="I72" s="27">
        <v>1</v>
      </c>
      <c r="J72" s="27">
        <v>50000</v>
      </c>
      <c r="L72" s="27"/>
      <c r="M72" s="27">
        <v>50000</v>
      </c>
      <c r="O72" s="48" t="s">
        <v>75</v>
      </c>
      <c r="P72" s="48">
        <f>HEX2DEC(RIGHT(Table132321275358[[#This Row],[h1]],8))</f>
        <v>0</v>
      </c>
      <c r="Q72" s="48" t="s">
        <v>75</v>
      </c>
      <c r="R72" s="48">
        <f>HEX2DEC(RIGHT(Table132321275358[[#This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204</v>
      </c>
      <c r="F73" s="24" t="s">
        <v>427</v>
      </c>
      <c r="G73" s="49">
        <v>1</v>
      </c>
      <c r="I73" s="27">
        <v>2</v>
      </c>
      <c r="J73" s="27">
        <v>50000</v>
      </c>
      <c r="L73" s="27"/>
      <c r="M73" s="27">
        <v>50000</v>
      </c>
      <c r="O73" s="48" t="s">
        <v>75</v>
      </c>
      <c r="P73" s="48">
        <f>HEX2DEC(RIGHT(Table132321275358[[#This Row],[h1]],8))</f>
        <v>0</v>
      </c>
      <c r="Q73" s="48" t="s">
        <v>75</v>
      </c>
      <c r="R73" s="48">
        <f>HEX2DEC(RIGHT(Table132321275358[[#This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205</v>
      </c>
      <c r="F74" s="24" t="s">
        <v>427</v>
      </c>
      <c r="G74" s="49">
        <v>1</v>
      </c>
      <c r="I74" s="27">
        <v>1</v>
      </c>
      <c r="J74" s="27">
        <v>50000</v>
      </c>
      <c r="L74" s="27"/>
      <c r="M74" s="27">
        <v>50000</v>
      </c>
      <c r="O74" s="48" t="s">
        <v>75</v>
      </c>
      <c r="P74" s="48">
        <f>HEX2DEC(RIGHT(Table132321275358[[#This Row],[h1]],8))</f>
        <v>0</v>
      </c>
      <c r="Q74" s="48" t="s">
        <v>75</v>
      </c>
      <c r="R74" s="48">
        <f>HEX2DEC(RIGHT(Table132321275358[[#This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206</v>
      </c>
      <c r="F75" s="24" t="s">
        <v>427</v>
      </c>
      <c r="G75" s="49">
        <v>1</v>
      </c>
      <c r="I75" s="27">
        <v>3</v>
      </c>
      <c r="J75" s="27">
        <v>50000</v>
      </c>
      <c r="L75" s="27"/>
      <c r="M75" s="27">
        <v>50000</v>
      </c>
      <c r="O75" s="48" t="s">
        <v>75</v>
      </c>
      <c r="P75" s="48">
        <f>HEX2DEC(RIGHT(Table132321275358[[#This Row],[h1]],8))</f>
        <v>0</v>
      </c>
      <c r="Q75" s="48" t="s">
        <v>75</v>
      </c>
      <c r="R75" s="48">
        <f>HEX2DEC(RIGHT(Table132321275358[[#This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207</v>
      </c>
      <c r="F76" s="24" t="s">
        <v>427</v>
      </c>
      <c r="G76" s="49">
        <v>1</v>
      </c>
      <c r="I76" s="27">
        <v>1</v>
      </c>
      <c r="J76" s="27">
        <v>50000</v>
      </c>
      <c r="L76" s="27"/>
      <c r="M76" s="27">
        <v>50000</v>
      </c>
      <c r="O76" s="48" t="s">
        <v>75</v>
      </c>
      <c r="P76" s="48">
        <f>HEX2DEC(RIGHT(Table132321275358[[#This Row],[h1]],8))</f>
        <v>0</v>
      </c>
      <c r="Q76" s="48" t="s">
        <v>75</v>
      </c>
      <c r="R76" s="48">
        <f>HEX2DEC(RIGHT(Table132321275358[[#This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208</v>
      </c>
      <c r="F77" s="24" t="s">
        <v>427</v>
      </c>
      <c r="G77" s="49">
        <v>1</v>
      </c>
      <c r="I77" s="27">
        <v>2</v>
      </c>
      <c r="J77" s="27">
        <v>50000</v>
      </c>
      <c r="L77" s="27"/>
      <c r="M77" s="27">
        <v>50000</v>
      </c>
      <c r="O77" s="48" t="s">
        <v>75</v>
      </c>
      <c r="P77" s="48">
        <f>HEX2DEC(RIGHT(Table132321275358[[#This Row],[h1]],8))</f>
        <v>0</v>
      </c>
      <c r="Q77" s="48" t="s">
        <v>75</v>
      </c>
      <c r="R77" s="48">
        <f>HEX2DEC(RIGHT(Table132321275358[[#This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209</v>
      </c>
      <c r="F78" s="24" t="s">
        <v>427</v>
      </c>
      <c r="G78" s="49">
        <v>1</v>
      </c>
      <c r="I78" s="27">
        <v>1</v>
      </c>
      <c r="J78" s="27">
        <v>50000</v>
      </c>
      <c r="L78" s="27"/>
      <c r="M78" s="27">
        <v>50000</v>
      </c>
      <c r="O78" s="48" t="s">
        <v>75</v>
      </c>
      <c r="P78" s="48">
        <f>HEX2DEC(RIGHT(Table132321275358[[#This Row],[h1]],8))</f>
        <v>0</v>
      </c>
      <c r="Q78" s="48" t="s">
        <v>75</v>
      </c>
      <c r="R78" s="48">
        <f>HEX2DEC(RIGHT(Table132321275358[[#This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210</v>
      </c>
      <c r="F79" s="24" t="s">
        <v>427</v>
      </c>
      <c r="G79" s="49">
        <v>1</v>
      </c>
      <c r="I79" s="27">
        <v>3</v>
      </c>
      <c r="J79" s="27">
        <v>50000</v>
      </c>
      <c r="L79" s="27"/>
      <c r="M79" s="27">
        <v>50000</v>
      </c>
      <c r="O79" s="48" t="s">
        <v>75</v>
      </c>
      <c r="P79" s="48">
        <f>HEX2DEC(RIGHT(Table132321275358[[#This Row],[h1]],8))</f>
        <v>0</v>
      </c>
      <c r="Q79" s="48" t="s">
        <v>75</v>
      </c>
      <c r="R79" s="48">
        <f>HEX2DEC(RIGHT(Table132321275358[[#This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9"/>
      <c r="I80" s="27">
        <v>1</v>
      </c>
      <c r="J80" s="27">
        <v>50000</v>
      </c>
      <c r="L80" s="27"/>
      <c r="M80" s="27">
        <v>50000</v>
      </c>
      <c r="O80" s="48" t="s">
        <v>75</v>
      </c>
      <c r="P80" s="48">
        <f>HEX2DEC(RIGHT(Table132321275358[[#This Row],[h1]],8))</f>
        <v>0</v>
      </c>
      <c r="Q80" s="48" t="s">
        <v>75</v>
      </c>
      <c r="R80" s="48">
        <f>HEX2DEC(RIGHT(Table132321275358[[#This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211</v>
      </c>
      <c r="G81" s="49">
        <v>5000</v>
      </c>
      <c r="I81" s="27">
        <v>2</v>
      </c>
      <c r="J81" s="27">
        <v>50000</v>
      </c>
      <c r="L81" s="27"/>
      <c r="M81" s="27">
        <v>50000</v>
      </c>
      <c r="O81" s="48" t="s">
        <v>75</v>
      </c>
      <c r="P81" s="48">
        <f>HEX2DEC(RIGHT(Table132321275358[[#This Row],[h1]],8))</f>
        <v>0</v>
      </c>
      <c r="Q81" s="48" t="s">
        <v>75</v>
      </c>
      <c r="R81" s="48">
        <f>HEX2DEC(RIGHT(Table132321275358[[#This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212</v>
      </c>
      <c r="G82" s="49">
        <v>5000</v>
      </c>
      <c r="I82" s="27">
        <v>1</v>
      </c>
      <c r="J82" s="27">
        <v>50000</v>
      </c>
      <c r="L82" s="27"/>
      <c r="M82" s="27">
        <v>50000</v>
      </c>
      <c r="O82" s="48" t="s">
        <v>75</v>
      </c>
      <c r="P82" s="48">
        <f>HEX2DEC(RIGHT(Table132321275358[[#This Row],[h1]],8))</f>
        <v>0</v>
      </c>
      <c r="Q82" s="48" t="s">
        <v>75</v>
      </c>
      <c r="R82" s="48">
        <f>HEX2DEC(RIGHT(Table132321275358[[#This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213</v>
      </c>
      <c r="G83" s="49">
        <v>4</v>
      </c>
      <c r="I83" s="27">
        <v>4</v>
      </c>
      <c r="J83" s="27">
        <v>50000</v>
      </c>
      <c r="L83" s="27"/>
      <c r="M83" s="27">
        <v>50000</v>
      </c>
      <c r="O83" s="48" t="s">
        <v>75</v>
      </c>
      <c r="P83" s="48">
        <f>HEX2DEC(RIGHT(Table132321275358[[#This Row],[h1]],8))</f>
        <v>0</v>
      </c>
      <c r="Q83" s="48" t="s">
        <v>75</v>
      </c>
      <c r="R83" s="48">
        <f>HEX2DEC(RIGHT(Table132321275358[[#This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214</v>
      </c>
      <c r="G84" s="49">
        <v>4</v>
      </c>
      <c r="I84" s="27">
        <v>1</v>
      </c>
      <c r="J84" s="27">
        <v>50000</v>
      </c>
      <c r="L84" s="27"/>
      <c r="M84" s="27">
        <v>50000</v>
      </c>
      <c r="O84" s="48" t="s">
        <v>75</v>
      </c>
      <c r="P84" s="48">
        <f>HEX2DEC(RIGHT(Table132321275358[[#This Row],[h1]],8))</f>
        <v>0</v>
      </c>
      <c r="Q84" s="48" t="s">
        <v>75</v>
      </c>
      <c r="R84" s="48">
        <f>HEX2DEC(RIGHT(Table132321275358[[#This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215</v>
      </c>
      <c r="G85" s="49">
        <v>4</v>
      </c>
      <c r="I85" s="27">
        <v>2</v>
      </c>
      <c r="J85" s="27">
        <v>50000</v>
      </c>
      <c r="L85" s="27"/>
      <c r="M85" s="27">
        <v>50000</v>
      </c>
      <c r="O85" s="48" t="s">
        <v>75</v>
      </c>
      <c r="P85" s="48">
        <f>HEX2DEC(RIGHT(Table132321275358[[#This Row],[h1]],8))</f>
        <v>0</v>
      </c>
      <c r="Q85" s="48" t="s">
        <v>75</v>
      </c>
      <c r="R85" s="48">
        <f>HEX2DEC(RIGHT(Table132321275358[[#This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216</v>
      </c>
      <c r="G86" s="49">
        <v>4</v>
      </c>
      <c r="I86" s="27">
        <v>1</v>
      </c>
      <c r="J86" s="27">
        <v>50000</v>
      </c>
      <c r="L86" s="27"/>
      <c r="M86" s="27">
        <v>50000</v>
      </c>
      <c r="O86" s="48" t="s">
        <v>75</v>
      </c>
      <c r="P86" s="48">
        <f>HEX2DEC(RIGHT(Table132321275358[[#This Row],[h1]],8))</f>
        <v>0</v>
      </c>
      <c r="Q86" s="48" t="s">
        <v>75</v>
      </c>
      <c r="R86" s="48">
        <f>HEX2DEC(RIGHT(Table132321275358[[#This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217</v>
      </c>
      <c r="G87" s="49">
        <v>4</v>
      </c>
      <c r="I87" s="27">
        <v>3</v>
      </c>
      <c r="J87" s="27">
        <v>50000</v>
      </c>
      <c r="L87" s="27"/>
      <c r="M87" s="27">
        <v>50000</v>
      </c>
      <c r="O87" s="48" t="s">
        <v>75</v>
      </c>
      <c r="P87" s="48">
        <f>HEX2DEC(RIGHT(Table132321275358[[#This Row],[h1]],8))</f>
        <v>0</v>
      </c>
      <c r="Q87" s="48" t="s">
        <v>75</v>
      </c>
      <c r="R87" s="48">
        <f>HEX2DEC(RIGHT(Table132321275358[[#This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218</v>
      </c>
      <c r="G88" s="49">
        <v>5000</v>
      </c>
      <c r="I88" s="27">
        <v>1</v>
      </c>
      <c r="J88" s="27">
        <v>50000</v>
      </c>
      <c r="L88" s="27"/>
      <c r="M88" s="27">
        <v>50000</v>
      </c>
      <c r="O88" s="48" t="s">
        <v>75</v>
      </c>
      <c r="P88" s="48">
        <f>HEX2DEC(RIGHT(Table132321275358[[#This Row],[h1]],8))</f>
        <v>0</v>
      </c>
      <c r="Q88" s="48" t="s">
        <v>75</v>
      </c>
      <c r="R88" s="48">
        <f>HEX2DEC(RIGHT(Table132321275358[[#This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219</v>
      </c>
      <c r="G89" s="49">
        <v>5000</v>
      </c>
      <c r="I89" s="27">
        <v>2</v>
      </c>
      <c r="J89" s="27">
        <v>50000</v>
      </c>
      <c r="L89" s="27"/>
      <c r="M89" s="27">
        <v>50000</v>
      </c>
      <c r="O89" s="48" t="s">
        <v>75</v>
      </c>
      <c r="P89" s="48">
        <f>HEX2DEC(RIGHT(Table132321275358[[#This Row],[h1]],8))</f>
        <v>0</v>
      </c>
      <c r="Q89" s="48" t="s">
        <v>75</v>
      </c>
      <c r="R89" s="48">
        <f>HEX2DEC(RIGHT(Table132321275358[[#This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220</v>
      </c>
      <c r="G90" s="49">
        <v>5000</v>
      </c>
      <c r="I90" s="27">
        <v>1</v>
      </c>
      <c r="J90" s="27">
        <v>50000</v>
      </c>
      <c r="L90" s="27"/>
      <c r="M90" s="27">
        <v>50000</v>
      </c>
      <c r="O90" s="48" t="s">
        <v>75</v>
      </c>
      <c r="P90" s="48">
        <f>HEX2DEC(RIGHT(Table132321275358[[#This Row],[h1]],8))</f>
        <v>0</v>
      </c>
      <c r="Q90" s="48" t="s">
        <v>75</v>
      </c>
      <c r="R90" s="48">
        <f>HEX2DEC(RIGHT(Table132321275358[[#This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221</v>
      </c>
      <c r="G91" s="49">
        <v>5000</v>
      </c>
      <c r="I91" s="27">
        <v>3</v>
      </c>
      <c r="J91" s="27">
        <v>50000</v>
      </c>
      <c r="L91" s="27"/>
      <c r="M91" s="27">
        <v>50000</v>
      </c>
      <c r="O91" s="48" t="s">
        <v>75</v>
      </c>
      <c r="P91" s="48">
        <f>HEX2DEC(RIGHT(Table132321275358[[#This Row],[h1]],8))</f>
        <v>0</v>
      </c>
      <c r="Q91" s="48" t="s">
        <v>75</v>
      </c>
      <c r="R91" s="48">
        <f>HEX2DEC(RIGHT(Table132321275358[[#This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222</v>
      </c>
      <c r="G92" s="49">
        <v>5000</v>
      </c>
      <c r="I92" s="27">
        <v>1</v>
      </c>
      <c r="J92" s="27">
        <v>50000</v>
      </c>
      <c r="L92" s="27"/>
      <c r="M92" s="27">
        <v>50000</v>
      </c>
      <c r="O92" s="48" t="s">
        <v>75</v>
      </c>
      <c r="P92" s="48">
        <f>HEX2DEC(RIGHT(Table132321275358[[#This Row],[h1]],8))</f>
        <v>0</v>
      </c>
      <c r="Q92" s="48" t="s">
        <v>75</v>
      </c>
      <c r="R92" s="48">
        <f>HEX2DEC(RIGHT(Table132321275358[[#This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223</v>
      </c>
      <c r="G93" s="49">
        <v>5000</v>
      </c>
      <c r="I93" s="27">
        <v>2</v>
      </c>
      <c r="J93" s="27">
        <v>50000</v>
      </c>
      <c r="L93" s="27"/>
      <c r="M93" s="27">
        <v>50000</v>
      </c>
      <c r="O93" s="48" t="s">
        <v>75</v>
      </c>
      <c r="P93" s="48">
        <f>HEX2DEC(RIGHT(Table132321275358[[#This Row],[h1]],8))</f>
        <v>0</v>
      </c>
      <c r="Q93" s="48" t="s">
        <v>75</v>
      </c>
      <c r="R93" s="48">
        <f>HEX2DEC(RIGHT(Table132321275358[[#This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224</v>
      </c>
      <c r="G94" s="49">
        <v>5000</v>
      </c>
      <c r="I94" s="27">
        <v>1</v>
      </c>
      <c r="J94" s="27">
        <v>50000</v>
      </c>
      <c r="L94" s="27"/>
      <c r="M94" s="27">
        <v>50000</v>
      </c>
      <c r="O94" s="48" t="s">
        <v>75</v>
      </c>
      <c r="P94" s="48">
        <f>HEX2DEC(RIGHT(Table132321275358[[#This Row],[h1]],8))</f>
        <v>0</v>
      </c>
      <c r="Q94" s="48" t="s">
        <v>75</v>
      </c>
      <c r="R94" s="48">
        <f>HEX2DEC(RIGHT(Table132321275358[[#This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225</v>
      </c>
      <c r="G95" s="49">
        <v>5000</v>
      </c>
      <c r="I95" s="27">
        <v>4</v>
      </c>
      <c r="J95" s="27">
        <v>50000</v>
      </c>
      <c r="L95" s="27"/>
      <c r="M95" s="27">
        <v>50000</v>
      </c>
      <c r="O95" s="48" t="s">
        <v>75</v>
      </c>
      <c r="P95" s="48">
        <f>HEX2DEC(RIGHT(Table132321275358[[#This Row],[h1]],8))</f>
        <v>0</v>
      </c>
      <c r="Q95" s="48" t="s">
        <v>75</v>
      </c>
      <c r="R95" s="48">
        <f>HEX2DEC(RIGHT(Table132321275358[[#This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226</v>
      </c>
      <c r="G96" s="49">
        <v>5000</v>
      </c>
      <c r="I96" s="27">
        <v>1</v>
      </c>
      <c r="J96" s="27">
        <v>50000</v>
      </c>
      <c r="L96" s="27"/>
      <c r="M96" s="27">
        <v>50000</v>
      </c>
      <c r="O96" s="48" t="s">
        <v>75</v>
      </c>
      <c r="P96" s="48">
        <f>HEX2DEC(RIGHT(Table132321275358[[#This Row],[h1]],8))</f>
        <v>0</v>
      </c>
      <c r="Q96" s="48" t="s">
        <v>75</v>
      </c>
      <c r="R96" s="48">
        <f>HEX2DEC(RIGHT(Table132321275358[[#This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227</v>
      </c>
      <c r="G97" s="49">
        <v>5000</v>
      </c>
      <c r="I97" s="27">
        <v>2</v>
      </c>
      <c r="J97" s="27">
        <v>50000</v>
      </c>
      <c r="L97" s="27"/>
      <c r="M97" s="27">
        <v>50000</v>
      </c>
      <c r="O97" s="48" t="s">
        <v>75</v>
      </c>
      <c r="P97" s="48">
        <f>HEX2DEC(RIGHT(Table132321275358[[#This Row],[h1]],8))</f>
        <v>0</v>
      </c>
      <c r="Q97" s="48" t="s">
        <v>75</v>
      </c>
      <c r="R97" s="48">
        <f>HEX2DEC(RIGHT(Table132321275358[[#This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228</v>
      </c>
      <c r="G98" s="49">
        <v>5000</v>
      </c>
      <c r="I98" s="27">
        <v>1</v>
      </c>
      <c r="J98" s="27">
        <v>50000</v>
      </c>
      <c r="L98" s="27"/>
      <c r="M98" s="27">
        <v>50000</v>
      </c>
      <c r="O98" s="48" t="s">
        <v>75</v>
      </c>
      <c r="P98" s="48">
        <f>HEX2DEC(RIGHT(Table132321275358[[#This Row],[h1]],8))</f>
        <v>0</v>
      </c>
      <c r="Q98" s="48" t="s">
        <v>75</v>
      </c>
      <c r="R98" s="48">
        <f>HEX2DEC(RIGHT(Table132321275358[[#This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229</v>
      </c>
      <c r="G99" s="49">
        <v>5000</v>
      </c>
      <c r="I99" s="27">
        <v>3</v>
      </c>
      <c r="J99" s="27">
        <v>50000</v>
      </c>
      <c r="L99" s="27"/>
      <c r="M99" s="27">
        <v>50000</v>
      </c>
      <c r="O99" s="48" t="s">
        <v>75</v>
      </c>
      <c r="P99" s="48">
        <f>HEX2DEC(RIGHT(Table132321275358[[#This Row],[h1]],8))</f>
        <v>0</v>
      </c>
      <c r="Q99" s="48" t="s">
        <v>75</v>
      </c>
      <c r="R99" s="48">
        <f>HEX2DEC(RIGHT(Table132321275358[[#This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230</v>
      </c>
      <c r="G100" s="49">
        <v>5000</v>
      </c>
      <c r="I100" s="27">
        <v>1</v>
      </c>
      <c r="J100" s="27">
        <v>50000</v>
      </c>
      <c r="L100" s="27"/>
      <c r="M100" s="27">
        <v>50000</v>
      </c>
      <c r="O100" s="48" t="s">
        <v>75</v>
      </c>
      <c r="P100" s="48">
        <f>HEX2DEC(RIGHT(Table132321275358[[#This Row],[h1]],8))</f>
        <v>0</v>
      </c>
      <c r="Q100" s="48" t="s">
        <v>75</v>
      </c>
      <c r="R100" s="48">
        <f>HEX2DEC(RIGHT(Table132321275358[[#This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231</v>
      </c>
      <c r="G101" s="49">
        <v>5000</v>
      </c>
      <c r="I101" s="27">
        <v>2</v>
      </c>
      <c r="J101" s="27">
        <v>50000</v>
      </c>
      <c r="L101" s="27"/>
      <c r="M101" s="27">
        <v>50000</v>
      </c>
      <c r="O101" s="48" t="s">
        <v>75</v>
      </c>
      <c r="P101" s="48">
        <f>HEX2DEC(RIGHT(Table132321275358[[#This Row],[h1]],8))</f>
        <v>0</v>
      </c>
      <c r="Q101" s="48" t="s">
        <v>75</v>
      </c>
      <c r="R101" s="48">
        <f>HEX2DEC(RIGHT(Table132321275358[[#This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232</v>
      </c>
      <c r="G102" s="49">
        <v>5000</v>
      </c>
      <c r="I102" s="27">
        <v>1</v>
      </c>
      <c r="J102" s="27">
        <v>50000</v>
      </c>
      <c r="L102" s="27"/>
      <c r="M102" s="27">
        <v>50000</v>
      </c>
      <c r="O102" s="48" t="s">
        <v>75</v>
      </c>
      <c r="P102" s="48">
        <f>HEX2DEC(RIGHT(Table132321275358[[#This Row],[h1]],8))</f>
        <v>0</v>
      </c>
      <c r="Q102" s="48" t="s">
        <v>75</v>
      </c>
      <c r="R102" s="48">
        <f>HEX2DEC(RIGHT(Table132321275358[[#This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233</v>
      </c>
      <c r="G103" s="49">
        <v>5000</v>
      </c>
      <c r="I103" s="27">
        <v>3</v>
      </c>
      <c r="J103" s="27">
        <v>50000</v>
      </c>
      <c r="L103" s="27"/>
      <c r="M103" s="27">
        <v>50000</v>
      </c>
      <c r="O103" s="48" t="s">
        <v>75</v>
      </c>
      <c r="P103" s="48">
        <f>HEX2DEC(RIGHT(Table132321275358[[#This Row],[h1]],8))</f>
        <v>0</v>
      </c>
      <c r="Q103" s="48" t="s">
        <v>75</v>
      </c>
      <c r="R103" s="48">
        <f>HEX2DEC(RIGHT(Table132321275358[[#This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234</v>
      </c>
      <c r="G104" s="49">
        <v>5000</v>
      </c>
      <c r="I104" s="27">
        <v>1</v>
      </c>
      <c r="J104" s="27">
        <v>50000</v>
      </c>
      <c r="L104" s="27"/>
      <c r="M104" s="27">
        <v>50000</v>
      </c>
      <c r="O104" s="48" t="s">
        <v>75</v>
      </c>
      <c r="P104" s="48">
        <f>HEX2DEC(RIGHT(Table132321275358[[#This Row],[h1]],8))</f>
        <v>0</v>
      </c>
      <c r="Q104" s="48" t="s">
        <v>75</v>
      </c>
      <c r="R104" s="48">
        <f>HEX2DEC(RIGHT(Table132321275358[[#This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235</v>
      </c>
      <c r="G105" s="49">
        <v>5000</v>
      </c>
      <c r="I105" s="27">
        <v>2</v>
      </c>
      <c r="J105" s="27">
        <v>50000</v>
      </c>
      <c r="L105" s="27"/>
      <c r="M105" s="27">
        <v>50000</v>
      </c>
      <c r="O105" s="48" t="s">
        <v>75</v>
      </c>
      <c r="P105" s="48">
        <f>HEX2DEC(RIGHT(Table132321275358[[#This Row],[h1]],8))</f>
        <v>0</v>
      </c>
      <c r="Q105" s="48" t="s">
        <v>75</v>
      </c>
      <c r="R105" s="48">
        <f>HEX2DEC(RIGHT(Table132321275358[[#This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236</v>
      </c>
      <c r="G106" s="49">
        <v>5000</v>
      </c>
      <c r="I106" s="27">
        <v>1</v>
      </c>
      <c r="J106" s="27">
        <v>50000</v>
      </c>
      <c r="L106" s="27"/>
      <c r="M106" s="27">
        <v>50000</v>
      </c>
      <c r="O106" s="48" t="s">
        <v>75</v>
      </c>
      <c r="P106" s="48">
        <f>HEX2DEC(RIGHT(Table132321275358[[#This Row],[h1]],8))</f>
        <v>0</v>
      </c>
      <c r="Q106" s="48" t="s">
        <v>75</v>
      </c>
      <c r="R106" s="48">
        <f>HEX2DEC(RIGHT(Table132321275358[[#This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237</v>
      </c>
      <c r="G107" s="49">
        <v>5000</v>
      </c>
      <c r="I107" s="27">
        <v>4</v>
      </c>
      <c r="J107" s="27">
        <v>50000</v>
      </c>
      <c r="L107" s="27"/>
      <c r="M107" s="27">
        <v>50000</v>
      </c>
      <c r="O107" s="48" t="s">
        <v>75</v>
      </c>
      <c r="P107" s="48">
        <f>HEX2DEC(RIGHT(Table132321275358[[#This Row],[h1]],8))</f>
        <v>0</v>
      </c>
      <c r="Q107" s="48" t="s">
        <v>75</v>
      </c>
      <c r="R107" s="48">
        <f>HEX2DEC(RIGHT(Table132321275358[[#This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238</v>
      </c>
      <c r="F108" s="21"/>
      <c r="G108" s="49">
        <v>5000</v>
      </c>
      <c r="I108" s="27">
        <v>1</v>
      </c>
      <c r="J108" s="27">
        <v>50000</v>
      </c>
      <c r="L108" s="27"/>
      <c r="M108" s="27">
        <v>50000</v>
      </c>
      <c r="O108" s="48" t="s">
        <v>75</v>
      </c>
      <c r="P108" s="48">
        <f>HEX2DEC(RIGHT(Table132321275358[[#This Row],[h1]],8))</f>
        <v>0</v>
      </c>
      <c r="Q108" s="48" t="s">
        <v>75</v>
      </c>
      <c r="R108" s="48">
        <f>HEX2DEC(RIGHT(Table132321275358[[#This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239</v>
      </c>
      <c r="F109" s="21"/>
      <c r="G109" s="49">
        <v>5000</v>
      </c>
      <c r="I109" s="27">
        <v>2</v>
      </c>
      <c r="J109" s="27">
        <v>50000</v>
      </c>
      <c r="L109" s="27"/>
      <c r="M109" s="27">
        <v>50000</v>
      </c>
      <c r="O109" s="48" t="s">
        <v>75</v>
      </c>
      <c r="P109" s="48">
        <f>HEX2DEC(RIGHT(Table132321275358[[#This Row],[h1]],8))</f>
        <v>0</v>
      </c>
      <c r="Q109" s="48" t="s">
        <v>75</v>
      </c>
      <c r="R109" s="48">
        <f>HEX2DEC(RIGHT(Table132321275358[[#This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240</v>
      </c>
      <c r="F110" s="21"/>
      <c r="G110" s="49">
        <v>5000</v>
      </c>
      <c r="I110" s="27">
        <v>1</v>
      </c>
      <c r="J110" s="27">
        <v>50000</v>
      </c>
      <c r="L110" s="27"/>
      <c r="M110" s="27">
        <v>50000</v>
      </c>
      <c r="O110" s="48" t="s">
        <v>75</v>
      </c>
      <c r="P110" s="48">
        <f>HEX2DEC(RIGHT(Table132321275358[[#This Row],[h1]],8))</f>
        <v>0</v>
      </c>
      <c r="Q110" s="48" t="s">
        <v>75</v>
      </c>
      <c r="R110" s="48">
        <f>HEX2DEC(RIGHT(Table132321275358[[#This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241</v>
      </c>
      <c r="F111" s="21"/>
      <c r="G111" s="49">
        <v>5000</v>
      </c>
      <c r="I111" s="27">
        <v>3</v>
      </c>
      <c r="J111" s="27">
        <v>50000</v>
      </c>
      <c r="L111" s="27"/>
      <c r="M111" s="27">
        <v>50000</v>
      </c>
      <c r="O111" s="48" t="s">
        <v>75</v>
      </c>
      <c r="P111" s="48">
        <f>HEX2DEC(RIGHT(Table132321275358[[#This Row],[h1]],8))</f>
        <v>0</v>
      </c>
      <c r="Q111" s="48" t="s">
        <v>75</v>
      </c>
      <c r="R111" s="48">
        <f>HEX2DEC(RIGHT(Table132321275358[[#This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242</v>
      </c>
      <c r="F112" s="21"/>
      <c r="G112" s="49">
        <v>5000</v>
      </c>
      <c r="I112" s="27">
        <v>1</v>
      </c>
      <c r="J112" s="27">
        <v>50000</v>
      </c>
      <c r="L112" s="27"/>
      <c r="M112" s="27">
        <v>50000</v>
      </c>
      <c r="O112" s="48" t="s">
        <v>75</v>
      </c>
      <c r="P112" s="48">
        <f>HEX2DEC(RIGHT(Table132321275358[[#This Row],[h1]],8))</f>
        <v>0</v>
      </c>
      <c r="Q112" s="48" t="s">
        <v>75</v>
      </c>
      <c r="R112" s="48">
        <f>HEX2DEC(RIGHT(Table132321275358[[#This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9"/>
      <c r="I113" s="27">
        <v>2</v>
      </c>
      <c r="J113" s="27">
        <v>50000</v>
      </c>
      <c r="L113" s="27"/>
      <c r="M113" s="27">
        <v>50000</v>
      </c>
      <c r="O113" s="48" t="s">
        <v>75</v>
      </c>
      <c r="P113" s="48">
        <f>HEX2DEC(RIGHT(Table132321275358[[#This Row],[h1]],8))</f>
        <v>0</v>
      </c>
      <c r="Q113" s="48" t="s">
        <v>75</v>
      </c>
      <c r="R113" s="48">
        <f>HEX2DEC(RIGHT(Table132321275358[[#This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346</v>
      </c>
      <c r="G114" s="29" t="s">
        <v>378</v>
      </c>
      <c r="I114" s="27">
        <v>1</v>
      </c>
      <c r="J114" s="27">
        <v>50000</v>
      </c>
      <c r="L114" s="27"/>
      <c r="M114" s="27">
        <v>50000</v>
      </c>
      <c r="O114" s="48" t="s">
        <v>75</v>
      </c>
      <c r="P114" s="48">
        <f>HEX2DEC(RIGHT(Table132321275358[[#This Row],[h1]],8))</f>
        <v>0</v>
      </c>
      <c r="Q114" s="48" t="s">
        <v>75</v>
      </c>
      <c r="R114" s="48">
        <f>HEX2DEC(RIGHT(Table132321275358[[#This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347</v>
      </c>
      <c r="G115" s="29" t="s">
        <v>378</v>
      </c>
      <c r="I115" s="27">
        <v>3</v>
      </c>
      <c r="J115" s="27">
        <v>50000</v>
      </c>
      <c r="L115" s="27"/>
      <c r="M115" s="27">
        <v>50000</v>
      </c>
      <c r="O115" s="48" t="s">
        <v>75</v>
      </c>
      <c r="P115" s="48">
        <f>HEX2DEC(RIGHT(Table132321275358[[#This Row],[h1]],8))</f>
        <v>0</v>
      </c>
      <c r="Q115" s="48" t="s">
        <v>75</v>
      </c>
      <c r="R115" s="48">
        <f>HEX2DEC(RIGHT(Table132321275358[[#This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348</v>
      </c>
      <c r="G116" s="29" t="s">
        <v>380</v>
      </c>
      <c r="I116" s="27">
        <v>1</v>
      </c>
      <c r="J116" s="27">
        <v>50000</v>
      </c>
      <c r="L116" s="27"/>
      <c r="M116" s="27">
        <v>50000</v>
      </c>
      <c r="O116" s="48" t="s">
        <v>75</v>
      </c>
      <c r="P116" s="48">
        <f>HEX2DEC(RIGHT(Table132321275358[[#This Row],[h1]],8))</f>
        <v>0</v>
      </c>
      <c r="Q116" s="48" t="s">
        <v>75</v>
      </c>
      <c r="R116" s="48">
        <f>HEX2DEC(RIGHT(Table132321275358[[#This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349</v>
      </c>
      <c r="G117" s="29" t="s">
        <v>382</v>
      </c>
      <c r="I117" s="27">
        <v>2</v>
      </c>
      <c r="J117" s="27">
        <v>50000</v>
      </c>
      <c r="L117" s="27"/>
      <c r="M117" s="27">
        <v>50000</v>
      </c>
      <c r="O117" s="48" t="s">
        <v>75</v>
      </c>
      <c r="P117" s="48">
        <f>HEX2DEC(RIGHT(Table132321275358[[#This Row],[h1]],8))</f>
        <v>0</v>
      </c>
      <c r="Q117" s="48" t="s">
        <v>75</v>
      </c>
      <c r="R117" s="48">
        <f>HEX2DEC(RIGHT(Table132321275358[[#This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350</v>
      </c>
      <c r="G118" s="29" t="s">
        <v>383</v>
      </c>
      <c r="I118" s="27">
        <v>1</v>
      </c>
      <c r="J118" s="27">
        <v>50000</v>
      </c>
      <c r="L118" s="27"/>
      <c r="M118" s="27">
        <v>50000</v>
      </c>
      <c r="O118" s="48" t="s">
        <v>75</v>
      </c>
      <c r="P118" s="48">
        <f>HEX2DEC(RIGHT(Table132321275358[[#This Row],[h1]],8))</f>
        <v>0</v>
      </c>
      <c r="Q118" s="48" t="s">
        <v>75</v>
      </c>
      <c r="R118" s="48">
        <f>HEX2DEC(RIGHT(Table132321275358[[#This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351</v>
      </c>
      <c r="G119" s="29" t="s">
        <v>384</v>
      </c>
      <c r="I119" s="27">
        <v>4</v>
      </c>
      <c r="J119" s="27">
        <v>50000</v>
      </c>
      <c r="L119" s="27"/>
      <c r="M119" s="27">
        <v>50000</v>
      </c>
      <c r="O119" s="48" t="s">
        <v>75</v>
      </c>
      <c r="P119" s="48">
        <f>HEX2DEC(RIGHT(Table132321275358[[#This Row],[h1]],8))</f>
        <v>0</v>
      </c>
      <c r="Q119" s="48" t="s">
        <v>75</v>
      </c>
      <c r="R119" s="48">
        <f>HEX2DEC(RIGHT(Table132321275358[[#This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352</v>
      </c>
      <c r="G120" s="29" t="s">
        <v>385</v>
      </c>
      <c r="I120" s="27">
        <v>1</v>
      </c>
      <c r="J120" s="27">
        <v>50000</v>
      </c>
      <c r="L120" s="27"/>
      <c r="M120" s="27">
        <v>50000</v>
      </c>
      <c r="O120" s="48" t="s">
        <v>75</v>
      </c>
      <c r="P120" s="48">
        <f>HEX2DEC(RIGHT(Table132321275358[[#This Row],[h1]],8))</f>
        <v>0</v>
      </c>
      <c r="Q120" s="48" t="s">
        <v>75</v>
      </c>
      <c r="R120" s="48">
        <f>HEX2DEC(RIGHT(Table132321275358[[#This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353</v>
      </c>
      <c r="G121" s="29" t="s">
        <v>378</v>
      </c>
      <c r="I121" s="27">
        <v>2</v>
      </c>
      <c r="J121" s="27">
        <v>50000</v>
      </c>
      <c r="L121" s="27"/>
      <c r="M121" s="27">
        <v>50000</v>
      </c>
      <c r="O121" s="48" t="s">
        <v>75</v>
      </c>
      <c r="P121" s="48">
        <f>HEX2DEC(RIGHT(Table132321275358[[#This Row],[h1]],8))</f>
        <v>0</v>
      </c>
      <c r="Q121" s="48" t="s">
        <v>75</v>
      </c>
      <c r="R121" s="48">
        <f>HEX2DEC(RIGHT(Table132321275358[[#This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354</v>
      </c>
      <c r="G122" s="29" t="s">
        <v>378</v>
      </c>
      <c r="I122" s="27">
        <v>1</v>
      </c>
      <c r="J122" s="27">
        <v>50000</v>
      </c>
      <c r="L122" s="27"/>
      <c r="M122" s="27">
        <v>50000</v>
      </c>
      <c r="O122" s="48" t="s">
        <v>75</v>
      </c>
      <c r="P122" s="48">
        <f>HEX2DEC(RIGHT(Table132321275358[[#This Row],[h1]],8))</f>
        <v>0</v>
      </c>
      <c r="Q122" s="48" t="s">
        <v>75</v>
      </c>
      <c r="R122" s="48">
        <f>HEX2DEC(RIGHT(Table132321275358[[#This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355</v>
      </c>
      <c r="G123" s="29" t="s">
        <v>378</v>
      </c>
      <c r="I123" s="27">
        <v>3</v>
      </c>
      <c r="J123" s="27">
        <v>50000</v>
      </c>
      <c r="L123" s="27"/>
      <c r="M123" s="27">
        <v>50000</v>
      </c>
      <c r="O123" s="48" t="s">
        <v>75</v>
      </c>
      <c r="P123" s="48">
        <f>HEX2DEC(RIGHT(Table132321275358[[#This Row],[h1]],8))</f>
        <v>0</v>
      </c>
      <c r="Q123" s="48" t="s">
        <v>75</v>
      </c>
      <c r="R123" s="48">
        <f>HEX2DEC(RIGHT(Table132321275358[[#This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356</v>
      </c>
      <c r="G124" s="29" t="s">
        <v>378</v>
      </c>
      <c r="I124" s="27">
        <v>1</v>
      </c>
      <c r="J124" s="27">
        <v>50000</v>
      </c>
      <c r="L124" s="27"/>
      <c r="M124" s="27">
        <v>50000</v>
      </c>
      <c r="O124" s="48" t="s">
        <v>75</v>
      </c>
      <c r="P124" s="48">
        <f>HEX2DEC(RIGHT(Table132321275358[[#This Row],[h1]],8))</f>
        <v>0</v>
      </c>
      <c r="Q124" s="48" t="s">
        <v>75</v>
      </c>
      <c r="R124" s="48">
        <f>HEX2DEC(RIGHT(Table132321275358[[#This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357</v>
      </c>
      <c r="G125" s="29" t="s">
        <v>378</v>
      </c>
      <c r="I125" s="27">
        <v>2</v>
      </c>
      <c r="J125" s="27">
        <v>50000</v>
      </c>
      <c r="L125" s="27"/>
      <c r="M125" s="27">
        <v>50000</v>
      </c>
      <c r="O125" s="48" t="s">
        <v>75</v>
      </c>
      <c r="P125" s="48">
        <f>HEX2DEC(RIGHT(Table132321275358[[#This Row],[h1]],8))</f>
        <v>0</v>
      </c>
      <c r="Q125" s="48" t="s">
        <v>75</v>
      </c>
      <c r="R125" s="48">
        <f>HEX2DEC(RIGHT(Table132321275358[[#This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358</v>
      </c>
      <c r="G126" s="29" t="s">
        <v>378</v>
      </c>
      <c r="I126" s="27">
        <v>1</v>
      </c>
      <c r="J126" s="27">
        <v>50000</v>
      </c>
      <c r="L126" s="27"/>
      <c r="M126" s="27">
        <v>50000</v>
      </c>
      <c r="O126" s="48" t="s">
        <v>75</v>
      </c>
      <c r="P126" s="48">
        <f>HEX2DEC(RIGHT(Table132321275358[[#This Row],[h1]],8))</f>
        <v>0</v>
      </c>
      <c r="Q126" s="48" t="s">
        <v>75</v>
      </c>
      <c r="R126" s="48">
        <f>HEX2DEC(RIGHT(Table132321275358[[#This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359</v>
      </c>
      <c r="G127" s="29" t="s">
        <v>378</v>
      </c>
      <c r="I127" s="27">
        <v>3</v>
      </c>
      <c r="J127" s="27">
        <v>50000</v>
      </c>
      <c r="L127" s="27"/>
      <c r="M127" s="27">
        <v>50000</v>
      </c>
      <c r="O127" s="48" t="s">
        <v>75</v>
      </c>
      <c r="P127" s="48">
        <f>HEX2DEC(RIGHT(Table132321275358[[#This Row],[h1]],8))</f>
        <v>0</v>
      </c>
      <c r="Q127" s="48" t="s">
        <v>75</v>
      </c>
      <c r="R127" s="48">
        <f>HEX2DEC(RIGHT(Table132321275358[[#This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360</v>
      </c>
      <c r="G128" s="29" t="s">
        <v>378</v>
      </c>
      <c r="I128" s="27">
        <v>1</v>
      </c>
      <c r="J128" s="27">
        <v>50000</v>
      </c>
      <c r="L128" s="27"/>
      <c r="M128" s="27">
        <v>50000</v>
      </c>
      <c r="O128" s="48" t="s">
        <v>75</v>
      </c>
      <c r="P128" s="48">
        <f>HEX2DEC(RIGHT(Table132321275358[[#This Row],[h1]],8))</f>
        <v>0</v>
      </c>
      <c r="Q128" s="48" t="s">
        <v>75</v>
      </c>
      <c r="R128" s="48">
        <f>HEX2DEC(RIGHT(Table132321275358[[#This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361</v>
      </c>
      <c r="G129" s="29" t="s">
        <v>378</v>
      </c>
      <c r="I129" s="27">
        <v>2</v>
      </c>
      <c r="J129" s="27">
        <v>50000</v>
      </c>
      <c r="L129" s="27"/>
      <c r="M129" s="27">
        <v>50000</v>
      </c>
      <c r="O129" s="48" t="s">
        <v>75</v>
      </c>
      <c r="P129" s="48">
        <f>HEX2DEC(RIGHT(Table132321275358[[#This Row],[h1]],8))</f>
        <v>0</v>
      </c>
      <c r="Q129" s="48" t="s">
        <v>75</v>
      </c>
      <c r="R129" s="48">
        <f>HEX2DEC(RIGHT(Table132321275358[[#This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362</v>
      </c>
      <c r="G130" s="29" t="s">
        <v>378</v>
      </c>
      <c r="I130" s="27">
        <v>1</v>
      </c>
      <c r="J130" s="27">
        <v>50000</v>
      </c>
      <c r="L130" s="27"/>
      <c r="M130" s="27">
        <v>50000</v>
      </c>
      <c r="O130" s="48" t="s">
        <v>75</v>
      </c>
      <c r="P130" s="48">
        <f>HEX2DEC(RIGHT(Table132321275358[[#This Row],[h1]],8))</f>
        <v>0</v>
      </c>
      <c r="Q130" s="48" t="s">
        <v>75</v>
      </c>
      <c r="R130" s="48">
        <f>HEX2DEC(RIGHT(Table132321275358[[#This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363</v>
      </c>
      <c r="G131" s="29" t="s">
        <v>378</v>
      </c>
      <c r="I131" s="27">
        <v>4</v>
      </c>
      <c r="J131" s="27">
        <v>50000</v>
      </c>
      <c r="L131" s="27"/>
      <c r="M131" s="27">
        <v>50000</v>
      </c>
      <c r="O131" s="48" t="s">
        <v>75</v>
      </c>
      <c r="P131" s="48">
        <f>HEX2DEC(RIGHT(Table132321275358[[#This Row],[h1]],8))</f>
        <v>0</v>
      </c>
      <c r="Q131" s="48" t="s">
        <v>75</v>
      </c>
      <c r="R131" s="48">
        <f>HEX2DEC(RIGHT(Table132321275358[[#This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364</v>
      </c>
      <c r="G132" s="29" t="s">
        <v>378</v>
      </c>
      <c r="I132" s="27">
        <v>1</v>
      </c>
      <c r="J132" s="27">
        <v>50000</v>
      </c>
      <c r="L132" s="27"/>
      <c r="M132" s="27">
        <v>50000</v>
      </c>
      <c r="O132" s="48" t="s">
        <v>75</v>
      </c>
      <c r="P132" s="48">
        <f>HEX2DEC(RIGHT(Table132321275358[[#This Row],[h1]],8))</f>
        <v>0</v>
      </c>
      <c r="Q132" s="48" t="s">
        <v>75</v>
      </c>
      <c r="R132" s="48">
        <f>HEX2DEC(RIGHT(Table132321275358[[#This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365</v>
      </c>
      <c r="G133" s="29" t="s">
        <v>378</v>
      </c>
      <c r="I133" s="27">
        <v>2</v>
      </c>
      <c r="J133" s="27">
        <v>50000</v>
      </c>
      <c r="L133" s="27"/>
      <c r="M133" s="27">
        <v>50000</v>
      </c>
      <c r="O133" s="48" t="s">
        <v>75</v>
      </c>
      <c r="P133" s="48">
        <f>HEX2DEC(RIGHT(Table132321275358[[#This Row],[h1]],8))</f>
        <v>0</v>
      </c>
      <c r="Q133" s="48" t="s">
        <v>75</v>
      </c>
      <c r="R133" s="48">
        <f>HEX2DEC(RIGHT(Table132321275358[[#This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366</v>
      </c>
      <c r="G134" s="29" t="s">
        <v>378</v>
      </c>
      <c r="I134" s="27">
        <v>1</v>
      </c>
      <c r="J134" s="27">
        <v>50000</v>
      </c>
      <c r="L134" s="27"/>
      <c r="M134" s="27">
        <v>50000</v>
      </c>
      <c r="O134" s="48" t="s">
        <v>75</v>
      </c>
      <c r="P134" s="48">
        <f>HEX2DEC(RIGHT(Table132321275358[[#This Row],[h1]],8))</f>
        <v>0</v>
      </c>
      <c r="Q134" s="48" t="s">
        <v>75</v>
      </c>
      <c r="R134" s="48">
        <f>HEX2DEC(RIGHT(Table132321275358[[#This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367</v>
      </c>
      <c r="G135" s="29" t="s">
        <v>378</v>
      </c>
      <c r="I135" s="27">
        <v>3</v>
      </c>
      <c r="J135" s="27">
        <v>50000</v>
      </c>
      <c r="L135" s="27"/>
      <c r="M135" s="27">
        <v>50000</v>
      </c>
      <c r="O135" s="48" t="s">
        <v>75</v>
      </c>
      <c r="P135" s="48">
        <f>HEX2DEC(RIGHT(Table132321275358[[#This Row],[h1]],8))</f>
        <v>0</v>
      </c>
      <c r="Q135" s="48" t="s">
        <v>75</v>
      </c>
      <c r="R135" s="48">
        <f>HEX2DEC(RIGHT(Table132321275358[[#This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368</v>
      </c>
      <c r="G136" s="29" t="s">
        <v>378</v>
      </c>
      <c r="I136" s="27">
        <v>1</v>
      </c>
      <c r="J136" s="27">
        <v>50000</v>
      </c>
      <c r="L136" s="27"/>
      <c r="M136" s="27">
        <v>50000</v>
      </c>
      <c r="O136" s="48" t="s">
        <v>75</v>
      </c>
      <c r="P136" s="48">
        <f>HEX2DEC(RIGHT(Table132321275358[[#This Row],[h1]],8))</f>
        <v>0</v>
      </c>
      <c r="Q136" s="48" t="s">
        <v>75</v>
      </c>
      <c r="R136" s="48">
        <f>HEX2DEC(RIGHT(Table132321275358[[#This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369</v>
      </c>
      <c r="G137" s="29" t="s">
        <v>378</v>
      </c>
      <c r="I137" s="27">
        <v>2</v>
      </c>
      <c r="J137" s="27">
        <v>50000</v>
      </c>
      <c r="L137" s="27"/>
      <c r="M137" s="27">
        <v>50000</v>
      </c>
      <c r="O137" s="48" t="s">
        <v>75</v>
      </c>
      <c r="P137" s="48">
        <f>HEX2DEC(RIGHT(Table132321275358[[#This Row],[h1]],8))</f>
        <v>0</v>
      </c>
      <c r="Q137" s="48" t="s">
        <v>75</v>
      </c>
      <c r="R137" s="48">
        <f>HEX2DEC(RIGHT(Table132321275358[[#This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370</v>
      </c>
      <c r="G138" s="29" t="s">
        <v>378</v>
      </c>
      <c r="I138" s="27">
        <v>1</v>
      </c>
      <c r="J138" s="27">
        <v>50000</v>
      </c>
      <c r="L138" s="27"/>
      <c r="M138" s="27">
        <v>50000</v>
      </c>
      <c r="O138" s="48" t="s">
        <v>75</v>
      </c>
      <c r="P138" s="48">
        <f>HEX2DEC(RIGHT(Table132321275358[[#This Row],[h1]],8))</f>
        <v>0</v>
      </c>
      <c r="Q138" s="48" t="s">
        <v>75</v>
      </c>
      <c r="R138" s="48">
        <f>HEX2DEC(RIGHT(Table132321275358[[#This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371</v>
      </c>
      <c r="G139" s="29" t="s">
        <v>378</v>
      </c>
      <c r="I139" s="27">
        <v>3</v>
      </c>
      <c r="J139" s="27">
        <v>50000</v>
      </c>
      <c r="L139" s="27"/>
      <c r="M139" s="27">
        <v>50000</v>
      </c>
      <c r="O139" s="48" t="s">
        <v>75</v>
      </c>
      <c r="P139" s="48">
        <f>HEX2DEC(RIGHT(Table132321275358[[#This Row],[h1]],8))</f>
        <v>0</v>
      </c>
      <c r="Q139" s="48" t="s">
        <v>75</v>
      </c>
      <c r="R139" s="48">
        <f>HEX2DEC(RIGHT(Table132321275358[[#This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372</v>
      </c>
      <c r="G140" s="29" t="s">
        <v>378</v>
      </c>
      <c r="I140" s="27">
        <v>1</v>
      </c>
      <c r="J140" s="27">
        <v>50000</v>
      </c>
      <c r="L140" s="27"/>
      <c r="M140" s="27">
        <v>50000</v>
      </c>
      <c r="O140" s="48" t="s">
        <v>75</v>
      </c>
      <c r="P140" s="48">
        <f>HEX2DEC(RIGHT(Table132321275358[[#This Row],[h1]],8))</f>
        <v>0</v>
      </c>
      <c r="Q140" s="48" t="s">
        <v>75</v>
      </c>
      <c r="R140" s="48">
        <f>HEX2DEC(RIGHT(Table132321275358[[#This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373</v>
      </c>
      <c r="F141" s="21"/>
      <c r="G141" s="29" t="s">
        <v>378</v>
      </c>
      <c r="I141" s="27">
        <v>2</v>
      </c>
      <c r="J141" s="27">
        <v>50000</v>
      </c>
      <c r="L141" s="27"/>
      <c r="M141" s="27">
        <v>50000</v>
      </c>
      <c r="O141" s="48" t="s">
        <v>75</v>
      </c>
      <c r="P141" s="48">
        <f>HEX2DEC(RIGHT(Table132321275358[[#This Row],[h1]],8))</f>
        <v>0</v>
      </c>
      <c r="Q141" s="48" t="s">
        <v>75</v>
      </c>
      <c r="R141" s="48">
        <f>HEX2DEC(RIGHT(Table132321275358[[#This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374</v>
      </c>
      <c r="F142" s="21"/>
      <c r="G142" s="29" t="s">
        <v>378</v>
      </c>
      <c r="I142" s="27">
        <v>1</v>
      </c>
      <c r="J142" s="27">
        <v>50000</v>
      </c>
      <c r="L142" s="27"/>
      <c r="M142" s="27">
        <v>50000</v>
      </c>
      <c r="O142" s="48" t="s">
        <v>75</v>
      </c>
      <c r="P142" s="48">
        <f>HEX2DEC(RIGHT(Table132321275358[[#This Row],[h1]],8))</f>
        <v>0</v>
      </c>
      <c r="Q142" s="48" t="s">
        <v>75</v>
      </c>
      <c r="R142" s="48">
        <f>HEX2DEC(RIGHT(Table132321275358[[#This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375</v>
      </c>
      <c r="F143" s="21"/>
      <c r="G143" s="29" t="s">
        <v>378</v>
      </c>
      <c r="I143" s="27">
        <v>4</v>
      </c>
      <c r="J143" s="27">
        <v>50000</v>
      </c>
      <c r="L143" s="27"/>
      <c r="M143" s="27">
        <v>50000</v>
      </c>
      <c r="O143" s="48" t="s">
        <v>75</v>
      </c>
      <c r="P143" s="48">
        <f>HEX2DEC(RIGHT(Table132321275358[[#This Row],[h1]],8))</f>
        <v>0</v>
      </c>
      <c r="Q143" s="48" t="s">
        <v>75</v>
      </c>
      <c r="R143" s="48">
        <f>HEX2DEC(RIGHT(Table132321275358[[#This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376</v>
      </c>
      <c r="F144" s="21"/>
      <c r="G144" s="29" t="s">
        <v>378</v>
      </c>
      <c r="I144" s="27">
        <v>1</v>
      </c>
      <c r="J144" s="27">
        <v>50000</v>
      </c>
      <c r="L144" s="27"/>
      <c r="M144" s="27">
        <v>50000</v>
      </c>
      <c r="O144" s="48" t="s">
        <v>75</v>
      </c>
      <c r="P144" s="48">
        <f>HEX2DEC(RIGHT(Table132321275358[[#This Row],[h1]],8))</f>
        <v>0</v>
      </c>
      <c r="Q144" s="48" t="s">
        <v>75</v>
      </c>
      <c r="R144" s="48">
        <f>HEX2DEC(RIGHT(Table132321275358[[#This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377</v>
      </c>
      <c r="F145" s="21"/>
      <c r="G145" s="29" t="s">
        <v>378</v>
      </c>
      <c r="I145" s="27">
        <v>2</v>
      </c>
      <c r="J145" s="27">
        <v>50000</v>
      </c>
      <c r="L145" s="27"/>
      <c r="M145" s="27">
        <v>50000</v>
      </c>
      <c r="O145" s="48" t="s">
        <v>75</v>
      </c>
      <c r="P145" s="48">
        <f>HEX2DEC(RIGHT(Table132321275358[[#This Row],[h1]],8))</f>
        <v>0</v>
      </c>
      <c r="Q145" s="48" t="s">
        <v>75</v>
      </c>
      <c r="R145" s="48">
        <f>HEX2DEC(RIGHT(Table132321275358[[#This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1</v>
      </c>
      <c r="J146" s="27">
        <v>50000</v>
      </c>
      <c r="L146" s="27"/>
      <c r="M146" s="27">
        <v>50000</v>
      </c>
      <c r="O146" s="48" t="s">
        <v>75</v>
      </c>
      <c r="P146" s="48">
        <f>HEX2DEC(RIGHT(Table132321275358[[#This Row],[h1]],8))</f>
        <v>0</v>
      </c>
      <c r="Q146" s="48" t="s">
        <v>75</v>
      </c>
      <c r="R146" s="48">
        <f>HEX2DEC(RIGHT(Table132321275358[[#This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139</v>
      </c>
      <c r="G147" s="49">
        <v>0</v>
      </c>
      <c r="I147" s="27">
        <v>3</v>
      </c>
      <c r="J147" s="27">
        <v>50000</v>
      </c>
      <c r="L147" s="27"/>
      <c r="M147" s="27">
        <v>50000</v>
      </c>
      <c r="O147" s="48" t="s">
        <v>75</v>
      </c>
      <c r="P147" s="48">
        <f>HEX2DEC(RIGHT(Table132321275358[[#This Row],[h1]],8))</f>
        <v>0</v>
      </c>
      <c r="Q147" s="48" t="s">
        <v>75</v>
      </c>
      <c r="R147" s="48">
        <f>HEX2DEC(RIGHT(Table132321275358[[#This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140</v>
      </c>
      <c r="G148" s="49">
        <v>0</v>
      </c>
      <c r="I148" s="27">
        <v>1</v>
      </c>
      <c r="J148" s="27">
        <v>50000</v>
      </c>
      <c r="L148" s="27"/>
      <c r="M148" s="27">
        <v>50000</v>
      </c>
      <c r="O148" s="48" t="s">
        <v>75</v>
      </c>
      <c r="P148" s="48">
        <f>HEX2DEC(RIGHT(Table132321275358[[#This Row],[h1]],8))</f>
        <v>0</v>
      </c>
      <c r="Q148" s="48" t="s">
        <v>75</v>
      </c>
      <c r="R148" s="48">
        <f>HEX2DEC(RIGHT(Table132321275358[[#This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141</v>
      </c>
      <c r="G149" s="49">
        <v>0</v>
      </c>
      <c r="I149" s="27">
        <v>2</v>
      </c>
      <c r="J149" s="27">
        <v>50000</v>
      </c>
      <c r="L149" s="27"/>
      <c r="M149" s="27">
        <v>50000</v>
      </c>
      <c r="O149" s="48" t="s">
        <v>75</v>
      </c>
      <c r="P149" s="48">
        <f>HEX2DEC(RIGHT(Table132321275358[[#This Row],[h1]],8))</f>
        <v>0</v>
      </c>
      <c r="Q149" s="48" t="s">
        <v>75</v>
      </c>
      <c r="R149" s="48">
        <f>HEX2DEC(RIGHT(Table132321275358[[#This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142</v>
      </c>
      <c r="G150" s="49">
        <v>0</v>
      </c>
      <c r="I150" s="27">
        <v>1</v>
      </c>
      <c r="J150" s="27">
        <v>50000</v>
      </c>
      <c r="L150" s="27"/>
      <c r="M150" s="27">
        <v>50000</v>
      </c>
      <c r="O150" s="48" t="s">
        <v>75</v>
      </c>
      <c r="P150" s="48">
        <f>HEX2DEC(RIGHT(Table132321275358[[#This Row],[h1]],8))</f>
        <v>0</v>
      </c>
      <c r="Q150" s="48" t="s">
        <v>75</v>
      </c>
      <c r="R150" s="48">
        <f>HEX2DEC(RIGHT(Table132321275358[[#This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143</v>
      </c>
      <c r="G151" s="49">
        <v>0</v>
      </c>
      <c r="I151" s="27">
        <v>3</v>
      </c>
      <c r="J151" s="27">
        <v>50000</v>
      </c>
      <c r="L151" s="27"/>
      <c r="M151" s="27">
        <v>50000</v>
      </c>
      <c r="O151" s="48" t="s">
        <v>75</v>
      </c>
      <c r="P151" s="48">
        <f>HEX2DEC(RIGHT(Table132321275358[[#This Row],[h1]],8))</f>
        <v>0</v>
      </c>
      <c r="Q151" s="48" t="s">
        <v>75</v>
      </c>
      <c r="R151" s="48">
        <f>HEX2DEC(RIGHT(Table132321275358[[#This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144</v>
      </c>
      <c r="G152" s="49">
        <v>0</v>
      </c>
      <c r="I152" s="27">
        <v>1</v>
      </c>
      <c r="J152" s="27">
        <v>50000</v>
      </c>
      <c r="L152" s="27"/>
      <c r="M152" s="27">
        <v>50000</v>
      </c>
      <c r="O152" s="48" t="s">
        <v>75</v>
      </c>
      <c r="P152" s="48">
        <f>HEX2DEC(RIGHT(Table132321275358[[#This Row],[h1]],8))</f>
        <v>0</v>
      </c>
      <c r="Q152" s="48" t="s">
        <v>75</v>
      </c>
      <c r="R152" s="48">
        <f>HEX2DEC(RIGHT(Table132321275358[[#This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145</v>
      </c>
      <c r="G153" s="49">
        <v>0</v>
      </c>
      <c r="I153" s="27">
        <v>2</v>
      </c>
      <c r="J153" s="27">
        <v>50000</v>
      </c>
      <c r="L153" s="27"/>
      <c r="M153" s="27">
        <v>50000</v>
      </c>
      <c r="O153" s="48" t="s">
        <v>75</v>
      </c>
      <c r="P153" s="48">
        <f>HEX2DEC(RIGHT(Table132321275358[[#This Row],[h1]],8))</f>
        <v>0</v>
      </c>
      <c r="Q153" s="48" t="s">
        <v>75</v>
      </c>
      <c r="R153" s="48">
        <f>HEX2DEC(RIGHT(Table132321275358[[#This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146</v>
      </c>
      <c r="G154" s="49">
        <v>0</v>
      </c>
      <c r="I154" s="27">
        <v>1</v>
      </c>
      <c r="J154" s="27">
        <v>50000</v>
      </c>
      <c r="L154" s="27"/>
      <c r="M154" s="27">
        <v>50000</v>
      </c>
      <c r="O154" s="48" t="s">
        <v>75</v>
      </c>
      <c r="P154" s="48">
        <f>HEX2DEC(RIGHT(Table132321275358[[#This Row],[h1]],8))</f>
        <v>0</v>
      </c>
      <c r="Q154" s="48" t="s">
        <v>75</v>
      </c>
      <c r="R154" s="48">
        <f>HEX2DEC(RIGHT(Table132321275358[[#This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48"/>
      <c r="I155" s="27">
        <v>4</v>
      </c>
      <c r="J155" s="27">
        <v>50000</v>
      </c>
      <c r="L155" s="27"/>
      <c r="M155" s="27">
        <v>50000</v>
      </c>
      <c r="O155" s="48" t="s">
        <v>75</v>
      </c>
      <c r="P155" s="48">
        <f>HEX2DEC(RIGHT(Table132321275358[[#This Row],[h1]],8))</f>
        <v>0</v>
      </c>
      <c r="Q155" s="48" t="s">
        <v>75</v>
      </c>
      <c r="R155" s="48">
        <f>HEX2DEC(RIGHT(Table132321275358[[#This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243</v>
      </c>
      <c r="F156" s="21"/>
      <c r="G156" s="52">
        <v>1</v>
      </c>
      <c r="I156" s="27">
        <v>1</v>
      </c>
      <c r="J156" s="27">
        <v>50000</v>
      </c>
      <c r="L156" s="27"/>
      <c r="M156" s="27">
        <v>50000</v>
      </c>
      <c r="O156" s="48" t="s">
        <v>75</v>
      </c>
      <c r="P156" s="48">
        <f>HEX2DEC(RIGHT(Table132321275358[[#This Row],[h1]],8))</f>
        <v>0</v>
      </c>
      <c r="Q156" s="48" t="s">
        <v>75</v>
      </c>
      <c r="R156" s="48">
        <f>HEX2DEC(RIGHT(Table132321275358[[#This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243</v>
      </c>
      <c r="F157" s="21"/>
      <c r="G157" s="52">
        <v>0</v>
      </c>
      <c r="I157" s="27">
        <v>2</v>
      </c>
      <c r="J157" s="27">
        <v>50000</v>
      </c>
      <c r="L157" s="27"/>
      <c r="M157" s="27">
        <v>50000</v>
      </c>
      <c r="O157" s="48" t="s">
        <v>75</v>
      </c>
      <c r="P157" s="48">
        <f>HEX2DEC(RIGHT(Table132321275358[[#This Row],[h1]],8))</f>
        <v>0</v>
      </c>
      <c r="Q157" s="48" t="s">
        <v>75</v>
      </c>
      <c r="R157" s="48">
        <f>HEX2DEC(RIGHT(Table132321275358[[#This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1</v>
      </c>
      <c r="J158" s="27">
        <v>50000</v>
      </c>
      <c r="L158" s="27"/>
      <c r="M158" s="27">
        <v>50000</v>
      </c>
      <c r="O158" s="48" t="s">
        <v>75</v>
      </c>
      <c r="P158" s="48">
        <f>HEX2DEC(RIGHT(Table132321275358[[#This Row],[h1]],8))</f>
        <v>0</v>
      </c>
      <c r="Q158" s="48" t="s">
        <v>75</v>
      </c>
      <c r="R158" s="48">
        <f>HEX2DEC(RIGHT(Table132321275358[[#This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244</v>
      </c>
      <c r="F159" s="21"/>
      <c r="G159" s="49">
        <v>0</v>
      </c>
      <c r="I159" s="27">
        <v>3</v>
      </c>
      <c r="J159" s="27">
        <v>50000</v>
      </c>
      <c r="L159" s="27"/>
      <c r="M159" s="27">
        <v>50000</v>
      </c>
      <c r="O159" s="48" t="s">
        <v>75</v>
      </c>
      <c r="P159" s="48">
        <f>HEX2DEC(RIGHT(Table132321275358[[#This Row],[h1]],8))</f>
        <v>0</v>
      </c>
      <c r="Q159" s="48" t="s">
        <v>75</v>
      </c>
      <c r="R159" s="48">
        <f>HEX2DEC(RIGHT(Table132321275358[[#This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245</v>
      </c>
      <c r="F160" s="21"/>
      <c r="G160" s="49">
        <v>0</v>
      </c>
      <c r="I160" s="27">
        <v>1</v>
      </c>
      <c r="J160" s="27">
        <v>50000</v>
      </c>
      <c r="L160" s="27"/>
      <c r="M160" s="27">
        <v>50000</v>
      </c>
      <c r="O160" s="48" t="s">
        <v>75</v>
      </c>
      <c r="P160" s="48">
        <f>HEX2DEC(RIGHT(Table132321275358[[#This Row],[h1]],8))</f>
        <v>0</v>
      </c>
      <c r="Q160" s="48" t="s">
        <v>75</v>
      </c>
      <c r="R160" s="48">
        <f>HEX2DEC(RIGHT(Table132321275358[[#This Row],[h2]],8))</f>
        <v>0</v>
      </c>
    </row>
    <row r="161" spans="1:18">
      <c r="A161" s="15" t="str">
        <f t="shared" si="7"/>
        <v>097</v>
      </c>
      <c r="B161" s="15">
        <v>151</v>
      </c>
      <c r="C161" s="38"/>
      <c r="D161" s="15" t="s">
        <v>246</v>
      </c>
      <c r="F161" s="21"/>
      <c r="G161" s="49">
        <v>0</v>
      </c>
      <c r="I161" s="27">
        <v>2</v>
      </c>
      <c r="J161" s="27">
        <v>50000</v>
      </c>
      <c r="L161" s="27"/>
      <c r="M161" s="27">
        <v>50000</v>
      </c>
      <c r="O161" s="48" t="s">
        <v>75</v>
      </c>
      <c r="P161" s="48">
        <f>HEX2DEC(RIGHT(Table132321275358[[#This Row],[h1]],8))</f>
        <v>0</v>
      </c>
      <c r="Q161" s="48" t="s">
        <v>75</v>
      </c>
      <c r="R161" s="48">
        <f>HEX2DEC(RIGHT(Table132321275358[[#This Row],[h2]],8))</f>
        <v>0</v>
      </c>
    </row>
    <row r="162" spans="1:18">
      <c r="A162" s="15" t="str">
        <f t="shared" si="7"/>
        <v>098</v>
      </c>
      <c r="B162" s="15">
        <v>152</v>
      </c>
      <c r="C162" s="38"/>
      <c r="F162" s="21"/>
      <c r="G162" s="49"/>
      <c r="I162" s="27">
        <v>1</v>
      </c>
      <c r="J162" s="27">
        <v>50000</v>
      </c>
      <c r="L162" s="27"/>
      <c r="M162" s="27">
        <v>50000</v>
      </c>
      <c r="O162" s="48" t="s">
        <v>75</v>
      </c>
      <c r="P162" s="48">
        <f>HEX2DEC(RIGHT(Table132321275358[[#This Row],[h1]],8))</f>
        <v>0</v>
      </c>
      <c r="Q162" s="48" t="s">
        <v>75</v>
      </c>
      <c r="R162" s="48">
        <f>HEX2DEC(RIGHT(Table132321275358[[#This Row],[h2]],8))</f>
        <v>0</v>
      </c>
    </row>
    <row r="163" spans="1:18">
      <c r="A163" s="15" t="str">
        <f t="shared" si="7"/>
        <v>099</v>
      </c>
      <c r="B163" s="15">
        <v>153</v>
      </c>
      <c r="C163" s="38"/>
      <c r="D163" s="15" t="s">
        <v>247</v>
      </c>
      <c r="F163" s="21"/>
      <c r="G163" s="49">
        <v>1</v>
      </c>
      <c r="I163" s="27">
        <v>3</v>
      </c>
      <c r="J163" s="27">
        <v>50000</v>
      </c>
      <c r="L163" s="27"/>
      <c r="M163" s="27">
        <v>50000</v>
      </c>
      <c r="O163" s="48" t="s">
        <v>75</v>
      </c>
      <c r="P163" s="48">
        <f>HEX2DEC(RIGHT(Table132321275358[[#This Row],[h1]],8))</f>
        <v>0</v>
      </c>
      <c r="Q163" s="48" t="s">
        <v>75</v>
      </c>
      <c r="R163" s="48">
        <f>HEX2DEC(RIGHT(Table132321275358[[#This Row],[h2]],8))</f>
        <v>0</v>
      </c>
    </row>
    <row r="164" spans="1:18">
      <c r="A164" s="15" t="str">
        <f t="shared" si="7"/>
        <v>09A</v>
      </c>
      <c r="B164" s="15">
        <v>154</v>
      </c>
      <c r="C164" s="38"/>
      <c r="D164" s="15" t="s">
        <v>248</v>
      </c>
      <c r="F164" s="21"/>
      <c r="G164" s="49">
        <v>1</v>
      </c>
      <c r="I164" s="27">
        <v>1</v>
      </c>
      <c r="J164" s="27">
        <v>50000</v>
      </c>
      <c r="L164" s="27"/>
      <c r="M164" s="27">
        <v>50000</v>
      </c>
      <c r="O164" s="48" t="s">
        <v>75</v>
      </c>
      <c r="P164" s="48">
        <f>HEX2DEC(RIGHT(Table132321275358[[#This Row],[h1]],8))</f>
        <v>0</v>
      </c>
      <c r="Q164" s="48" t="s">
        <v>75</v>
      </c>
      <c r="R164" s="48">
        <f>HEX2DEC(RIGHT(Table132321275358[[#This Row],[h2]],8))</f>
        <v>0</v>
      </c>
    </row>
    <row r="165" spans="1:18">
      <c r="A165" s="15" t="str">
        <f t="shared" si="7"/>
        <v>09B</v>
      </c>
      <c r="B165" s="15">
        <v>155</v>
      </c>
      <c r="C165" s="38"/>
      <c r="D165" s="15" t="s">
        <v>249</v>
      </c>
      <c r="F165" s="21"/>
      <c r="G165" s="49">
        <v>1</v>
      </c>
      <c r="I165" s="27">
        <v>2</v>
      </c>
      <c r="J165" s="27">
        <v>50000</v>
      </c>
      <c r="L165" s="27"/>
      <c r="M165" s="27">
        <v>50000</v>
      </c>
      <c r="O165" s="48" t="s">
        <v>75</v>
      </c>
      <c r="P165" s="48">
        <f>HEX2DEC(RIGHT(Table132321275358[[#This Row],[h1]],8))</f>
        <v>0</v>
      </c>
      <c r="Q165" s="48" t="s">
        <v>75</v>
      </c>
      <c r="R165" s="48">
        <f>HEX2DEC(RIGHT(Table132321275358[[#This Row],[h2]],8))</f>
        <v>0</v>
      </c>
    </row>
    <row r="166" spans="1:18">
      <c r="A166" s="15" t="str">
        <f t="shared" si="7"/>
        <v>09C</v>
      </c>
      <c r="B166" s="15">
        <v>156</v>
      </c>
      <c r="C166" s="38"/>
      <c r="D166" s="15" t="s">
        <v>331</v>
      </c>
      <c r="F166" s="21"/>
      <c r="G166" s="49">
        <v>1</v>
      </c>
      <c r="I166" s="27">
        <v>1</v>
      </c>
      <c r="J166" s="27">
        <v>50000</v>
      </c>
      <c r="L166" s="27"/>
      <c r="M166" s="27">
        <v>50000</v>
      </c>
      <c r="O166" s="48" t="s">
        <v>75</v>
      </c>
      <c r="P166" s="48">
        <f>HEX2DEC(RIGHT(Table132321275358[[#This Row],[h1]],8))</f>
        <v>0</v>
      </c>
      <c r="Q166" s="48" t="s">
        <v>75</v>
      </c>
      <c r="R166" s="48">
        <f>HEX2DEC(RIGHT(Table132321275358[[#This Row],[h2]],8))</f>
        <v>0</v>
      </c>
    </row>
    <row r="167" spans="1:18">
      <c r="A167" s="15" t="str">
        <f t="shared" si="7"/>
        <v>09D</v>
      </c>
      <c r="B167" s="15">
        <v>157</v>
      </c>
      <c r="C167" s="38"/>
      <c r="G167" s="31"/>
      <c r="I167" s="27">
        <v>4</v>
      </c>
      <c r="J167" s="27">
        <v>50000</v>
      </c>
      <c r="L167" s="27"/>
      <c r="M167" s="27">
        <v>50000</v>
      </c>
      <c r="O167" s="48" t="s">
        <v>75</v>
      </c>
      <c r="P167" s="48">
        <f>HEX2DEC(RIGHT(Table132321275358[[#This Row],[h1]],8))</f>
        <v>0</v>
      </c>
      <c r="Q167" s="48" t="s">
        <v>75</v>
      </c>
      <c r="R167" s="48">
        <f>HEX2DEC(RIGHT(Table132321275358[[#This Row],[h2]],8))</f>
        <v>0</v>
      </c>
    </row>
    <row r="168" spans="1:18">
      <c r="A168" s="15" t="str">
        <f t="shared" si="7"/>
        <v>09E</v>
      </c>
      <c r="B168" s="15">
        <v>158</v>
      </c>
      <c r="C168" s="38"/>
      <c r="D168" s="15" t="s">
        <v>409</v>
      </c>
      <c r="F168" s="29" t="s">
        <v>332</v>
      </c>
      <c r="G168" s="18">
        <f>HEX2DEC(RIGHT(Table1319255156[[#This Row],[dec val]],8))</f>
        <v>65536</v>
      </c>
      <c r="I168" s="27">
        <v>1</v>
      </c>
      <c r="J168" s="27">
        <v>50000</v>
      </c>
      <c r="L168" s="27"/>
      <c r="M168" s="27">
        <v>50000</v>
      </c>
      <c r="O168" s="48" t="s">
        <v>75</v>
      </c>
      <c r="P168" s="48">
        <f>HEX2DEC(RIGHT(Table132321275358[[#This Row],[h1]],8))</f>
        <v>0</v>
      </c>
      <c r="Q168" s="48" t="s">
        <v>75</v>
      </c>
      <c r="R168" s="48">
        <f>HEX2DEC(RIGHT(Table132321275358[[#This Row],[h2]],8))</f>
        <v>0</v>
      </c>
    </row>
    <row r="169" spans="1:18">
      <c r="A169" s="15" t="str">
        <f t="shared" si="7"/>
        <v>09F</v>
      </c>
      <c r="B169" s="15">
        <v>159</v>
      </c>
      <c r="C169" s="38"/>
      <c r="D169" s="15" t="s">
        <v>410</v>
      </c>
      <c r="F169" s="29" t="s">
        <v>333</v>
      </c>
      <c r="G169" s="18">
        <f>HEX2DEC(RIGHT(Table1319255156[[#This Row],[dec val]],8))</f>
        <v>196608</v>
      </c>
      <c r="I169" s="27">
        <v>2</v>
      </c>
      <c r="J169" s="27">
        <v>50000</v>
      </c>
      <c r="L169" s="27"/>
      <c r="M169" s="27">
        <v>50000</v>
      </c>
      <c r="O169" s="48" t="s">
        <v>75</v>
      </c>
      <c r="P169" s="48">
        <f>HEX2DEC(RIGHT(Table132321275358[[#This Row],[h1]],8))</f>
        <v>0</v>
      </c>
      <c r="Q169" s="48" t="s">
        <v>75</v>
      </c>
      <c r="R169" s="48">
        <f>HEX2DEC(RIGHT(Table132321275358[[#This Row],[h2]],8))</f>
        <v>0</v>
      </c>
    </row>
    <row r="170" spans="1:18">
      <c r="A170" s="15" t="str">
        <f t="shared" si="7"/>
        <v>0A0</v>
      </c>
      <c r="B170" s="15">
        <v>160</v>
      </c>
      <c r="C170" s="38"/>
      <c r="D170" s="15" t="s">
        <v>411</v>
      </c>
      <c r="F170" s="29" t="s">
        <v>334</v>
      </c>
      <c r="G170" s="18">
        <f>HEX2DEC(RIGHT(Table1319255156[[#This Row],[dec val]],8))</f>
        <v>458752</v>
      </c>
      <c r="I170" s="27">
        <v>1</v>
      </c>
      <c r="J170" s="27">
        <v>50000</v>
      </c>
      <c r="L170" s="27"/>
      <c r="M170" s="27">
        <v>50000</v>
      </c>
      <c r="O170" s="48" t="s">
        <v>75</v>
      </c>
      <c r="P170" s="48">
        <f>HEX2DEC(RIGHT(Table132321275358[[#This Row],[h1]],8))</f>
        <v>0</v>
      </c>
      <c r="Q170" s="48" t="s">
        <v>75</v>
      </c>
      <c r="R170" s="48">
        <f>HEX2DEC(RIGHT(Table132321275358[[#This Row],[h2]],8))</f>
        <v>0</v>
      </c>
    </row>
    <row r="171" spans="1:18">
      <c r="A171" s="15" t="str">
        <f t="shared" si="7"/>
        <v>0A1</v>
      </c>
      <c r="B171" s="15">
        <v>161</v>
      </c>
      <c r="C171" s="38"/>
      <c r="D171" s="15" t="s">
        <v>412</v>
      </c>
      <c r="F171" s="29" t="s">
        <v>335</v>
      </c>
      <c r="G171" s="18">
        <f>HEX2DEC(RIGHT(Table1319255156[[#This Row],[dec val]],8))</f>
        <v>983040</v>
      </c>
      <c r="I171" s="27">
        <v>3</v>
      </c>
      <c r="J171" s="27">
        <v>50000</v>
      </c>
      <c r="L171" s="27"/>
      <c r="M171" s="27">
        <v>50000</v>
      </c>
      <c r="O171" s="48" t="s">
        <v>75</v>
      </c>
      <c r="P171" s="48">
        <f>HEX2DEC(RIGHT(Table132321275358[[#This Row],[h1]],8))</f>
        <v>0</v>
      </c>
      <c r="Q171" s="48" t="s">
        <v>75</v>
      </c>
      <c r="R171" s="48">
        <f>HEX2DEC(RIGHT(Table132321275358[[#This Row],[h2]],8))</f>
        <v>0</v>
      </c>
    </row>
    <row r="172" spans="1:18">
      <c r="A172" s="15" t="str">
        <f t="shared" si="7"/>
        <v>0A2</v>
      </c>
      <c r="B172" s="15">
        <v>162</v>
      </c>
      <c r="C172" s="38"/>
      <c r="D172" s="15" t="s">
        <v>413</v>
      </c>
      <c r="F172" s="29" t="s">
        <v>407</v>
      </c>
      <c r="G172" s="18">
        <f>HEX2DEC(RIGHT(Table1319255156[[#This Row],[dec val]],8))</f>
        <v>2031616</v>
      </c>
      <c r="I172" s="27">
        <v>1</v>
      </c>
      <c r="J172" s="27">
        <v>50000</v>
      </c>
      <c r="L172" s="27"/>
      <c r="M172" s="27">
        <v>50000</v>
      </c>
      <c r="O172" s="48" t="s">
        <v>75</v>
      </c>
      <c r="P172" s="48">
        <f>HEX2DEC(RIGHT(Table132321275358[[#This Row],[h1]],8))</f>
        <v>0</v>
      </c>
      <c r="Q172" s="48" t="s">
        <v>75</v>
      </c>
      <c r="R172" s="48">
        <f>HEX2DEC(RIGHT(Table132321275358[[#This Row],[h2]],8))</f>
        <v>0</v>
      </c>
    </row>
    <row r="173" spans="1:18">
      <c r="A173" s="15" t="str">
        <f t="shared" si="7"/>
        <v>0A3</v>
      </c>
      <c r="B173" s="15">
        <v>163</v>
      </c>
      <c r="C173" s="38"/>
      <c r="D173" s="15" t="s">
        <v>414</v>
      </c>
      <c r="F173" s="29" t="s">
        <v>75</v>
      </c>
      <c r="G173" s="18">
        <f>HEX2DEC(RIGHT(Table1319255156[[#This Row],[dec val]],8))</f>
        <v>0</v>
      </c>
      <c r="I173" s="27">
        <v>2</v>
      </c>
      <c r="J173" s="27">
        <v>50000</v>
      </c>
      <c r="L173" s="27"/>
      <c r="M173" s="27">
        <v>50000</v>
      </c>
      <c r="O173" s="48" t="s">
        <v>75</v>
      </c>
      <c r="P173" s="48">
        <f>HEX2DEC(RIGHT(Table132321275358[[#This Row],[h1]],8))</f>
        <v>0</v>
      </c>
      <c r="Q173" s="48" t="s">
        <v>75</v>
      </c>
      <c r="R173" s="48">
        <f>HEX2DEC(RIGHT(Table132321275358[[#This Row],[h2]],8))</f>
        <v>0</v>
      </c>
    </row>
    <row r="174" spans="1:18">
      <c r="A174" s="15" t="str">
        <f t="shared" si="7"/>
        <v>0A4</v>
      </c>
      <c r="B174" s="15">
        <v>164</v>
      </c>
      <c r="C174" s="38"/>
      <c r="D174" s="15" t="s">
        <v>415</v>
      </c>
      <c r="F174" s="29" t="s">
        <v>75</v>
      </c>
      <c r="G174" s="18">
        <f>HEX2DEC(RIGHT(Table1319255156[[#This Row],[dec val]],8))</f>
        <v>0</v>
      </c>
      <c r="I174" s="27">
        <v>1</v>
      </c>
      <c r="J174" s="27">
        <v>50000</v>
      </c>
      <c r="L174" s="27"/>
      <c r="M174" s="27">
        <v>50000</v>
      </c>
      <c r="O174" s="48" t="s">
        <v>75</v>
      </c>
      <c r="P174" s="48">
        <f>HEX2DEC(RIGHT(Table132321275358[[#This Row],[h1]],8))</f>
        <v>0</v>
      </c>
      <c r="Q174" s="48" t="s">
        <v>75</v>
      </c>
      <c r="R174" s="48">
        <f>HEX2DEC(RIGHT(Table132321275358[[#This Row],[h2]],8))</f>
        <v>0</v>
      </c>
    </row>
    <row r="175" spans="1:18">
      <c r="A175" s="15" t="str">
        <f t="shared" si="7"/>
        <v>0A5</v>
      </c>
      <c r="B175" s="15">
        <v>165</v>
      </c>
      <c r="C175" s="38"/>
      <c r="D175" s="15" t="s">
        <v>416</v>
      </c>
      <c r="F175" s="29" t="s">
        <v>75</v>
      </c>
      <c r="G175" s="18">
        <f>HEX2DEC(RIGHT(Table1319255156[[#This Row],[dec val]],8))</f>
        <v>0</v>
      </c>
      <c r="I175" s="27">
        <v>3</v>
      </c>
      <c r="J175" s="27">
        <v>50000</v>
      </c>
      <c r="L175" s="27"/>
      <c r="M175" s="27">
        <v>50000</v>
      </c>
      <c r="O175" s="48" t="s">
        <v>75</v>
      </c>
      <c r="P175" s="48">
        <f>HEX2DEC(RIGHT(Table132321275358[[#This Row],[h1]],8))</f>
        <v>0</v>
      </c>
      <c r="Q175" s="48" t="s">
        <v>75</v>
      </c>
      <c r="R175" s="48">
        <f>HEX2DEC(RIGHT(Table132321275358[[#This Row],[h2]],8))</f>
        <v>0</v>
      </c>
    </row>
    <row r="176" spans="1:18">
      <c r="A176" s="15" t="str">
        <f t="shared" si="7"/>
        <v>0A6</v>
      </c>
      <c r="B176" s="15">
        <v>166</v>
      </c>
      <c r="C176" s="38"/>
      <c r="D176" s="15" t="s">
        <v>417</v>
      </c>
      <c r="F176" s="29" t="s">
        <v>75</v>
      </c>
      <c r="G176" s="18">
        <f>HEX2DEC(RIGHT(Table1319255156[[#This Row],[dec val]],8))</f>
        <v>0</v>
      </c>
      <c r="I176" s="27">
        <v>1</v>
      </c>
      <c r="J176" s="27">
        <v>50000</v>
      </c>
      <c r="L176" s="27"/>
      <c r="M176" s="27">
        <v>50000</v>
      </c>
      <c r="O176" s="48" t="s">
        <v>75</v>
      </c>
      <c r="P176" s="48">
        <f>HEX2DEC(RIGHT(Table132321275358[[#This Row],[h1]],8))</f>
        <v>0</v>
      </c>
      <c r="Q176" s="48" t="s">
        <v>75</v>
      </c>
      <c r="R176" s="48">
        <f>HEX2DEC(RIGHT(Table132321275358[[#This Row],[h2]],8))</f>
        <v>0</v>
      </c>
    </row>
    <row r="177" spans="1:18">
      <c r="A177" s="15" t="str">
        <f t="shared" si="7"/>
        <v>0A7</v>
      </c>
      <c r="B177" s="15">
        <v>167</v>
      </c>
      <c r="C177" s="38"/>
      <c r="D177" s="15" t="s">
        <v>418</v>
      </c>
      <c r="F177" s="29" t="s">
        <v>75</v>
      </c>
      <c r="G177" s="18">
        <f>HEX2DEC(RIGHT(Table1319255156[[#This Row],[dec val]],8))</f>
        <v>0</v>
      </c>
      <c r="I177" s="27">
        <v>2</v>
      </c>
      <c r="J177" s="27">
        <v>50000</v>
      </c>
      <c r="L177" s="27"/>
      <c r="M177" s="27">
        <v>50000</v>
      </c>
      <c r="O177" s="48" t="s">
        <v>75</v>
      </c>
      <c r="P177" s="48">
        <f>HEX2DEC(RIGHT(Table132321275358[[#This Row],[h1]],8))</f>
        <v>0</v>
      </c>
      <c r="Q177" s="48" t="s">
        <v>75</v>
      </c>
      <c r="R177" s="48">
        <f>HEX2DEC(RIGHT(Table132321275358[[#This Row],[h2]],8))</f>
        <v>0</v>
      </c>
    </row>
    <row r="178" spans="1:18">
      <c r="A178" s="15" t="str">
        <f t="shared" si="7"/>
        <v>0A8</v>
      </c>
      <c r="B178" s="15">
        <v>168</v>
      </c>
      <c r="C178" s="38"/>
      <c r="D178" s="15" t="s">
        <v>419</v>
      </c>
      <c r="F178" s="29" t="s">
        <v>75</v>
      </c>
      <c r="G178" s="18">
        <f>HEX2DEC(RIGHT(Table1319255156[[#This Row],[dec val]],8))</f>
        <v>0</v>
      </c>
      <c r="I178" s="27">
        <v>1</v>
      </c>
      <c r="J178" s="27">
        <v>50000</v>
      </c>
      <c r="L178" s="27"/>
      <c r="M178" s="27">
        <v>50000</v>
      </c>
      <c r="O178" s="48" t="s">
        <v>75</v>
      </c>
      <c r="P178" s="48">
        <f>HEX2DEC(RIGHT(Table132321275358[[#This Row],[h1]],8))</f>
        <v>0</v>
      </c>
      <c r="Q178" s="48" t="s">
        <v>75</v>
      </c>
      <c r="R178" s="48">
        <f>HEX2DEC(RIGHT(Table132321275358[[#This Row],[h2]],8))</f>
        <v>0</v>
      </c>
    </row>
    <row r="179" spans="1:18">
      <c r="A179" s="15" t="str">
        <f t="shared" si="7"/>
        <v>0A9</v>
      </c>
      <c r="B179" s="15">
        <v>169</v>
      </c>
      <c r="C179" s="38"/>
      <c r="D179" s="15" t="s">
        <v>420</v>
      </c>
      <c r="F179" s="29" t="s">
        <v>75</v>
      </c>
      <c r="G179" s="18">
        <f>HEX2DEC(RIGHT(Table1319255156[[#This Row],[dec val]],8))</f>
        <v>0</v>
      </c>
      <c r="I179" s="27">
        <v>4</v>
      </c>
      <c r="J179" s="27">
        <v>50000</v>
      </c>
      <c r="L179" s="27"/>
      <c r="M179" s="27">
        <v>50000</v>
      </c>
      <c r="O179" s="48" t="s">
        <v>75</v>
      </c>
      <c r="P179" s="48">
        <f>HEX2DEC(RIGHT(Table132321275358[[#This Row],[h1]],8))</f>
        <v>0</v>
      </c>
      <c r="Q179" s="48" t="s">
        <v>75</v>
      </c>
      <c r="R179" s="48">
        <f>HEX2DEC(RIGHT(Table132321275358[[#This Row],[h2]],8))</f>
        <v>0</v>
      </c>
    </row>
    <row r="180" spans="1:18">
      <c r="A180" s="15" t="str">
        <f t="shared" si="7"/>
        <v>0AA</v>
      </c>
      <c r="B180" s="15">
        <v>170</v>
      </c>
      <c r="C180" s="38"/>
      <c r="D180" s="15" t="s">
        <v>421</v>
      </c>
      <c r="F180" s="29" t="s">
        <v>75</v>
      </c>
      <c r="G180" s="18">
        <f>HEX2DEC(RIGHT(Table1319255156[[#This Row],[dec val]],8))</f>
        <v>0</v>
      </c>
      <c r="I180" s="27">
        <v>1</v>
      </c>
      <c r="J180" s="27">
        <v>50000</v>
      </c>
      <c r="L180" s="27"/>
      <c r="M180" s="27">
        <v>50000</v>
      </c>
      <c r="O180" s="48" t="s">
        <v>75</v>
      </c>
      <c r="P180" s="48">
        <f>HEX2DEC(RIGHT(Table132321275358[[#This Row],[h1]],8))</f>
        <v>0</v>
      </c>
      <c r="Q180" s="48" t="s">
        <v>75</v>
      </c>
      <c r="R180" s="48">
        <f>HEX2DEC(RIGHT(Table132321275358[[#This Row],[h2]],8))</f>
        <v>0</v>
      </c>
    </row>
    <row r="181" spans="1:18">
      <c r="A181" s="15" t="str">
        <f t="shared" si="7"/>
        <v>0AB</v>
      </c>
      <c r="B181" s="15">
        <v>171</v>
      </c>
      <c r="C181" s="38"/>
      <c r="D181" s="15" t="s">
        <v>422</v>
      </c>
      <c r="F181" s="29" t="s">
        <v>75</v>
      </c>
      <c r="G181" s="18">
        <f>HEX2DEC(RIGHT(Table1319255156[[#This Row],[dec val]],8))</f>
        <v>0</v>
      </c>
      <c r="I181" s="27">
        <v>2</v>
      </c>
      <c r="J181" s="27">
        <v>50000</v>
      </c>
      <c r="L181" s="27"/>
      <c r="M181" s="27">
        <v>50000</v>
      </c>
      <c r="O181" s="48" t="s">
        <v>75</v>
      </c>
      <c r="P181" s="48">
        <f>HEX2DEC(RIGHT(Table132321275358[[#This Row],[h1]],8))</f>
        <v>0</v>
      </c>
      <c r="Q181" s="48" t="s">
        <v>75</v>
      </c>
      <c r="R181" s="48">
        <f>HEX2DEC(RIGHT(Table132321275358[[#This Row],[h2]],8))</f>
        <v>0</v>
      </c>
    </row>
    <row r="182" spans="1:18">
      <c r="A182" s="15" t="str">
        <f t="shared" si="7"/>
        <v>0AC</v>
      </c>
      <c r="B182" s="15">
        <v>172</v>
      </c>
      <c r="C182" s="38"/>
      <c r="D182" s="15" t="s">
        <v>423</v>
      </c>
      <c r="F182" s="29" t="s">
        <v>75</v>
      </c>
      <c r="G182" s="18">
        <f>HEX2DEC(RIGHT(Table1319255156[[#This Row],[dec val]],8))</f>
        <v>0</v>
      </c>
      <c r="I182" s="27">
        <v>1</v>
      </c>
      <c r="J182" s="27">
        <v>50000</v>
      </c>
      <c r="L182" s="27"/>
      <c r="M182" s="27">
        <v>50000</v>
      </c>
      <c r="O182" s="48" t="s">
        <v>75</v>
      </c>
      <c r="P182" s="48">
        <f>HEX2DEC(RIGHT(Table132321275358[[#This Row],[h1]],8))</f>
        <v>0</v>
      </c>
      <c r="Q182" s="48" t="s">
        <v>75</v>
      </c>
      <c r="R182" s="48">
        <f>HEX2DEC(RIGHT(Table132321275358[[#This Row],[h2]],8))</f>
        <v>0</v>
      </c>
    </row>
    <row r="183" spans="1:18">
      <c r="A183" s="15" t="str">
        <f t="shared" si="7"/>
        <v>0AD</v>
      </c>
      <c r="B183" s="15">
        <v>173</v>
      </c>
      <c r="C183" s="38"/>
      <c r="D183" s="15" t="s">
        <v>424</v>
      </c>
      <c r="F183" s="29" t="s">
        <v>75</v>
      </c>
      <c r="G183" s="18">
        <f>HEX2DEC(RIGHT(Table1319255156[[#This Row],[dec val]],8))</f>
        <v>0</v>
      </c>
      <c r="I183" s="27">
        <v>3</v>
      </c>
      <c r="J183" s="27">
        <v>50000</v>
      </c>
      <c r="L183" s="27"/>
      <c r="M183" s="27">
        <v>50000</v>
      </c>
      <c r="O183" s="48" t="s">
        <v>75</v>
      </c>
      <c r="P183" s="48">
        <f>HEX2DEC(RIGHT(Table132321275358[[#This Row],[h1]],8))</f>
        <v>0</v>
      </c>
      <c r="Q183" s="48" t="s">
        <v>75</v>
      </c>
      <c r="R183" s="48">
        <f>HEX2DEC(RIGHT(Table132321275358[[#This Row],[h2]],8))</f>
        <v>0</v>
      </c>
    </row>
    <row r="184" spans="1:18">
      <c r="A184" s="15" t="str">
        <f t="shared" si="7"/>
        <v>0AE</v>
      </c>
      <c r="B184" s="15">
        <v>174</v>
      </c>
      <c r="C184" s="38"/>
      <c r="G184" s="48"/>
      <c r="I184" s="27">
        <v>1</v>
      </c>
      <c r="J184" s="27">
        <v>50000</v>
      </c>
      <c r="L184" s="27"/>
      <c r="M184" s="27">
        <v>50000</v>
      </c>
      <c r="O184" s="48" t="s">
        <v>75</v>
      </c>
      <c r="P184" s="48">
        <f>HEX2DEC(RIGHT(Table132321275358[[#This Row],[h1]],8))</f>
        <v>0</v>
      </c>
      <c r="Q184" s="48" t="s">
        <v>75</v>
      </c>
      <c r="R184" s="48">
        <f>HEX2DEC(RIGHT(Table132321275358[[#This Row],[h2]],8))</f>
        <v>0</v>
      </c>
    </row>
    <row r="185" spans="1:18">
      <c r="A185" s="15" t="str">
        <f t="shared" si="7"/>
        <v>0AF</v>
      </c>
      <c r="B185" s="15">
        <v>175</v>
      </c>
      <c r="C185" s="38"/>
      <c r="I185" s="27">
        <v>2</v>
      </c>
      <c r="J185" s="27">
        <v>50000</v>
      </c>
      <c r="L185" s="27"/>
      <c r="M185" s="27">
        <v>50000</v>
      </c>
      <c r="O185" s="48" t="s">
        <v>75</v>
      </c>
      <c r="P185" s="48">
        <f>HEX2DEC(RIGHT(Table132321275358[[#This Row],[h1]],8))</f>
        <v>0</v>
      </c>
      <c r="Q185" s="48" t="s">
        <v>75</v>
      </c>
      <c r="R185" s="48">
        <f>HEX2DEC(RIGHT(Table132321275358[[#This Row],[h2]],8))</f>
        <v>0</v>
      </c>
    </row>
    <row r="186" spans="1:18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8" t="s">
        <v>75</v>
      </c>
      <c r="P186" s="48">
        <f>HEX2DEC(RIGHT(Table132321275358[[#This Row],[h1]],8))</f>
        <v>0</v>
      </c>
      <c r="Q186" s="48" t="s">
        <v>75</v>
      </c>
      <c r="R186" s="48">
        <f>HEX2DEC(RIGHT(Table132321275358[[#This Row],[h2]],8))</f>
        <v>0</v>
      </c>
    </row>
    <row r="187" spans="1:18">
      <c r="A187" s="15" t="str">
        <f t="shared" si="7"/>
        <v>0B1</v>
      </c>
      <c r="B187" s="15">
        <v>177</v>
      </c>
      <c r="C187" s="38"/>
      <c r="I187" s="27">
        <v>3</v>
      </c>
      <c r="J187" s="27">
        <v>50000</v>
      </c>
      <c r="L187" s="27"/>
      <c r="M187" s="27">
        <v>50000</v>
      </c>
      <c r="O187" s="48" t="s">
        <v>75</v>
      </c>
      <c r="P187" s="48">
        <f>HEX2DEC(RIGHT(Table132321275358[[#This Row],[h1]],8))</f>
        <v>0</v>
      </c>
      <c r="Q187" s="48" t="s">
        <v>75</v>
      </c>
      <c r="R187" s="48">
        <f>HEX2DEC(RIGHT(Table132321275358[[#This Row],[h2]],8))</f>
        <v>0</v>
      </c>
    </row>
    <row r="188" spans="1:18">
      <c r="A188" s="15" t="str">
        <f t="shared" si="7"/>
        <v>0B2</v>
      </c>
      <c r="B188" s="15">
        <v>178</v>
      </c>
      <c r="C188" s="38"/>
      <c r="I188" s="27">
        <v>1</v>
      </c>
      <c r="J188" s="27">
        <v>50000</v>
      </c>
      <c r="L188" s="27"/>
      <c r="M188" s="27">
        <v>50000</v>
      </c>
      <c r="O188" s="48" t="s">
        <v>75</v>
      </c>
      <c r="P188" s="48">
        <f>HEX2DEC(RIGHT(Table132321275358[[#This Row],[h1]],8))</f>
        <v>0</v>
      </c>
      <c r="Q188" s="48" t="s">
        <v>75</v>
      </c>
      <c r="R188" s="48">
        <f>HEX2DEC(RIGHT(Table132321275358[[#This Row],[h2]],8))</f>
        <v>0</v>
      </c>
    </row>
    <row r="189" spans="1:18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8" t="s">
        <v>75</v>
      </c>
      <c r="P189" s="48">
        <f>HEX2DEC(RIGHT(Table132321275358[[#This Row],[h1]],8))</f>
        <v>0</v>
      </c>
      <c r="Q189" s="48" t="s">
        <v>75</v>
      </c>
      <c r="R189" s="48">
        <f>HEX2DEC(RIGHT(Table132321275358[[#This Row],[h2]],8))</f>
        <v>0</v>
      </c>
    </row>
    <row r="190" spans="1:18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8" t="s">
        <v>75</v>
      </c>
      <c r="P190" s="48">
        <f>HEX2DEC(RIGHT(Table132321275358[[#This Row],[h1]],8))</f>
        <v>0</v>
      </c>
      <c r="Q190" s="48" t="s">
        <v>75</v>
      </c>
      <c r="R190" s="48">
        <f>HEX2DEC(RIGHT(Table132321275358[[#This Row],[h2]],8))</f>
        <v>0</v>
      </c>
    </row>
    <row r="191" spans="1:18">
      <c r="A191" s="15" t="str">
        <f t="shared" si="7"/>
        <v>0B5</v>
      </c>
      <c r="B191" s="15">
        <v>181</v>
      </c>
      <c r="C191" s="38"/>
      <c r="D191" s="15" t="s">
        <v>254</v>
      </c>
      <c r="E191" s="51">
        <v>1</v>
      </c>
      <c r="F191" s="51">
        <v>15</v>
      </c>
      <c r="G191" s="50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1" s="27">
        <v>4</v>
      </c>
      <c r="J191" s="27">
        <v>50000</v>
      </c>
      <c r="L191" s="27"/>
      <c r="M191" s="27">
        <v>50000</v>
      </c>
      <c r="O191" s="48" t="s">
        <v>75</v>
      </c>
      <c r="P191" s="48">
        <f>HEX2DEC(RIGHT(Table132321275358[[#This Row],[h1]],8))</f>
        <v>0</v>
      </c>
      <c r="Q191" s="48" t="s">
        <v>75</v>
      </c>
      <c r="R191" s="48">
        <f>HEX2DEC(RIGHT(Table132321275358[[#This Row],[h2]],8))</f>
        <v>0</v>
      </c>
    </row>
    <row r="192" spans="1:18">
      <c r="A192" s="15" t="str">
        <f t="shared" si="7"/>
        <v>0B6</v>
      </c>
      <c r="B192" s="15">
        <v>182</v>
      </c>
      <c r="C192" s="38"/>
      <c r="D192" s="15" t="s">
        <v>255</v>
      </c>
      <c r="E192" s="51">
        <v>1</v>
      </c>
      <c r="F192" s="51">
        <v>555</v>
      </c>
      <c r="G192" s="50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48" t="s">
        <v>75</v>
      </c>
      <c r="P192" s="48">
        <f>HEX2DEC(RIGHT(Table132321275358[[#This Row],[h1]],8))</f>
        <v>0</v>
      </c>
      <c r="Q192" s="48" t="s">
        <v>75</v>
      </c>
      <c r="R192" s="48">
        <f>HEX2DEC(RIGHT(Table132321275358[[#This Row],[h2]],8))</f>
        <v>0</v>
      </c>
    </row>
    <row r="193" spans="1:18">
      <c r="A193" s="15" t="str">
        <f t="shared" si="7"/>
        <v>0B7</v>
      </c>
      <c r="B193" s="15">
        <v>183</v>
      </c>
      <c r="C193" s="38"/>
      <c r="D193" s="15" t="s">
        <v>256</v>
      </c>
      <c r="E193" s="51">
        <v>1</v>
      </c>
      <c r="F193" s="51">
        <v>10545</v>
      </c>
      <c r="G193" s="50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48" t="s">
        <v>75</v>
      </c>
      <c r="P193" s="48">
        <f>HEX2DEC(RIGHT(Table132321275358[[#This Row],[h1]],8))</f>
        <v>0</v>
      </c>
      <c r="Q193" s="48" t="s">
        <v>75</v>
      </c>
      <c r="R193" s="48">
        <f>HEX2DEC(RIGHT(Table132321275358[[#This Row],[h2]],8))</f>
        <v>0</v>
      </c>
    </row>
    <row r="194" spans="1:18">
      <c r="A194" s="15" t="str">
        <f t="shared" si="7"/>
        <v>0B8</v>
      </c>
      <c r="B194" s="15">
        <v>184</v>
      </c>
      <c r="C194" s="38"/>
      <c r="D194" s="15" t="s">
        <v>257</v>
      </c>
      <c r="E194" s="51">
        <v>1</v>
      </c>
      <c r="F194" s="51">
        <v>9</v>
      </c>
      <c r="G194" s="50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4" s="27">
        <v>1</v>
      </c>
      <c r="J194" s="27">
        <v>50000</v>
      </c>
      <c r="L194" s="27"/>
      <c r="M194" s="27">
        <v>50000</v>
      </c>
      <c r="O194" s="48" t="s">
        <v>75</v>
      </c>
      <c r="P194" s="48">
        <f>HEX2DEC(RIGHT(Table132321275358[[#This Row],[h1]],8))</f>
        <v>0</v>
      </c>
      <c r="Q194" s="48" t="s">
        <v>75</v>
      </c>
      <c r="R194" s="48">
        <f>HEX2DEC(RIGHT(Table132321275358[[#This Row],[h2]],8))</f>
        <v>0</v>
      </c>
    </row>
    <row r="195" spans="1:18">
      <c r="A195" s="15" t="str">
        <f t="shared" si="7"/>
        <v>0B9</v>
      </c>
      <c r="B195" s="15">
        <v>185</v>
      </c>
      <c r="C195" s="38"/>
      <c r="D195" s="15" t="s">
        <v>258</v>
      </c>
      <c r="E195" s="51">
        <v>1</v>
      </c>
      <c r="F195" s="51">
        <v>37</v>
      </c>
      <c r="G195" s="50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5" s="27">
        <v>3</v>
      </c>
      <c r="J195" s="27">
        <v>50000</v>
      </c>
      <c r="L195" s="27"/>
      <c r="M195" s="27">
        <v>50000</v>
      </c>
      <c r="O195" s="48" t="s">
        <v>75</v>
      </c>
      <c r="P195" s="48">
        <f>HEX2DEC(RIGHT(Table132321275358[[#This Row],[h1]],8))</f>
        <v>0</v>
      </c>
      <c r="Q195" s="48" t="s">
        <v>75</v>
      </c>
      <c r="R195" s="48">
        <f>HEX2DEC(RIGHT(Table132321275358[[#This Row],[h2]],8))</f>
        <v>0</v>
      </c>
    </row>
    <row r="196" spans="1:18">
      <c r="A196" s="15" t="str">
        <f t="shared" si="7"/>
        <v>0BA</v>
      </c>
      <c r="B196" s="15">
        <v>186</v>
      </c>
      <c r="C196" s="38"/>
      <c r="D196" s="15" t="s">
        <v>259</v>
      </c>
      <c r="E196" s="51">
        <v>1</v>
      </c>
      <c r="F196" s="51">
        <v>5</v>
      </c>
      <c r="G196" s="50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8" t="s">
        <v>75</v>
      </c>
      <c r="P196" s="48">
        <f>HEX2DEC(RIGHT(Table132321275358[[#This Row],[h1]],8))</f>
        <v>0</v>
      </c>
      <c r="Q196" s="48" t="s">
        <v>75</v>
      </c>
      <c r="R196" s="48">
        <f>HEX2DEC(RIGHT(Table132321275358[[#This Row],[h2]],8))</f>
        <v>0</v>
      </c>
    </row>
    <row r="197" spans="1:18">
      <c r="A197" s="15" t="str">
        <f t="shared" si="7"/>
        <v>0BB</v>
      </c>
      <c r="B197" s="15">
        <v>187</v>
      </c>
      <c r="C197" s="38"/>
      <c r="D197" s="15" t="s">
        <v>260</v>
      </c>
      <c r="E197" s="51">
        <v>1</v>
      </c>
      <c r="F197" s="51">
        <v>6</v>
      </c>
      <c r="G197" s="50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7" s="27">
        <v>2</v>
      </c>
      <c r="J197" s="27">
        <v>50000</v>
      </c>
      <c r="L197" s="27"/>
      <c r="M197" s="27">
        <v>50000</v>
      </c>
      <c r="O197" s="48" t="s">
        <v>75</v>
      </c>
      <c r="P197" s="48">
        <f>HEX2DEC(RIGHT(Table132321275358[[#This Row],[h1]],8))</f>
        <v>0</v>
      </c>
      <c r="Q197" s="48" t="s">
        <v>75</v>
      </c>
      <c r="R197" s="48">
        <f>HEX2DEC(RIGHT(Table132321275358[[#This Row],[h2]],8))</f>
        <v>0</v>
      </c>
    </row>
    <row r="198" spans="1:18">
      <c r="A198" s="15" t="str">
        <f t="shared" si="7"/>
        <v>0BC</v>
      </c>
      <c r="B198" s="15">
        <v>188</v>
      </c>
      <c r="C198" s="38"/>
      <c r="D198" s="15" t="s">
        <v>261</v>
      </c>
      <c r="E198" s="51">
        <v>1</v>
      </c>
      <c r="F198" s="51">
        <v>7</v>
      </c>
      <c r="G198" s="50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8" t="s">
        <v>75</v>
      </c>
      <c r="P198" s="48">
        <f>HEX2DEC(RIGHT(Table132321275358[[#This Row],[h1]],8))</f>
        <v>0</v>
      </c>
      <c r="Q198" s="48" t="s">
        <v>75</v>
      </c>
      <c r="R198" s="48">
        <f>HEX2DEC(RIGHT(Table132321275358[[#This Row],[h2]],8))</f>
        <v>0</v>
      </c>
    </row>
    <row r="199" spans="1:18">
      <c r="A199" s="15" t="str">
        <f t="shared" si="7"/>
        <v>0BD</v>
      </c>
      <c r="B199" s="15">
        <v>189</v>
      </c>
      <c r="C199" s="38"/>
      <c r="D199" s="15" t="s">
        <v>262</v>
      </c>
      <c r="E199" s="51">
        <v>1</v>
      </c>
      <c r="F199" s="51">
        <v>8</v>
      </c>
      <c r="G199" s="50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9" s="27">
        <v>3</v>
      </c>
      <c r="J199" s="27">
        <v>50000</v>
      </c>
      <c r="L199" s="27"/>
      <c r="M199" s="27">
        <v>50000</v>
      </c>
      <c r="O199" s="48" t="s">
        <v>75</v>
      </c>
      <c r="P199" s="48">
        <f>HEX2DEC(RIGHT(Table132321275358[[#This Row],[h1]],8))</f>
        <v>0</v>
      </c>
      <c r="Q199" s="48" t="s">
        <v>75</v>
      </c>
      <c r="R199" s="48">
        <f>HEX2DEC(RIGHT(Table132321275358[[#This Row],[h2]],8))</f>
        <v>0</v>
      </c>
    </row>
    <row r="200" spans="1:18">
      <c r="A200" s="15" t="str">
        <f t="shared" si="7"/>
        <v>0BE</v>
      </c>
      <c r="B200" s="15">
        <v>190</v>
      </c>
      <c r="C200" s="38"/>
      <c r="D200" s="15" t="s">
        <v>263</v>
      </c>
      <c r="E200" s="51">
        <v>1</v>
      </c>
      <c r="F200" s="51">
        <v>9</v>
      </c>
      <c r="G200" s="50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200" s="27">
        <v>1</v>
      </c>
      <c r="J200" s="27">
        <v>50000</v>
      </c>
      <c r="L200" s="27"/>
      <c r="M200" s="27">
        <v>50000</v>
      </c>
      <c r="O200" s="48" t="s">
        <v>75</v>
      </c>
      <c r="P200" s="48">
        <f>HEX2DEC(RIGHT(Table132321275358[[#This Row],[h1]],8))</f>
        <v>0</v>
      </c>
      <c r="Q200" s="48" t="s">
        <v>75</v>
      </c>
      <c r="R200" s="48">
        <f>HEX2DEC(RIGHT(Table132321275358[[#This Row],[h2]],8))</f>
        <v>0</v>
      </c>
    </row>
    <row r="201" spans="1:18">
      <c r="A201" s="15" t="str">
        <f t="shared" si="7"/>
        <v>0BF</v>
      </c>
      <c r="B201" s="15">
        <v>191</v>
      </c>
      <c r="C201" s="38"/>
      <c r="D201" s="15" t="s">
        <v>264</v>
      </c>
      <c r="E201" s="51">
        <v>1</v>
      </c>
      <c r="F201" s="51">
        <v>10</v>
      </c>
      <c r="G201" s="50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201" s="27">
        <v>2</v>
      </c>
      <c r="J201" s="27">
        <v>50000</v>
      </c>
      <c r="L201" s="27"/>
      <c r="M201" s="27">
        <v>50000</v>
      </c>
      <c r="O201" s="48" t="s">
        <v>75</v>
      </c>
      <c r="P201" s="48">
        <f>HEX2DEC(RIGHT(Table132321275358[[#This Row],[h1]],8))</f>
        <v>0</v>
      </c>
      <c r="Q201" s="48" t="s">
        <v>75</v>
      </c>
      <c r="R201" s="48">
        <f>HEX2DEC(RIGHT(Table132321275358[[#This Row],[h2]],8))</f>
        <v>0</v>
      </c>
    </row>
    <row r="202" spans="1:18">
      <c r="A202" s="15" t="str">
        <f t="shared" si="7"/>
        <v>0C0</v>
      </c>
      <c r="B202" s="15">
        <v>192</v>
      </c>
      <c r="C202" s="38"/>
      <c r="D202" s="15" t="s">
        <v>265</v>
      </c>
      <c r="E202" s="51">
        <v>1</v>
      </c>
      <c r="F202" s="51">
        <v>11</v>
      </c>
      <c r="G202" s="50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8" t="s">
        <v>75</v>
      </c>
      <c r="P202" s="48">
        <f>HEX2DEC(RIGHT(Table132321275358[[#This Row],[h1]],8))</f>
        <v>0</v>
      </c>
      <c r="Q202" s="48" t="s">
        <v>75</v>
      </c>
      <c r="R202" s="48">
        <f>HEX2DEC(RIGHT(Table132321275358[[#This Row],[h2]],8))</f>
        <v>0</v>
      </c>
    </row>
    <row r="203" spans="1:18">
      <c r="A203" s="15" t="str">
        <f t="shared" ref="A203:A266" si="8">DEC2HEX(B203,3)</f>
        <v>0C1</v>
      </c>
      <c r="B203" s="15">
        <v>193</v>
      </c>
      <c r="C203" s="38"/>
      <c r="D203" s="15" t="s">
        <v>266</v>
      </c>
      <c r="E203" s="51">
        <v>1</v>
      </c>
      <c r="F203" s="51">
        <v>12</v>
      </c>
      <c r="G203" s="50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203" s="27">
        <v>4</v>
      </c>
      <c r="J203" s="27">
        <v>50000</v>
      </c>
      <c r="L203" s="27"/>
      <c r="M203" s="27">
        <v>50000</v>
      </c>
      <c r="O203" s="48" t="s">
        <v>75</v>
      </c>
      <c r="P203" s="48">
        <f>HEX2DEC(RIGHT(Table132321275358[[#This Row],[h1]],8))</f>
        <v>0</v>
      </c>
      <c r="Q203" s="48" t="s">
        <v>75</v>
      </c>
      <c r="R203" s="48">
        <f>HEX2DEC(RIGHT(Table132321275358[[#This Row],[h2]],8))</f>
        <v>0</v>
      </c>
    </row>
    <row r="204" spans="1:18">
      <c r="A204" s="15" t="str">
        <f t="shared" si="8"/>
        <v>0C2</v>
      </c>
      <c r="B204" s="15">
        <v>194</v>
      </c>
      <c r="C204" s="38"/>
      <c r="D204" s="15" t="s">
        <v>267</v>
      </c>
      <c r="E204" s="51">
        <v>1</v>
      </c>
      <c r="F204" s="51">
        <v>13</v>
      </c>
      <c r="G204" s="50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8" t="s">
        <v>75</v>
      </c>
      <c r="P204" s="48">
        <f>HEX2DEC(RIGHT(Table132321275358[[#This Row],[h1]],8))</f>
        <v>0</v>
      </c>
      <c r="Q204" s="48" t="s">
        <v>75</v>
      </c>
      <c r="R204" s="48">
        <f>HEX2DEC(RIGHT(Table132321275358[[#This Row],[h2]],8))</f>
        <v>0</v>
      </c>
    </row>
    <row r="205" spans="1:18">
      <c r="A205" s="15" t="str">
        <f t="shared" si="8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8" t="s">
        <v>75</v>
      </c>
      <c r="P205" s="48">
        <f>HEX2DEC(RIGHT(Table132321275358[[#This Row],[h1]],8))</f>
        <v>0</v>
      </c>
      <c r="Q205" s="48" t="s">
        <v>75</v>
      </c>
      <c r="R205" s="48">
        <f>HEX2DEC(RIGHT(Table132321275358[[#This Row],[h2]],8))</f>
        <v>0</v>
      </c>
    </row>
    <row r="206" spans="1:18">
      <c r="A206" s="15" t="str">
        <f t="shared" si="8"/>
        <v>0C4</v>
      </c>
      <c r="B206" s="15">
        <v>196</v>
      </c>
      <c r="C206" s="38"/>
      <c r="D206" s="15" t="s">
        <v>268</v>
      </c>
      <c r="G206" s="29" t="s">
        <v>12</v>
      </c>
      <c r="I206" s="27">
        <v>1</v>
      </c>
      <c r="J206" s="27">
        <v>50000</v>
      </c>
      <c r="L206" s="27"/>
      <c r="M206" s="27">
        <v>50000</v>
      </c>
      <c r="O206" s="48" t="s">
        <v>75</v>
      </c>
      <c r="P206" s="48">
        <f>HEX2DEC(RIGHT(Table132321275358[[#This Row],[h1]],8))</f>
        <v>0</v>
      </c>
      <c r="Q206" s="48" t="s">
        <v>75</v>
      </c>
      <c r="R206" s="48">
        <f>HEX2DEC(RIGHT(Table132321275358[[#This Row],[h2]],8))</f>
        <v>0</v>
      </c>
    </row>
    <row r="207" spans="1:18">
      <c r="A207" s="15" t="str">
        <f t="shared" si="8"/>
        <v>0C5</v>
      </c>
      <c r="B207" s="15">
        <v>197</v>
      </c>
      <c r="C207" s="38"/>
      <c r="D207" s="15" t="s">
        <v>269</v>
      </c>
      <c r="G207" s="29" t="s">
        <v>13</v>
      </c>
      <c r="I207" s="27">
        <v>3</v>
      </c>
      <c r="J207" s="27">
        <v>50000</v>
      </c>
      <c r="L207" s="27"/>
      <c r="M207" s="27">
        <v>50000</v>
      </c>
      <c r="O207" s="48" t="s">
        <v>75</v>
      </c>
      <c r="P207" s="48">
        <f>HEX2DEC(RIGHT(Table132321275358[[#This Row],[h1]],8))</f>
        <v>0</v>
      </c>
      <c r="Q207" s="48" t="s">
        <v>75</v>
      </c>
      <c r="R207" s="48">
        <f>HEX2DEC(RIGHT(Table132321275358[[#This Row],[h2]],8))</f>
        <v>0</v>
      </c>
    </row>
    <row r="208" spans="1:18">
      <c r="A208" s="15" t="str">
        <f t="shared" si="8"/>
        <v>0C6</v>
      </c>
      <c r="B208" s="15">
        <v>198</v>
      </c>
      <c r="C208" s="38"/>
      <c r="D208" s="15" t="s">
        <v>270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48" t="s">
        <v>75</v>
      </c>
      <c r="P208" s="48">
        <f>HEX2DEC(RIGHT(Table132321275358[[#This Row],[h1]],8))</f>
        <v>0</v>
      </c>
      <c r="Q208" s="48" t="s">
        <v>75</v>
      </c>
      <c r="R208" s="48">
        <f>HEX2DEC(RIGHT(Table132321275358[[#This Row],[h2]],8))</f>
        <v>0</v>
      </c>
    </row>
    <row r="209" spans="1:18">
      <c r="A209" s="15" t="str">
        <f t="shared" si="8"/>
        <v>0C7</v>
      </c>
      <c r="B209" s="15">
        <v>199</v>
      </c>
      <c r="C209" s="38"/>
      <c r="D209" s="15" t="s">
        <v>271</v>
      </c>
      <c r="G209" s="29" t="s">
        <v>15</v>
      </c>
      <c r="I209" s="27">
        <v>2</v>
      </c>
      <c r="J209" s="27">
        <v>50000</v>
      </c>
      <c r="L209" s="27"/>
      <c r="M209" s="27">
        <v>50000</v>
      </c>
      <c r="O209" s="48" t="s">
        <v>75</v>
      </c>
      <c r="P209" s="48">
        <f>HEX2DEC(RIGHT(Table132321275358[[#This Row],[h1]],8))</f>
        <v>0</v>
      </c>
      <c r="Q209" s="48" t="s">
        <v>75</v>
      </c>
      <c r="R209" s="48">
        <f>HEX2DEC(RIGHT(Table132321275358[[#This Row],[h2]],8))</f>
        <v>0</v>
      </c>
    </row>
    <row r="210" spans="1:18">
      <c r="A210" s="15" t="str">
        <f t="shared" si="8"/>
        <v>0C8</v>
      </c>
      <c r="B210" s="15">
        <v>200</v>
      </c>
      <c r="C210" s="38"/>
      <c r="D210" s="15" t="s">
        <v>272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8" t="s">
        <v>75</v>
      </c>
      <c r="P210" s="48">
        <f>HEX2DEC(RIGHT(Table132321275358[[#This Row],[h1]],8))</f>
        <v>0</v>
      </c>
      <c r="Q210" s="48" t="s">
        <v>75</v>
      </c>
      <c r="R210" s="48">
        <f>HEX2DEC(RIGHT(Table132321275358[[#This Row],[h2]],8))</f>
        <v>0</v>
      </c>
    </row>
    <row r="211" spans="1:18">
      <c r="A211" s="15" t="str">
        <f t="shared" si="8"/>
        <v>0C9</v>
      </c>
      <c r="B211" s="15">
        <v>201</v>
      </c>
      <c r="C211" s="38"/>
      <c r="D211" s="15" t="s">
        <v>273</v>
      </c>
      <c r="G211" s="29" t="s">
        <v>41</v>
      </c>
      <c r="I211" s="27">
        <v>3</v>
      </c>
      <c r="J211" s="27">
        <v>50000</v>
      </c>
      <c r="L211" s="27"/>
      <c r="M211" s="27">
        <v>50000</v>
      </c>
      <c r="O211" s="48" t="s">
        <v>75</v>
      </c>
      <c r="P211" s="48">
        <f>HEX2DEC(RIGHT(Table132321275358[[#This Row],[h1]],8))</f>
        <v>0</v>
      </c>
      <c r="Q211" s="48" t="s">
        <v>75</v>
      </c>
      <c r="R211" s="48">
        <f>HEX2DEC(RIGHT(Table132321275358[[#This Row],[h2]],8))</f>
        <v>0</v>
      </c>
    </row>
    <row r="212" spans="1:18">
      <c r="A212" s="15" t="str">
        <f t="shared" si="8"/>
        <v>0CA</v>
      </c>
      <c r="B212" s="15">
        <v>202</v>
      </c>
      <c r="C212" s="38"/>
      <c r="D212" s="15" t="s">
        <v>274</v>
      </c>
      <c r="G212" s="29" t="s">
        <v>41</v>
      </c>
      <c r="I212" s="27">
        <v>1</v>
      </c>
      <c r="J212" s="27">
        <v>50000</v>
      </c>
      <c r="L212" s="27"/>
      <c r="M212" s="27">
        <v>50000</v>
      </c>
      <c r="O212" s="48" t="s">
        <v>75</v>
      </c>
      <c r="P212" s="48">
        <f>HEX2DEC(RIGHT(Table132321275358[[#This Row],[h1]],8))</f>
        <v>0</v>
      </c>
      <c r="Q212" s="48" t="s">
        <v>75</v>
      </c>
      <c r="R212" s="48">
        <f>HEX2DEC(RIGHT(Table132321275358[[#This Row],[h2]],8))</f>
        <v>0</v>
      </c>
    </row>
    <row r="213" spans="1:18">
      <c r="A213" s="15" t="str">
        <f t="shared" si="8"/>
        <v>0CB</v>
      </c>
      <c r="B213" s="15">
        <v>203</v>
      </c>
      <c r="C213" s="38"/>
      <c r="D213" s="15" t="s">
        <v>275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8" t="s">
        <v>75</v>
      </c>
      <c r="P213" s="48">
        <f>HEX2DEC(RIGHT(Table132321275358[[#This Row],[h1]],8))</f>
        <v>0</v>
      </c>
      <c r="Q213" s="48" t="s">
        <v>75</v>
      </c>
      <c r="R213" s="48">
        <f>HEX2DEC(RIGHT(Table132321275358[[#This Row],[h2]],8))</f>
        <v>0</v>
      </c>
    </row>
    <row r="214" spans="1:18">
      <c r="A214" s="15" t="str">
        <f t="shared" si="8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8" t="s">
        <v>75</v>
      </c>
      <c r="P214" s="48">
        <f>HEX2DEC(RIGHT(Table132321275358[[#This Row],[h1]],8))</f>
        <v>0</v>
      </c>
      <c r="Q214" s="48" t="s">
        <v>75</v>
      </c>
      <c r="R214" s="48">
        <f>HEX2DEC(RIGHT(Table132321275358[[#This Row],[h2]],8))</f>
        <v>0</v>
      </c>
    </row>
    <row r="215" spans="1:18">
      <c r="A215" s="15" t="str">
        <f t="shared" si="8"/>
        <v>0CD</v>
      </c>
      <c r="B215" s="15">
        <v>205</v>
      </c>
      <c r="C215" s="38"/>
      <c r="I215" s="27">
        <v>4</v>
      </c>
      <c r="J215" s="27">
        <v>50000</v>
      </c>
      <c r="L215" s="27"/>
      <c r="M215" s="27">
        <v>50000</v>
      </c>
      <c r="O215" s="48" t="s">
        <v>75</v>
      </c>
      <c r="P215" s="48">
        <f>HEX2DEC(RIGHT(Table132321275358[[#This Row],[h1]],8))</f>
        <v>0</v>
      </c>
      <c r="Q215" s="48" t="s">
        <v>75</v>
      </c>
      <c r="R215" s="48">
        <f>HEX2DEC(RIGHT(Table132321275358[[#This Row],[h2]],8))</f>
        <v>0</v>
      </c>
    </row>
    <row r="216" spans="1:18">
      <c r="A216" s="15" t="str">
        <f t="shared" si="8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8" t="s">
        <v>75</v>
      </c>
      <c r="P216" s="48">
        <f>HEX2DEC(RIGHT(Table132321275358[[#This Row],[h1]],8))</f>
        <v>0</v>
      </c>
      <c r="Q216" s="48" t="s">
        <v>75</v>
      </c>
      <c r="R216" s="48">
        <f>HEX2DEC(RIGHT(Table132321275358[[#This Row],[h2]],8))</f>
        <v>0</v>
      </c>
    </row>
    <row r="217" spans="1:18">
      <c r="A217" s="15" t="str">
        <f t="shared" si="8"/>
        <v>0CF</v>
      </c>
      <c r="B217" s="15">
        <v>207</v>
      </c>
      <c r="C217" s="38"/>
      <c r="F217" s="25"/>
      <c r="G217" s="56" t="s">
        <v>48</v>
      </c>
      <c r="I217" s="27">
        <v>2</v>
      </c>
      <c r="J217" s="27">
        <v>50000</v>
      </c>
      <c r="L217" s="27"/>
      <c r="M217" s="27">
        <v>50000</v>
      </c>
      <c r="O217" s="48" t="s">
        <v>75</v>
      </c>
      <c r="P217" s="48">
        <f>HEX2DEC(RIGHT(Table132321275358[[#This Row],[h1]],8))</f>
        <v>0</v>
      </c>
      <c r="Q217" s="48" t="s">
        <v>75</v>
      </c>
      <c r="R217" s="48">
        <f>HEX2DEC(RIGHT(Table132321275358[[#This Row],[h2]],8))</f>
        <v>0</v>
      </c>
    </row>
    <row r="218" spans="1:18">
      <c r="A218" s="15" t="str">
        <f t="shared" si="8"/>
        <v>0D0</v>
      </c>
      <c r="B218" s="15">
        <v>208</v>
      </c>
      <c r="C218" s="38"/>
      <c r="D218" s="15" t="s">
        <v>276</v>
      </c>
      <c r="F218" s="25"/>
      <c r="G218" s="29">
        <v>0</v>
      </c>
      <c r="I218" s="27">
        <v>1</v>
      </c>
      <c r="J218" s="27">
        <v>50000</v>
      </c>
      <c r="L218" s="27"/>
      <c r="M218" s="27">
        <v>50000</v>
      </c>
      <c r="O218" s="48" t="s">
        <v>75</v>
      </c>
      <c r="P218" s="48">
        <f>HEX2DEC(RIGHT(Table132321275358[[#This Row],[h1]],8))</f>
        <v>0</v>
      </c>
      <c r="Q218" s="48" t="s">
        <v>75</v>
      </c>
      <c r="R218" s="48">
        <f>HEX2DEC(RIGHT(Table132321275358[[#This Row],[h2]],8))</f>
        <v>0</v>
      </c>
    </row>
    <row r="219" spans="1:18">
      <c r="A219" s="15" t="str">
        <f t="shared" si="8"/>
        <v>0D1</v>
      </c>
      <c r="B219" s="15">
        <v>209</v>
      </c>
      <c r="C219" s="38"/>
      <c r="D219" s="15" t="s">
        <v>277</v>
      </c>
      <c r="G219" s="29">
        <v>0</v>
      </c>
      <c r="I219" s="27">
        <v>3</v>
      </c>
      <c r="J219" s="27">
        <v>50000</v>
      </c>
      <c r="L219" s="27"/>
      <c r="M219" s="27">
        <v>50000</v>
      </c>
      <c r="O219" s="48" t="s">
        <v>75</v>
      </c>
      <c r="P219" s="48">
        <f>HEX2DEC(RIGHT(Table132321275358[[#This Row],[h1]],8))</f>
        <v>0</v>
      </c>
      <c r="Q219" s="48" t="s">
        <v>75</v>
      </c>
      <c r="R219" s="48">
        <f>HEX2DEC(RIGHT(Table132321275358[[#This Row],[h2]],8))</f>
        <v>0</v>
      </c>
    </row>
    <row r="220" spans="1:18">
      <c r="A220" s="15" t="str">
        <f t="shared" si="8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8" t="s">
        <v>75</v>
      </c>
      <c r="P220" s="48">
        <f>HEX2DEC(RIGHT(Table132321275358[[#This Row],[h1]],8))</f>
        <v>0</v>
      </c>
      <c r="Q220" s="48" t="s">
        <v>75</v>
      </c>
      <c r="R220" s="48">
        <f>HEX2DEC(RIGHT(Table132321275358[[#This Row],[h2]],8))</f>
        <v>0</v>
      </c>
    </row>
    <row r="221" spans="1:18">
      <c r="A221" s="15" t="str">
        <f t="shared" si="8"/>
        <v>0D3</v>
      </c>
      <c r="B221" s="15">
        <v>211</v>
      </c>
      <c r="C221" s="38"/>
      <c r="D221" s="15" t="s">
        <v>278</v>
      </c>
      <c r="G221" s="29" t="s">
        <v>72</v>
      </c>
      <c r="I221" s="27">
        <v>2</v>
      </c>
      <c r="J221" s="27">
        <v>50000</v>
      </c>
      <c r="L221" s="27"/>
      <c r="M221" s="27">
        <v>50000</v>
      </c>
      <c r="O221" s="48" t="s">
        <v>75</v>
      </c>
      <c r="P221" s="48">
        <f>HEX2DEC(RIGHT(Table132321275358[[#This Row],[h1]],8))</f>
        <v>0</v>
      </c>
      <c r="Q221" s="48" t="s">
        <v>75</v>
      </c>
      <c r="R221" s="48">
        <f>HEX2DEC(RIGHT(Table132321275358[[#This Row],[h2]],8))</f>
        <v>0</v>
      </c>
    </row>
    <row r="222" spans="1:18">
      <c r="A222" s="15" t="str">
        <f t="shared" si="8"/>
        <v>0D4</v>
      </c>
      <c r="B222" s="15">
        <v>212</v>
      </c>
      <c r="C222" s="38"/>
      <c r="D222" s="15" t="s">
        <v>279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8" t="s">
        <v>75</v>
      </c>
      <c r="P222" s="48">
        <f>HEX2DEC(RIGHT(Table132321275358[[#This Row],[h1]],8))</f>
        <v>0</v>
      </c>
      <c r="Q222" s="48" t="s">
        <v>75</v>
      </c>
      <c r="R222" s="48">
        <f>HEX2DEC(RIGHT(Table132321275358[[#This Row],[h2]],8))</f>
        <v>0</v>
      </c>
    </row>
    <row r="223" spans="1:18">
      <c r="A223" s="15" t="str">
        <f t="shared" si="8"/>
        <v>0D5</v>
      </c>
      <c r="B223" s="15">
        <v>213</v>
      </c>
      <c r="C223" s="38"/>
      <c r="G223" s="48"/>
      <c r="I223" s="27">
        <v>3</v>
      </c>
      <c r="J223" s="27">
        <v>50000</v>
      </c>
      <c r="L223" s="27"/>
      <c r="M223" s="27">
        <v>50000</v>
      </c>
      <c r="O223" s="48" t="s">
        <v>75</v>
      </c>
      <c r="P223" s="48">
        <f>HEX2DEC(RIGHT(Table132321275358[[#This Row],[h1]],8))</f>
        <v>0</v>
      </c>
      <c r="Q223" s="48" t="s">
        <v>75</v>
      </c>
      <c r="R223" s="48">
        <f>HEX2DEC(RIGHT(Table132321275358[[#This Row],[h2]],8))</f>
        <v>0</v>
      </c>
    </row>
    <row r="224" spans="1:18">
      <c r="A224" s="15" t="str">
        <f t="shared" si="8"/>
        <v>0D6</v>
      </c>
      <c r="B224" s="15">
        <v>214</v>
      </c>
      <c r="C224" s="38"/>
      <c r="E224" s="48"/>
      <c r="F224" s="29" t="s">
        <v>23</v>
      </c>
      <c r="G224" s="18"/>
      <c r="I224" s="27">
        <v>1</v>
      </c>
      <c r="J224" s="27">
        <v>50000</v>
      </c>
      <c r="L224" s="27"/>
      <c r="M224" s="27">
        <v>50000</v>
      </c>
      <c r="O224" s="48" t="s">
        <v>75</v>
      </c>
      <c r="P224" s="48">
        <f>HEX2DEC(RIGHT(Table132321275358[[#This Row],[h1]],8))</f>
        <v>0</v>
      </c>
      <c r="Q224" s="48" t="s">
        <v>75</v>
      </c>
      <c r="R224" s="48">
        <f>HEX2DEC(RIGHT(Table132321275358[[#This Row],[h2]],8))</f>
        <v>0</v>
      </c>
    </row>
    <row r="225" spans="1:18">
      <c r="A225" s="15" t="str">
        <f t="shared" si="8"/>
        <v>0D7</v>
      </c>
      <c r="B225" s="15">
        <v>215</v>
      </c>
      <c r="C225" s="38"/>
      <c r="D225" s="15" t="s">
        <v>280</v>
      </c>
      <c r="E225" s="18" t="s">
        <v>53</v>
      </c>
      <c r="F225" s="29"/>
      <c r="G225" s="18">
        <f>IF(Table1319255156[[#This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8" t="s">
        <v>75</v>
      </c>
      <c r="P225" s="48">
        <f>HEX2DEC(RIGHT(Table132321275358[[#This Row],[h1]],8))</f>
        <v>0</v>
      </c>
      <c r="Q225" s="48" t="s">
        <v>75</v>
      </c>
      <c r="R225" s="48">
        <f>HEX2DEC(RIGHT(Table132321275358[[#This Row],[h2]],8))</f>
        <v>0</v>
      </c>
    </row>
    <row r="226" spans="1:18">
      <c r="A226" s="15" t="str">
        <f t="shared" si="8"/>
        <v>0D8</v>
      </c>
      <c r="B226" s="15">
        <v>216</v>
      </c>
      <c r="C226" s="38"/>
      <c r="D226" s="15" t="s">
        <v>281</v>
      </c>
      <c r="E226" s="18" t="s">
        <v>54</v>
      </c>
      <c r="F226" s="29"/>
      <c r="G226" s="18">
        <f>IF(Table1319255156[[#This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8" t="s">
        <v>75</v>
      </c>
      <c r="P226" s="48">
        <f>HEX2DEC(RIGHT(Table132321275358[[#This Row],[h1]],8))</f>
        <v>0</v>
      </c>
      <c r="Q226" s="48" t="s">
        <v>75</v>
      </c>
      <c r="R226" s="48">
        <f>HEX2DEC(RIGHT(Table132321275358[[#This Row],[h2]],8))</f>
        <v>0</v>
      </c>
    </row>
    <row r="227" spans="1:18">
      <c r="A227" s="15" t="str">
        <f t="shared" si="8"/>
        <v>0D9</v>
      </c>
      <c r="B227" s="15">
        <v>217</v>
      </c>
      <c r="C227" s="38"/>
      <c r="D227" s="15" t="s">
        <v>282</v>
      </c>
      <c r="E227" s="18" t="s">
        <v>55</v>
      </c>
      <c r="F227" s="29"/>
      <c r="G227" s="18">
        <f>IF(Table1319255156[[#This Row],[dec val]]="",0,1)</f>
        <v>0</v>
      </c>
      <c r="I227" s="27">
        <v>4</v>
      </c>
      <c r="J227" s="27">
        <v>50000</v>
      </c>
      <c r="L227" s="27"/>
      <c r="M227" s="27">
        <v>50000</v>
      </c>
      <c r="O227" s="48" t="s">
        <v>75</v>
      </c>
      <c r="P227" s="48">
        <f>HEX2DEC(RIGHT(Table132321275358[[#This Row],[h1]],8))</f>
        <v>0</v>
      </c>
      <c r="Q227" s="48" t="s">
        <v>75</v>
      </c>
      <c r="R227" s="48">
        <f>HEX2DEC(RIGHT(Table132321275358[[#This Row],[h2]],8))</f>
        <v>0</v>
      </c>
    </row>
    <row r="228" spans="1:18">
      <c r="A228" s="15" t="str">
        <f t="shared" si="8"/>
        <v>0DA</v>
      </c>
      <c r="B228" s="15">
        <v>218</v>
      </c>
      <c r="C228" s="38"/>
      <c r="D228" s="15" t="s">
        <v>283</v>
      </c>
      <c r="E228" s="18" t="s">
        <v>56</v>
      </c>
      <c r="F228" s="29"/>
      <c r="G228" s="18">
        <f>IF(Table1319255156[[#This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8" t="s">
        <v>75</v>
      </c>
      <c r="P228" s="48">
        <f>HEX2DEC(RIGHT(Table132321275358[[#This Row],[h1]],8))</f>
        <v>0</v>
      </c>
      <c r="Q228" s="48" t="s">
        <v>75</v>
      </c>
      <c r="R228" s="48">
        <f>HEX2DEC(RIGHT(Table132321275358[[#This Row],[h2]],8))</f>
        <v>0</v>
      </c>
    </row>
    <row r="229" spans="1:18">
      <c r="A229" s="15" t="str">
        <f t="shared" si="8"/>
        <v>0DB</v>
      </c>
      <c r="B229" s="15">
        <v>219</v>
      </c>
      <c r="C229" s="38"/>
      <c r="D229" s="15" t="s">
        <v>284</v>
      </c>
      <c r="E229" s="18" t="s">
        <v>57</v>
      </c>
      <c r="F229" s="29"/>
      <c r="G229" s="18">
        <f>IF(Table1319255156[[#This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8" t="s">
        <v>75</v>
      </c>
      <c r="P229" s="48">
        <f>HEX2DEC(RIGHT(Table132321275358[[#This Row],[h1]],8))</f>
        <v>0</v>
      </c>
      <c r="Q229" s="48" t="s">
        <v>75</v>
      </c>
      <c r="R229" s="48">
        <f>HEX2DEC(RIGHT(Table132321275358[[#This Row],[h2]],8))</f>
        <v>0</v>
      </c>
    </row>
    <row r="230" spans="1:18">
      <c r="A230" s="15" t="str">
        <f t="shared" si="8"/>
        <v>0DC</v>
      </c>
      <c r="B230" s="15">
        <v>220</v>
      </c>
      <c r="C230" s="38"/>
      <c r="D230" s="15" t="s">
        <v>285</v>
      </c>
      <c r="E230" s="18" t="s">
        <v>58</v>
      </c>
      <c r="F230" s="29"/>
      <c r="G230" s="18">
        <f>IF(Table1319255156[[#This Row],[dec val]]="",0,1)</f>
        <v>0</v>
      </c>
      <c r="I230" s="27">
        <v>1</v>
      </c>
      <c r="J230" s="27">
        <v>50000</v>
      </c>
      <c r="L230" s="27"/>
      <c r="M230" s="27">
        <v>50000</v>
      </c>
      <c r="O230" s="48" t="s">
        <v>75</v>
      </c>
      <c r="P230" s="48">
        <f>HEX2DEC(RIGHT(Table132321275358[[#This Row],[h1]],8))</f>
        <v>0</v>
      </c>
      <c r="Q230" s="48" t="s">
        <v>75</v>
      </c>
      <c r="R230" s="48">
        <f>HEX2DEC(RIGHT(Table132321275358[[#This Row],[h2]],8))</f>
        <v>0</v>
      </c>
    </row>
    <row r="231" spans="1:18">
      <c r="A231" s="15" t="str">
        <f t="shared" si="8"/>
        <v>0DD</v>
      </c>
      <c r="B231" s="15">
        <v>221</v>
      </c>
      <c r="C231" s="38"/>
      <c r="D231" s="15" t="s">
        <v>286</v>
      </c>
      <c r="E231" s="18" t="s">
        <v>59</v>
      </c>
      <c r="F231" s="29"/>
      <c r="G231" s="18">
        <f>IF(Table1319255156[[#This Row],[dec val]]="",0,1)</f>
        <v>0</v>
      </c>
      <c r="I231" s="27">
        <v>3</v>
      </c>
      <c r="J231" s="27">
        <v>50000</v>
      </c>
      <c r="L231" s="27"/>
      <c r="M231" s="27">
        <v>50000</v>
      </c>
      <c r="O231" s="48" t="s">
        <v>75</v>
      </c>
      <c r="P231" s="48">
        <f>HEX2DEC(RIGHT(Table132321275358[[#This Row],[h1]],8))</f>
        <v>0</v>
      </c>
      <c r="Q231" s="48" t="s">
        <v>75</v>
      </c>
      <c r="R231" s="48">
        <f>HEX2DEC(RIGHT(Table132321275358[[#This Row],[h2]],8))</f>
        <v>0</v>
      </c>
    </row>
    <row r="232" spans="1:18">
      <c r="A232" s="15" t="str">
        <f t="shared" si="8"/>
        <v>0DE</v>
      </c>
      <c r="B232" s="15">
        <v>222</v>
      </c>
      <c r="C232" s="38"/>
      <c r="D232" s="15" t="s">
        <v>287</v>
      </c>
      <c r="E232" s="18" t="s">
        <v>60</v>
      </c>
      <c r="F232" s="29"/>
      <c r="G232" s="18">
        <f>IF(Table1319255156[[#This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8" t="s">
        <v>75</v>
      </c>
      <c r="P232" s="48">
        <f>HEX2DEC(RIGHT(Table132321275358[[#This Row],[h1]],8))</f>
        <v>0</v>
      </c>
      <c r="Q232" s="48" t="s">
        <v>75</v>
      </c>
      <c r="R232" s="48">
        <f>HEX2DEC(RIGHT(Table132321275358[[#This Row],[h2]],8))</f>
        <v>0</v>
      </c>
    </row>
    <row r="233" spans="1:18">
      <c r="A233" s="15" t="str">
        <f t="shared" si="8"/>
        <v>0DF</v>
      </c>
      <c r="B233" s="15">
        <v>223</v>
      </c>
      <c r="C233" s="38"/>
      <c r="D233" s="15" t="s">
        <v>288</v>
      </c>
      <c r="E233" s="18" t="s">
        <v>61</v>
      </c>
      <c r="F233" s="29"/>
      <c r="G233" s="18">
        <f>IF(Table1319255156[[#This Row],[dec val]]="",0,1)</f>
        <v>0</v>
      </c>
      <c r="I233" s="27">
        <v>2</v>
      </c>
      <c r="J233" s="27">
        <v>50000</v>
      </c>
      <c r="L233" s="27"/>
      <c r="M233" s="27">
        <v>50000</v>
      </c>
      <c r="O233" s="48" t="s">
        <v>75</v>
      </c>
      <c r="P233" s="48">
        <f>HEX2DEC(RIGHT(Table132321275358[[#This Row],[h1]],8))</f>
        <v>0</v>
      </c>
      <c r="Q233" s="48" t="s">
        <v>75</v>
      </c>
      <c r="R233" s="48">
        <f>HEX2DEC(RIGHT(Table132321275358[[#This Row],[h2]],8))</f>
        <v>0</v>
      </c>
    </row>
    <row r="234" spans="1:18">
      <c r="A234" s="15" t="str">
        <f t="shared" si="8"/>
        <v>0E0</v>
      </c>
      <c r="B234" s="15">
        <v>224</v>
      </c>
      <c r="C234" s="38"/>
      <c r="D234" s="15" t="s">
        <v>289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8" t="s">
        <v>75</v>
      </c>
      <c r="P234" s="48">
        <f>HEX2DEC(RIGHT(Table132321275358[[#This Row],[h1]],8))</f>
        <v>0</v>
      </c>
      <c r="Q234" s="48" t="s">
        <v>75</v>
      </c>
      <c r="R234" s="48">
        <f>HEX2DEC(RIGHT(Table132321275358[[#This Row],[h2]],8))</f>
        <v>0</v>
      </c>
    </row>
    <row r="235" spans="1:18">
      <c r="A235" s="15" t="str">
        <f t="shared" si="8"/>
        <v>0E1</v>
      </c>
      <c r="B235" s="15">
        <v>225</v>
      </c>
      <c r="C235" s="38"/>
      <c r="D235" s="15" t="s">
        <v>290</v>
      </c>
      <c r="E235" s="18" t="s">
        <v>63</v>
      </c>
      <c r="F235" s="29"/>
      <c r="G235" s="18">
        <f>IF(Table1319255156[[#This Row],[dec val]]="",0,1)</f>
        <v>0</v>
      </c>
      <c r="I235" s="27">
        <v>3</v>
      </c>
      <c r="J235" s="27">
        <v>50000</v>
      </c>
      <c r="L235" s="27"/>
      <c r="M235" s="27">
        <v>50000</v>
      </c>
      <c r="O235" s="48" t="s">
        <v>75</v>
      </c>
      <c r="P235" s="48">
        <f>HEX2DEC(RIGHT(Table132321275358[[#This Row],[h1]],8))</f>
        <v>0</v>
      </c>
      <c r="Q235" s="48" t="s">
        <v>75</v>
      </c>
      <c r="R235" s="48">
        <f>HEX2DEC(RIGHT(Table132321275358[[#This Row],[h2]],8))</f>
        <v>0</v>
      </c>
    </row>
    <row r="236" spans="1:18">
      <c r="A236" s="15" t="str">
        <f t="shared" si="8"/>
        <v>0E2</v>
      </c>
      <c r="B236" s="15">
        <v>226</v>
      </c>
      <c r="C236" s="38"/>
      <c r="D236" s="15" t="s">
        <v>338</v>
      </c>
      <c r="E236" s="18" t="s">
        <v>339</v>
      </c>
      <c r="F236" s="29"/>
      <c r="G236" s="18">
        <f>IF(Table1319255156[[#This Row],[dec val]]="",0,1)</f>
        <v>0</v>
      </c>
      <c r="I236" s="27">
        <v>1</v>
      </c>
      <c r="J236" s="27">
        <v>50000</v>
      </c>
      <c r="L236" s="27"/>
      <c r="M236" s="27">
        <v>50000</v>
      </c>
      <c r="O236" s="48" t="s">
        <v>75</v>
      </c>
      <c r="P236" s="48">
        <f>HEX2DEC(RIGHT(Table132321275358[[#This Row],[h1]],8))</f>
        <v>0</v>
      </c>
      <c r="Q236" s="48" t="s">
        <v>75</v>
      </c>
      <c r="R236" s="48">
        <f>HEX2DEC(RIGHT(Table132321275358[[#This Row],[h2]],8))</f>
        <v>0</v>
      </c>
    </row>
    <row r="237" spans="1:18">
      <c r="A237" s="15" t="str">
        <f t="shared" si="8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8" t="s">
        <v>75</v>
      </c>
      <c r="P237" s="48">
        <f>HEX2DEC(RIGHT(Table132321275358[[#This Row],[h1]],8))</f>
        <v>0</v>
      </c>
      <c r="Q237" s="48" t="s">
        <v>75</v>
      </c>
      <c r="R237" s="48">
        <f>HEX2DEC(RIGHT(Table132321275358[[#This Row],[h2]],8))</f>
        <v>0</v>
      </c>
    </row>
    <row r="238" spans="1:18">
      <c r="A238" s="15" t="str">
        <f t="shared" si="8"/>
        <v>0E4</v>
      </c>
      <c r="B238" s="15">
        <v>228</v>
      </c>
      <c r="C238" s="38"/>
      <c r="D238" s="15" t="s">
        <v>291</v>
      </c>
      <c r="E238" s="18" t="s">
        <v>53</v>
      </c>
      <c r="F238" s="29"/>
      <c r="G238" s="18">
        <f>IF(Table1319255156[[#This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8" t="s">
        <v>75</v>
      </c>
      <c r="P238" s="48">
        <f>HEX2DEC(RIGHT(Table132321275358[[#This Row],[h1]],8))</f>
        <v>0</v>
      </c>
      <c r="Q238" s="48" t="s">
        <v>75</v>
      </c>
      <c r="R238" s="48">
        <f>HEX2DEC(RIGHT(Table132321275358[[#This Row],[h2]],8))</f>
        <v>0</v>
      </c>
    </row>
    <row r="239" spans="1:18">
      <c r="A239" s="15" t="str">
        <f t="shared" si="8"/>
        <v>0E5</v>
      </c>
      <c r="B239" s="15">
        <v>229</v>
      </c>
      <c r="C239" s="38"/>
      <c r="D239" s="15" t="s">
        <v>292</v>
      </c>
      <c r="E239" s="18" t="s">
        <v>54</v>
      </c>
      <c r="F239" s="29"/>
      <c r="G239" s="18">
        <f>IF(Table1319255156[[#This Row],[dec val]]="",0,1)</f>
        <v>0</v>
      </c>
      <c r="I239" s="27">
        <v>4</v>
      </c>
      <c r="J239" s="27">
        <v>50000</v>
      </c>
      <c r="L239" s="27"/>
      <c r="M239" s="27">
        <v>50000</v>
      </c>
      <c r="O239" s="48" t="s">
        <v>75</v>
      </c>
      <c r="P239" s="48">
        <f>HEX2DEC(RIGHT(Table132321275358[[#This Row],[h1]],8))</f>
        <v>0</v>
      </c>
      <c r="Q239" s="48" t="s">
        <v>75</v>
      </c>
      <c r="R239" s="48">
        <f>HEX2DEC(RIGHT(Table132321275358[[#This Row],[h2]],8))</f>
        <v>0</v>
      </c>
    </row>
    <row r="240" spans="1:18">
      <c r="A240" s="15" t="str">
        <f t="shared" si="8"/>
        <v>0E6</v>
      </c>
      <c r="B240" s="15">
        <v>230</v>
      </c>
      <c r="C240" s="38"/>
      <c r="D240" s="15" t="s">
        <v>293</v>
      </c>
      <c r="E240" s="18" t="s">
        <v>55</v>
      </c>
      <c r="F240" s="29"/>
      <c r="G240" s="18">
        <f>IF(Table1319255156[[#This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8" t="s">
        <v>75</v>
      </c>
      <c r="P240" s="48">
        <f>HEX2DEC(RIGHT(Table132321275358[[#This Row],[h1]],8))</f>
        <v>0</v>
      </c>
      <c r="Q240" s="48" t="s">
        <v>75</v>
      </c>
      <c r="R240" s="48">
        <f>HEX2DEC(RIGHT(Table132321275358[[#This Row],[h2]],8))</f>
        <v>0</v>
      </c>
    </row>
    <row r="241" spans="1:18">
      <c r="A241" s="15" t="str">
        <f t="shared" si="8"/>
        <v>0E7</v>
      </c>
      <c r="B241" s="15">
        <v>231</v>
      </c>
      <c r="C241" s="38"/>
      <c r="D241" s="15" t="s">
        <v>294</v>
      </c>
      <c r="E241" s="18" t="s">
        <v>56</v>
      </c>
      <c r="F241" s="29"/>
      <c r="G241" s="18">
        <f>IF(Table1319255156[[#This Row],[dec val]]="",0,1)</f>
        <v>0</v>
      </c>
      <c r="I241" s="27">
        <v>2</v>
      </c>
      <c r="J241" s="27">
        <v>50000</v>
      </c>
      <c r="L241" s="27"/>
      <c r="M241" s="27">
        <v>50000</v>
      </c>
      <c r="O241" s="48" t="s">
        <v>75</v>
      </c>
      <c r="P241" s="48">
        <f>HEX2DEC(RIGHT(Table132321275358[[#This Row],[h1]],8))</f>
        <v>0</v>
      </c>
      <c r="Q241" s="48" t="s">
        <v>75</v>
      </c>
      <c r="R241" s="48">
        <f>HEX2DEC(RIGHT(Table132321275358[[#This Row],[h2]],8))</f>
        <v>0</v>
      </c>
    </row>
    <row r="242" spans="1:18">
      <c r="A242" s="15" t="str">
        <f t="shared" si="8"/>
        <v>0E8</v>
      </c>
      <c r="B242" s="15">
        <v>232</v>
      </c>
      <c r="C242" s="38"/>
      <c r="D242" s="15" t="s">
        <v>295</v>
      </c>
      <c r="E242" s="18" t="s">
        <v>57</v>
      </c>
      <c r="F242" s="29"/>
      <c r="G242" s="18">
        <f>IF(Table1319255156[[#This Row],[dec val]]="",0,1)</f>
        <v>0</v>
      </c>
      <c r="I242" s="27">
        <v>1</v>
      </c>
      <c r="J242" s="27">
        <v>50000</v>
      </c>
      <c r="L242" s="27"/>
      <c r="M242" s="27">
        <v>50000</v>
      </c>
      <c r="O242" s="48" t="s">
        <v>75</v>
      </c>
      <c r="P242" s="48">
        <f>HEX2DEC(RIGHT(Table132321275358[[#This Row],[h1]],8))</f>
        <v>0</v>
      </c>
      <c r="Q242" s="48" t="s">
        <v>75</v>
      </c>
      <c r="R242" s="48">
        <f>HEX2DEC(RIGHT(Table132321275358[[#This Row],[h2]],8))</f>
        <v>0</v>
      </c>
    </row>
    <row r="243" spans="1:18">
      <c r="A243" s="15" t="str">
        <f t="shared" si="8"/>
        <v>0E9</v>
      </c>
      <c r="B243" s="15">
        <v>233</v>
      </c>
      <c r="C243" s="38"/>
      <c r="D243" s="15" t="s">
        <v>296</v>
      </c>
      <c r="E243" s="18" t="s">
        <v>58</v>
      </c>
      <c r="F243" s="29"/>
      <c r="G243" s="18">
        <f>IF(Table1319255156[[#This Row],[dec val]]="",0,1)</f>
        <v>0</v>
      </c>
      <c r="I243" s="27">
        <v>3</v>
      </c>
      <c r="J243" s="27">
        <v>50000</v>
      </c>
      <c r="L243" s="27"/>
      <c r="M243" s="27">
        <v>50000</v>
      </c>
      <c r="O243" s="48" t="s">
        <v>75</v>
      </c>
      <c r="P243" s="48">
        <f>HEX2DEC(RIGHT(Table132321275358[[#This Row],[h1]],8))</f>
        <v>0</v>
      </c>
      <c r="Q243" s="48" t="s">
        <v>75</v>
      </c>
      <c r="R243" s="48">
        <f>HEX2DEC(RIGHT(Table132321275358[[#This Row],[h2]],8))</f>
        <v>0</v>
      </c>
    </row>
    <row r="244" spans="1:18">
      <c r="A244" s="15" t="str">
        <f t="shared" si="8"/>
        <v>0EA</v>
      </c>
      <c r="B244" s="15">
        <v>234</v>
      </c>
      <c r="C244" s="38"/>
      <c r="D244" s="15" t="s">
        <v>297</v>
      </c>
      <c r="E244" s="18" t="s">
        <v>59</v>
      </c>
      <c r="F244" s="29"/>
      <c r="G244" s="18">
        <f>IF(Table1319255156[[#This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8" t="s">
        <v>75</v>
      </c>
      <c r="P244" s="48">
        <f>HEX2DEC(RIGHT(Table132321275358[[#This Row],[h1]],8))</f>
        <v>0</v>
      </c>
      <c r="Q244" s="48" t="s">
        <v>75</v>
      </c>
      <c r="R244" s="48">
        <f>HEX2DEC(RIGHT(Table132321275358[[#This Row],[h2]],8))</f>
        <v>0</v>
      </c>
    </row>
    <row r="245" spans="1:18">
      <c r="A245" s="15" t="str">
        <f t="shared" si="8"/>
        <v>0EB</v>
      </c>
      <c r="B245" s="15">
        <v>235</v>
      </c>
      <c r="C245" s="38"/>
      <c r="D245" s="15" t="s">
        <v>298</v>
      </c>
      <c r="E245" s="18" t="s">
        <v>60</v>
      </c>
      <c r="F245" s="29"/>
      <c r="G245" s="18">
        <f>IF(Table1319255156[[#This Row],[dec val]]="",0,1)</f>
        <v>0</v>
      </c>
      <c r="I245" s="27">
        <v>2</v>
      </c>
      <c r="J245" s="27">
        <v>50000</v>
      </c>
      <c r="L245" s="27"/>
      <c r="M245" s="27">
        <v>50000</v>
      </c>
      <c r="O245" s="48" t="s">
        <v>75</v>
      </c>
      <c r="P245" s="48">
        <f>HEX2DEC(RIGHT(Table132321275358[[#This Row],[h1]],8))</f>
        <v>0</v>
      </c>
      <c r="Q245" s="48" t="s">
        <v>75</v>
      </c>
      <c r="R245" s="48">
        <f>HEX2DEC(RIGHT(Table132321275358[[#This Row],[h2]],8))</f>
        <v>0</v>
      </c>
    </row>
    <row r="246" spans="1:18">
      <c r="A246" s="15" t="str">
        <f t="shared" si="8"/>
        <v>0EC</v>
      </c>
      <c r="B246" s="15">
        <v>236</v>
      </c>
      <c r="C246" s="38"/>
      <c r="D246" s="15" t="s">
        <v>299</v>
      </c>
      <c r="E246" s="18" t="s">
        <v>61</v>
      </c>
      <c r="F246" s="29"/>
      <c r="G246" s="18">
        <f>IF(Table1319255156[[#This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8" t="s">
        <v>75</v>
      </c>
      <c r="P246" s="48">
        <f>HEX2DEC(RIGHT(Table132321275358[[#This Row],[h1]],8))</f>
        <v>0</v>
      </c>
      <c r="Q246" s="48" t="s">
        <v>75</v>
      </c>
      <c r="R246" s="48">
        <f>HEX2DEC(RIGHT(Table132321275358[[#This Row],[h2]],8))</f>
        <v>0</v>
      </c>
    </row>
    <row r="247" spans="1:18">
      <c r="A247" s="15" t="str">
        <f t="shared" si="8"/>
        <v>0ED</v>
      </c>
      <c r="B247" s="15">
        <v>237</v>
      </c>
      <c r="C247" s="38"/>
      <c r="D247" s="15" t="s">
        <v>300</v>
      </c>
      <c r="E247" s="18" t="s">
        <v>62</v>
      </c>
      <c r="F247" s="29"/>
      <c r="G247" s="18">
        <f>IF(Table1319255156[[#This Row],[dec val]]="",0,1)</f>
        <v>0</v>
      </c>
      <c r="I247" s="27">
        <v>3</v>
      </c>
      <c r="J247" s="27">
        <v>50000</v>
      </c>
      <c r="L247" s="27"/>
      <c r="M247" s="27">
        <v>50000</v>
      </c>
      <c r="O247" s="48" t="s">
        <v>75</v>
      </c>
      <c r="P247" s="48">
        <f>HEX2DEC(RIGHT(Table132321275358[[#This Row],[h1]],8))</f>
        <v>0</v>
      </c>
      <c r="Q247" s="48" t="s">
        <v>75</v>
      </c>
      <c r="R247" s="48">
        <f>HEX2DEC(RIGHT(Table132321275358[[#This Row],[h2]],8))</f>
        <v>0</v>
      </c>
    </row>
    <row r="248" spans="1:18">
      <c r="A248" s="15" t="str">
        <f t="shared" si="8"/>
        <v>0EE</v>
      </c>
      <c r="B248" s="15">
        <v>238</v>
      </c>
      <c r="C248" s="38"/>
      <c r="D248" s="15" t="s">
        <v>301</v>
      </c>
      <c r="E248" s="18" t="s">
        <v>63</v>
      </c>
      <c r="F248" s="29"/>
      <c r="G248" s="18">
        <f>IF(Table1319255156[[#This Row],[dec val]]="",0,1)</f>
        <v>0</v>
      </c>
      <c r="I248" s="27">
        <v>1</v>
      </c>
      <c r="J248" s="27">
        <v>50000</v>
      </c>
      <c r="L248" s="27"/>
      <c r="M248" s="27">
        <v>50000</v>
      </c>
      <c r="O248" s="48" t="s">
        <v>75</v>
      </c>
      <c r="P248" s="48">
        <f>HEX2DEC(RIGHT(Table132321275358[[#This Row],[h1]],8))</f>
        <v>0</v>
      </c>
      <c r="Q248" s="48" t="s">
        <v>75</v>
      </c>
      <c r="R248" s="48">
        <f>HEX2DEC(RIGHT(Table132321275358[[#This Row],[h2]],8))</f>
        <v>0</v>
      </c>
    </row>
    <row r="249" spans="1:18">
      <c r="A249" s="15" t="str">
        <f t="shared" si="8"/>
        <v>0EF</v>
      </c>
      <c r="B249" s="15">
        <v>239</v>
      </c>
      <c r="C249" s="38"/>
      <c r="D249" s="15" t="s">
        <v>340</v>
      </c>
      <c r="E249" s="18" t="s">
        <v>339</v>
      </c>
      <c r="F249" s="29"/>
      <c r="G249" s="18">
        <f>IF(Table1319255156[[#This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8" t="s">
        <v>75</v>
      </c>
      <c r="P249" s="48">
        <f>HEX2DEC(RIGHT(Table132321275358[[#This Row],[h1]],8))</f>
        <v>0</v>
      </c>
      <c r="Q249" s="48" t="s">
        <v>75</v>
      </c>
      <c r="R249" s="48">
        <f>HEX2DEC(RIGHT(Table132321275358[[#This Row],[h2]],8))</f>
        <v>0</v>
      </c>
    </row>
    <row r="250" spans="1:18">
      <c r="A250" s="15" t="str">
        <f t="shared" si="8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8" t="s">
        <v>75</v>
      </c>
      <c r="P250" s="48">
        <f>HEX2DEC(RIGHT(Table132321275358[[#This Row],[h1]],8))</f>
        <v>0</v>
      </c>
      <c r="Q250" s="48" t="s">
        <v>75</v>
      </c>
      <c r="R250" s="48">
        <f>HEX2DEC(RIGHT(Table132321275358[[#This Row],[h2]],8))</f>
        <v>0</v>
      </c>
    </row>
    <row r="251" spans="1:18">
      <c r="A251" s="15" t="str">
        <f t="shared" si="8"/>
        <v>0F1</v>
      </c>
      <c r="B251" s="15">
        <v>241</v>
      </c>
      <c r="C251" s="38"/>
      <c r="D251" s="15" t="s">
        <v>302</v>
      </c>
      <c r="E251" s="18" t="s">
        <v>53</v>
      </c>
      <c r="F251" s="29"/>
      <c r="G251" s="18">
        <f>IF(Table1319255156[[#This Row],[dec val]]="",0,1)</f>
        <v>0</v>
      </c>
      <c r="I251" s="57" t="s">
        <v>408</v>
      </c>
      <c r="J251" s="57">
        <v>50000</v>
      </c>
      <c r="L251" s="27"/>
      <c r="M251" s="27">
        <v>50000</v>
      </c>
      <c r="O251" s="48" t="s">
        <v>75</v>
      </c>
      <c r="P251" s="48">
        <f>HEX2DEC(RIGHT(Table132321275358[[#This Row],[h1]],8))</f>
        <v>0</v>
      </c>
      <c r="Q251" s="48" t="s">
        <v>75</v>
      </c>
      <c r="R251" s="48">
        <f>HEX2DEC(RIGHT(Table132321275358[[#This Row],[h2]],8))</f>
        <v>0</v>
      </c>
    </row>
    <row r="252" spans="1:18">
      <c r="A252" s="15" t="str">
        <f t="shared" si="8"/>
        <v>0F2</v>
      </c>
      <c r="B252" s="15">
        <v>242</v>
      </c>
      <c r="C252" s="38"/>
      <c r="D252" s="15" t="s">
        <v>303</v>
      </c>
      <c r="E252" s="18" t="s">
        <v>54</v>
      </c>
      <c r="F252" s="29"/>
      <c r="G252" s="18">
        <f>IF(Table1319255156[[#This Row],[dec val]]="",0,1)</f>
        <v>0</v>
      </c>
      <c r="I252" s="27"/>
      <c r="J252" s="27">
        <v>50000</v>
      </c>
      <c r="L252" s="27"/>
      <c r="M252" s="27">
        <v>50000</v>
      </c>
      <c r="O252" s="48" t="s">
        <v>75</v>
      </c>
      <c r="P252" s="48">
        <f>HEX2DEC(RIGHT(Table132321275358[[#This Row],[h1]],8))</f>
        <v>0</v>
      </c>
      <c r="Q252" s="48" t="s">
        <v>75</v>
      </c>
      <c r="R252" s="48">
        <f>HEX2DEC(RIGHT(Table132321275358[[#This Row],[h2]],8))</f>
        <v>0</v>
      </c>
    </row>
    <row r="253" spans="1:18">
      <c r="A253" s="15" t="str">
        <f t="shared" si="8"/>
        <v>0F3</v>
      </c>
      <c r="B253" s="15">
        <v>243</v>
      </c>
      <c r="C253" s="38"/>
      <c r="D253" s="15" t="s">
        <v>304</v>
      </c>
      <c r="E253" s="18" t="s">
        <v>55</v>
      </c>
      <c r="F253" s="29"/>
      <c r="G253" s="18">
        <f>IF(Table1319255156[[#This Row],[dec val]]="",0,1)</f>
        <v>0</v>
      </c>
      <c r="I253" s="27"/>
      <c r="J253" s="27">
        <v>50000</v>
      </c>
      <c r="L253" s="27"/>
      <c r="M253" s="27">
        <v>50000</v>
      </c>
      <c r="O253" s="48" t="s">
        <v>75</v>
      </c>
      <c r="P253" s="48">
        <f>HEX2DEC(RIGHT(Table132321275358[[#This Row],[h1]],8))</f>
        <v>0</v>
      </c>
      <c r="Q253" s="48" t="s">
        <v>75</v>
      </c>
      <c r="R253" s="48">
        <f>HEX2DEC(RIGHT(Table132321275358[[#This Row],[h2]],8))</f>
        <v>0</v>
      </c>
    </row>
    <row r="254" spans="1:18">
      <c r="A254" s="15" t="str">
        <f t="shared" si="8"/>
        <v>0F4</v>
      </c>
      <c r="B254" s="15">
        <v>244</v>
      </c>
      <c r="C254" s="38"/>
      <c r="D254" s="15" t="s">
        <v>305</v>
      </c>
      <c r="E254" s="18" t="s">
        <v>56</v>
      </c>
      <c r="F254" s="29"/>
      <c r="G254" s="18">
        <f>IF(Table1319255156[[#This Row],[dec val]]="",0,1)</f>
        <v>0</v>
      </c>
      <c r="I254" s="27"/>
      <c r="J254" s="27">
        <v>50000</v>
      </c>
      <c r="L254" s="27"/>
      <c r="M254" s="27">
        <v>50000</v>
      </c>
      <c r="O254" s="48" t="s">
        <v>75</v>
      </c>
      <c r="P254" s="48">
        <f>HEX2DEC(RIGHT(Table132321275358[[#This Row],[h1]],8))</f>
        <v>0</v>
      </c>
      <c r="Q254" s="48" t="s">
        <v>75</v>
      </c>
      <c r="R254" s="48">
        <f>HEX2DEC(RIGHT(Table132321275358[[#This Row],[h2]],8))</f>
        <v>0</v>
      </c>
    </row>
    <row r="255" spans="1:18">
      <c r="A255" s="15" t="str">
        <f t="shared" si="8"/>
        <v>0F5</v>
      </c>
      <c r="B255" s="15">
        <v>245</v>
      </c>
      <c r="C255" s="38"/>
      <c r="D255" s="15" t="s">
        <v>306</v>
      </c>
      <c r="E255" s="18" t="s">
        <v>57</v>
      </c>
      <c r="F255" s="29"/>
      <c r="G255" s="18">
        <f>IF(Table1319255156[[#This Row],[dec val]]="",0,1)</f>
        <v>0</v>
      </c>
      <c r="I255" s="27"/>
      <c r="J255" s="27">
        <v>50000</v>
      </c>
      <c r="L255" s="27"/>
      <c r="M255" s="27">
        <v>50000</v>
      </c>
      <c r="O255" s="48" t="s">
        <v>75</v>
      </c>
      <c r="P255" s="48">
        <f>HEX2DEC(RIGHT(Table132321275358[[#This Row],[h1]],8))</f>
        <v>0</v>
      </c>
      <c r="Q255" s="48" t="s">
        <v>75</v>
      </c>
      <c r="R255" s="48">
        <f>HEX2DEC(RIGHT(Table132321275358[[#This Row],[h2]],8))</f>
        <v>0</v>
      </c>
    </row>
    <row r="256" spans="1:18">
      <c r="A256" s="15" t="str">
        <f t="shared" si="8"/>
        <v>0F6</v>
      </c>
      <c r="B256" s="15">
        <v>246</v>
      </c>
      <c r="C256" s="38"/>
      <c r="D256" s="15" t="s">
        <v>307</v>
      </c>
      <c r="E256" s="18" t="s">
        <v>58</v>
      </c>
      <c r="F256" s="29"/>
      <c r="G256" s="18">
        <f>IF(Table1319255156[[#This Row],[dec val]]="",0,1)</f>
        <v>0</v>
      </c>
      <c r="I256" s="27"/>
      <c r="J256" s="27">
        <v>50000</v>
      </c>
      <c r="L256" s="27"/>
      <c r="M256" s="27">
        <v>50000</v>
      </c>
      <c r="O256" s="48" t="s">
        <v>75</v>
      </c>
      <c r="P256" s="48">
        <f>HEX2DEC(RIGHT(Table132321275358[[#This Row],[h1]],8))</f>
        <v>0</v>
      </c>
      <c r="Q256" s="48" t="s">
        <v>75</v>
      </c>
      <c r="R256" s="48">
        <f>HEX2DEC(RIGHT(Table132321275358[[#This Row],[h2]],8))</f>
        <v>0</v>
      </c>
    </row>
    <row r="257" spans="1:18">
      <c r="A257" s="15" t="str">
        <f t="shared" si="8"/>
        <v>0F7</v>
      </c>
      <c r="B257" s="15">
        <v>247</v>
      </c>
      <c r="C257" s="38"/>
      <c r="D257" s="15" t="s">
        <v>308</v>
      </c>
      <c r="E257" s="18" t="s">
        <v>59</v>
      </c>
      <c r="F257" s="29"/>
      <c r="G257" s="18">
        <f>IF(Table1319255156[[#This Row],[dec val]]="",0,1)</f>
        <v>0</v>
      </c>
      <c r="I257" s="27"/>
      <c r="J257" s="27">
        <v>50000</v>
      </c>
      <c r="L257" s="27"/>
      <c r="M257" s="27">
        <v>50000</v>
      </c>
      <c r="O257" s="48" t="s">
        <v>75</v>
      </c>
      <c r="P257" s="48">
        <f>HEX2DEC(RIGHT(Table132321275358[[#This Row],[h1]],8))</f>
        <v>0</v>
      </c>
      <c r="Q257" s="48" t="s">
        <v>75</v>
      </c>
      <c r="R257" s="48">
        <f>HEX2DEC(RIGHT(Table132321275358[[#This Row],[h2]],8))</f>
        <v>0</v>
      </c>
    </row>
    <row r="258" spans="1:18">
      <c r="A258" s="15" t="str">
        <f t="shared" si="8"/>
        <v>0F8</v>
      </c>
      <c r="B258" s="15">
        <v>248</v>
      </c>
      <c r="C258" s="38"/>
      <c r="D258" s="15" t="s">
        <v>309</v>
      </c>
      <c r="E258" s="18" t="s">
        <v>60</v>
      </c>
      <c r="F258" s="29"/>
      <c r="G258" s="18">
        <f>IF(Table1319255156[[#This Row],[dec val]]="",0,1)</f>
        <v>0</v>
      </c>
      <c r="I258" s="27"/>
      <c r="J258" s="27">
        <v>50000</v>
      </c>
      <c r="L258" s="27"/>
      <c r="M258" s="27">
        <v>50000</v>
      </c>
      <c r="O258" s="48" t="s">
        <v>75</v>
      </c>
      <c r="P258" s="48">
        <f>HEX2DEC(RIGHT(Table132321275358[[#This Row],[h1]],8))</f>
        <v>0</v>
      </c>
      <c r="Q258" s="48" t="s">
        <v>75</v>
      </c>
      <c r="R258" s="48">
        <f>HEX2DEC(RIGHT(Table132321275358[[#This Row],[h2]],8))</f>
        <v>0</v>
      </c>
    </row>
    <row r="259" spans="1:18">
      <c r="A259" s="15" t="str">
        <f t="shared" si="8"/>
        <v>0F9</v>
      </c>
      <c r="B259" s="15">
        <v>249</v>
      </c>
      <c r="C259" s="38"/>
      <c r="D259" s="15" t="s">
        <v>310</v>
      </c>
      <c r="E259" s="18" t="s">
        <v>61</v>
      </c>
      <c r="F259" s="29"/>
      <c r="G259" s="18">
        <f>IF(Table1319255156[[#This Row],[dec val]]="",0,1)</f>
        <v>0</v>
      </c>
      <c r="I259" s="27"/>
      <c r="J259" s="27">
        <v>50000</v>
      </c>
      <c r="L259" s="27"/>
      <c r="M259" s="27">
        <v>50000</v>
      </c>
      <c r="O259" s="48" t="s">
        <v>75</v>
      </c>
      <c r="P259" s="48">
        <f>HEX2DEC(RIGHT(Table132321275358[[#This Row],[h1]],8))</f>
        <v>0</v>
      </c>
      <c r="Q259" s="48" t="s">
        <v>75</v>
      </c>
      <c r="R259" s="48">
        <f>HEX2DEC(RIGHT(Table132321275358[[#This Row],[h2]],8))</f>
        <v>0</v>
      </c>
    </row>
    <row r="260" spans="1:18">
      <c r="A260" s="15" t="str">
        <f t="shared" si="8"/>
        <v>0FA</v>
      </c>
      <c r="B260" s="15">
        <v>250</v>
      </c>
      <c r="C260" s="38"/>
      <c r="D260" s="15" t="s">
        <v>311</v>
      </c>
      <c r="E260" s="18" t="s">
        <v>62</v>
      </c>
      <c r="F260" s="29"/>
      <c r="G260" s="18">
        <f>IF(Table1319255156[[#This Row],[dec val]]="",0,1)</f>
        <v>0</v>
      </c>
      <c r="I260" s="27"/>
      <c r="J260" s="27">
        <v>50000</v>
      </c>
      <c r="L260" s="27"/>
      <c r="M260" s="27">
        <v>50000</v>
      </c>
      <c r="O260" s="48" t="s">
        <v>75</v>
      </c>
      <c r="P260" s="48">
        <f>HEX2DEC(RIGHT(Table132321275358[[#This Row],[h1]],8))</f>
        <v>0</v>
      </c>
      <c r="Q260" s="48" t="s">
        <v>75</v>
      </c>
      <c r="R260" s="48">
        <f>HEX2DEC(RIGHT(Table132321275358[[#This Row],[h2]],8))</f>
        <v>0</v>
      </c>
    </row>
    <row r="261" spans="1:18">
      <c r="A261" s="15" t="str">
        <f t="shared" si="8"/>
        <v>0FB</v>
      </c>
      <c r="B261" s="15">
        <v>251</v>
      </c>
      <c r="C261" s="38"/>
      <c r="D261" s="15" t="s">
        <v>312</v>
      </c>
      <c r="E261" s="18" t="s">
        <v>63</v>
      </c>
      <c r="F261" s="29"/>
      <c r="G261" s="18">
        <f>IF(Table1319255156[[#This Row],[dec val]]="",0,1)</f>
        <v>0</v>
      </c>
      <c r="I261" s="27"/>
      <c r="J261" s="27">
        <v>50000</v>
      </c>
      <c r="L261" s="27"/>
      <c r="M261" s="27">
        <v>50000</v>
      </c>
      <c r="O261" s="48" t="s">
        <v>75</v>
      </c>
      <c r="P261" s="48">
        <f>HEX2DEC(RIGHT(Table132321275358[[#This Row],[h1]],8))</f>
        <v>0</v>
      </c>
      <c r="Q261" s="48" t="s">
        <v>75</v>
      </c>
      <c r="R261" s="48">
        <f>HEX2DEC(RIGHT(Table132321275358[[#This Row],[h2]],8))</f>
        <v>0</v>
      </c>
    </row>
    <row r="262" spans="1:18">
      <c r="A262" s="15" t="str">
        <f t="shared" si="8"/>
        <v>0FC</v>
      </c>
      <c r="B262" s="15">
        <v>252</v>
      </c>
      <c r="C262" s="38"/>
      <c r="D262" s="15" t="s">
        <v>342</v>
      </c>
      <c r="E262" s="18" t="s">
        <v>339</v>
      </c>
      <c r="F262" s="29"/>
      <c r="G262" s="18">
        <f>IF(Table1319255156[[#This Row],[dec val]]="",0,1)</f>
        <v>0</v>
      </c>
      <c r="I262" s="27"/>
      <c r="J262" s="27">
        <v>50000</v>
      </c>
      <c r="L262" s="27"/>
      <c r="M262" s="27">
        <v>50000</v>
      </c>
      <c r="O262" s="48" t="s">
        <v>75</v>
      </c>
      <c r="P262" s="48">
        <f>HEX2DEC(RIGHT(Table132321275358[[#This Row],[h1]],8))</f>
        <v>0</v>
      </c>
      <c r="Q262" s="48" t="s">
        <v>75</v>
      </c>
      <c r="R262" s="48">
        <f>HEX2DEC(RIGHT(Table132321275358[[#This Row],[h2]],8))</f>
        <v>0</v>
      </c>
    </row>
    <row r="263" spans="1:18">
      <c r="A263" s="15" t="str">
        <f t="shared" si="8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8" t="s">
        <v>75</v>
      </c>
      <c r="P263" s="48">
        <f>HEX2DEC(RIGHT(Table132321275358[[#This Row],[h1]],8))</f>
        <v>0</v>
      </c>
      <c r="Q263" s="48" t="s">
        <v>75</v>
      </c>
      <c r="R263" s="48">
        <f>HEX2DEC(RIGHT(Table132321275358[[#This Row],[h2]],8))</f>
        <v>0</v>
      </c>
    </row>
    <row r="264" spans="1:18">
      <c r="A264" s="15" t="str">
        <f t="shared" si="8"/>
        <v>0FE</v>
      </c>
      <c r="B264" s="15">
        <v>254</v>
      </c>
      <c r="C264" s="38"/>
      <c r="D264" s="15" t="s">
        <v>313</v>
      </c>
      <c r="E264" s="18" t="s">
        <v>53</v>
      </c>
      <c r="F264" s="29"/>
      <c r="G264" s="18">
        <f>IF(Table1319255156[[#This Row],[dec val]]="",0,1)</f>
        <v>0</v>
      </c>
      <c r="I264" s="27"/>
      <c r="J264" s="27">
        <v>50000</v>
      </c>
      <c r="L264" s="27"/>
      <c r="M264" s="27">
        <v>50000</v>
      </c>
      <c r="O264" s="48" t="s">
        <v>75</v>
      </c>
      <c r="P264" s="48">
        <f>HEX2DEC(RIGHT(Table132321275358[[#This Row],[h1]],8))</f>
        <v>0</v>
      </c>
      <c r="Q264" s="48" t="s">
        <v>75</v>
      </c>
      <c r="R264" s="48">
        <f>HEX2DEC(RIGHT(Table132321275358[[#This Row],[h2]],8))</f>
        <v>0</v>
      </c>
    </row>
    <row r="265" spans="1:18">
      <c r="A265" s="15" t="str">
        <f t="shared" si="8"/>
        <v>0FF</v>
      </c>
      <c r="B265" s="15">
        <v>255</v>
      </c>
      <c r="C265" s="38"/>
      <c r="D265" s="15" t="s">
        <v>314</v>
      </c>
      <c r="E265" s="18" t="s">
        <v>54</v>
      </c>
      <c r="F265" s="29"/>
      <c r="G265" s="18">
        <f>IF(Table1319255156[[#This Row],[dec val]]="",0,1)</f>
        <v>0</v>
      </c>
      <c r="I265" s="27"/>
      <c r="J265" s="27">
        <v>50000</v>
      </c>
      <c r="L265" s="27"/>
      <c r="M265" s="27">
        <v>50000</v>
      </c>
      <c r="O265" s="48" t="s">
        <v>75</v>
      </c>
      <c r="P265" s="48">
        <f>HEX2DEC(RIGHT(Table132321275358[[#This Row],[h1]],8))</f>
        <v>0</v>
      </c>
      <c r="Q265" s="48" t="s">
        <v>75</v>
      </c>
      <c r="R265" s="48">
        <f>HEX2DEC(RIGHT(Table132321275358[[#This Row],[h2]],8))</f>
        <v>0</v>
      </c>
    </row>
    <row r="266" spans="1:18">
      <c r="A266" s="15" t="str">
        <f t="shared" si="8"/>
        <v>100</v>
      </c>
      <c r="B266" s="15">
        <v>256</v>
      </c>
      <c r="C266" s="38"/>
      <c r="D266" s="15" t="s">
        <v>315</v>
      </c>
      <c r="E266" s="18" t="s">
        <v>55</v>
      </c>
      <c r="F266" s="29"/>
      <c r="G266" s="18">
        <f>IF(Table1319255156[[#This Row],[dec val]]="",0,1)</f>
        <v>0</v>
      </c>
      <c r="I266" s="27"/>
      <c r="J266" s="27">
        <v>50000</v>
      </c>
      <c r="L266" s="27"/>
      <c r="M266" s="27">
        <v>50000</v>
      </c>
      <c r="O266" s="48" t="s">
        <v>75</v>
      </c>
      <c r="P266" s="48">
        <f>HEX2DEC(RIGHT(Table132321275358[[#This Row],[h1]],8))</f>
        <v>0</v>
      </c>
      <c r="Q266" s="48" t="s">
        <v>75</v>
      </c>
      <c r="R266" s="48">
        <f>HEX2DEC(RIGHT(Table132321275358[[#This Row],[h2]],8))</f>
        <v>0</v>
      </c>
    </row>
    <row r="267" spans="1:18">
      <c r="A267" s="15" t="str">
        <f t="shared" ref="A267:A330" si="9">DEC2HEX(B267,3)</f>
        <v>101</v>
      </c>
      <c r="B267" s="15">
        <v>257</v>
      </c>
      <c r="C267" s="38"/>
      <c r="D267" s="15" t="s">
        <v>316</v>
      </c>
      <c r="E267" s="18" t="s">
        <v>56</v>
      </c>
      <c r="F267" s="29"/>
      <c r="G267" s="18">
        <f>IF(Table1319255156[[#This Row],[dec val]]="",0,1)</f>
        <v>0</v>
      </c>
      <c r="I267" s="27"/>
      <c r="J267" s="27">
        <v>50000</v>
      </c>
      <c r="L267" s="27"/>
      <c r="M267" s="27">
        <v>50000</v>
      </c>
      <c r="O267" s="48" t="s">
        <v>75</v>
      </c>
      <c r="P267" s="48">
        <f>HEX2DEC(RIGHT(Table132321275358[[#This Row],[h1]],8))</f>
        <v>0</v>
      </c>
      <c r="Q267" s="48" t="s">
        <v>75</v>
      </c>
      <c r="R267" s="48">
        <f>HEX2DEC(RIGHT(Table132321275358[[#This Row],[h2]],8))</f>
        <v>0</v>
      </c>
    </row>
    <row r="268" spans="1:18">
      <c r="A268" s="15" t="str">
        <f t="shared" si="9"/>
        <v>102</v>
      </c>
      <c r="B268" s="15">
        <v>258</v>
      </c>
      <c r="C268" s="38"/>
      <c r="D268" s="15" t="s">
        <v>317</v>
      </c>
      <c r="E268" s="18" t="s">
        <v>57</v>
      </c>
      <c r="F268" s="29"/>
      <c r="G268" s="18">
        <f>IF(Table1319255156[[#This Row],[dec val]]="",0,1)</f>
        <v>0</v>
      </c>
      <c r="I268" s="27"/>
      <c r="J268" s="27">
        <v>50000</v>
      </c>
      <c r="L268" s="27"/>
      <c r="M268" s="27">
        <v>50000</v>
      </c>
      <c r="O268" s="48" t="s">
        <v>75</v>
      </c>
      <c r="P268" s="48">
        <f>HEX2DEC(RIGHT(Table132321275358[[#This Row],[h1]],8))</f>
        <v>0</v>
      </c>
      <c r="Q268" s="48" t="s">
        <v>75</v>
      </c>
      <c r="R268" s="48">
        <f>HEX2DEC(RIGHT(Table132321275358[[#This Row],[h2]],8))</f>
        <v>0</v>
      </c>
    </row>
    <row r="269" spans="1:18">
      <c r="A269" s="15" t="str">
        <f t="shared" si="9"/>
        <v>103</v>
      </c>
      <c r="B269" s="15">
        <v>259</v>
      </c>
      <c r="C269" s="38"/>
      <c r="D269" s="15" t="s">
        <v>318</v>
      </c>
      <c r="E269" s="18" t="s">
        <v>58</v>
      </c>
      <c r="F269" s="29"/>
      <c r="G269" s="18">
        <f>IF(Table1319255156[[#This Row],[dec val]]="",0,1)</f>
        <v>0</v>
      </c>
      <c r="I269" s="27"/>
      <c r="J269" s="27">
        <v>50000</v>
      </c>
      <c r="L269" s="27"/>
      <c r="M269" s="27">
        <v>50000</v>
      </c>
      <c r="O269" s="48" t="s">
        <v>75</v>
      </c>
      <c r="P269" s="48">
        <f>HEX2DEC(RIGHT(Table132321275358[[#This Row],[h1]],8))</f>
        <v>0</v>
      </c>
      <c r="Q269" s="48" t="s">
        <v>75</v>
      </c>
      <c r="R269" s="48">
        <f>HEX2DEC(RIGHT(Table132321275358[[#This Row],[h2]],8))</f>
        <v>0</v>
      </c>
    </row>
    <row r="270" spans="1:18">
      <c r="A270" s="15" t="str">
        <f t="shared" si="9"/>
        <v>104</v>
      </c>
      <c r="B270" s="15">
        <v>260</v>
      </c>
      <c r="C270" s="38"/>
      <c r="D270" s="15" t="s">
        <v>319</v>
      </c>
      <c r="E270" s="18" t="s">
        <v>59</v>
      </c>
      <c r="F270" s="29"/>
      <c r="G270" s="18">
        <f>IF(Table1319255156[[#This Row],[dec val]]="",0,1)</f>
        <v>0</v>
      </c>
      <c r="I270" s="27"/>
      <c r="J270" s="27">
        <v>50000</v>
      </c>
      <c r="L270" s="27"/>
      <c r="M270" s="27">
        <v>50000</v>
      </c>
      <c r="O270" s="48" t="s">
        <v>75</v>
      </c>
      <c r="P270" s="48">
        <f>HEX2DEC(RIGHT(Table132321275358[[#This Row],[h1]],8))</f>
        <v>0</v>
      </c>
      <c r="Q270" s="48" t="s">
        <v>75</v>
      </c>
      <c r="R270" s="48">
        <f>HEX2DEC(RIGHT(Table132321275358[[#This Row],[h2]],8))</f>
        <v>0</v>
      </c>
    </row>
    <row r="271" spans="1:18">
      <c r="A271" s="15" t="str">
        <f t="shared" si="9"/>
        <v>105</v>
      </c>
      <c r="B271" s="15">
        <v>261</v>
      </c>
      <c r="C271" s="38"/>
      <c r="D271" s="15" t="s">
        <v>320</v>
      </c>
      <c r="E271" s="18" t="s">
        <v>60</v>
      </c>
      <c r="F271" s="29"/>
      <c r="G271" s="18">
        <f>IF(Table1319255156[[#This Row],[dec val]]="",0,1)</f>
        <v>0</v>
      </c>
      <c r="I271" s="27"/>
      <c r="J271" s="27">
        <v>50000</v>
      </c>
      <c r="L271" s="27"/>
      <c r="M271" s="27">
        <v>50000</v>
      </c>
      <c r="O271" s="48" t="s">
        <v>75</v>
      </c>
      <c r="P271" s="48">
        <f>HEX2DEC(RIGHT(Table132321275358[[#This Row],[h1]],8))</f>
        <v>0</v>
      </c>
      <c r="Q271" s="48" t="s">
        <v>75</v>
      </c>
      <c r="R271" s="48">
        <f>HEX2DEC(RIGHT(Table132321275358[[#This Row],[h2]],8))</f>
        <v>0</v>
      </c>
    </row>
    <row r="272" spans="1:18">
      <c r="A272" s="15" t="str">
        <f t="shared" si="9"/>
        <v>106</v>
      </c>
      <c r="B272" s="15">
        <v>262</v>
      </c>
      <c r="C272" s="38"/>
      <c r="D272" s="15" t="s">
        <v>321</v>
      </c>
      <c r="E272" s="18" t="s">
        <v>62</v>
      </c>
      <c r="F272" s="29"/>
      <c r="G272" s="18">
        <f>IF(Table1319255156[[#This Row],[dec val]]="",0,1)</f>
        <v>0</v>
      </c>
      <c r="I272" s="27"/>
      <c r="J272" s="27">
        <v>50000</v>
      </c>
      <c r="L272" s="27"/>
      <c r="M272" s="27">
        <v>50000</v>
      </c>
      <c r="O272" s="48" t="s">
        <v>75</v>
      </c>
      <c r="P272" s="48">
        <f>HEX2DEC(RIGHT(Table132321275358[[#This Row],[h1]],8))</f>
        <v>0</v>
      </c>
      <c r="Q272" s="48" t="s">
        <v>75</v>
      </c>
      <c r="R272" s="48">
        <f>HEX2DEC(RIGHT(Table132321275358[[#This Row],[h2]],8))</f>
        <v>0</v>
      </c>
    </row>
    <row r="273" spans="1:18">
      <c r="A273" s="15" t="str">
        <f t="shared" si="9"/>
        <v>107</v>
      </c>
      <c r="B273" s="15">
        <v>263</v>
      </c>
      <c r="C273" s="38"/>
      <c r="D273" s="15" t="s">
        <v>322</v>
      </c>
      <c r="E273" s="18" t="s">
        <v>63</v>
      </c>
      <c r="F273" s="29"/>
      <c r="G273" s="18">
        <f>IF(Table1319255156[[#This Row],[dec val]]="",0,1)</f>
        <v>0</v>
      </c>
      <c r="I273" s="27"/>
      <c r="J273" s="27">
        <v>50000</v>
      </c>
      <c r="L273" s="27"/>
      <c r="M273" s="27">
        <v>50000</v>
      </c>
      <c r="O273" s="48" t="s">
        <v>75</v>
      </c>
      <c r="P273" s="48">
        <f>HEX2DEC(RIGHT(Table132321275358[[#This Row],[h1]],8))</f>
        <v>0</v>
      </c>
      <c r="Q273" s="48" t="s">
        <v>75</v>
      </c>
      <c r="R273" s="48">
        <f>HEX2DEC(RIGHT(Table132321275358[[#This Row],[h2]],8))</f>
        <v>0</v>
      </c>
    </row>
    <row r="274" spans="1:18">
      <c r="A274" s="15" t="str">
        <f t="shared" si="9"/>
        <v>108</v>
      </c>
      <c r="B274" s="15">
        <v>264</v>
      </c>
      <c r="C274" s="38"/>
      <c r="D274" s="15" t="s">
        <v>343</v>
      </c>
      <c r="E274" s="18" t="s">
        <v>339</v>
      </c>
      <c r="F274" s="29"/>
      <c r="G274" s="18">
        <f>IF(Table1319255156[[#This Row],[dec val]]="",0,1)</f>
        <v>0</v>
      </c>
      <c r="I274" s="27"/>
      <c r="J274" s="27">
        <v>50000</v>
      </c>
      <c r="L274" s="27"/>
      <c r="M274" s="27">
        <v>50000</v>
      </c>
      <c r="O274" s="48" t="s">
        <v>75</v>
      </c>
      <c r="P274" s="48">
        <f>HEX2DEC(RIGHT(Table132321275358[[#This Row],[h1]],8))</f>
        <v>0</v>
      </c>
      <c r="Q274" s="48" t="s">
        <v>75</v>
      </c>
      <c r="R274" s="48">
        <f>HEX2DEC(RIGHT(Table132321275358[[#This Row],[h2]],8))</f>
        <v>0</v>
      </c>
    </row>
    <row r="275" spans="1:18">
      <c r="A275" s="15" t="str">
        <f t="shared" si="9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8" t="s">
        <v>75</v>
      </c>
      <c r="P275" s="48">
        <f>HEX2DEC(RIGHT(Table132321275358[[#This Row],[h1]],8))</f>
        <v>0</v>
      </c>
      <c r="Q275" s="48" t="s">
        <v>75</v>
      </c>
      <c r="R275" s="48">
        <f>HEX2DEC(RIGHT(Table132321275358[[#This Row],[h2]],8))</f>
        <v>0</v>
      </c>
    </row>
    <row r="276" spans="1:18">
      <c r="A276" s="15" t="str">
        <f t="shared" si="9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8" t="s">
        <v>75</v>
      </c>
      <c r="P276" s="48">
        <f>HEX2DEC(RIGHT(Table132321275358[[#This Row],[h1]],8))</f>
        <v>0</v>
      </c>
      <c r="Q276" s="48" t="s">
        <v>75</v>
      </c>
      <c r="R276" s="48">
        <f>HEX2DEC(RIGHT(Table132321275358[[#This Row],[h2]],8))</f>
        <v>0</v>
      </c>
    </row>
    <row r="277" spans="1:18">
      <c r="A277" s="15" t="str">
        <f t="shared" si="9"/>
        <v>10B</v>
      </c>
      <c r="B277" s="15">
        <v>267</v>
      </c>
      <c r="C277" s="38"/>
      <c r="D277" s="15" t="s">
        <v>91</v>
      </c>
      <c r="G277" s="49" t="s">
        <v>428</v>
      </c>
      <c r="I277" s="27"/>
      <c r="J277" s="27">
        <v>50000</v>
      </c>
      <c r="L277" s="27"/>
      <c r="M277" s="27">
        <v>50000</v>
      </c>
      <c r="O277" s="48" t="s">
        <v>75</v>
      </c>
      <c r="P277" s="48">
        <f>HEX2DEC(RIGHT(Table132321275358[[#This Row],[h1]],8))</f>
        <v>0</v>
      </c>
      <c r="Q277" s="48" t="s">
        <v>75</v>
      </c>
      <c r="R277" s="48">
        <f>HEX2DEC(RIGHT(Table132321275358[[#This Row],[h2]],8))</f>
        <v>0</v>
      </c>
    </row>
    <row r="278" spans="1:18">
      <c r="A278" s="15" t="str">
        <f t="shared" si="9"/>
        <v>10C</v>
      </c>
      <c r="B278" s="15">
        <v>268</v>
      </c>
      <c r="C278" s="38"/>
      <c r="D278" s="15" t="s">
        <v>92</v>
      </c>
      <c r="G278" s="49" t="s">
        <v>428</v>
      </c>
      <c r="I278" s="27"/>
      <c r="J278" s="27">
        <v>50000</v>
      </c>
      <c r="L278" s="27"/>
      <c r="M278" s="27">
        <v>50000</v>
      </c>
      <c r="O278" s="48" t="s">
        <v>75</v>
      </c>
      <c r="P278" s="48">
        <f>HEX2DEC(RIGHT(Table132321275358[[#This Row],[h1]],8))</f>
        <v>0</v>
      </c>
      <c r="Q278" s="48" t="s">
        <v>75</v>
      </c>
      <c r="R278" s="48">
        <f>HEX2DEC(RIGHT(Table132321275358[[#This Row],[h2]],8))</f>
        <v>0</v>
      </c>
    </row>
    <row r="279" spans="1:18">
      <c r="A279" s="15" t="str">
        <f t="shared" si="9"/>
        <v>10D</v>
      </c>
      <c r="B279" s="15">
        <v>269</v>
      </c>
      <c r="C279" s="38"/>
      <c r="D279" s="15" t="s">
        <v>93</v>
      </c>
      <c r="G279" s="49" t="s">
        <v>428</v>
      </c>
      <c r="I279" s="27"/>
      <c r="J279" s="27">
        <v>50000</v>
      </c>
      <c r="L279" s="27"/>
      <c r="M279" s="27">
        <v>50000</v>
      </c>
      <c r="O279" s="48" t="s">
        <v>75</v>
      </c>
      <c r="P279" s="48">
        <f>HEX2DEC(RIGHT(Table132321275358[[#This Row],[h1]],8))</f>
        <v>0</v>
      </c>
      <c r="Q279" s="48" t="s">
        <v>75</v>
      </c>
      <c r="R279" s="48">
        <f>HEX2DEC(RIGHT(Table132321275358[[#This Row],[h2]],8))</f>
        <v>0</v>
      </c>
    </row>
    <row r="280" spans="1:18">
      <c r="A280" s="15" t="str">
        <f t="shared" si="9"/>
        <v>10E</v>
      </c>
      <c r="B280" s="15">
        <v>270</v>
      </c>
      <c r="C280" s="38"/>
      <c r="D280" s="15" t="s">
        <v>94</v>
      </c>
      <c r="G280" s="49" t="s">
        <v>428</v>
      </c>
      <c r="I280" s="27"/>
      <c r="J280" s="27">
        <v>50000</v>
      </c>
      <c r="L280" s="27"/>
      <c r="M280" s="27">
        <v>50000</v>
      </c>
      <c r="O280" s="48" t="s">
        <v>75</v>
      </c>
      <c r="P280" s="48">
        <f>HEX2DEC(RIGHT(Table132321275358[[#This Row],[h1]],8))</f>
        <v>0</v>
      </c>
      <c r="Q280" s="48" t="s">
        <v>75</v>
      </c>
      <c r="R280" s="48">
        <f>HEX2DEC(RIGHT(Table132321275358[[#This Row],[h2]],8))</f>
        <v>0</v>
      </c>
    </row>
    <row r="281" spans="1:18">
      <c r="A281" s="15" t="str">
        <f t="shared" si="9"/>
        <v>10F</v>
      </c>
      <c r="B281" s="15">
        <v>271</v>
      </c>
      <c r="C281" s="38"/>
      <c r="D281" s="15" t="s">
        <v>95</v>
      </c>
      <c r="G281" s="49" t="s">
        <v>428</v>
      </c>
      <c r="I281" s="27"/>
      <c r="J281" s="27">
        <v>50000</v>
      </c>
      <c r="L281" s="27"/>
      <c r="M281" s="27">
        <v>50000</v>
      </c>
      <c r="O281" s="48" t="s">
        <v>75</v>
      </c>
      <c r="P281" s="48">
        <f>HEX2DEC(RIGHT(Table132321275358[[#This Row],[h1]],8))</f>
        <v>0</v>
      </c>
      <c r="Q281" s="48" t="s">
        <v>75</v>
      </c>
      <c r="R281" s="48">
        <f>HEX2DEC(RIGHT(Table132321275358[[#This Row],[h2]],8))</f>
        <v>0</v>
      </c>
    </row>
    <row r="282" spans="1:18">
      <c r="A282" s="15" t="str">
        <f t="shared" si="9"/>
        <v>110</v>
      </c>
      <c r="B282" s="15">
        <v>272</v>
      </c>
      <c r="C282" s="38"/>
      <c r="D282" s="15" t="s">
        <v>96</v>
      </c>
      <c r="G282" s="49" t="s">
        <v>428</v>
      </c>
      <c r="I282" s="27"/>
      <c r="J282" s="27">
        <v>50000</v>
      </c>
      <c r="L282" s="27"/>
      <c r="M282" s="27">
        <v>50000</v>
      </c>
      <c r="O282" s="48" t="s">
        <v>75</v>
      </c>
      <c r="P282" s="48">
        <f>HEX2DEC(RIGHT(Table132321275358[[#This Row],[h1]],8))</f>
        <v>0</v>
      </c>
      <c r="Q282" s="48" t="s">
        <v>75</v>
      </c>
      <c r="R282" s="48">
        <f>HEX2DEC(RIGHT(Table132321275358[[#This Row],[h2]],8))</f>
        <v>0</v>
      </c>
    </row>
    <row r="283" spans="1:18">
      <c r="A283" s="15" t="str">
        <f t="shared" si="9"/>
        <v>111</v>
      </c>
      <c r="B283" s="15">
        <v>273</v>
      </c>
      <c r="C283" s="38"/>
      <c r="D283" s="15" t="s">
        <v>97</v>
      </c>
      <c r="G283" s="49" t="s">
        <v>428</v>
      </c>
      <c r="I283" s="27"/>
      <c r="J283" s="27">
        <v>50000</v>
      </c>
      <c r="L283" s="27"/>
      <c r="M283" s="27">
        <v>50000</v>
      </c>
      <c r="O283" s="48" t="s">
        <v>75</v>
      </c>
      <c r="P283" s="48">
        <f>HEX2DEC(RIGHT(Table132321275358[[#This Row],[h1]],8))</f>
        <v>0</v>
      </c>
      <c r="Q283" s="48" t="s">
        <v>75</v>
      </c>
      <c r="R283" s="48">
        <f>HEX2DEC(RIGHT(Table132321275358[[#This Row],[h2]],8))</f>
        <v>0</v>
      </c>
    </row>
    <row r="284" spans="1:18">
      <c r="A284" s="15" t="str">
        <f t="shared" si="9"/>
        <v>112</v>
      </c>
      <c r="B284" s="15">
        <v>274</v>
      </c>
      <c r="C284" s="38"/>
      <c r="D284" s="15" t="s">
        <v>98</v>
      </c>
      <c r="G284" s="49" t="s">
        <v>130</v>
      </c>
      <c r="I284" s="27"/>
      <c r="J284" s="27">
        <v>50000</v>
      </c>
      <c r="L284" s="27"/>
      <c r="M284" s="27">
        <v>50000</v>
      </c>
      <c r="O284" s="48" t="s">
        <v>75</v>
      </c>
      <c r="P284" s="48">
        <f>HEX2DEC(RIGHT(Table132321275358[[#This Row],[h1]],8))</f>
        <v>0</v>
      </c>
      <c r="Q284" s="48" t="s">
        <v>75</v>
      </c>
      <c r="R284" s="48">
        <f>HEX2DEC(RIGHT(Table132321275358[[#This Row],[h2]],8))</f>
        <v>0</v>
      </c>
    </row>
    <row r="285" spans="1:18">
      <c r="A285" s="15" t="str">
        <f t="shared" si="9"/>
        <v>113</v>
      </c>
      <c r="B285" s="15">
        <v>275</v>
      </c>
      <c r="C285" s="38"/>
      <c r="D285" s="15" t="s">
        <v>99</v>
      </c>
      <c r="G285" s="49" t="s">
        <v>130</v>
      </c>
      <c r="I285" s="27"/>
      <c r="J285" s="27">
        <v>50000</v>
      </c>
      <c r="L285" s="27"/>
      <c r="M285" s="27">
        <v>50000</v>
      </c>
      <c r="O285" s="48" t="s">
        <v>75</v>
      </c>
      <c r="P285" s="48">
        <f>HEX2DEC(RIGHT(Table132321275358[[#This Row],[h1]],8))</f>
        <v>0</v>
      </c>
      <c r="Q285" s="48" t="s">
        <v>75</v>
      </c>
      <c r="R285" s="48">
        <f>HEX2DEC(RIGHT(Table132321275358[[#This Row],[h2]],8))</f>
        <v>0</v>
      </c>
    </row>
    <row r="286" spans="1:18">
      <c r="A286" s="15" t="str">
        <f t="shared" si="9"/>
        <v>114</v>
      </c>
      <c r="B286" s="15">
        <v>276</v>
      </c>
      <c r="C286" s="38"/>
      <c r="D286" s="15" t="s">
        <v>100</v>
      </c>
      <c r="G286" s="49" t="s">
        <v>130</v>
      </c>
      <c r="I286" s="27"/>
      <c r="J286" s="27">
        <v>50000</v>
      </c>
      <c r="L286" s="27"/>
      <c r="M286" s="27">
        <v>50000</v>
      </c>
      <c r="O286" s="48" t="s">
        <v>75</v>
      </c>
      <c r="P286" s="48">
        <f>HEX2DEC(RIGHT(Table132321275358[[#This Row],[h1]],8))</f>
        <v>0</v>
      </c>
      <c r="Q286" s="48" t="s">
        <v>75</v>
      </c>
      <c r="R286" s="48">
        <f>HEX2DEC(RIGHT(Table132321275358[[#This Row],[h2]],8))</f>
        <v>0</v>
      </c>
    </row>
    <row r="287" spans="1:18">
      <c r="A287" s="15" t="str">
        <f t="shared" si="9"/>
        <v>115</v>
      </c>
      <c r="B287" s="15">
        <v>277</v>
      </c>
      <c r="C287" s="38"/>
      <c r="D287" s="15" t="s">
        <v>101</v>
      </c>
      <c r="G287" s="49" t="s">
        <v>130</v>
      </c>
      <c r="I287" s="27"/>
      <c r="J287" s="27">
        <v>50000</v>
      </c>
      <c r="L287" s="27"/>
      <c r="M287" s="27">
        <v>50000</v>
      </c>
      <c r="O287" s="48" t="s">
        <v>75</v>
      </c>
      <c r="P287" s="48">
        <f>HEX2DEC(RIGHT(Table132321275358[[#This Row],[h1]],8))</f>
        <v>0</v>
      </c>
      <c r="Q287" s="48" t="s">
        <v>75</v>
      </c>
      <c r="R287" s="48">
        <f>HEX2DEC(RIGHT(Table132321275358[[#This Row],[h2]],8))</f>
        <v>0</v>
      </c>
    </row>
    <row r="288" spans="1:18">
      <c r="A288" s="15" t="str">
        <f t="shared" si="9"/>
        <v>116</v>
      </c>
      <c r="B288" s="15">
        <v>278</v>
      </c>
      <c r="C288" s="38"/>
      <c r="D288" s="15" t="s">
        <v>102</v>
      </c>
      <c r="G288" s="49" t="s">
        <v>130</v>
      </c>
      <c r="I288" s="27"/>
      <c r="J288" s="27">
        <v>50000</v>
      </c>
      <c r="L288" s="27"/>
      <c r="M288" s="27">
        <v>50000</v>
      </c>
      <c r="O288" s="48" t="s">
        <v>75</v>
      </c>
      <c r="P288" s="48">
        <f>HEX2DEC(RIGHT(Table132321275358[[#This Row],[h1]],8))</f>
        <v>0</v>
      </c>
      <c r="Q288" s="48" t="s">
        <v>75</v>
      </c>
      <c r="R288" s="48">
        <f>HEX2DEC(RIGHT(Table132321275358[[#This Row],[h2]],8))</f>
        <v>0</v>
      </c>
    </row>
    <row r="289" spans="1:18">
      <c r="A289" s="15" t="str">
        <f t="shared" si="9"/>
        <v>117</v>
      </c>
      <c r="B289" s="15">
        <v>279</v>
      </c>
      <c r="C289" s="38"/>
      <c r="D289" s="15" t="s">
        <v>103</v>
      </c>
      <c r="G289" s="49" t="s">
        <v>130</v>
      </c>
      <c r="I289" s="27"/>
      <c r="J289" s="27">
        <v>50000</v>
      </c>
      <c r="L289" s="27"/>
      <c r="M289" s="27">
        <v>50000</v>
      </c>
      <c r="O289" s="48" t="s">
        <v>75</v>
      </c>
      <c r="P289" s="48">
        <f>HEX2DEC(RIGHT(Table132321275358[[#This Row],[h1]],8))</f>
        <v>0</v>
      </c>
      <c r="Q289" s="48" t="s">
        <v>75</v>
      </c>
      <c r="R289" s="48">
        <f>HEX2DEC(RIGHT(Table132321275358[[#This Row],[h2]],8))</f>
        <v>0</v>
      </c>
    </row>
    <row r="290" spans="1:18">
      <c r="A290" s="15" t="str">
        <f t="shared" si="9"/>
        <v>118</v>
      </c>
      <c r="B290" s="15">
        <v>280</v>
      </c>
      <c r="C290" s="38"/>
      <c r="D290" s="15" t="s">
        <v>104</v>
      </c>
      <c r="G290" s="49" t="s">
        <v>130</v>
      </c>
      <c r="I290" s="27"/>
      <c r="J290" s="27">
        <v>50000</v>
      </c>
      <c r="L290" s="27"/>
      <c r="M290" s="27">
        <v>50000</v>
      </c>
      <c r="O290" s="48" t="s">
        <v>75</v>
      </c>
      <c r="P290" s="48">
        <f>HEX2DEC(RIGHT(Table132321275358[[#This Row],[h1]],8))</f>
        <v>0</v>
      </c>
      <c r="Q290" s="48" t="s">
        <v>75</v>
      </c>
      <c r="R290" s="48">
        <f>HEX2DEC(RIGHT(Table132321275358[[#This Row],[h2]],8))</f>
        <v>0</v>
      </c>
    </row>
    <row r="291" spans="1:18">
      <c r="A291" s="15" t="str">
        <f t="shared" si="9"/>
        <v>119</v>
      </c>
      <c r="B291" s="15">
        <v>281</v>
      </c>
      <c r="C291" s="38"/>
      <c r="D291" s="15" t="s">
        <v>105</v>
      </c>
      <c r="G291" s="49" t="s">
        <v>130</v>
      </c>
      <c r="I291" s="27"/>
      <c r="J291" s="27">
        <v>50000</v>
      </c>
      <c r="L291" s="27"/>
      <c r="M291" s="27">
        <v>50000</v>
      </c>
      <c r="O291" s="48" t="s">
        <v>75</v>
      </c>
      <c r="P291" s="48">
        <f>HEX2DEC(RIGHT(Table132321275358[[#This Row],[h1]],8))</f>
        <v>0</v>
      </c>
      <c r="Q291" s="48" t="s">
        <v>75</v>
      </c>
      <c r="R291" s="48">
        <f>HEX2DEC(RIGHT(Table132321275358[[#This Row],[h2]],8))</f>
        <v>0</v>
      </c>
    </row>
    <row r="292" spans="1:18">
      <c r="A292" s="15" t="str">
        <f t="shared" si="9"/>
        <v>11A</v>
      </c>
      <c r="B292" s="15">
        <v>282</v>
      </c>
      <c r="C292" s="38"/>
      <c r="D292" s="15" t="s">
        <v>106</v>
      </c>
      <c r="G292" s="49" t="s">
        <v>130</v>
      </c>
      <c r="I292" s="27"/>
      <c r="J292" s="27">
        <v>50000</v>
      </c>
      <c r="L292" s="27"/>
      <c r="M292" s="27">
        <v>50000</v>
      </c>
      <c r="O292" s="48" t="s">
        <v>75</v>
      </c>
      <c r="P292" s="48">
        <f>HEX2DEC(RIGHT(Table132321275358[[#This Row],[h1]],8))</f>
        <v>0</v>
      </c>
      <c r="Q292" s="48" t="s">
        <v>75</v>
      </c>
      <c r="R292" s="48">
        <f>HEX2DEC(RIGHT(Table132321275358[[#This Row],[h2]],8))</f>
        <v>0</v>
      </c>
    </row>
    <row r="293" spans="1:18">
      <c r="A293" s="15" t="str">
        <f t="shared" si="9"/>
        <v>11B</v>
      </c>
      <c r="B293" s="15">
        <v>283</v>
      </c>
      <c r="C293" s="38"/>
      <c r="D293" s="15" t="s">
        <v>107</v>
      </c>
      <c r="G293" s="49" t="s">
        <v>130</v>
      </c>
      <c r="I293" s="27"/>
      <c r="J293" s="27">
        <v>50000</v>
      </c>
      <c r="L293" s="27"/>
      <c r="M293" s="27">
        <v>50000</v>
      </c>
      <c r="O293" s="48" t="s">
        <v>75</v>
      </c>
      <c r="P293" s="48">
        <f>HEX2DEC(RIGHT(Table132321275358[[#This Row],[h1]],8))</f>
        <v>0</v>
      </c>
      <c r="Q293" s="48" t="s">
        <v>75</v>
      </c>
      <c r="R293" s="48">
        <f>HEX2DEC(RIGHT(Table132321275358[[#This Row],[h2]],8))</f>
        <v>0</v>
      </c>
    </row>
    <row r="294" spans="1:18">
      <c r="A294" s="15" t="str">
        <f t="shared" si="9"/>
        <v>11C</v>
      </c>
      <c r="B294" s="15">
        <v>284</v>
      </c>
      <c r="C294" s="38"/>
      <c r="D294" s="15" t="s">
        <v>108</v>
      </c>
      <c r="G294" s="49" t="s">
        <v>130</v>
      </c>
      <c r="I294" s="27"/>
      <c r="J294" s="27">
        <v>50000</v>
      </c>
      <c r="L294" s="27"/>
      <c r="M294" s="27">
        <v>50000</v>
      </c>
      <c r="O294" s="48" t="s">
        <v>75</v>
      </c>
      <c r="P294" s="48">
        <f>HEX2DEC(RIGHT(Table132321275358[[#This Row],[h1]],8))</f>
        <v>0</v>
      </c>
      <c r="Q294" s="48" t="s">
        <v>75</v>
      </c>
      <c r="R294" s="48">
        <f>HEX2DEC(RIGHT(Table132321275358[[#This Row],[h2]],8))</f>
        <v>0</v>
      </c>
    </row>
    <row r="295" spans="1:18">
      <c r="A295" s="15" t="str">
        <f t="shared" si="9"/>
        <v>11D</v>
      </c>
      <c r="B295" s="15">
        <v>285</v>
      </c>
      <c r="C295" s="38"/>
      <c r="D295" s="15" t="s">
        <v>109</v>
      </c>
      <c r="G295" s="49" t="s">
        <v>130</v>
      </c>
      <c r="I295" s="27"/>
      <c r="J295" s="27">
        <v>50000</v>
      </c>
      <c r="L295" s="27"/>
      <c r="M295" s="27">
        <v>50000</v>
      </c>
      <c r="O295" s="48" t="s">
        <v>75</v>
      </c>
      <c r="P295" s="48">
        <f>HEX2DEC(RIGHT(Table132321275358[[#This Row],[h1]],8))</f>
        <v>0</v>
      </c>
      <c r="Q295" s="48" t="s">
        <v>75</v>
      </c>
      <c r="R295" s="48">
        <f>HEX2DEC(RIGHT(Table132321275358[[#This Row],[h2]],8))</f>
        <v>0</v>
      </c>
    </row>
    <row r="296" spans="1:18">
      <c r="A296" s="15" t="str">
        <f t="shared" si="9"/>
        <v>11E</v>
      </c>
      <c r="B296" s="15">
        <v>286</v>
      </c>
      <c r="C296" s="38"/>
      <c r="D296" s="15" t="s">
        <v>110</v>
      </c>
      <c r="G296" s="49" t="s">
        <v>130</v>
      </c>
      <c r="I296" s="27"/>
      <c r="J296" s="27">
        <v>50000</v>
      </c>
      <c r="L296" s="27"/>
      <c r="M296" s="27">
        <v>50000</v>
      </c>
      <c r="O296" s="48" t="s">
        <v>75</v>
      </c>
      <c r="P296" s="48">
        <f>HEX2DEC(RIGHT(Table132321275358[[#This Row],[h1]],8))</f>
        <v>0</v>
      </c>
      <c r="Q296" s="48" t="s">
        <v>75</v>
      </c>
      <c r="R296" s="48">
        <f>HEX2DEC(RIGHT(Table132321275358[[#This Row],[h2]],8))</f>
        <v>0</v>
      </c>
    </row>
    <row r="297" spans="1:18">
      <c r="A297" s="15" t="str">
        <f t="shared" si="9"/>
        <v>11F</v>
      </c>
      <c r="B297" s="15">
        <v>287</v>
      </c>
      <c r="C297" s="38"/>
      <c r="D297" s="15" t="s">
        <v>111</v>
      </c>
      <c r="G297" s="49" t="s">
        <v>130</v>
      </c>
      <c r="I297" s="27"/>
      <c r="J297" s="27">
        <v>50000</v>
      </c>
      <c r="L297" s="27"/>
      <c r="M297" s="27">
        <v>50000</v>
      </c>
      <c r="O297" s="48" t="s">
        <v>75</v>
      </c>
      <c r="P297" s="48">
        <f>HEX2DEC(RIGHT(Table132321275358[[#This Row],[h1]],8))</f>
        <v>0</v>
      </c>
      <c r="Q297" s="48" t="s">
        <v>75</v>
      </c>
      <c r="R297" s="48">
        <f>HEX2DEC(RIGHT(Table132321275358[[#This Row],[h2]],8))</f>
        <v>0</v>
      </c>
    </row>
    <row r="298" spans="1:18">
      <c r="A298" s="15" t="str">
        <f t="shared" si="9"/>
        <v>120</v>
      </c>
      <c r="B298" s="15">
        <v>288</v>
      </c>
      <c r="C298" s="38"/>
      <c r="D298" s="15" t="s">
        <v>112</v>
      </c>
      <c r="G298" s="49" t="s">
        <v>130</v>
      </c>
      <c r="I298" s="27"/>
      <c r="J298" s="27">
        <v>50000</v>
      </c>
      <c r="L298" s="27"/>
      <c r="M298" s="27">
        <v>50000</v>
      </c>
      <c r="O298" s="48" t="s">
        <v>75</v>
      </c>
      <c r="P298" s="48">
        <f>HEX2DEC(RIGHT(Table132321275358[[#This Row],[h1]],8))</f>
        <v>0</v>
      </c>
      <c r="Q298" s="48" t="s">
        <v>75</v>
      </c>
      <c r="R298" s="48">
        <f>HEX2DEC(RIGHT(Table132321275358[[#This Row],[h2]],8))</f>
        <v>0</v>
      </c>
    </row>
    <row r="299" spans="1:18">
      <c r="A299" s="15" t="str">
        <f t="shared" si="9"/>
        <v>121</v>
      </c>
      <c r="B299" s="15">
        <v>289</v>
      </c>
      <c r="C299" s="38"/>
      <c r="D299" s="15" t="s">
        <v>113</v>
      </c>
      <c r="G299" s="49" t="s">
        <v>130</v>
      </c>
      <c r="I299" s="27"/>
      <c r="J299" s="27">
        <v>50000</v>
      </c>
      <c r="L299" s="27"/>
      <c r="M299" s="27">
        <v>50000</v>
      </c>
      <c r="O299" s="48" t="s">
        <v>75</v>
      </c>
      <c r="P299" s="48">
        <f>HEX2DEC(RIGHT(Table132321275358[[#This Row],[h1]],8))</f>
        <v>0</v>
      </c>
      <c r="Q299" s="48" t="s">
        <v>75</v>
      </c>
      <c r="R299" s="48">
        <f>HEX2DEC(RIGHT(Table132321275358[[#This Row],[h2]],8))</f>
        <v>0</v>
      </c>
    </row>
    <row r="300" spans="1:18">
      <c r="A300" s="15" t="str">
        <f t="shared" si="9"/>
        <v>122</v>
      </c>
      <c r="B300" s="15">
        <v>290</v>
      </c>
      <c r="C300" s="38"/>
      <c r="D300" s="15" t="s">
        <v>114</v>
      </c>
      <c r="G300" s="49" t="s">
        <v>130</v>
      </c>
      <c r="I300" s="27"/>
      <c r="J300" s="27">
        <v>50000</v>
      </c>
      <c r="L300" s="27"/>
      <c r="M300" s="27">
        <v>50000</v>
      </c>
      <c r="O300" s="48" t="s">
        <v>75</v>
      </c>
      <c r="P300" s="48">
        <f>HEX2DEC(RIGHT(Table132321275358[[#This Row],[h1]],8))</f>
        <v>0</v>
      </c>
      <c r="Q300" s="48" t="s">
        <v>75</v>
      </c>
      <c r="R300" s="48">
        <f>HEX2DEC(RIGHT(Table132321275358[[#This Row],[h2]],8))</f>
        <v>0</v>
      </c>
    </row>
    <row r="301" spans="1:18">
      <c r="A301" s="15" t="str">
        <f t="shared" si="9"/>
        <v>123</v>
      </c>
      <c r="B301" s="15">
        <v>291</v>
      </c>
      <c r="C301" s="38"/>
      <c r="D301" s="15" t="s">
        <v>115</v>
      </c>
      <c r="G301" s="49" t="s">
        <v>130</v>
      </c>
      <c r="I301" s="27"/>
      <c r="J301" s="27">
        <v>50000</v>
      </c>
      <c r="L301" s="27"/>
      <c r="M301" s="27">
        <v>50000</v>
      </c>
      <c r="O301" s="48" t="s">
        <v>75</v>
      </c>
      <c r="P301" s="48">
        <f>HEX2DEC(RIGHT(Table132321275358[[#This Row],[h1]],8))</f>
        <v>0</v>
      </c>
      <c r="Q301" s="48" t="s">
        <v>75</v>
      </c>
      <c r="R301" s="48">
        <f>HEX2DEC(RIGHT(Table132321275358[[#This Row],[h2]],8))</f>
        <v>0</v>
      </c>
    </row>
    <row r="302" spans="1:18">
      <c r="A302" s="15" t="str">
        <f t="shared" si="9"/>
        <v>124</v>
      </c>
      <c r="B302" s="15">
        <v>292</v>
      </c>
      <c r="C302" s="38"/>
      <c r="D302" s="15" t="s">
        <v>116</v>
      </c>
      <c r="G302" s="49" t="s">
        <v>130</v>
      </c>
      <c r="I302" s="27"/>
      <c r="J302" s="27">
        <v>50000</v>
      </c>
      <c r="L302" s="27"/>
      <c r="M302" s="27">
        <v>50000</v>
      </c>
      <c r="O302" s="48" t="s">
        <v>75</v>
      </c>
      <c r="P302" s="48">
        <f>HEX2DEC(RIGHT(Table132321275358[[#This Row],[h1]],8))</f>
        <v>0</v>
      </c>
      <c r="Q302" s="48" t="s">
        <v>75</v>
      </c>
      <c r="R302" s="48">
        <f>HEX2DEC(RIGHT(Table132321275358[[#This Row],[h2]],8))</f>
        <v>0</v>
      </c>
    </row>
    <row r="303" spans="1:18">
      <c r="A303" s="15" t="str">
        <f t="shared" si="9"/>
        <v>125</v>
      </c>
      <c r="B303" s="15">
        <v>293</v>
      </c>
      <c r="C303" s="38"/>
      <c r="D303" s="15" t="s">
        <v>117</v>
      </c>
      <c r="G303" s="49" t="s">
        <v>130</v>
      </c>
      <c r="I303" s="27"/>
      <c r="J303" s="27">
        <v>50000</v>
      </c>
      <c r="L303" s="27"/>
      <c r="M303" s="27">
        <v>50000</v>
      </c>
      <c r="O303" s="48" t="s">
        <v>75</v>
      </c>
      <c r="P303" s="48">
        <f>HEX2DEC(RIGHT(Table132321275358[[#This Row],[h1]],8))</f>
        <v>0</v>
      </c>
      <c r="Q303" s="48" t="s">
        <v>75</v>
      </c>
      <c r="R303" s="48">
        <f>HEX2DEC(RIGHT(Table132321275358[[#This Row],[h2]],8))</f>
        <v>0</v>
      </c>
    </row>
    <row r="304" spans="1:18">
      <c r="A304" s="15" t="str">
        <f t="shared" si="9"/>
        <v>126</v>
      </c>
      <c r="B304" s="15">
        <v>294</v>
      </c>
      <c r="C304" s="38"/>
      <c r="D304" s="15" t="s">
        <v>118</v>
      </c>
      <c r="G304" s="49" t="s">
        <v>130</v>
      </c>
      <c r="I304" s="27"/>
      <c r="J304" s="27">
        <v>50000</v>
      </c>
      <c r="L304" s="27"/>
      <c r="M304" s="27">
        <v>50000</v>
      </c>
      <c r="O304" s="48" t="s">
        <v>75</v>
      </c>
      <c r="P304" s="48">
        <f>HEX2DEC(RIGHT(Table132321275358[[#This Row],[h1]],8))</f>
        <v>0</v>
      </c>
      <c r="Q304" s="48" t="s">
        <v>75</v>
      </c>
      <c r="R304" s="48">
        <f>HEX2DEC(RIGHT(Table132321275358[[#This Row],[h2]],8))</f>
        <v>0</v>
      </c>
    </row>
    <row r="305" spans="1:18">
      <c r="A305" s="15" t="str">
        <f t="shared" si="9"/>
        <v>127</v>
      </c>
      <c r="B305" s="15">
        <v>295</v>
      </c>
      <c r="C305" s="38"/>
      <c r="D305" s="15" t="s">
        <v>119</v>
      </c>
      <c r="G305" s="49" t="s">
        <v>130</v>
      </c>
      <c r="I305" s="27"/>
      <c r="J305" s="27">
        <v>50000</v>
      </c>
      <c r="L305" s="27"/>
      <c r="M305" s="27">
        <v>50000</v>
      </c>
      <c r="O305" s="48" t="s">
        <v>75</v>
      </c>
      <c r="P305" s="48">
        <f>HEX2DEC(RIGHT(Table132321275358[[#This Row],[h1]],8))</f>
        <v>0</v>
      </c>
      <c r="Q305" s="48" t="s">
        <v>75</v>
      </c>
      <c r="R305" s="48">
        <f>HEX2DEC(RIGHT(Table132321275358[[#This Row],[h2]],8))</f>
        <v>0</v>
      </c>
    </row>
    <row r="306" spans="1:18">
      <c r="A306" s="15" t="str">
        <f t="shared" si="9"/>
        <v>128</v>
      </c>
      <c r="B306" s="15">
        <v>296</v>
      </c>
      <c r="C306" s="38"/>
      <c r="D306" s="15" t="s">
        <v>120</v>
      </c>
      <c r="G306" s="49" t="s">
        <v>130</v>
      </c>
      <c r="I306" s="27"/>
      <c r="J306" s="27">
        <v>50000</v>
      </c>
      <c r="L306" s="27"/>
      <c r="M306" s="27">
        <v>50000</v>
      </c>
      <c r="O306" s="48" t="s">
        <v>75</v>
      </c>
      <c r="P306" s="48">
        <f>HEX2DEC(RIGHT(Table132321275358[[#This Row],[h1]],8))</f>
        <v>0</v>
      </c>
      <c r="Q306" s="48" t="s">
        <v>75</v>
      </c>
      <c r="R306" s="48">
        <f>HEX2DEC(RIGHT(Table132321275358[[#This Row],[h2]],8))</f>
        <v>0</v>
      </c>
    </row>
    <row r="307" spans="1:18">
      <c r="A307" s="15" t="str">
        <f t="shared" si="9"/>
        <v>129</v>
      </c>
      <c r="B307" s="15">
        <v>297</v>
      </c>
      <c r="C307" s="38"/>
      <c r="D307" s="15" t="s">
        <v>121</v>
      </c>
      <c r="G307" s="49" t="s">
        <v>130</v>
      </c>
      <c r="I307" s="27"/>
      <c r="J307" s="27">
        <v>50000</v>
      </c>
      <c r="L307" s="27"/>
      <c r="M307" s="27">
        <v>50000</v>
      </c>
      <c r="O307" s="48" t="s">
        <v>75</v>
      </c>
      <c r="P307" s="48">
        <f>HEX2DEC(RIGHT(Table132321275358[[#This Row],[h1]],8))</f>
        <v>0</v>
      </c>
      <c r="Q307" s="48" t="s">
        <v>75</v>
      </c>
      <c r="R307" s="48">
        <f>HEX2DEC(RIGHT(Table132321275358[[#This Row],[h2]],8))</f>
        <v>0</v>
      </c>
    </row>
    <row r="308" spans="1:18">
      <c r="A308" s="15" t="str">
        <f t="shared" si="9"/>
        <v>12A</v>
      </c>
      <c r="B308" s="15">
        <v>298</v>
      </c>
      <c r="C308" s="38"/>
      <c r="D308" s="15" t="s">
        <v>122</v>
      </c>
      <c r="G308" s="49" t="s">
        <v>130</v>
      </c>
      <c r="I308" s="27"/>
      <c r="J308" s="27">
        <v>50000</v>
      </c>
      <c r="L308" s="27"/>
      <c r="M308" s="27">
        <v>50000</v>
      </c>
      <c r="O308" s="48" t="s">
        <v>75</v>
      </c>
      <c r="P308" s="48">
        <f>HEX2DEC(RIGHT(Table132321275358[[#This Row],[h1]],8))</f>
        <v>0</v>
      </c>
      <c r="Q308" s="48" t="s">
        <v>75</v>
      </c>
      <c r="R308" s="48">
        <f>HEX2DEC(RIGHT(Table132321275358[[#This Row],[h2]],8))</f>
        <v>0</v>
      </c>
    </row>
    <row r="309" spans="1:18">
      <c r="A309" s="15" t="str">
        <f t="shared" si="9"/>
        <v>12B</v>
      </c>
      <c r="B309" s="15">
        <v>299</v>
      </c>
      <c r="C309" s="38"/>
      <c r="D309" s="15" t="s">
        <v>123</v>
      </c>
      <c r="G309" s="49" t="s">
        <v>130</v>
      </c>
      <c r="I309" s="27"/>
      <c r="J309" s="27">
        <v>50000</v>
      </c>
      <c r="L309" s="27"/>
      <c r="M309" s="27">
        <v>50000</v>
      </c>
      <c r="O309" s="48" t="s">
        <v>75</v>
      </c>
      <c r="P309" s="48">
        <f>HEX2DEC(RIGHT(Table132321275358[[#This Row],[h1]],8))</f>
        <v>0</v>
      </c>
      <c r="Q309" s="48" t="s">
        <v>75</v>
      </c>
      <c r="R309" s="48">
        <f>HEX2DEC(RIGHT(Table132321275358[[#This Row],[h2]],8))</f>
        <v>0</v>
      </c>
    </row>
    <row r="310" spans="1:18">
      <c r="A310" s="15" t="str">
        <f t="shared" si="9"/>
        <v>12C</v>
      </c>
      <c r="B310" s="15">
        <v>300</v>
      </c>
      <c r="C310" s="38"/>
      <c r="D310" s="15" t="s">
        <v>124</v>
      </c>
      <c r="G310" s="49" t="s">
        <v>130</v>
      </c>
      <c r="I310" s="27"/>
      <c r="J310" s="27">
        <v>50000</v>
      </c>
      <c r="L310" s="27"/>
      <c r="M310" s="27">
        <v>50000</v>
      </c>
      <c r="O310" s="48" t="s">
        <v>75</v>
      </c>
      <c r="P310" s="48">
        <f>HEX2DEC(RIGHT(Table132321275358[[#This Row],[h1]],8))</f>
        <v>0</v>
      </c>
      <c r="Q310" s="48" t="s">
        <v>75</v>
      </c>
      <c r="R310" s="48">
        <f>HEX2DEC(RIGHT(Table132321275358[[#This Row],[h2]],8))</f>
        <v>0</v>
      </c>
    </row>
    <row r="311" spans="1:18">
      <c r="A311" s="15" t="str">
        <f t="shared" si="9"/>
        <v>12D</v>
      </c>
      <c r="B311" s="15">
        <v>301</v>
      </c>
      <c r="C311" s="38"/>
      <c r="D311" s="15" t="s">
        <v>125</v>
      </c>
      <c r="G311" s="49" t="s">
        <v>130</v>
      </c>
      <c r="I311" s="27"/>
      <c r="J311" s="27">
        <v>50000</v>
      </c>
      <c r="L311" s="27"/>
      <c r="M311" s="27">
        <v>50000</v>
      </c>
      <c r="O311" s="48" t="s">
        <v>75</v>
      </c>
      <c r="P311" s="48">
        <f>HEX2DEC(RIGHT(Table132321275358[[#This Row],[h1]],8))</f>
        <v>0</v>
      </c>
      <c r="Q311" s="48" t="s">
        <v>75</v>
      </c>
      <c r="R311" s="48">
        <f>HEX2DEC(RIGHT(Table132321275358[[#This Row],[h2]],8))</f>
        <v>0</v>
      </c>
    </row>
    <row r="312" spans="1:18">
      <c r="A312" s="15" t="str">
        <f t="shared" si="9"/>
        <v>12E</v>
      </c>
      <c r="B312" s="15">
        <v>302</v>
      </c>
      <c r="C312" s="38"/>
      <c r="D312" s="15" t="s">
        <v>126</v>
      </c>
      <c r="G312" s="49" t="s">
        <v>130</v>
      </c>
      <c r="I312" s="27"/>
      <c r="J312" s="27">
        <v>50000</v>
      </c>
      <c r="L312" s="27"/>
      <c r="M312" s="27">
        <v>50000</v>
      </c>
      <c r="O312" s="48" t="s">
        <v>75</v>
      </c>
      <c r="P312" s="48">
        <f>HEX2DEC(RIGHT(Table132321275358[[#This Row],[h1]],8))</f>
        <v>0</v>
      </c>
      <c r="Q312" s="48" t="s">
        <v>75</v>
      </c>
      <c r="R312" s="48">
        <f>HEX2DEC(RIGHT(Table132321275358[[#This Row],[h2]],8))</f>
        <v>0</v>
      </c>
    </row>
    <row r="313" spans="1:18">
      <c r="A313" s="15" t="str">
        <f t="shared" si="9"/>
        <v>12F</v>
      </c>
      <c r="B313" s="15">
        <v>303</v>
      </c>
      <c r="C313" s="38"/>
      <c r="D313" s="15" t="s">
        <v>127</v>
      </c>
      <c r="G313" s="49" t="s">
        <v>130</v>
      </c>
      <c r="I313" s="27"/>
      <c r="J313" s="27">
        <v>50000</v>
      </c>
      <c r="L313" s="27"/>
      <c r="M313" s="27">
        <v>50000</v>
      </c>
      <c r="O313" s="48" t="s">
        <v>75</v>
      </c>
      <c r="P313" s="48">
        <f>HEX2DEC(RIGHT(Table132321275358[[#This Row],[h1]],8))</f>
        <v>0</v>
      </c>
      <c r="Q313" s="48" t="s">
        <v>75</v>
      </c>
      <c r="R313" s="48">
        <f>HEX2DEC(RIGHT(Table132321275358[[#This Row],[h2]],8))</f>
        <v>0</v>
      </c>
    </row>
    <row r="314" spans="1:18">
      <c r="A314" s="15" t="str">
        <f t="shared" si="9"/>
        <v>130</v>
      </c>
      <c r="B314" s="15">
        <v>304</v>
      </c>
      <c r="C314" s="38"/>
      <c r="D314" s="15" t="s">
        <v>128</v>
      </c>
      <c r="G314" s="49" t="s">
        <v>130</v>
      </c>
      <c r="I314" s="27"/>
      <c r="J314" s="27">
        <v>50000</v>
      </c>
      <c r="L314" s="27"/>
      <c r="M314" s="27">
        <v>50000</v>
      </c>
      <c r="O314" s="48" t="s">
        <v>75</v>
      </c>
      <c r="P314" s="48">
        <f>HEX2DEC(RIGHT(Table132321275358[[#This Row],[h1]],8))</f>
        <v>0</v>
      </c>
      <c r="Q314" s="48" t="s">
        <v>75</v>
      </c>
      <c r="R314" s="48">
        <f>HEX2DEC(RIGHT(Table132321275358[[#This Row],[h2]],8))</f>
        <v>0</v>
      </c>
    </row>
    <row r="315" spans="1:18">
      <c r="A315" s="15" t="str">
        <f t="shared" si="9"/>
        <v>131</v>
      </c>
      <c r="B315" s="15">
        <v>305</v>
      </c>
      <c r="C315" s="38"/>
      <c r="D315" s="15" t="s">
        <v>129</v>
      </c>
      <c r="G315" s="49" t="s">
        <v>130</v>
      </c>
      <c r="I315" s="27"/>
      <c r="J315" s="27">
        <v>50000</v>
      </c>
      <c r="L315" s="27"/>
      <c r="M315" s="27">
        <v>50000</v>
      </c>
      <c r="O315" s="48" t="s">
        <v>75</v>
      </c>
      <c r="P315" s="48">
        <f>HEX2DEC(RIGHT(Table132321275358[[#This Row],[h1]],8))</f>
        <v>0</v>
      </c>
      <c r="Q315" s="48" t="s">
        <v>75</v>
      </c>
      <c r="R315" s="48">
        <f>HEX2DEC(RIGHT(Table132321275358[[#This Row],[h2]],8))</f>
        <v>0</v>
      </c>
    </row>
    <row r="316" spans="1:18">
      <c r="A316" s="15" t="str">
        <f t="shared" si="9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8" t="s">
        <v>75</v>
      </c>
      <c r="P316" s="48">
        <f>HEX2DEC(RIGHT(Table132321275358[[#This Row],[h1]],8))</f>
        <v>0</v>
      </c>
      <c r="Q316" s="48" t="s">
        <v>75</v>
      </c>
      <c r="R316" s="48">
        <f>HEX2DEC(RIGHT(Table132321275358[[#This Row],[h2]],8))</f>
        <v>0</v>
      </c>
    </row>
    <row r="317" spans="1:18">
      <c r="A317" s="15" t="str">
        <f t="shared" si="9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8" t="s">
        <v>75</v>
      </c>
      <c r="P317" s="48">
        <f>HEX2DEC(RIGHT(Table132321275358[[#This Row],[h1]],8))</f>
        <v>0</v>
      </c>
      <c r="Q317" s="48" t="s">
        <v>75</v>
      </c>
      <c r="R317" s="48">
        <f>HEX2DEC(RIGHT(Table132321275358[[#This Row],[h2]],8))</f>
        <v>0</v>
      </c>
    </row>
    <row r="318" spans="1:18">
      <c r="A318" s="15" t="str">
        <f t="shared" si="9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8" t="s">
        <v>75</v>
      </c>
      <c r="P318" s="48">
        <f>HEX2DEC(RIGHT(Table132321275358[[#This Row],[h1]],8))</f>
        <v>0</v>
      </c>
      <c r="Q318" s="48" t="s">
        <v>75</v>
      </c>
      <c r="R318" s="48">
        <f>HEX2DEC(RIGHT(Table132321275358[[#This Row],[h2]],8))</f>
        <v>0</v>
      </c>
    </row>
    <row r="319" spans="1:18">
      <c r="A319" s="15" t="str">
        <f t="shared" si="9"/>
        <v>135</v>
      </c>
      <c r="B319" s="15">
        <v>309</v>
      </c>
      <c r="C319" s="38"/>
      <c r="D319" s="15" t="s">
        <v>426</v>
      </c>
      <c r="G319" s="29">
        <v>0</v>
      </c>
      <c r="I319" s="27"/>
      <c r="J319" s="27">
        <v>50000</v>
      </c>
      <c r="L319" s="27"/>
      <c r="M319" s="27">
        <v>50000</v>
      </c>
      <c r="O319" s="48" t="s">
        <v>75</v>
      </c>
      <c r="P319" s="48">
        <f>HEX2DEC(RIGHT(Table132321275358[[#This Row],[h1]],8))</f>
        <v>0</v>
      </c>
      <c r="Q319" s="48" t="s">
        <v>75</v>
      </c>
      <c r="R319" s="48">
        <f>HEX2DEC(RIGHT(Table132321275358[[#This Row],[h2]],8))</f>
        <v>0</v>
      </c>
    </row>
    <row r="320" spans="1:18">
      <c r="A320" s="15" t="str">
        <f t="shared" si="9"/>
        <v>136</v>
      </c>
      <c r="B320" s="15">
        <v>310</v>
      </c>
      <c r="C320" s="38"/>
      <c r="D320" s="33" t="s">
        <v>325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8" t="s">
        <v>75</v>
      </c>
      <c r="P320" s="48">
        <f>HEX2DEC(RIGHT(Table132321275358[[#This Row],[h1]],8))</f>
        <v>0</v>
      </c>
      <c r="Q320" s="48" t="s">
        <v>75</v>
      </c>
      <c r="R320" s="48">
        <f>HEX2DEC(RIGHT(Table132321275358[[#This Row],[h2]],8))</f>
        <v>0</v>
      </c>
    </row>
    <row r="321" spans="1:18">
      <c r="A321" s="15" t="str">
        <f t="shared" si="9"/>
        <v>137</v>
      </c>
      <c r="B321" s="15">
        <v>311</v>
      </c>
      <c r="C321" s="38"/>
      <c r="D321" s="26" t="s">
        <v>344</v>
      </c>
      <c r="G321" s="29">
        <v>0</v>
      </c>
      <c r="I321" s="27"/>
      <c r="J321" s="27">
        <v>50000</v>
      </c>
      <c r="L321" s="27"/>
      <c r="M321" s="27">
        <v>50000</v>
      </c>
      <c r="O321" s="48" t="s">
        <v>75</v>
      </c>
      <c r="P321" s="48">
        <f>HEX2DEC(RIGHT(Table132321275358[[#This Row],[h1]],8))</f>
        <v>0</v>
      </c>
      <c r="Q321" s="48" t="s">
        <v>75</v>
      </c>
      <c r="R321" s="48">
        <f>HEX2DEC(RIGHT(Table132321275358[[#This Row],[h2]],8))</f>
        <v>0</v>
      </c>
    </row>
    <row r="322" spans="1:18">
      <c r="A322" s="15" t="str">
        <f t="shared" si="9"/>
        <v>138</v>
      </c>
      <c r="B322" s="15">
        <v>312</v>
      </c>
      <c r="C322" s="38"/>
      <c r="D322" s="26" t="s">
        <v>345</v>
      </c>
      <c r="G322" s="29">
        <v>0</v>
      </c>
      <c r="I322" s="27"/>
      <c r="J322" s="27">
        <v>50000</v>
      </c>
      <c r="L322" s="27"/>
      <c r="M322" s="27">
        <v>50000</v>
      </c>
      <c r="O322" s="48" t="s">
        <v>75</v>
      </c>
      <c r="P322" s="48">
        <f>HEX2DEC(RIGHT(Table132321275358[[#This Row],[h1]],8))</f>
        <v>0</v>
      </c>
      <c r="Q322" s="48" t="s">
        <v>75</v>
      </c>
      <c r="R322" s="48">
        <f>HEX2DEC(RIGHT(Table132321275358[[#This Row],[h2]],8))</f>
        <v>0</v>
      </c>
    </row>
    <row r="323" spans="1:18">
      <c r="A323" s="15" t="str">
        <f t="shared" si="9"/>
        <v>139</v>
      </c>
      <c r="B323" s="15">
        <v>313</v>
      </c>
      <c r="C323" s="38"/>
      <c r="D323" s="15" t="s">
        <v>326</v>
      </c>
      <c r="G323" s="29">
        <v>0</v>
      </c>
      <c r="I323" s="27"/>
      <c r="J323" s="27">
        <v>50000</v>
      </c>
      <c r="L323" s="27"/>
      <c r="M323" s="27">
        <v>50000</v>
      </c>
      <c r="O323" s="48" t="s">
        <v>75</v>
      </c>
      <c r="P323" s="48">
        <f>HEX2DEC(RIGHT(Table132321275358[[#This Row],[h1]],8))</f>
        <v>0</v>
      </c>
      <c r="Q323" s="48" t="s">
        <v>75</v>
      </c>
      <c r="R323" s="48">
        <f>HEX2DEC(RIGHT(Table132321275358[[#This Row],[h2]],8))</f>
        <v>0</v>
      </c>
    </row>
    <row r="324" spans="1:18">
      <c r="A324" s="15" t="str">
        <f t="shared" si="9"/>
        <v>13A</v>
      </c>
      <c r="B324" s="15">
        <v>314</v>
      </c>
      <c r="C324" s="38"/>
      <c r="D324" s="15" t="s">
        <v>327</v>
      </c>
      <c r="G324" s="29">
        <v>0</v>
      </c>
      <c r="I324" s="27"/>
      <c r="J324" s="27">
        <v>50000</v>
      </c>
      <c r="L324" s="27"/>
      <c r="M324" s="27">
        <v>50000</v>
      </c>
      <c r="O324" s="48" t="s">
        <v>75</v>
      </c>
      <c r="P324" s="48">
        <f>HEX2DEC(RIGHT(Table132321275358[[#This Row],[h1]],8))</f>
        <v>0</v>
      </c>
      <c r="Q324" s="48" t="s">
        <v>75</v>
      </c>
      <c r="R324" s="48">
        <f>HEX2DEC(RIGHT(Table132321275358[[#This Row],[h2]],8))</f>
        <v>0</v>
      </c>
    </row>
    <row r="325" spans="1:18">
      <c r="A325" s="15" t="str">
        <f t="shared" si="9"/>
        <v>13B</v>
      </c>
      <c r="B325" s="15">
        <v>315</v>
      </c>
      <c r="C325" s="38"/>
      <c r="D325" s="33" t="s">
        <v>323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8" t="s">
        <v>75</v>
      </c>
      <c r="P325" s="48">
        <f>HEX2DEC(RIGHT(Table132321275358[[#This Row],[h1]],8))</f>
        <v>0</v>
      </c>
      <c r="Q325" s="48" t="s">
        <v>75</v>
      </c>
      <c r="R325" s="48">
        <f>HEX2DEC(RIGHT(Table132321275358[[#This Row],[h2]],8))</f>
        <v>0</v>
      </c>
    </row>
    <row r="326" spans="1:18">
      <c r="A326" s="15" t="str">
        <f t="shared" si="9"/>
        <v>13C</v>
      </c>
      <c r="B326" s="15">
        <v>316</v>
      </c>
      <c r="C326" s="38"/>
      <c r="D326" s="15" t="s">
        <v>324</v>
      </c>
      <c r="G326" s="29">
        <v>0</v>
      </c>
      <c r="I326" s="27"/>
      <c r="J326" s="27">
        <v>50000</v>
      </c>
      <c r="L326" s="27"/>
      <c r="M326" s="27">
        <v>50000</v>
      </c>
      <c r="O326" s="48" t="s">
        <v>75</v>
      </c>
      <c r="P326" s="48">
        <f>HEX2DEC(RIGHT(Table132321275358[[#This Row],[h1]],8))</f>
        <v>0</v>
      </c>
      <c r="Q326" s="48" t="s">
        <v>75</v>
      </c>
      <c r="R326" s="48">
        <f>HEX2DEC(RIGHT(Table132321275358[[#This Row],[h2]],8))</f>
        <v>0</v>
      </c>
    </row>
    <row r="327" spans="1:18">
      <c r="A327" s="15" t="str">
        <f t="shared" si="9"/>
        <v>13D</v>
      </c>
      <c r="B327" s="15">
        <v>317</v>
      </c>
      <c r="C327" s="38"/>
      <c r="D327" s="15" t="s">
        <v>328</v>
      </c>
      <c r="G327" s="29">
        <v>0</v>
      </c>
      <c r="I327" s="27"/>
      <c r="J327" s="27">
        <v>50000</v>
      </c>
      <c r="L327" s="27"/>
      <c r="M327" s="27">
        <v>50000</v>
      </c>
      <c r="O327" s="48" t="s">
        <v>75</v>
      </c>
      <c r="P327" s="48">
        <f>HEX2DEC(RIGHT(Table132321275358[[#This Row],[h1]],8))</f>
        <v>0</v>
      </c>
      <c r="Q327" s="48" t="s">
        <v>75</v>
      </c>
      <c r="R327" s="48">
        <f>HEX2DEC(RIGHT(Table132321275358[[#This Row],[h2]],8))</f>
        <v>0</v>
      </c>
    </row>
    <row r="328" spans="1:18">
      <c r="A328" s="15" t="str">
        <f t="shared" si="9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8" t="s">
        <v>75</v>
      </c>
      <c r="P328" s="48">
        <f>HEX2DEC(RIGHT(Table132321275358[[#This Row],[h1]],8))</f>
        <v>0</v>
      </c>
      <c r="Q328" s="48" t="s">
        <v>75</v>
      </c>
      <c r="R328" s="48">
        <f>HEX2DEC(RIGHT(Table132321275358[[#This Row],[h2]],8))</f>
        <v>0</v>
      </c>
    </row>
    <row r="329" spans="1:18">
      <c r="A329" s="15" t="str">
        <f t="shared" si="9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8" t="s">
        <v>75</v>
      </c>
      <c r="P329" s="48">
        <f>HEX2DEC(RIGHT(Table132321275358[[#This Row],[h1]],8))</f>
        <v>0</v>
      </c>
      <c r="Q329" s="48" t="s">
        <v>75</v>
      </c>
      <c r="R329" s="48">
        <f>HEX2DEC(RIGHT(Table132321275358[[#This Row],[h2]],8))</f>
        <v>0</v>
      </c>
    </row>
    <row r="330" spans="1:18">
      <c r="A330" s="15" t="str">
        <f t="shared" si="9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8" t="s">
        <v>75</v>
      </c>
      <c r="P330" s="48">
        <f>HEX2DEC(RIGHT(Table132321275358[[#This Row],[h1]],8))</f>
        <v>0</v>
      </c>
      <c r="Q330" s="48" t="s">
        <v>75</v>
      </c>
      <c r="R330" s="48">
        <f>HEX2DEC(RIGHT(Table132321275358[[#This Row],[h2]],8))</f>
        <v>0</v>
      </c>
    </row>
    <row r="331" spans="1:18">
      <c r="A331" s="15" t="str">
        <f t="shared" ref="A331:A394" si="10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8" t="s">
        <v>75</v>
      </c>
      <c r="P331" s="48">
        <f>HEX2DEC(RIGHT(Table132321275358[[#This Row],[h1]],8))</f>
        <v>0</v>
      </c>
      <c r="Q331" s="48" t="s">
        <v>75</v>
      </c>
      <c r="R331" s="48">
        <f>HEX2DEC(RIGHT(Table132321275358[[#This Row],[h2]],8))</f>
        <v>0</v>
      </c>
    </row>
    <row r="332" spans="1:18">
      <c r="A332" s="15" t="str">
        <f t="shared" si="10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8" t="s">
        <v>75</v>
      </c>
      <c r="P332" s="48">
        <f>HEX2DEC(RIGHT(Table132321275358[[#This Row],[h1]],8))</f>
        <v>0</v>
      </c>
      <c r="Q332" s="48" t="s">
        <v>75</v>
      </c>
      <c r="R332" s="48">
        <f>HEX2DEC(RIGHT(Table132321275358[[#This Row],[h2]],8))</f>
        <v>0</v>
      </c>
    </row>
    <row r="333" spans="1:18">
      <c r="A333" s="15" t="str">
        <f t="shared" si="10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8" t="s">
        <v>75</v>
      </c>
      <c r="P333" s="48">
        <f>HEX2DEC(RIGHT(Table132321275358[[#This Row],[h1]],8))</f>
        <v>0</v>
      </c>
      <c r="Q333" s="48" t="s">
        <v>75</v>
      </c>
      <c r="R333" s="48">
        <f>HEX2DEC(RIGHT(Table132321275358[[#This Row],[h2]],8))</f>
        <v>0</v>
      </c>
    </row>
    <row r="334" spans="1:18">
      <c r="A334" s="15" t="str">
        <f t="shared" si="10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8" t="s">
        <v>75</v>
      </c>
      <c r="P334" s="48">
        <f>HEX2DEC(RIGHT(Table132321275358[[#This Row],[h1]],8))</f>
        <v>0</v>
      </c>
      <c r="Q334" s="48" t="s">
        <v>75</v>
      </c>
      <c r="R334" s="48">
        <f>HEX2DEC(RIGHT(Table132321275358[[#This Row],[h2]],8))</f>
        <v>0</v>
      </c>
    </row>
    <row r="335" spans="1:18">
      <c r="A335" s="15" t="str">
        <f t="shared" si="10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8" t="s">
        <v>75</v>
      </c>
      <c r="P335" s="48">
        <f>HEX2DEC(RIGHT(Table132321275358[[#This Row],[h1]],8))</f>
        <v>0</v>
      </c>
      <c r="Q335" s="48" t="s">
        <v>75</v>
      </c>
      <c r="R335" s="48">
        <f>HEX2DEC(RIGHT(Table132321275358[[#This Row],[h2]],8))</f>
        <v>0</v>
      </c>
    </row>
    <row r="336" spans="1:18">
      <c r="A336" s="15" t="str">
        <f t="shared" si="10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8" t="s">
        <v>75</v>
      </c>
      <c r="P336" s="48">
        <f>HEX2DEC(RIGHT(Table132321275358[[#This Row],[h1]],8))</f>
        <v>0</v>
      </c>
      <c r="Q336" s="48" t="s">
        <v>75</v>
      </c>
      <c r="R336" s="48">
        <f>HEX2DEC(RIGHT(Table132321275358[[#This Row],[h2]],8))</f>
        <v>0</v>
      </c>
    </row>
    <row r="337" spans="1:18">
      <c r="A337" s="15" t="str">
        <f t="shared" si="10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8" t="s">
        <v>75</v>
      </c>
      <c r="P337" s="48">
        <f>HEX2DEC(RIGHT(Table132321275358[[#This Row],[h1]],8))</f>
        <v>0</v>
      </c>
      <c r="Q337" s="48" t="s">
        <v>75</v>
      </c>
      <c r="R337" s="48">
        <f>HEX2DEC(RIGHT(Table132321275358[[#This Row],[h2]],8))</f>
        <v>0</v>
      </c>
    </row>
    <row r="338" spans="1:18">
      <c r="A338" s="15" t="str">
        <f t="shared" si="10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8" t="s">
        <v>75</v>
      </c>
      <c r="P338" s="48">
        <f>HEX2DEC(RIGHT(Table132321275358[[#This Row],[h1]],8))</f>
        <v>0</v>
      </c>
      <c r="Q338" s="48" t="s">
        <v>75</v>
      </c>
      <c r="R338" s="48">
        <f>HEX2DEC(RIGHT(Table132321275358[[#This Row],[h2]],8))</f>
        <v>0</v>
      </c>
    </row>
    <row r="339" spans="1:18">
      <c r="A339" s="15" t="str">
        <f t="shared" si="10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8" t="s">
        <v>75</v>
      </c>
      <c r="P339" s="48">
        <f>HEX2DEC(RIGHT(Table132321275358[[#This Row],[h1]],8))</f>
        <v>0</v>
      </c>
      <c r="Q339" s="48" t="s">
        <v>75</v>
      </c>
      <c r="R339" s="48">
        <f>HEX2DEC(RIGHT(Table132321275358[[#This Row],[h2]],8))</f>
        <v>0</v>
      </c>
    </row>
    <row r="340" spans="1:18">
      <c r="A340" s="15" t="str">
        <f t="shared" si="10"/>
        <v>14A</v>
      </c>
      <c r="B340" s="15">
        <v>330</v>
      </c>
      <c r="C340" s="38"/>
      <c r="G340" s="48"/>
      <c r="I340" s="27"/>
      <c r="J340" s="27">
        <v>50000</v>
      </c>
      <c r="L340" s="27"/>
      <c r="M340" s="27">
        <v>50000</v>
      </c>
      <c r="O340" s="48" t="s">
        <v>75</v>
      </c>
      <c r="P340" s="48">
        <f>HEX2DEC(RIGHT(Table132321275358[[#This Row],[h1]],8))</f>
        <v>0</v>
      </c>
      <c r="Q340" s="48" t="s">
        <v>75</v>
      </c>
      <c r="R340" s="48">
        <f>HEX2DEC(RIGHT(Table132321275358[[#This Row],[h2]],8))</f>
        <v>0</v>
      </c>
    </row>
    <row r="341" spans="1:18">
      <c r="A341" s="15" t="str">
        <f t="shared" si="10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8" t="s">
        <v>75</v>
      </c>
      <c r="P341" s="48">
        <f>HEX2DEC(RIGHT(Table132321275358[[#This Row],[h1]],8))</f>
        <v>0</v>
      </c>
      <c r="Q341" s="48" t="s">
        <v>75</v>
      </c>
      <c r="R341" s="48">
        <f>HEX2DEC(RIGHT(Table132321275358[[#This Row],[h2]],8))</f>
        <v>0</v>
      </c>
    </row>
    <row r="342" spans="1:18">
      <c r="A342" s="15" t="str">
        <f t="shared" si="10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8" t="s">
        <v>75</v>
      </c>
      <c r="P342" s="48">
        <f>HEX2DEC(RIGHT(Table132321275358[[#This Row],[h1]],8))</f>
        <v>0</v>
      </c>
      <c r="Q342" s="48" t="s">
        <v>75</v>
      </c>
      <c r="R342" s="48">
        <f>HEX2DEC(RIGHT(Table132321275358[[#This Row],[h2]],8))</f>
        <v>0</v>
      </c>
    </row>
    <row r="343" spans="1:18">
      <c r="A343" s="15" t="str">
        <f t="shared" si="10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8" t="s">
        <v>75</v>
      </c>
      <c r="P343" s="48">
        <f>HEX2DEC(RIGHT(Table132321275358[[#This Row],[h1]],8))</f>
        <v>0</v>
      </c>
      <c r="Q343" s="48" t="s">
        <v>75</v>
      </c>
      <c r="R343" s="48">
        <f>HEX2DEC(RIGHT(Table132321275358[[#This Row],[h2]],8))</f>
        <v>0</v>
      </c>
    </row>
    <row r="344" spans="1:18">
      <c r="A344" s="15" t="str">
        <f t="shared" si="10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8" t="s">
        <v>75</v>
      </c>
      <c r="P344" s="48">
        <f>HEX2DEC(RIGHT(Table132321275358[[#This Row],[h1]],8))</f>
        <v>0</v>
      </c>
      <c r="Q344" s="48" t="s">
        <v>75</v>
      </c>
      <c r="R344" s="48">
        <f>HEX2DEC(RIGHT(Table132321275358[[#This Row],[h2]],8))</f>
        <v>0</v>
      </c>
    </row>
    <row r="345" spans="1:18">
      <c r="A345" s="15" t="str">
        <f t="shared" si="10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8" t="s">
        <v>75</v>
      </c>
      <c r="P345" s="48">
        <f>HEX2DEC(RIGHT(Table132321275358[[#This Row],[h1]],8))</f>
        <v>0</v>
      </c>
      <c r="Q345" s="48" t="s">
        <v>75</v>
      </c>
      <c r="R345" s="48">
        <f>HEX2DEC(RIGHT(Table132321275358[[#This Row],[h2]],8))</f>
        <v>0</v>
      </c>
    </row>
    <row r="346" spans="1:18">
      <c r="A346" s="15" t="str">
        <f t="shared" si="10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8" t="s">
        <v>75</v>
      </c>
      <c r="P346" s="48">
        <f>HEX2DEC(RIGHT(Table132321275358[[#This Row],[h1]],8))</f>
        <v>0</v>
      </c>
      <c r="Q346" s="48" t="s">
        <v>75</v>
      </c>
      <c r="R346" s="48">
        <f>HEX2DEC(RIGHT(Table132321275358[[#This Row],[h2]],8))</f>
        <v>0</v>
      </c>
    </row>
    <row r="347" spans="1:18">
      <c r="A347" s="15" t="str">
        <f t="shared" si="10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8" t="s">
        <v>75</v>
      </c>
      <c r="P347" s="48">
        <f>HEX2DEC(RIGHT(Table132321275358[[#This Row],[h1]],8))</f>
        <v>0</v>
      </c>
      <c r="Q347" s="48" t="s">
        <v>75</v>
      </c>
      <c r="R347" s="48">
        <f>HEX2DEC(RIGHT(Table132321275358[[#This Row],[h2]],8))</f>
        <v>0</v>
      </c>
    </row>
    <row r="348" spans="1:18">
      <c r="A348" s="15" t="str">
        <f t="shared" si="10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8" t="s">
        <v>75</v>
      </c>
      <c r="P348" s="48">
        <f>HEX2DEC(RIGHT(Table132321275358[[#This Row],[h1]],8))</f>
        <v>0</v>
      </c>
      <c r="Q348" s="48" t="s">
        <v>75</v>
      </c>
      <c r="R348" s="48">
        <f>HEX2DEC(RIGHT(Table132321275358[[#This Row],[h2]],8))</f>
        <v>0</v>
      </c>
    </row>
    <row r="349" spans="1:18">
      <c r="A349" s="15" t="str">
        <f t="shared" si="10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8" t="s">
        <v>75</v>
      </c>
      <c r="P349" s="48">
        <f>HEX2DEC(RIGHT(Table132321275358[[#This Row],[h1]],8))</f>
        <v>0</v>
      </c>
      <c r="Q349" s="48" t="s">
        <v>75</v>
      </c>
      <c r="R349" s="48">
        <f>HEX2DEC(RIGHT(Table132321275358[[#This Row],[h2]],8))</f>
        <v>0</v>
      </c>
    </row>
    <row r="350" spans="1:18">
      <c r="A350" s="15" t="str">
        <f t="shared" si="10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8" t="s">
        <v>75</v>
      </c>
      <c r="P350" s="48">
        <f>HEX2DEC(RIGHT(Table132321275358[[#This Row],[h1]],8))</f>
        <v>0</v>
      </c>
      <c r="Q350" s="48" t="s">
        <v>75</v>
      </c>
      <c r="R350" s="48">
        <f>HEX2DEC(RIGHT(Table132321275358[[#This Row],[h2]],8))</f>
        <v>0</v>
      </c>
    </row>
    <row r="351" spans="1:18">
      <c r="A351" s="15" t="str">
        <f t="shared" si="10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8" t="s">
        <v>75</v>
      </c>
      <c r="P351" s="48">
        <f>HEX2DEC(RIGHT(Table132321275358[[#This Row],[h1]],8))</f>
        <v>0</v>
      </c>
      <c r="Q351" s="48" t="s">
        <v>75</v>
      </c>
      <c r="R351" s="48">
        <f>HEX2DEC(RIGHT(Table132321275358[[#This Row],[h2]],8))</f>
        <v>0</v>
      </c>
    </row>
    <row r="352" spans="1:18">
      <c r="A352" s="15" t="str">
        <f t="shared" si="10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8" t="s">
        <v>75</v>
      </c>
      <c r="P352" s="48">
        <f>HEX2DEC(RIGHT(Table132321275358[[#This Row],[h1]],8))</f>
        <v>0</v>
      </c>
      <c r="Q352" s="48" t="s">
        <v>75</v>
      </c>
      <c r="R352" s="48">
        <f>HEX2DEC(RIGHT(Table132321275358[[#This Row],[h2]],8))</f>
        <v>0</v>
      </c>
    </row>
    <row r="353" spans="1:18">
      <c r="A353" s="15" t="str">
        <f t="shared" si="10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8" t="s">
        <v>75</v>
      </c>
      <c r="P353" s="48">
        <f>HEX2DEC(RIGHT(Table132321275358[[#This Row],[h1]],8))</f>
        <v>0</v>
      </c>
      <c r="Q353" s="48" t="s">
        <v>75</v>
      </c>
      <c r="R353" s="48">
        <f>HEX2DEC(RIGHT(Table132321275358[[#This Row],[h2]],8))</f>
        <v>0</v>
      </c>
    </row>
    <row r="354" spans="1:18">
      <c r="A354" s="15" t="str">
        <f t="shared" si="10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8" t="s">
        <v>75</v>
      </c>
      <c r="P354" s="48">
        <f>HEX2DEC(RIGHT(Table132321275358[[#This Row],[h1]],8))</f>
        <v>0</v>
      </c>
      <c r="Q354" s="48" t="s">
        <v>75</v>
      </c>
      <c r="R354" s="48">
        <f>HEX2DEC(RIGHT(Table132321275358[[#This Row],[h2]],8))</f>
        <v>0</v>
      </c>
    </row>
    <row r="355" spans="1:18">
      <c r="A355" s="15" t="str">
        <f t="shared" si="10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8" t="s">
        <v>75</v>
      </c>
      <c r="P355" s="48">
        <f>HEX2DEC(RIGHT(Table132321275358[[#This Row],[h1]],8))</f>
        <v>0</v>
      </c>
      <c r="Q355" s="48" t="s">
        <v>75</v>
      </c>
      <c r="R355" s="48">
        <f>HEX2DEC(RIGHT(Table132321275358[[#This Row],[h2]],8))</f>
        <v>0</v>
      </c>
    </row>
    <row r="356" spans="1:18">
      <c r="A356" s="15" t="str">
        <f t="shared" si="10"/>
        <v>15A</v>
      </c>
      <c r="B356" s="15">
        <v>346</v>
      </c>
      <c r="C356" s="53"/>
      <c r="D356" s="54"/>
      <c r="E356" s="54"/>
      <c r="F356" s="54"/>
      <c r="G356" s="55"/>
      <c r="I356" s="27"/>
      <c r="J356" s="27">
        <v>50000</v>
      </c>
      <c r="L356" s="27"/>
      <c r="M356" s="27">
        <v>50000</v>
      </c>
      <c r="O356" s="48" t="s">
        <v>75</v>
      </c>
      <c r="P356" s="48">
        <f>HEX2DEC(RIGHT(Table132321275358[[#This Row],[h1]],8))</f>
        <v>0</v>
      </c>
      <c r="Q356" s="48" t="s">
        <v>75</v>
      </c>
      <c r="R356" s="48">
        <f>HEX2DEC(RIGHT(Table132321275358[[#This Row],[h2]],8))</f>
        <v>0</v>
      </c>
    </row>
    <row r="357" spans="1:18">
      <c r="A357" s="15" t="str">
        <f t="shared" si="10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8" t="s">
        <v>75</v>
      </c>
      <c r="P357" s="48">
        <f>HEX2DEC(RIGHT(Table132321275358[[#This Row],[h1]],8))</f>
        <v>0</v>
      </c>
      <c r="Q357" s="48" t="s">
        <v>75</v>
      </c>
      <c r="R357" s="48">
        <f>HEX2DEC(RIGHT(Table132321275358[[#This Row],[h2]],8))</f>
        <v>0</v>
      </c>
    </row>
    <row r="358" spans="1:18">
      <c r="A358" s="15" t="str">
        <f t="shared" si="10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8" t="s">
        <v>75</v>
      </c>
      <c r="P358" s="48">
        <f>HEX2DEC(RIGHT(Table132321275358[[#This Row],[h1]],8))</f>
        <v>0</v>
      </c>
      <c r="Q358" s="48" t="s">
        <v>75</v>
      </c>
      <c r="R358" s="48">
        <f>HEX2DEC(RIGHT(Table132321275358[[#This Row],[h2]],8))</f>
        <v>0</v>
      </c>
    </row>
    <row r="359" spans="1:18">
      <c r="A359" s="15" t="str">
        <f t="shared" si="10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8" t="s">
        <v>75</v>
      </c>
      <c r="P359" s="48">
        <f>HEX2DEC(RIGHT(Table132321275358[[#This Row],[h1]],8))</f>
        <v>0</v>
      </c>
      <c r="Q359" s="48" t="s">
        <v>75</v>
      </c>
      <c r="R359" s="48">
        <f>HEX2DEC(RIGHT(Table132321275358[[#This Row],[h2]],8))</f>
        <v>0</v>
      </c>
    </row>
    <row r="360" spans="1:18">
      <c r="A360" s="15" t="str">
        <f t="shared" si="10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8" t="s">
        <v>75</v>
      </c>
      <c r="P360" s="48">
        <f>HEX2DEC(RIGHT(Table132321275358[[#This Row],[h1]],8))</f>
        <v>0</v>
      </c>
      <c r="Q360" s="48" t="s">
        <v>75</v>
      </c>
      <c r="R360" s="48">
        <f>HEX2DEC(RIGHT(Table132321275358[[#This Row],[h2]],8))</f>
        <v>0</v>
      </c>
    </row>
    <row r="361" spans="1:18">
      <c r="A361" s="15" t="str">
        <f t="shared" si="10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8" t="s">
        <v>75</v>
      </c>
      <c r="P361" s="48">
        <f>HEX2DEC(RIGHT(Table132321275358[[#This Row],[h1]],8))</f>
        <v>0</v>
      </c>
      <c r="Q361" s="48" t="s">
        <v>75</v>
      </c>
      <c r="R361" s="48">
        <f>HEX2DEC(RIGHT(Table132321275358[[#This Row],[h2]],8))</f>
        <v>0</v>
      </c>
    </row>
    <row r="362" spans="1:18">
      <c r="A362" s="15" t="str">
        <f t="shared" si="10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8" t="s">
        <v>75</v>
      </c>
      <c r="P362" s="48">
        <f>HEX2DEC(RIGHT(Table132321275358[[#This Row],[h1]],8))</f>
        <v>0</v>
      </c>
      <c r="Q362" s="48" t="s">
        <v>75</v>
      </c>
      <c r="R362" s="48">
        <f>HEX2DEC(RIGHT(Table132321275358[[#This Row],[h2]],8))</f>
        <v>0</v>
      </c>
    </row>
    <row r="363" spans="1:18">
      <c r="A363" s="15" t="str">
        <f t="shared" si="10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8" t="s">
        <v>75</v>
      </c>
      <c r="P363" s="48">
        <f>HEX2DEC(RIGHT(Table132321275358[[#This Row],[h1]],8))</f>
        <v>0</v>
      </c>
      <c r="Q363" s="48" t="s">
        <v>75</v>
      </c>
      <c r="R363" s="48">
        <f>HEX2DEC(RIGHT(Table132321275358[[#This Row],[h2]],8))</f>
        <v>0</v>
      </c>
    </row>
    <row r="364" spans="1:18">
      <c r="A364" s="15" t="str">
        <f t="shared" si="10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8" t="s">
        <v>75</v>
      </c>
      <c r="P364" s="48">
        <f>HEX2DEC(RIGHT(Table132321275358[[#This Row],[h1]],8))</f>
        <v>0</v>
      </c>
      <c r="Q364" s="48" t="s">
        <v>75</v>
      </c>
      <c r="R364" s="48">
        <f>HEX2DEC(RIGHT(Table132321275358[[#This Row],[h2]],8))</f>
        <v>0</v>
      </c>
    </row>
    <row r="365" spans="1:18">
      <c r="A365" s="15" t="str">
        <f t="shared" si="10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8" t="s">
        <v>75</v>
      </c>
      <c r="P365" s="48">
        <f>HEX2DEC(RIGHT(Table132321275358[[#This Row],[h1]],8))</f>
        <v>0</v>
      </c>
      <c r="Q365" s="48" t="s">
        <v>75</v>
      </c>
      <c r="R365" s="48">
        <f>HEX2DEC(RIGHT(Table132321275358[[#This Row],[h2]],8))</f>
        <v>0</v>
      </c>
    </row>
    <row r="366" spans="1:18">
      <c r="A366" s="15" t="str">
        <f t="shared" si="10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8" t="s">
        <v>75</v>
      </c>
      <c r="P366" s="48">
        <f>HEX2DEC(RIGHT(Table132321275358[[#This Row],[h1]],8))</f>
        <v>0</v>
      </c>
      <c r="Q366" s="48" t="s">
        <v>75</v>
      </c>
      <c r="R366" s="48">
        <f>HEX2DEC(RIGHT(Table132321275358[[#This Row],[h2]],8))</f>
        <v>0</v>
      </c>
    </row>
    <row r="367" spans="1:18">
      <c r="A367" s="15" t="str">
        <f t="shared" si="10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8" t="s">
        <v>75</v>
      </c>
      <c r="P367" s="48">
        <f>HEX2DEC(RIGHT(Table132321275358[[#This Row],[h1]],8))</f>
        <v>0</v>
      </c>
      <c r="Q367" s="48" t="s">
        <v>75</v>
      </c>
      <c r="R367" s="48">
        <f>HEX2DEC(RIGHT(Table132321275358[[#This Row],[h2]],8))</f>
        <v>0</v>
      </c>
    </row>
    <row r="368" spans="1:18">
      <c r="A368" s="15" t="str">
        <f t="shared" si="10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8" t="s">
        <v>75</v>
      </c>
      <c r="P368" s="48">
        <f>HEX2DEC(RIGHT(Table132321275358[[#This Row],[h1]],8))</f>
        <v>0</v>
      </c>
      <c r="Q368" s="48" t="s">
        <v>75</v>
      </c>
      <c r="R368" s="48">
        <f>HEX2DEC(RIGHT(Table132321275358[[#This Row],[h2]],8))</f>
        <v>0</v>
      </c>
    </row>
    <row r="369" spans="1:18">
      <c r="A369" s="15" t="str">
        <f t="shared" si="10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8" t="s">
        <v>75</v>
      </c>
      <c r="P369" s="48">
        <f>HEX2DEC(RIGHT(Table132321275358[[#This Row],[h1]],8))</f>
        <v>0</v>
      </c>
      <c r="Q369" s="48" t="s">
        <v>75</v>
      </c>
      <c r="R369" s="48">
        <f>HEX2DEC(RIGHT(Table132321275358[[#This Row],[h2]],8))</f>
        <v>0</v>
      </c>
    </row>
    <row r="370" spans="1:18">
      <c r="A370" s="15" t="str">
        <f t="shared" si="10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8" t="s">
        <v>75</v>
      </c>
      <c r="P370" s="48">
        <f>HEX2DEC(RIGHT(Table132321275358[[#This Row],[h1]],8))</f>
        <v>0</v>
      </c>
      <c r="Q370" s="48" t="s">
        <v>75</v>
      </c>
      <c r="R370" s="48">
        <f>HEX2DEC(RIGHT(Table132321275358[[#This Row],[h2]],8))</f>
        <v>0</v>
      </c>
    </row>
    <row r="371" spans="1:18">
      <c r="A371" s="15" t="str">
        <f t="shared" si="10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8" t="s">
        <v>75</v>
      </c>
      <c r="P371" s="48">
        <f>HEX2DEC(RIGHT(Table132321275358[[#This Row],[h1]],8))</f>
        <v>0</v>
      </c>
      <c r="Q371" s="48" t="s">
        <v>75</v>
      </c>
      <c r="R371" s="48">
        <f>HEX2DEC(RIGHT(Table132321275358[[#This Row],[h2]],8))</f>
        <v>0</v>
      </c>
    </row>
    <row r="372" spans="1:18">
      <c r="A372" s="15" t="str">
        <f t="shared" si="10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8" t="s">
        <v>75</v>
      </c>
      <c r="P372" s="48">
        <f>HEX2DEC(RIGHT(Table132321275358[[#This Row],[h1]],8))</f>
        <v>0</v>
      </c>
      <c r="Q372" s="48" t="s">
        <v>75</v>
      </c>
      <c r="R372" s="48">
        <f>HEX2DEC(RIGHT(Table132321275358[[#This Row],[h2]],8))</f>
        <v>0</v>
      </c>
    </row>
    <row r="373" spans="1:18">
      <c r="A373" s="15" t="str">
        <f t="shared" si="10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8" t="s">
        <v>75</v>
      </c>
      <c r="P373" s="48">
        <f>HEX2DEC(RIGHT(Table132321275358[[#This Row],[h1]],8))</f>
        <v>0</v>
      </c>
      <c r="Q373" s="48" t="s">
        <v>75</v>
      </c>
      <c r="R373" s="48">
        <f>HEX2DEC(RIGHT(Table132321275358[[#This Row],[h2]],8))</f>
        <v>0</v>
      </c>
    </row>
    <row r="374" spans="1:18">
      <c r="A374" s="15" t="str">
        <f t="shared" si="10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8" t="s">
        <v>75</v>
      </c>
      <c r="P374" s="48">
        <f>HEX2DEC(RIGHT(Table132321275358[[#This Row],[h1]],8))</f>
        <v>0</v>
      </c>
      <c r="Q374" s="48" t="s">
        <v>75</v>
      </c>
      <c r="R374" s="48">
        <f>HEX2DEC(RIGHT(Table132321275358[[#This Row],[h2]],8))</f>
        <v>0</v>
      </c>
    </row>
    <row r="375" spans="1:18">
      <c r="A375" s="15" t="str">
        <f t="shared" si="10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8" t="s">
        <v>75</v>
      </c>
      <c r="P375" s="48">
        <f>HEX2DEC(RIGHT(Table132321275358[[#This Row],[h1]],8))</f>
        <v>0</v>
      </c>
      <c r="Q375" s="48" t="s">
        <v>75</v>
      </c>
      <c r="R375" s="48">
        <f>HEX2DEC(RIGHT(Table132321275358[[#This Row],[h2]],8))</f>
        <v>0</v>
      </c>
    </row>
    <row r="376" spans="1:18">
      <c r="A376" s="15" t="str">
        <f t="shared" si="10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8" t="s">
        <v>75</v>
      </c>
      <c r="P376" s="48">
        <f>HEX2DEC(RIGHT(Table132321275358[[#This Row],[h1]],8))</f>
        <v>0</v>
      </c>
      <c r="Q376" s="48" t="s">
        <v>75</v>
      </c>
      <c r="R376" s="48">
        <f>HEX2DEC(RIGHT(Table132321275358[[#This Row],[h2]],8))</f>
        <v>0</v>
      </c>
    </row>
    <row r="377" spans="1:18">
      <c r="A377" s="15" t="str">
        <f t="shared" si="10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8" t="s">
        <v>75</v>
      </c>
      <c r="P377" s="48">
        <f>HEX2DEC(RIGHT(Table132321275358[[#This Row],[h1]],8))</f>
        <v>0</v>
      </c>
      <c r="Q377" s="48" t="s">
        <v>75</v>
      </c>
      <c r="R377" s="48">
        <f>HEX2DEC(RIGHT(Table132321275358[[#This Row],[h2]],8))</f>
        <v>0</v>
      </c>
    </row>
    <row r="378" spans="1:18">
      <c r="A378" s="15" t="str">
        <f t="shared" si="10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8" t="s">
        <v>75</v>
      </c>
      <c r="P378" s="48">
        <f>HEX2DEC(RIGHT(Table132321275358[[#This Row],[h1]],8))</f>
        <v>0</v>
      </c>
      <c r="Q378" s="48" t="s">
        <v>75</v>
      </c>
      <c r="R378" s="48">
        <f>HEX2DEC(RIGHT(Table132321275358[[#This Row],[h2]],8))</f>
        <v>0</v>
      </c>
    </row>
    <row r="379" spans="1:18">
      <c r="A379" s="15" t="str">
        <f t="shared" si="10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8" t="s">
        <v>75</v>
      </c>
      <c r="P379" s="48">
        <f>HEX2DEC(RIGHT(Table132321275358[[#This Row],[h1]],8))</f>
        <v>0</v>
      </c>
      <c r="Q379" s="48" t="s">
        <v>75</v>
      </c>
      <c r="R379" s="48">
        <f>HEX2DEC(RIGHT(Table132321275358[[#This Row],[h2]],8))</f>
        <v>0</v>
      </c>
    </row>
    <row r="380" spans="1:18">
      <c r="A380" s="15" t="str">
        <f t="shared" si="10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8" t="s">
        <v>75</v>
      </c>
      <c r="P380" s="48">
        <f>HEX2DEC(RIGHT(Table132321275358[[#This Row],[h1]],8))</f>
        <v>0</v>
      </c>
      <c r="Q380" s="48" t="s">
        <v>75</v>
      </c>
      <c r="R380" s="48">
        <f>HEX2DEC(RIGHT(Table132321275358[[#This Row],[h2]],8))</f>
        <v>0</v>
      </c>
    </row>
    <row r="381" spans="1:18">
      <c r="A381" s="15" t="str">
        <f t="shared" si="10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8" t="s">
        <v>75</v>
      </c>
      <c r="P381" s="48">
        <f>HEX2DEC(RIGHT(Table132321275358[[#This Row],[h1]],8))</f>
        <v>0</v>
      </c>
      <c r="Q381" s="48" t="s">
        <v>75</v>
      </c>
      <c r="R381" s="48">
        <f>HEX2DEC(RIGHT(Table132321275358[[#This Row],[h2]],8))</f>
        <v>0</v>
      </c>
    </row>
    <row r="382" spans="1:18">
      <c r="A382" s="15" t="str">
        <f t="shared" si="10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8" t="s">
        <v>75</v>
      </c>
      <c r="P382" s="48">
        <f>HEX2DEC(RIGHT(Table132321275358[[#This Row],[h1]],8))</f>
        <v>0</v>
      </c>
      <c r="Q382" s="48" t="s">
        <v>75</v>
      </c>
      <c r="R382" s="48">
        <f>HEX2DEC(RIGHT(Table132321275358[[#This Row],[h2]],8))</f>
        <v>0</v>
      </c>
    </row>
    <row r="383" spans="1:18">
      <c r="A383" s="15" t="str">
        <f t="shared" si="10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8" t="s">
        <v>75</v>
      </c>
      <c r="P383" s="48">
        <f>HEX2DEC(RIGHT(Table132321275358[[#This Row],[h1]],8))</f>
        <v>0</v>
      </c>
      <c r="Q383" s="48" t="s">
        <v>75</v>
      </c>
      <c r="R383" s="48">
        <f>HEX2DEC(RIGHT(Table132321275358[[#This Row],[h2]],8))</f>
        <v>0</v>
      </c>
    </row>
    <row r="384" spans="1:18">
      <c r="A384" s="15" t="str">
        <f t="shared" si="10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8" t="s">
        <v>75</v>
      </c>
      <c r="P384" s="48">
        <f>HEX2DEC(RIGHT(Table132321275358[[#This Row],[h1]],8))</f>
        <v>0</v>
      </c>
      <c r="Q384" s="48" t="s">
        <v>75</v>
      </c>
      <c r="R384" s="48">
        <f>HEX2DEC(RIGHT(Table132321275358[[#This Row],[h2]],8))</f>
        <v>0</v>
      </c>
    </row>
    <row r="385" spans="1:18">
      <c r="A385" s="15" t="str">
        <f t="shared" si="10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8" t="s">
        <v>75</v>
      </c>
      <c r="P385" s="48">
        <f>HEX2DEC(RIGHT(Table132321275358[[#This Row],[h1]],8))</f>
        <v>0</v>
      </c>
      <c r="Q385" s="48" t="s">
        <v>75</v>
      </c>
      <c r="R385" s="48">
        <f>HEX2DEC(RIGHT(Table132321275358[[#This Row],[h2]],8))</f>
        <v>0</v>
      </c>
    </row>
    <row r="386" spans="1:18">
      <c r="A386" s="15" t="str">
        <f t="shared" si="10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8" t="s">
        <v>75</v>
      </c>
      <c r="P386" s="48">
        <f>HEX2DEC(RIGHT(Table132321275358[[#This Row],[h1]],8))</f>
        <v>0</v>
      </c>
      <c r="Q386" s="48" t="s">
        <v>75</v>
      </c>
      <c r="R386" s="48">
        <f>HEX2DEC(RIGHT(Table132321275358[[#This Row],[h2]],8))</f>
        <v>0</v>
      </c>
    </row>
    <row r="387" spans="1:18">
      <c r="A387" s="15" t="str">
        <f t="shared" si="10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8" t="s">
        <v>75</v>
      </c>
      <c r="P387" s="48">
        <f>HEX2DEC(RIGHT(Table132321275358[[#This Row],[h1]],8))</f>
        <v>0</v>
      </c>
      <c r="Q387" s="48" t="s">
        <v>75</v>
      </c>
      <c r="R387" s="48">
        <f>HEX2DEC(RIGHT(Table132321275358[[#This Row],[h2]],8))</f>
        <v>0</v>
      </c>
    </row>
    <row r="388" spans="1:18">
      <c r="A388" s="15" t="str">
        <f t="shared" si="10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8" t="s">
        <v>75</v>
      </c>
      <c r="P388" s="48">
        <f>HEX2DEC(RIGHT(Table132321275358[[#This Row],[h1]],8))</f>
        <v>0</v>
      </c>
      <c r="Q388" s="48" t="s">
        <v>75</v>
      </c>
      <c r="R388" s="48">
        <f>HEX2DEC(RIGHT(Table132321275358[[#This Row],[h2]],8))</f>
        <v>0</v>
      </c>
    </row>
    <row r="389" spans="1:18">
      <c r="A389" s="15" t="str">
        <f t="shared" si="10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8" t="s">
        <v>75</v>
      </c>
      <c r="P389" s="48">
        <f>HEX2DEC(RIGHT(Table132321275358[[#This Row],[h1]],8))</f>
        <v>0</v>
      </c>
      <c r="Q389" s="48" t="s">
        <v>75</v>
      </c>
      <c r="R389" s="48">
        <f>HEX2DEC(RIGHT(Table132321275358[[#This Row],[h2]],8))</f>
        <v>0</v>
      </c>
    </row>
    <row r="390" spans="1:18">
      <c r="A390" s="15" t="str">
        <f t="shared" si="10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8" t="s">
        <v>75</v>
      </c>
      <c r="P390" s="48">
        <f>HEX2DEC(RIGHT(Table132321275358[[#This Row],[h1]],8))</f>
        <v>0</v>
      </c>
      <c r="Q390" s="48" t="s">
        <v>75</v>
      </c>
      <c r="R390" s="48">
        <f>HEX2DEC(RIGHT(Table132321275358[[#This Row],[h2]],8))</f>
        <v>0</v>
      </c>
    </row>
    <row r="391" spans="1:18">
      <c r="A391" s="15" t="str">
        <f t="shared" si="10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8" t="s">
        <v>75</v>
      </c>
      <c r="P391" s="48">
        <f>HEX2DEC(RIGHT(Table132321275358[[#This Row],[h1]],8))</f>
        <v>0</v>
      </c>
      <c r="Q391" s="48" t="s">
        <v>75</v>
      </c>
      <c r="R391" s="48">
        <f>HEX2DEC(RIGHT(Table132321275358[[#This Row],[h2]],8))</f>
        <v>0</v>
      </c>
    </row>
    <row r="392" spans="1:18">
      <c r="A392" s="15" t="str">
        <f t="shared" si="10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8" t="s">
        <v>75</v>
      </c>
      <c r="P392" s="48">
        <f>HEX2DEC(RIGHT(Table132321275358[[#This Row],[h1]],8))</f>
        <v>0</v>
      </c>
      <c r="Q392" s="48" t="s">
        <v>75</v>
      </c>
      <c r="R392" s="48">
        <f>HEX2DEC(RIGHT(Table132321275358[[#This Row],[h2]],8))</f>
        <v>0</v>
      </c>
    </row>
    <row r="393" spans="1:18">
      <c r="A393" s="15" t="str">
        <f t="shared" si="10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8" t="s">
        <v>75</v>
      </c>
      <c r="P393" s="48">
        <f>HEX2DEC(RIGHT(Table132321275358[[#This Row],[h1]],8))</f>
        <v>0</v>
      </c>
      <c r="Q393" s="48" t="s">
        <v>75</v>
      </c>
      <c r="R393" s="48">
        <f>HEX2DEC(RIGHT(Table132321275358[[#This Row],[h2]],8))</f>
        <v>0</v>
      </c>
    </row>
    <row r="394" spans="1:18">
      <c r="A394" s="15" t="str">
        <f t="shared" si="10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8" t="s">
        <v>75</v>
      </c>
      <c r="P394" s="48">
        <f>HEX2DEC(RIGHT(Table132321275358[[#This Row],[h1]],8))</f>
        <v>0</v>
      </c>
      <c r="Q394" s="48" t="s">
        <v>75</v>
      </c>
      <c r="R394" s="48">
        <f>HEX2DEC(RIGHT(Table132321275358[[#This Row],[h2]],8))</f>
        <v>0</v>
      </c>
    </row>
    <row r="395" spans="1:18">
      <c r="A395" s="15" t="str">
        <f t="shared" ref="A395:A458" si="11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8" t="s">
        <v>75</v>
      </c>
      <c r="P395" s="48">
        <f>HEX2DEC(RIGHT(Table132321275358[[#This Row],[h1]],8))</f>
        <v>0</v>
      </c>
      <c r="Q395" s="48" t="s">
        <v>75</v>
      </c>
      <c r="R395" s="48">
        <f>HEX2DEC(RIGHT(Table132321275358[[#This Row],[h2]],8))</f>
        <v>0</v>
      </c>
    </row>
    <row r="396" spans="1:18">
      <c r="A396" s="15" t="str">
        <f t="shared" si="11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8" t="s">
        <v>75</v>
      </c>
      <c r="P396" s="48">
        <f>HEX2DEC(RIGHT(Table132321275358[[#This Row],[h1]],8))</f>
        <v>0</v>
      </c>
      <c r="Q396" s="48" t="s">
        <v>75</v>
      </c>
      <c r="R396" s="48">
        <f>HEX2DEC(RIGHT(Table132321275358[[#This Row],[h2]],8))</f>
        <v>0</v>
      </c>
    </row>
    <row r="397" spans="1:18">
      <c r="A397" s="15" t="str">
        <f t="shared" si="11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8" t="s">
        <v>75</v>
      </c>
      <c r="P397" s="48">
        <f>HEX2DEC(RIGHT(Table132321275358[[#This Row],[h1]],8))</f>
        <v>0</v>
      </c>
      <c r="Q397" s="48" t="s">
        <v>75</v>
      </c>
      <c r="R397" s="48">
        <f>HEX2DEC(RIGHT(Table132321275358[[#This Row],[h2]],8))</f>
        <v>0</v>
      </c>
    </row>
    <row r="398" spans="1:18">
      <c r="A398" s="15" t="str">
        <f t="shared" si="11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8" t="s">
        <v>75</v>
      </c>
      <c r="P398" s="48">
        <f>HEX2DEC(RIGHT(Table132321275358[[#This Row],[h1]],8))</f>
        <v>0</v>
      </c>
      <c r="Q398" s="48" t="s">
        <v>75</v>
      </c>
      <c r="R398" s="48">
        <f>HEX2DEC(RIGHT(Table132321275358[[#This Row],[h2]],8))</f>
        <v>0</v>
      </c>
    </row>
    <row r="399" spans="1:18">
      <c r="A399" s="15" t="str">
        <f t="shared" si="11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8" t="s">
        <v>75</v>
      </c>
      <c r="P399" s="48">
        <f>HEX2DEC(RIGHT(Table132321275358[[#This Row],[h1]],8))</f>
        <v>0</v>
      </c>
      <c r="Q399" s="48" t="s">
        <v>75</v>
      </c>
      <c r="R399" s="48">
        <f>HEX2DEC(RIGHT(Table132321275358[[#This Row],[h2]],8))</f>
        <v>0</v>
      </c>
    </row>
    <row r="400" spans="1:18">
      <c r="A400" s="15" t="str">
        <f t="shared" si="11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8" t="s">
        <v>75</v>
      </c>
      <c r="P400" s="48">
        <f>HEX2DEC(RIGHT(Table132321275358[[#This Row],[h1]],8))</f>
        <v>0</v>
      </c>
      <c r="Q400" s="48" t="s">
        <v>75</v>
      </c>
      <c r="R400" s="48">
        <f>HEX2DEC(RIGHT(Table132321275358[[#This Row],[h2]],8))</f>
        <v>0</v>
      </c>
    </row>
    <row r="401" spans="1:18">
      <c r="A401" s="15" t="str">
        <f t="shared" si="11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8" t="s">
        <v>75</v>
      </c>
      <c r="P401" s="48">
        <f>HEX2DEC(RIGHT(Table132321275358[[#This Row],[h1]],8))</f>
        <v>0</v>
      </c>
      <c r="Q401" s="48" t="s">
        <v>75</v>
      </c>
      <c r="R401" s="48">
        <f>HEX2DEC(RIGHT(Table132321275358[[#This Row],[h2]],8))</f>
        <v>0</v>
      </c>
    </row>
    <row r="402" spans="1:18">
      <c r="A402" s="15" t="str">
        <f t="shared" si="11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8" t="s">
        <v>75</v>
      </c>
      <c r="P402" s="48">
        <f>HEX2DEC(RIGHT(Table132321275358[[#This Row],[h1]],8))</f>
        <v>0</v>
      </c>
      <c r="Q402" s="48" t="s">
        <v>75</v>
      </c>
      <c r="R402" s="48">
        <f>HEX2DEC(RIGHT(Table132321275358[[#This Row],[h2]],8))</f>
        <v>0</v>
      </c>
    </row>
    <row r="403" spans="1:18">
      <c r="A403" s="15" t="str">
        <f t="shared" si="11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8" t="s">
        <v>75</v>
      </c>
      <c r="P403" s="48">
        <f>HEX2DEC(RIGHT(Table132321275358[[#This Row],[h1]],8))</f>
        <v>0</v>
      </c>
      <c r="Q403" s="48" t="s">
        <v>75</v>
      </c>
      <c r="R403" s="48">
        <f>HEX2DEC(RIGHT(Table132321275358[[#This Row],[h2]],8))</f>
        <v>0</v>
      </c>
    </row>
    <row r="404" spans="1:18">
      <c r="A404" s="15" t="str">
        <f t="shared" si="11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8" t="s">
        <v>75</v>
      </c>
      <c r="P404" s="48">
        <f>HEX2DEC(RIGHT(Table132321275358[[#This Row],[h1]],8))</f>
        <v>0</v>
      </c>
      <c r="Q404" s="48" t="s">
        <v>75</v>
      </c>
      <c r="R404" s="48">
        <f>HEX2DEC(RIGHT(Table132321275358[[#This Row],[h2]],8))</f>
        <v>0</v>
      </c>
    </row>
    <row r="405" spans="1:18">
      <c r="A405" s="15" t="str">
        <f t="shared" si="11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8" t="s">
        <v>75</v>
      </c>
      <c r="P405" s="48">
        <f>HEX2DEC(RIGHT(Table132321275358[[#This Row],[h1]],8))</f>
        <v>0</v>
      </c>
      <c r="Q405" s="48" t="s">
        <v>75</v>
      </c>
      <c r="R405" s="48">
        <f>HEX2DEC(RIGHT(Table132321275358[[#This Row],[h2]],8))</f>
        <v>0</v>
      </c>
    </row>
    <row r="406" spans="1:18">
      <c r="A406" s="15" t="str">
        <f t="shared" si="11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8" t="s">
        <v>75</v>
      </c>
      <c r="P406" s="48">
        <f>HEX2DEC(RIGHT(Table132321275358[[#This Row],[h1]],8))</f>
        <v>0</v>
      </c>
      <c r="Q406" s="48" t="s">
        <v>75</v>
      </c>
      <c r="R406" s="48">
        <f>HEX2DEC(RIGHT(Table132321275358[[#This Row],[h2]],8))</f>
        <v>0</v>
      </c>
    </row>
    <row r="407" spans="1:18">
      <c r="A407" s="15" t="str">
        <f t="shared" si="11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8" t="s">
        <v>75</v>
      </c>
      <c r="P407" s="48">
        <f>HEX2DEC(RIGHT(Table132321275358[[#This Row],[h1]],8))</f>
        <v>0</v>
      </c>
      <c r="Q407" s="48" t="s">
        <v>75</v>
      </c>
      <c r="R407" s="48">
        <f>HEX2DEC(RIGHT(Table132321275358[[#This Row],[h2]],8))</f>
        <v>0</v>
      </c>
    </row>
    <row r="408" spans="1:18">
      <c r="A408" s="15" t="str">
        <f t="shared" si="11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8" t="s">
        <v>75</v>
      </c>
      <c r="P408" s="48">
        <f>HEX2DEC(RIGHT(Table132321275358[[#This Row],[h1]],8))</f>
        <v>0</v>
      </c>
      <c r="Q408" s="48" t="s">
        <v>75</v>
      </c>
      <c r="R408" s="48">
        <f>HEX2DEC(RIGHT(Table132321275358[[#This Row],[h2]],8))</f>
        <v>0</v>
      </c>
    </row>
    <row r="409" spans="1:18">
      <c r="A409" s="15" t="str">
        <f t="shared" si="11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8" t="s">
        <v>75</v>
      </c>
      <c r="P409" s="48">
        <f>HEX2DEC(RIGHT(Table132321275358[[#This Row],[h1]],8))</f>
        <v>0</v>
      </c>
      <c r="Q409" s="48" t="s">
        <v>75</v>
      </c>
      <c r="R409" s="48">
        <f>HEX2DEC(RIGHT(Table132321275358[[#This Row],[h2]],8))</f>
        <v>0</v>
      </c>
    </row>
    <row r="410" spans="1:18">
      <c r="A410" s="15" t="str">
        <f t="shared" si="11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8" t="s">
        <v>75</v>
      </c>
      <c r="P410" s="48">
        <f>HEX2DEC(RIGHT(Table132321275358[[#This Row],[h1]],8))</f>
        <v>0</v>
      </c>
      <c r="Q410" s="48" t="s">
        <v>75</v>
      </c>
      <c r="R410" s="48">
        <f>HEX2DEC(RIGHT(Table132321275358[[#This Row],[h2]],8))</f>
        <v>0</v>
      </c>
    </row>
    <row r="411" spans="1:18">
      <c r="A411" s="15" t="str">
        <f t="shared" si="11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8" t="s">
        <v>75</v>
      </c>
      <c r="P411" s="48">
        <f>HEX2DEC(RIGHT(Table132321275358[[#This Row],[h1]],8))</f>
        <v>0</v>
      </c>
      <c r="Q411" s="48" t="s">
        <v>75</v>
      </c>
      <c r="R411" s="48">
        <f>HEX2DEC(RIGHT(Table132321275358[[#This Row],[h2]],8))</f>
        <v>0</v>
      </c>
    </row>
    <row r="412" spans="1:18">
      <c r="A412" s="15" t="str">
        <f t="shared" si="11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8" t="s">
        <v>75</v>
      </c>
      <c r="P412" s="48">
        <f>HEX2DEC(RIGHT(Table132321275358[[#This Row],[h1]],8))</f>
        <v>0</v>
      </c>
      <c r="Q412" s="48" t="s">
        <v>75</v>
      </c>
      <c r="R412" s="48">
        <f>HEX2DEC(RIGHT(Table132321275358[[#This Row],[h2]],8))</f>
        <v>0</v>
      </c>
    </row>
    <row r="413" spans="1:18">
      <c r="A413" s="15" t="str">
        <f t="shared" si="11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8" t="s">
        <v>75</v>
      </c>
      <c r="P413" s="48">
        <f>HEX2DEC(RIGHT(Table132321275358[[#This Row],[h1]],8))</f>
        <v>0</v>
      </c>
      <c r="Q413" s="48" t="s">
        <v>75</v>
      </c>
      <c r="R413" s="48">
        <f>HEX2DEC(RIGHT(Table132321275358[[#This Row],[h2]],8))</f>
        <v>0</v>
      </c>
    </row>
    <row r="414" spans="1:18">
      <c r="A414" s="15" t="str">
        <f t="shared" si="11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8" t="s">
        <v>75</v>
      </c>
      <c r="P414" s="48">
        <f>HEX2DEC(RIGHT(Table132321275358[[#This Row],[h1]],8))</f>
        <v>0</v>
      </c>
      <c r="Q414" s="48" t="s">
        <v>75</v>
      </c>
      <c r="R414" s="48">
        <f>HEX2DEC(RIGHT(Table132321275358[[#This Row],[h2]],8))</f>
        <v>0</v>
      </c>
    </row>
    <row r="415" spans="1:18">
      <c r="A415" s="15" t="str">
        <f t="shared" si="11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8" t="s">
        <v>75</v>
      </c>
      <c r="P415" s="48">
        <f>HEX2DEC(RIGHT(Table132321275358[[#This Row],[h1]],8))</f>
        <v>0</v>
      </c>
      <c r="Q415" s="48" t="s">
        <v>75</v>
      </c>
      <c r="R415" s="48">
        <f>HEX2DEC(RIGHT(Table132321275358[[#This Row],[h2]],8))</f>
        <v>0</v>
      </c>
    </row>
    <row r="416" spans="1:18">
      <c r="A416" s="15" t="str">
        <f t="shared" si="11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8" t="s">
        <v>75</v>
      </c>
      <c r="P416" s="48">
        <f>HEX2DEC(RIGHT(Table132321275358[[#This Row],[h1]],8))</f>
        <v>0</v>
      </c>
      <c r="Q416" s="48" t="s">
        <v>75</v>
      </c>
      <c r="R416" s="48">
        <f>HEX2DEC(RIGHT(Table132321275358[[#This Row],[h2]],8))</f>
        <v>0</v>
      </c>
    </row>
    <row r="417" spans="1:18">
      <c r="A417" s="15" t="str">
        <f t="shared" si="11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8" t="s">
        <v>75</v>
      </c>
      <c r="P417" s="48">
        <f>HEX2DEC(RIGHT(Table132321275358[[#This Row],[h1]],8))</f>
        <v>0</v>
      </c>
      <c r="Q417" s="48" t="s">
        <v>75</v>
      </c>
      <c r="R417" s="48">
        <f>HEX2DEC(RIGHT(Table132321275358[[#This Row],[h2]],8))</f>
        <v>0</v>
      </c>
    </row>
    <row r="418" spans="1:18">
      <c r="A418" s="15" t="str">
        <f t="shared" si="11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8" t="s">
        <v>75</v>
      </c>
      <c r="P418" s="48">
        <f>HEX2DEC(RIGHT(Table132321275358[[#This Row],[h1]],8))</f>
        <v>0</v>
      </c>
      <c r="Q418" s="48" t="s">
        <v>75</v>
      </c>
      <c r="R418" s="48">
        <f>HEX2DEC(RIGHT(Table132321275358[[#This Row],[h2]],8))</f>
        <v>0</v>
      </c>
    </row>
    <row r="419" spans="1:18">
      <c r="A419" s="15" t="str">
        <f t="shared" si="11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8" t="s">
        <v>75</v>
      </c>
      <c r="P419" s="48">
        <f>HEX2DEC(RIGHT(Table132321275358[[#This Row],[h1]],8))</f>
        <v>0</v>
      </c>
      <c r="Q419" s="48" t="s">
        <v>75</v>
      </c>
      <c r="R419" s="48">
        <f>HEX2DEC(RIGHT(Table132321275358[[#This Row],[h2]],8))</f>
        <v>0</v>
      </c>
    </row>
    <row r="420" spans="1:18">
      <c r="A420" s="15" t="str">
        <f t="shared" si="11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8" t="s">
        <v>75</v>
      </c>
      <c r="P420" s="48">
        <f>HEX2DEC(RIGHT(Table132321275358[[#This Row],[h1]],8))</f>
        <v>0</v>
      </c>
      <c r="Q420" s="48" t="s">
        <v>75</v>
      </c>
      <c r="R420" s="48">
        <f>HEX2DEC(RIGHT(Table132321275358[[#This Row],[h2]],8))</f>
        <v>0</v>
      </c>
    </row>
    <row r="421" spans="1:18">
      <c r="A421" s="15" t="str">
        <f t="shared" si="11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8" t="s">
        <v>75</v>
      </c>
      <c r="P421" s="48">
        <f>HEX2DEC(RIGHT(Table132321275358[[#This Row],[h1]],8))</f>
        <v>0</v>
      </c>
      <c r="Q421" s="48" t="s">
        <v>75</v>
      </c>
      <c r="R421" s="48">
        <f>HEX2DEC(RIGHT(Table132321275358[[#This Row],[h2]],8))</f>
        <v>0</v>
      </c>
    </row>
    <row r="422" spans="1:18">
      <c r="A422" s="15" t="str">
        <f t="shared" si="11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8" t="s">
        <v>75</v>
      </c>
      <c r="P422" s="48">
        <f>HEX2DEC(RIGHT(Table132321275358[[#This Row],[h1]],8))</f>
        <v>0</v>
      </c>
      <c r="Q422" s="48" t="s">
        <v>75</v>
      </c>
      <c r="R422" s="48">
        <f>HEX2DEC(RIGHT(Table132321275358[[#This Row],[h2]],8))</f>
        <v>0</v>
      </c>
    </row>
    <row r="423" spans="1:18">
      <c r="A423" s="15" t="str">
        <f t="shared" si="11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8" t="s">
        <v>75</v>
      </c>
      <c r="P423" s="48">
        <f>HEX2DEC(RIGHT(Table132321275358[[#This Row],[h1]],8))</f>
        <v>0</v>
      </c>
      <c r="Q423" s="48" t="s">
        <v>75</v>
      </c>
      <c r="R423" s="48">
        <f>HEX2DEC(RIGHT(Table132321275358[[#This Row],[h2]],8))</f>
        <v>0</v>
      </c>
    </row>
    <row r="424" spans="1:18">
      <c r="A424" s="15" t="str">
        <f t="shared" si="11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8" t="s">
        <v>75</v>
      </c>
      <c r="P424" s="48">
        <f>HEX2DEC(RIGHT(Table132321275358[[#This Row],[h1]],8))</f>
        <v>0</v>
      </c>
      <c r="Q424" s="48" t="s">
        <v>75</v>
      </c>
      <c r="R424" s="48">
        <f>HEX2DEC(RIGHT(Table132321275358[[#This Row],[h2]],8))</f>
        <v>0</v>
      </c>
    </row>
    <row r="425" spans="1:18">
      <c r="A425" s="15" t="str">
        <f t="shared" si="11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8" t="s">
        <v>75</v>
      </c>
      <c r="P425" s="48">
        <f>HEX2DEC(RIGHT(Table132321275358[[#This Row],[h1]],8))</f>
        <v>0</v>
      </c>
      <c r="Q425" s="48" t="s">
        <v>75</v>
      </c>
      <c r="R425" s="48">
        <f>HEX2DEC(RIGHT(Table132321275358[[#This Row],[h2]],8))</f>
        <v>0</v>
      </c>
    </row>
    <row r="426" spans="1:18">
      <c r="A426" s="15" t="str">
        <f t="shared" si="11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8" t="s">
        <v>75</v>
      </c>
      <c r="P426" s="48">
        <f>HEX2DEC(RIGHT(Table132321275358[[#This Row],[h1]],8))</f>
        <v>0</v>
      </c>
      <c r="Q426" s="48" t="s">
        <v>75</v>
      </c>
      <c r="R426" s="48">
        <f>HEX2DEC(RIGHT(Table132321275358[[#This Row],[h2]],8))</f>
        <v>0</v>
      </c>
    </row>
    <row r="427" spans="1:18">
      <c r="A427" s="15" t="str">
        <f t="shared" si="11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8" t="s">
        <v>75</v>
      </c>
      <c r="P427" s="48">
        <f>HEX2DEC(RIGHT(Table132321275358[[#This Row],[h1]],8))</f>
        <v>0</v>
      </c>
      <c r="Q427" s="48" t="s">
        <v>75</v>
      </c>
      <c r="R427" s="48">
        <f>HEX2DEC(RIGHT(Table132321275358[[#This Row],[h2]],8))</f>
        <v>0</v>
      </c>
    </row>
    <row r="428" spans="1:18">
      <c r="A428" s="15" t="str">
        <f t="shared" si="11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8" t="s">
        <v>75</v>
      </c>
      <c r="P428" s="48">
        <f>HEX2DEC(RIGHT(Table132321275358[[#This Row],[h1]],8))</f>
        <v>0</v>
      </c>
      <c r="Q428" s="48" t="s">
        <v>75</v>
      </c>
      <c r="R428" s="48">
        <f>HEX2DEC(RIGHT(Table132321275358[[#This Row],[h2]],8))</f>
        <v>0</v>
      </c>
    </row>
    <row r="429" spans="1:18">
      <c r="A429" s="15" t="str">
        <f t="shared" si="11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8" t="s">
        <v>75</v>
      </c>
      <c r="P429" s="48">
        <f>HEX2DEC(RIGHT(Table132321275358[[#This Row],[h1]],8))</f>
        <v>0</v>
      </c>
      <c r="Q429" s="48" t="s">
        <v>75</v>
      </c>
      <c r="R429" s="48">
        <f>HEX2DEC(RIGHT(Table132321275358[[#This Row],[h2]],8))</f>
        <v>0</v>
      </c>
    </row>
    <row r="430" spans="1:18">
      <c r="A430" s="15" t="str">
        <f t="shared" si="11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8" t="s">
        <v>75</v>
      </c>
      <c r="P430" s="48">
        <f>HEX2DEC(RIGHT(Table132321275358[[#This Row],[h1]],8))</f>
        <v>0</v>
      </c>
      <c r="Q430" s="48" t="s">
        <v>75</v>
      </c>
      <c r="R430" s="48">
        <f>HEX2DEC(RIGHT(Table132321275358[[#This Row],[h2]],8))</f>
        <v>0</v>
      </c>
    </row>
    <row r="431" spans="1:18">
      <c r="A431" s="15" t="str">
        <f t="shared" si="11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8" t="s">
        <v>75</v>
      </c>
      <c r="P431" s="48">
        <f>HEX2DEC(RIGHT(Table132321275358[[#This Row],[h1]],8))</f>
        <v>0</v>
      </c>
      <c r="Q431" s="48" t="s">
        <v>75</v>
      </c>
      <c r="R431" s="48">
        <f>HEX2DEC(RIGHT(Table132321275358[[#This Row],[h2]],8))</f>
        <v>0</v>
      </c>
    </row>
    <row r="432" spans="1:18">
      <c r="A432" s="15" t="str">
        <f t="shared" si="11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8" t="s">
        <v>75</v>
      </c>
      <c r="P432" s="48">
        <f>HEX2DEC(RIGHT(Table132321275358[[#This Row],[h1]],8))</f>
        <v>0</v>
      </c>
      <c r="Q432" s="48" t="s">
        <v>75</v>
      </c>
      <c r="R432" s="48">
        <f>HEX2DEC(RIGHT(Table132321275358[[#This Row],[h2]],8))</f>
        <v>0</v>
      </c>
    </row>
    <row r="433" spans="1:18">
      <c r="A433" s="15" t="str">
        <f t="shared" si="11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8" t="s">
        <v>75</v>
      </c>
      <c r="P433" s="48">
        <f>HEX2DEC(RIGHT(Table132321275358[[#This Row],[h1]],8))</f>
        <v>0</v>
      </c>
      <c r="Q433" s="48" t="s">
        <v>75</v>
      </c>
      <c r="R433" s="48">
        <f>HEX2DEC(RIGHT(Table132321275358[[#This Row],[h2]],8))</f>
        <v>0</v>
      </c>
    </row>
    <row r="434" spans="1:18">
      <c r="A434" s="15" t="str">
        <f t="shared" si="11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8" t="s">
        <v>75</v>
      </c>
      <c r="P434" s="48">
        <f>HEX2DEC(RIGHT(Table132321275358[[#This Row],[h1]],8))</f>
        <v>0</v>
      </c>
      <c r="Q434" s="48" t="s">
        <v>75</v>
      </c>
      <c r="R434" s="48">
        <f>HEX2DEC(RIGHT(Table132321275358[[#This Row],[h2]],8))</f>
        <v>0</v>
      </c>
    </row>
    <row r="435" spans="1:18">
      <c r="A435" s="15" t="str">
        <f t="shared" si="11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8" t="s">
        <v>75</v>
      </c>
      <c r="P435" s="48">
        <f>HEX2DEC(RIGHT(Table132321275358[[#This Row],[h1]],8))</f>
        <v>0</v>
      </c>
      <c r="Q435" s="48" t="s">
        <v>75</v>
      </c>
      <c r="R435" s="48">
        <f>HEX2DEC(RIGHT(Table132321275358[[#This Row],[h2]],8))</f>
        <v>0</v>
      </c>
    </row>
    <row r="436" spans="1:18">
      <c r="A436" s="15" t="str">
        <f t="shared" si="11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8" t="s">
        <v>75</v>
      </c>
      <c r="P436" s="48">
        <f>HEX2DEC(RIGHT(Table132321275358[[#This Row],[h1]],8))</f>
        <v>0</v>
      </c>
      <c r="Q436" s="48" t="s">
        <v>75</v>
      </c>
      <c r="R436" s="48">
        <f>HEX2DEC(RIGHT(Table132321275358[[#This Row],[h2]],8))</f>
        <v>0</v>
      </c>
    </row>
    <row r="437" spans="1:18">
      <c r="A437" s="15" t="str">
        <f t="shared" si="11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8" t="s">
        <v>75</v>
      </c>
      <c r="P437" s="48">
        <f>HEX2DEC(RIGHT(Table132321275358[[#This Row],[h1]],8))</f>
        <v>0</v>
      </c>
      <c r="Q437" s="48" t="s">
        <v>75</v>
      </c>
      <c r="R437" s="48">
        <f>HEX2DEC(RIGHT(Table132321275358[[#This Row],[h2]],8))</f>
        <v>0</v>
      </c>
    </row>
    <row r="438" spans="1:18">
      <c r="A438" s="15" t="str">
        <f t="shared" si="11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8" t="s">
        <v>75</v>
      </c>
      <c r="P438" s="48">
        <f>HEX2DEC(RIGHT(Table132321275358[[#This Row],[h1]],8))</f>
        <v>0</v>
      </c>
      <c r="Q438" s="48" t="s">
        <v>75</v>
      </c>
      <c r="R438" s="48">
        <f>HEX2DEC(RIGHT(Table132321275358[[#This Row],[h2]],8))</f>
        <v>0</v>
      </c>
    </row>
    <row r="439" spans="1:18">
      <c r="A439" s="15" t="str">
        <f t="shared" si="11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8" t="s">
        <v>75</v>
      </c>
      <c r="P439" s="48">
        <f>HEX2DEC(RIGHT(Table132321275358[[#This Row],[h1]],8))</f>
        <v>0</v>
      </c>
      <c r="Q439" s="48" t="s">
        <v>75</v>
      </c>
      <c r="R439" s="48">
        <f>HEX2DEC(RIGHT(Table132321275358[[#This Row],[h2]],8))</f>
        <v>0</v>
      </c>
    </row>
    <row r="440" spans="1:18">
      <c r="A440" s="15" t="str">
        <f t="shared" si="11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8" t="s">
        <v>75</v>
      </c>
      <c r="P440" s="48">
        <f>HEX2DEC(RIGHT(Table132321275358[[#This Row],[h1]],8))</f>
        <v>0</v>
      </c>
      <c r="Q440" s="48" t="s">
        <v>75</v>
      </c>
      <c r="R440" s="48">
        <f>HEX2DEC(RIGHT(Table132321275358[[#This Row],[h2]],8))</f>
        <v>0</v>
      </c>
    </row>
    <row r="441" spans="1:18">
      <c r="A441" s="15" t="str">
        <f t="shared" si="11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8" t="s">
        <v>75</v>
      </c>
      <c r="P441" s="48">
        <f>HEX2DEC(RIGHT(Table132321275358[[#This Row],[h1]],8))</f>
        <v>0</v>
      </c>
      <c r="Q441" s="48" t="s">
        <v>75</v>
      </c>
      <c r="R441" s="48">
        <f>HEX2DEC(RIGHT(Table132321275358[[#This Row],[h2]],8))</f>
        <v>0</v>
      </c>
    </row>
    <row r="442" spans="1:18">
      <c r="A442" s="15" t="str">
        <f t="shared" si="11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8" t="s">
        <v>75</v>
      </c>
      <c r="P442" s="48">
        <f>HEX2DEC(RIGHT(Table132321275358[[#This Row],[h1]],8))</f>
        <v>0</v>
      </c>
      <c r="Q442" s="48" t="s">
        <v>75</v>
      </c>
      <c r="R442" s="48">
        <f>HEX2DEC(RIGHT(Table132321275358[[#This Row],[h2]],8))</f>
        <v>0</v>
      </c>
    </row>
    <row r="443" spans="1:18">
      <c r="A443" s="15" t="str">
        <f t="shared" si="11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8" t="s">
        <v>75</v>
      </c>
      <c r="P443" s="48">
        <f>HEX2DEC(RIGHT(Table132321275358[[#This Row],[h1]],8))</f>
        <v>0</v>
      </c>
      <c r="Q443" s="48" t="s">
        <v>75</v>
      </c>
      <c r="R443" s="48">
        <f>HEX2DEC(RIGHT(Table132321275358[[#This Row],[h2]],8))</f>
        <v>0</v>
      </c>
    </row>
    <row r="444" spans="1:18">
      <c r="A444" s="15" t="str">
        <f t="shared" si="11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8" t="s">
        <v>75</v>
      </c>
      <c r="P444" s="48">
        <f>HEX2DEC(RIGHT(Table132321275358[[#This Row],[h1]],8))</f>
        <v>0</v>
      </c>
      <c r="Q444" s="48" t="s">
        <v>75</v>
      </c>
      <c r="R444" s="48">
        <f>HEX2DEC(RIGHT(Table132321275358[[#This Row],[h2]],8))</f>
        <v>0</v>
      </c>
    </row>
    <row r="445" spans="1:18">
      <c r="A445" s="15" t="str">
        <f t="shared" si="11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8" t="s">
        <v>75</v>
      </c>
      <c r="P445" s="48">
        <f>HEX2DEC(RIGHT(Table132321275358[[#This Row],[h1]],8))</f>
        <v>0</v>
      </c>
      <c r="Q445" s="48" t="s">
        <v>75</v>
      </c>
      <c r="R445" s="48">
        <f>HEX2DEC(RIGHT(Table132321275358[[#This Row],[h2]],8))</f>
        <v>0</v>
      </c>
    </row>
    <row r="446" spans="1:18">
      <c r="A446" s="15" t="str">
        <f t="shared" si="11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8" t="s">
        <v>75</v>
      </c>
      <c r="P446" s="48">
        <f>HEX2DEC(RIGHT(Table132321275358[[#This Row],[h1]],8))</f>
        <v>0</v>
      </c>
      <c r="Q446" s="48" t="s">
        <v>75</v>
      </c>
      <c r="R446" s="48">
        <f>HEX2DEC(RIGHT(Table132321275358[[#This Row],[h2]],8))</f>
        <v>0</v>
      </c>
    </row>
    <row r="447" spans="1:18">
      <c r="A447" s="15" t="str">
        <f t="shared" si="11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8" t="s">
        <v>75</v>
      </c>
      <c r="P447" s="48">
        <f>HEX2DEC(RIGHT(Table132321275358[[#This Row],[h1]],8))</f>
        <v>0</v>
      </c>
      <c r="Q447" s="48" t="s">
        <v>75</v>
      </c>
      <c r="R447" s="48">
        <f>HEX2DEC(RIGHT(Table132321275358[[#This Row],[h2]],8))</f>
        <v>0</v>
      </c>
    </row>
    <row r="448" spans="1:18">
      <c r="A448" s="15" t="str">
        <f t="shared" si="11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8" t="s">
        <v>75</v>
      </c>
      <c r="P448" s="48">
        <f>HEX2DEC(RIGHT(Table132321275358[[#This Row],[h1]],8))</f>
        <v>0</v>
      </c>
      <c r="Q448" s="48" t="s">
        <v>75</v>
      </c>
      <c r="R448" s="48">
        <f>HEX2DEC(RIGHT(Table132321275358[[#This Row],[h2]],8))</f>
        <v>0</v>
      </c>
    </row>
    <row r="449" spans="1:18">
      <c r="A449" s="15" t="str">
        <f t="shared" si="11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8" t="s">
        <v>75</v>
      </c>
      <c r="P449" s="48">
        <f>HEX2DEC(RIGHT(Table132321275358[[#This Row],[h1]],8))</f>
        <v>0</v>
      </c>
      <c r="Q449" s="48" t="s">
        <v>75</v>
      </c>
      <c r="R449" s="48">
        <f>HEX2DEC(RIGHT(Table132321275358[[#This Row],[h2]],8))</f>
        <v>0</v>
      </c>
    </row>
    <row r="450" spans="1:18">
      <c r="A450" s="15" t="str">
        <f t="shared" si="11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8" t="s">
        <v>75</v>
      </c>
      <c r="P450" s="48">
        <f>HEX2DEC(RIGHT(Table132321275358[[#This Row],[h1]],8))</f>
        <v>0</v>
      </c>
      <c r="Q450" s="48" t="s">
        <v>75</v>
      </c>
      <c r="R450" s="48">
        <f>HEX2DEC(RIGHT(Table132321275358[[#This Row],[h2]],8))</f>
        <v>0</v>
      </c>
    </row>
    <row r="451" spans="1:18">
      <c r="A451" s="15" t="str">
        <f t="shared" si="11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8" t="s">
        <v>75</v>
      </c>
      <c r="P451" s="48">
        <f>HEX2DEC(RIGHT(Table132321275358[[#This Row],[h1]],8))</f>
        <v>0</v>
      </c>
      <c r="Q451" s="48" t="s">
        <v>75</v>
      </c>
      <c r="R451" s="48">
        <f>HEX2DEC(RIGHT(Table132321275358[[#This Row],[h2]],8))</f>
        <v>0</v>
      </c>
    </row>
    <row r="452" spans="1:18">
      <c r="A452" s="15" t="str">
        <f t="shared" si="11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8" t="s">
        <v>75</v>
      </c>
      <c r="P452" s="48">
        <f>HEX2DEC(RIGHT(Table132321275358[[#This Row],[h1]],8))</f>
        <v>0</v>
      </c>
      <c r="Q452" s="48" t="s">
        <v>75</v>
      </c>
      <c r="R452" s="48">
        <f>HEX2DEC(RIGHT(Table132321275358[[#This Row],[h2]],8))</f>
        <v>0</v>
      </c>
    </row>
    <row r="453" spans="1:18">
      <c r="A453" s="15" t="str">
        <f t="shared" si="11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8" t="s">
        <v>75</v>
      </c>
      <c r="P453" s="48">
        <f>HEX2DEC(RIGHT(Table132321275358[[#This Row],[h1]],8))</f>
        <v>0</v>
      </c>
      <c r="Q453" s="48" t="s">
        <v>75</v>
      </c>
      <c r="R453" s="48">
        <f>HEX2DEC(RIGHT(Table132321275358[[#This Row],[h2]],8))</f>
        <v>0</v>
      </c>
    </row>
    <row r="454" spans="1:18">
      <c r="A454" s="15" t="str">
        <f t="shared" si="11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8" t="s">
        <v>75</v>
      </c>
      <c r="P454" s="48">
        <f>HEX2DEC(RIGHT(Table132321275358[[#This Row],[h1]],8))</f>
        <v>0</v>
      </c>
      <c r="Q454" s="48" t="s">
        <v>75</v>
      </c>
      <c r="R454" s="48">
        <f>HEX2DEC(RIGHT(Table132321275358[[#This Row],[h2]],8))</f>
        <v>0</v>
      </c>
    </row>
    <row r="455" spans="1:18">
      <c r="A455" s="15" t="str">
        <f t="shared" si="11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8" t="s">
        <v>75</v>
      </c>
      <c r="P455" s="48">
        <f>HEX2DEC(RIGHT(Table132321275358[[#This Row],[h1]],8))</f>
        <v>0</v>
      </c>
      <c r="Q455" s="48" t="s">
        <v>75</v>
      </c>
      <c r="R455" s="48">
        <f>HEX2DEC(RIGHT(Table132321275358[[#This Row],[h2]],8))</f>
        <v>0</v>
      </c>
    </row>
    <row r="456" spans="1:18">
      <c r="A456" s="15" t="str">
        <f t="shared" si="11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8" t="s">
        <v>75</v>
      </c>
      <c r="P456" s="48">
        <f>HEX2DEC(RIGHT(Table132321275358[[#This Row],[h1]],8))</f>
        <v>0</v>
      </c>
      <c r="Q456" s="48" t="s">
        <v>75</v>
      </c>
      <c r="R456" s="48">
        <f>HEX2DEC(RIGHT(Table132321275358[[#This Row],[h2]],8))</f>
        <v>0</v>
      </c>
    </row>
    <row r="457" spans="1:18">
      <c r="A457" s="15" t="str">
        <f t="shared" si="11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8" t="s">
        <v>75</v>
      </c>
      <c r="P457" s="48">
        <f>HEX2DEC(RIGHT(Table132321275358[[#This Row],[h1]],8))</f>
        <v>0</v>
      </c>
      <c r="Q457" s="48" t="s">
        <v>75</v>
      </c>
      <c r="R457" s="48">
        <f>HEX2DEC(RIGHT(Table132321275358[[#This Row],[h2]],8))</f>
        <v>0</v>
      </c>
    </row>
    <row r="458" spans="1:18">
      <c r="A458" s="15" t="str">
        <f t="shared" si="11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8" t="s">
        <v>75</v>
      </c>
      <c r="P458" s="48">
        <f>HEX2DEC(RIGHT(Table132321275358[[#This Row],[h1]],8))</f>
        <v>0</v>
      </c>
      <c r="Q458" s="48" t="s">
        <v>75</v>
      </c>
      <c r="R458" s="48">
        <f>HEX2DEC(RIGHT(Table132321275358[[#This Row],[h2]],8))</f>
        <v>0</v>
      </c>
    </row>
    <row r="459" spans="1:18">
      <c r="A459" s="15" t="str">
        <f t="shared" ref="A459:A522" si="12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8" t="s">
        <v>75</v>
      </c>
      <c r="P459" s="48">
        <f>HEX2DEC(RIGHT(Table132321275358[[#This Row],[h1]],8))</f>
        <v>0</v>
      </c>
      <c r="Q459" s="48" t="s">
        <v>75</v>
      </c>
      <c r="R459" s="48">
        <f>HEX2DEC(RIGHT(Table132321275358[[#This Row],[h2]],8))</f>
        <v>0</v>
      </c>
    </row>
    <row r="460" spans="1:18">
      <c r="A460" s="15" t="str">
        <f t="shared" si="12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8" t="s">
        <v>75</v>
      </c>
      <c r="P460" s="48">
        <f>HEX2DEC(RIGHT(Table132321275358[[#This Row],[h1]],8))</f>
        <v>0</v>
      </c>
      <c r="Q460" s="48" t="s">
        <v>75</v>
      </c>
      <c r="R460" s="48">
        <f>HEX2DEC(RIGHT(Table132321275358[[#This Row],[h2]],8))</f>
        <v>0</v>
      </c>
    </row>
    <row r="461" spans="1:18">
      <c r="A461" s="15" t="str">
        <f t="shared" si="12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8" t="s">
        <v>75</v>
      </c>
      <c r="P461" s="48">
        <f>HEX2DEC(RIGHT(Table132321275358[[#This Row],[h1]],8))</f>
        <v>0</v>
      </c>
      <c r="Q461" s="48" t="s">
        <v>75</v>
      </c>
      <c r="R461" s="48">
        <f>HEX2DEC(RIGHT(Table132321275358[[#This Row],[h2]],8))</f>
        <v>0</v>
      </c>
    </row>
    <row r="462" spans="1:18">
      <c r="A462" s="15" t="str">
        <f t="shared" si="12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8" t="s">
        <v>75</v>
      </c>
      <c r="P462" s="48">
        <f>HEX2DEC(RIGHT(Table132321275358[[#This Row],[h1]],8))</f>
        <v>0</v>
      </c>
      <c r="Q462" s="48" t="s">
        <v>75</v>
      </c>
      <c r="R462" s="48">
        <f>HEX2DEC(RIGHT(Table132321275358[[#This Row],[h2]],8))</f>
        <v>0</v>
      </c>
    </row>
    <row r="463" spans="1:18">
      <c r="A463" s="15" t="str">
        <f t="shared" si="12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8" t="s">
        <v>75</v>
      </c>
      <c r="P463" s="48">
        <f>HEX2DEC(RIGHT(Table132321275358[[#This Row],[h1]],8))</f>
        <v>0</v>
      </c>
      <c r="Q463" s="48" t="s">
        <v>75</v>
      </c>
      <c r="R463" s="48">
        <f>HEX2DEC(RIGHT(Table132321275358[[#This Row],[h2]],8))</f>
        <v>0</v>
      </c>
    </row>
    <row r="464" spans="1:18">
      <c r="A464" s="15" t="str">
        <f t="shared" si="12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8" t="s">
        <v>75</v>
      </c>
      <c r="P464" s="48">
        <f>HEX2DEC(RIGHT(Table132321275358[[#This Row],[h1]],8))</f>
        <v>0</v>
      </c>
      <c r="Q464" s="48" t="s">
        <v>75</v>
      </c>
      <c r="R464" s="48">
        <f>HEX2DEC(RIGHT(Table132321275358[[#This Row],[h2]],8))</f>
        <v>0</v>
      </c>
    </row>
    <row r="465" spans="1:18">
      <c r="A465" s="15" t="str">
        <f t="shared" si="12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8" t="s">
        <v>75</v>
      </c>
      <c r="P465" s="48">
        <f>HEX2DEC(RIGHT(Table132321275358[[#This Row],[h1]],8))</f>
        <v>0</v>
      </c>
      <c r="Q465" s="48" t="s">
        <v>75</v>
      </c>
      <c r="R465" s="48">
        <f>HEX2DEC(RIGHT(Table132321275358[[#This Row],[h2]],8))</f>
        <v>0</v>
      </c>
    </row>
    <row r="466" spans="1:18">
      <c r="A466" s="15" t="str">
        <f t="shared" si="12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8" t="s">
        <v>75</v>
      </c>
      <c r="P466" s="48">
        <f>HEX2DEC(RIGHT(Table132321275358[[#This Row],[h1]],8))</f>
        <v>0</v>
      </c>
      <c r="Q466" s="48" t="s">
        <v>75</v>
      </c>
      <c r="R466" s="48">
        <f>HEX2DEC(RIGHT(Table132321275358[[#This Row],[h2]],8))</f>
        <v>0</v>
      </c>
    </row>
    <row r="467" spans="1:18">
      <c r="A467" s="15" t="str">
        <f t="shared" si="12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8" t="s">
        <v>75</v>
      </c>
      <c r="P467" s="48">
        <f>HEX2DEC(RIGHT(Table132321275358[[#This Row],[h1]],8))</f>
        <v>0</v>
      </c>
      <c r="Q467" s="48" t="s">
        <v>75</v>
      </c>
      <c r="R467" s="48">
        <f>HEX2DEC(RIGHT(Table132321275358[[#This Row],[h2]],8))</f>
        <v>0</v>
      </c>
    </row>
    <row r="468" spans="1:18">
      <c r="A468" s="15" t="str">
        <f t="shared" si="12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8" t="s">
        <v>75</v>
      </c>
      <c r="P468" s="48">
        <f>HEX2DEC(RIGHT(Table132321275358[[#This Row],[h1]],8))</f>
        <v>0</v>
      </c>
      <c r="Q468" s="48" t="s">
        <v>75</v>
      </c>
      <c r="R468" s="48">
        <f>HEX2DEC(RIGHT(Table132321275358[[#This Row],[h2]],8))</f>
        <v>0</v>
      </c>
    </row>
    <row r="469" spans="1:18">
      <c r="A469" s="15" t="str">
        <f t="shared" si="12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8" t="s">
        <v>75</v>
      </c>
      <c r="P469" s="48">
        <f>HEX2DEC(RIGHT(Table132321275358[[#This Row],[h1]],8))</f>
        <v>0</v>
      </c>
      <c r="Q469" s="48" t="s">
        <v>75</v>
      </c>
      <c r="R469" s="48">
        <f>HEX2DEC(RIGHT(Table132321275358[[#This Row],[h2]],8))</f>
        <v>0</v>
      </c>
    </row>
    <row r="470" spans="1:18">
      <c r="A470" s="15" t="str">
        <f t="shared" si="12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8" t="s">
        <v>75</v>
      </c>
      <c r="P470" s="48">
        <f>HEX2DEC(RIGHT(Table132321275358[[#This Row],[h1]],8))</f>
        <v>0</v>
      </c>
      <c r="Q470" s="48" t="s">
        <v>75</v>
      </c>
      <c r="R470" s="48">
        <f>HEX2DEC(RIGHT(Table132321275358[[#This Row],[h2]],8))</f>
        <v>0</v>
      </c>
    </row>
    <row r="471" spans="1:18">
      <c r="A471" s="15" t="str">
        <f t="shared" si="12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8" t="s">
        <v>75</v>
      </c>
      <c r="P471" s="48">
        <f>HEX2DEC(RIGHT(Table132321275358[[#This Row],[h1]],8))</f>
        <v>0</v>
      </c>
      <c r="Q471" s="48" t="s">
        <v>75</v>
      </c>
      <c r="R471" s="48">
        <f>HEX2DEC(RIGHT(Table132321275358[[#This Row],[h2]],8))</f>
        <v>0</v>
      </c>
    </row>
    <row r="472" spans="1:18">
      <c r="A472" s="15" t="str">
        <f t="shared" si="12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8" t="s">
        <v>75</v>
      </c>
      <c r="P472" s="48">
        <f>HEX2DEC(RIGHT(Table132321275358[[#This Row],[h1]],8))</f>
        <v>0</v>
      </c>
      <c r="Q472" s="48" t="s">
        <v>75</v>
      </c>
      <c r="R472" s="48">
        <f>HEX2DEC(RIGHT(Table132321275358[[#This Row],[h2]],8))</f>
        <v>0</v>
      </c>
    </row>
    <row r="473" spans="1:18">
      <c r="A473" s="15" t="str">
        <f t="shared" si="12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8" t="s">
        <v>75</v>
      </c>
      <c r="P473" s="48">
        <f>HEX2DEC(RIGHT(Table132321275358[[#This Row],[h1]],8))</f>
        <v>0</v>
      </c>
      <c r="Q473" s="48" t="s">
        <v>75</v>
      </c>
      <c r="R473" s="48">
        <f>HEX2DEC(RIGHT(Table132321275358[[#This Row],[h2]],8))</f>
        <v>0</v>
      </c>
    </row>
    <row r="474" spans="1:18">
      <c r="A474" s="15" t="str">
        <f t="shared" si="12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8" t="s">
        <v>75</v>
      </c>
      <c r="P474" s="48">
        <f>HEX2DEC(RIGHT(Table132321275358[[#This Row],[h1]],8))</f>
        <v>0</v>
      </c>
      <c r="Q474" s="48" t="s">
        <v>75</v>
      </c>
      <c r="R474" s="48">
        <f>HEX2DEC(RIGHT(Table132321275358[[#This Row],[h2]],8))</f>
        <v>0</v>
      </c>
    </row>
    <row r="475" spans="1:18">
      <c r="A475" s="15" t="str">
        <f t="shared" si="12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8" t="s">
        <v>75</v>
      </c>
      <c r="P475" s="48">
        <f>HEX2DEC(RIGHT(Table132321275358[[#This Row],[h1]],8))</f>
        <v>0</v>
      </c>
      <c r="Q475" s="48" t="s">
        <v>75</v>
      </c>
      <c r="R475" s="48">
        <f>HEX2DEC(RIGHT(Table132321275358[[#This Row],[h2]],8))</f>
        <v>0</v>
      </c>
    </row>
    <row r="476" spans="1:18">
      <c r="A476" s="15" t="str">
        <f t="shared" si="12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8" t="s">
        <v>75</v>
      </c>
      <c r="P476" s="48">
        <f>HEX2DEC(RIGHT(Table132321275358[[#This Row],[h1]],8))</f>
        <v>0</v>
      </c>
      <c r="Q476" s="48" t="s">
        <v>75</v>
      </c>
      <c r="R476" s="48">
        <f>HEX2DEC(RIGHT(Table132321275358[[#This Row],[h2]],8))</f>
        <v>0</v>
      </c>
    </row>
    <row r="477" spans="1:18">
      <c r="A477" s="15" t="str">
        <f t="shared" si="12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8" t="s">
        <v>75</v>
      </c>
      <c r="P477" s="48">
        <f>HEX2DEC(RIGHT(Table132321275358[[#This Row],[h1]],8))</f>
        <v>0</v>
      </c>
      <c r="Q477" s="48" t="s">
        <v>75</v>
      </c>
      <c r="R477" s="48">
        <f>HEX2DEC(RIGHT(Table132321275358[[#This Row],[h2]],8))</f>
        <v>0</v>
      </c>
    </row>
    <row r="478" spans="1:18">
      <c r="A478" s="15" t="str">
        <f t="shared" si="12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8" t="s">
        <v>75</v>
      </c>
      <c r="P478" s="48">
        <f>HEX2DEC(RIGHT(Table132321275358[[#This Row],[h1]],8))</f>
        <v>0</v>
      </c>
      <c r="Q478" s="48" t="s">
        <v>75</v>
      </c>
      <c r="R478" s="48">
        <f>HEX2DEC(RIGHT(Table132321275358[[#This Row],[h2]],8))</f>
        <v>0</v>
      </c>
    </row>
    <row r="479" spans="1:18">
      <c r="A479" s="15" t="str">
        <f t="shared" si="12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8" t="s">
        <v>75</v>
      </c>
      <c r="P479" s="48">
        <f>HEX2DEC(RIGHT(Table132321275358[[#This Row],[h1]],8))</f>
        <v>0</v>
      </c>
      <c r="Q479" s="48" t="s">
        <v>75</v>
      </c>
      <c r="R479" s="48">
        <f>HEX2DEC(RIGHT(Table132321275358[[#This Row],[h2]],8))</f>
        <v>0</v>
      </c>
    </row>
    <row r="480" spans="1:18">
      <c r="A480" s="15" t="str">
        <f t="shared" si="12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8" t="s">
        <v>75</v>
      </c>
      <c r="P480" s="48">
        <f>HEX2DEC(RIGHT(Table132321275358[[#This Row],[h1]],8))</f>
        <v>0</v>
      </c>
      <c r="Q480" s="48" t="s">
        <v>75</v>
      </c>
      <c r="R480" s="48">
        <f>HEX2DEC(RIGHT(Table132321275358[[#This Row],[h2]],8))</f>
        <v>0</v>
      </c>
    </row>
    <row r="481" spans="1:18">
      <c r="A481" s="15" t="str">
        <f t="shared" si="12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8" t="s">
        <v>75</v>
      </c>
      <c r="P481" s="48">
        <f>HEX2DEC(RIGHT(Table132321275358[[#This Row],[h1]],8))</f>
        <v>0</v>
      </c>
      <c r="Q481" s="48" t="s">
        <v>75</v>
      </c>
      <c r="R481" s="48">
        <f>HEX2DEC(RIGHT(Table132321275358[[#This Row],[h2]],8))</f>
        <v>0</v>
      </c>
    </row>
    <row r="482" spans="1:18">
      <c r="A482" s="15" t="str">
        <f t="shared" si="12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8" t="s">
        <v>75</v>
      </c>
      <c r="P482" s="48">
        <f>HEX2DEC(RIGHT(Table132321275358[[#This Row],[h1]],8))</f>
        <v>0</v>
      </c>
      <c r="Q482" s="48" t="s">
        <v>75</v>
      </c>
      <c r="R482" s="48">
        <f>HEX2DEC(RIGHT(Table132321275358[[#This Row],[h2]],8))</f>
        <v>0</v>
      </c>
    </row>
    <row r="483" spans="1:18">
      <c r="A483" s="15" t="str">
        <f t="shared" si="12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8" t="s">
        <v>75</v>
      </c>
      <c r="P483" s="48">
        <f>HEX2DEC(RIGHT(Table132321275358[[#This Row],[h1]],8))</f>
        <v>0</v>
      </c>
      <c r="Q483" s="48" t="s">
        <v>75</v>
      </c>
      <c r="R483" s="48">
        <f>HEX2DEC(RIGHT(Table132321275358[[#This Row],[h2]],8))</f>
        <v>0</v>
      </c>
    </row>
    <row r="484" spans="1:18">
      <c r="A484" s="15" t="str">
        <f t="shared" si="12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8" t="s">
        <v>75</v>
      </c>
      <c r="P484" s="48">
        <f>HEX2DEC(RIGHT(Table132321275358[[#This Row],[h1]],8))</f>
        <v>0</v>
      </c>
      <c r="Q484" s="48" t="s">
        <v>75</v>
      </c>
      <c r="R484" s="48">
        <f>HEX2DEC(RIGHT(Table132321275358[[#This Row],[h2]],8))</f>
        <v>0</v>
      </c>
    </row>
    <row r="485" spans="1:18">
      <c r="A485" s="15" t="str">
        <f t="shared" si="12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8" t="s">
        <v>75</v>
      </c>
      <c r="P485" s="48">
        <f>HEX2DEC(RIGHT(Table132321275358[[#This Row],[h1]],8))</f>
        <v>0</v>
      </c>
      <c r="Q485" s="48" t="s">
        <v>75</v>
      </c>
      <c r="R485" s="48">
        <f>HEX2DEC(RIGHT(Table132321275358[[#This Row],[h2]],8))</f>
        <v>0</v>
      </c>
    </row>
    <row r="486" spans="1:18">
      <c r="A486" s="15" t="str">
        <f t="shared" si="12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8" t="s">
        <v>75</v>
      </c>
      <c r="P486" s="48">
        <f>HEX2DEC(RIGHT(Table132321275358[[#This Row],[h1]],8))</f>
        <v>0</v>
      </c>
      <c r="Q486" s="48" t="s">
        <v>75</v>
      </c>
      <c r="R486" s="48">
        <f>HEX2DEC(RIGHT(Table132321275358[[#This Row],[h2]],8))</f>
        <v>0</v>
      </c>
    </row>
    <row r="487" spans="1:18">
      <c r="A487" s="15" t="str">
        <f t="shared" si="12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8" t="s">
        <v>75</v>
      </c>
      <c r="P487" s="48">
        <f>HEX2DEC(RIGHT(Table132321275358[[#This Row],[h1]],8))</f>
        <v>0</v>
      </c>
      <c r="Q487" s="48" t="s">
        <v>75</v>
      </c>
      <c r="R487" s="48">
        <f>HEX2DEC(RIGHT(Table132321275358[[#This Row],[h2]],8))</f>
        <v>0</v>
      </c>
    </row>
    <row r="488" spans="1:18">
      <c r="A488" s="15" t="str">
        <f t="shared" si="12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8" t="s">
        <v>75</v>
      </c>
      <c r="P488" s="48">
        <f>HEX2DEC(RIGHT(Table132321275358[[#This Row],[h1]],8))</f>
        <v>0</v>
      </c>
      <c r="Q488" s="48" t="s">
        <v>75</v>
      </c>
      <c r="R488" s="48">
        <f>HEX2DEC(RIGHT(Table132321275358[[#This Row],[h2]],8))</f>
        <v>0</v>
      </c>
    </row>
    <row r="489" spans="1:18">
      <c r="A489" s="15" t="str">
        <f t="shared" si="12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8" t="s">
        <v>75</v>
      </c>
      <c r="P489" s="48">
        <f>HEX2DEC(RIGHT(Table132321275358[[#This Row],[h1]],8))</f>
        <v>0</v>
      </c>
      <c r="Q489" s="48" t="s">
        <v>75</v>
      </c>
      <c r="R489" s="48">
        <f>HEX2DEC(RIGHT(Table132321275358[[#This Row],[h2]],8))</f>
        <v>0</v>
      </c>
    </row>
    <row r="490" spans="1:18">
      <c r="A490" s="15" t="str">
        <f t="shared" si="12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8" t="s">
        <v>75</v>
      </c>
      <c r="P490" s="48">
        <f>HEX2DEC(RIGHT(Table132321275358[[#This Row],[h1]],8))</f>
        <v>0</v>
      </c>
      <c r="Q490" s="48" t="s">
        <v>75</v>
      </c>
      <c r="R490" s="48">
        <f>HEX2DEC(RIGHT(Table132321275358[[#This Row],[h2]],8))</f>
        <v>0</v>
      </c>
    </row>
    <row r="491" spans="1:18">
      <c r="A491" s="15" t="str">
        <f t="shared" si="12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8" t="s">
        <v>75</v>
      </c>
      <c r="P491" s="48">
        <f>HEX2DEC(RIGHT(Table132321275358[[#This Row],[h1]],8))</f>
        <v>0</v>
      </c>
      <c r="Q491" s="48" t="s">
        <v>75</v>
      </c>
      <c r="R491" s="48">
        <f>HEX2DEC(RIGHT(Table132321275358[[#This Row],[h2]],8))</f>
        <v>0</v>
      </c>
    </row>
    <row r="492" spans="1:18">
      <c r="A492" s="15" t="str">
        <f t="shared" si="12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8" t="s">
        <v>75</v>
      </c>
      <c r="P492" s="48">
        <f>HEX2DEC(RIGHT(Table132321275358[[#This Row],[h1]],8))</f>
        <v>0</v>
      </c>
      <c r="Q492" s="48" t="s">
        <v>75</v>
      </c>
      <c r="R492" s="48">
        <f>HEX2DEC(RIGHT(Table132321275358[[#This Row],[h2]],8))</f>
        <v>0</v>
      </c>
    </row>
    <row r="493" spans="1:18">
      <c r="A493" s="15" t="str">
        <f t="shared" si="12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8" t="s">
        <v>75</v>
      </c>
      <c r="P493" s="48">
        <f>HEX2DEC(RIGHT(Table132321275358[[#This Row],[h1]],8))</f>
        <v>0</v>
      </c>
      <c r="Q493" s="48" t="s">
        <v>75</v>
      </c>
      <c r="R493" s="48">
        <f>HEX2DEC(RIGHT(Table132321275358[[#This Row],[h2]],8))</f>
        <v>0</v>
      </c>
    </row>
    <row r="494" spans="1:18">
      <c r="A494" s="15" t="str">
        <f t="shared" si="12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8" t="s">
        <v>75</v>
      </c>
      <c r="P494" s="48">
        <f>HEX2DEC(RIGHT(Table132321275358[[#This Row],[h1]],8))</f>
        <v>0</v>
      </c>
      <c r="Q494" s="48" t="s">
        <v>75</v>
      </c>
      <c r="R494" s="48">
        <f>HEX2DEC(RIGHT(Table132321275358[[#This Row],[h2]],8))</f>
        <v>0</v>
      </c>
    </row>
    <row r="495" spans="1:18">
      <c r="A495" s="15" t="str">
        <f t="shared" si="12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8" t="s">
        <v>75</v>
      </c>
      <c r="P495" s="48">
        <f>HEX2DEC(RIGHT(Table132321275358[[#This Row],[h1]],8))</f>
        <v>0</v>
      </c>
      <c r="Q495" s="48" t="s">
        <v>75</v>
      </c>
      <c r="R495" s="48">
        <f>HEX2DEC(RIGHT(Table132321275358[[#This Row],[h2]],8))</f>
        <v>0</v>
      </c>
    </row>
    <row r="496" spans="1:18">
      <c r="A496" s="15" t="str">
        <f t="shared" si="12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8" t="s">
        <v>75</v>
      </c>
      <c r="P496" s="48">
        <f>HEX2DEC(RIGHT(Table132321275358[[#This Row],[h1]],8))</f>
        <v>0</v>
      </c>
      <c r="Q496" s="48" t="s">
        <v>75</v>
      </c>
      <c r="R496" s="48">
        <f>HEX2DEC(RIGHT(Table132321275358[[#This Row],[h2]],8))</f>
        <v>0</v>
      </c>
    </row>
    <row r="497" spans="1:18">
      <c r="A497" s="15" t="str">
        <f t="shared" si="12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8" t="s">
        <v>75</v>
      </c>
      <c r="P497" s="48">
        <f>HEX2DEC(RIGHT(Table132321275358[[#This Row],[h1]],8))</f>
        <v>0</v>
      </c>
      <c r="Q497" s="48" t="s">
        <v>75</v>
      </c>
      <c r="R497" s="48">
        <f>HEX2DEC(RIGHT(Table132321275358[[#This Row],[h2]],8))</f>
        <v>0</v>
      </c>
    </row>
    <row r="498" spans="1:18">
      <c r="A498" s="15" t="str">
        <f t="shared" si="12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8" t="s">
        <v>75</v>
      </c>
      <c r="P498" s="48">
        <f>HEX2DEC(RIGHT(Table132321275358[[#This Row],[h1]],8))</f>
        <v>0</v>
      </c>
      <c r="Q498" s="48" t="s">
        <v>75</v>
      </c>
      <c r="R498" s="48">
        <f>HEX2DEC(RIGHT(Table132321275358[[#This Row],[h2]],8))</f>
        <v>0</v>
      </c>
    </row>
    <row r="499" spans="1:18">
      <c r="A499" s="15" t="str">
        <f t="shared" si="12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8" t="s">
        <v>75</v>
      </c>
      <c r="P499" s="48">
        <f>HEX2DEC(RIGHT(Table132321275358[[#This Row],[h1]],8))</f>
        <v>0</v>
      </c>
      <c r="Q499" s="48" t="s">
        <v>75</v>
      </c>
      <c r="R499" s="48">
        <f>HEX2DEC(RIGHT(Table132321275358[[#This Row],[h2]],8))</f>
        <v>0</v>
      </c>
    </row>
    <row r="500" spans="1:18">
      <c r="A500" s="15" t="str">
        <f t="shared" si="12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8" t="s">
        <v>75</v>
      </c>
      <c r="P500" s="48">
        <f>HEX2DEC(RIGHT(Table132321275358[[#This Row],[h1]],8))</f>
        <v>0</v>
      </c>
      <c r="Q500" s="48" t="s">
        <v>75</v>
      </c>
      <c r="R500" s="48">
        <f>HEX2DEC(RIGHT(Table132321275358[[#This Row],[h2]],8))</f>
        <v>0</v>
      </c>
    </row>
    <row r="501" spans="1:18">
      <c r="A501" s="15" t="str">
        <f t="shared" si="12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8" t="s">
        <v>75</v>
      </c>
      <c r="P501" s="48">
        <f>HEX2DEC(RIGHT(Table132321275358[[#This Row],[h1]],8))</f>
        <v>0</v>
      </c>
      <c r="Q501" s="48" t="s">
        <v>75</v>
      </c>
      <c r="R501" s="48">
        <f>HEX2DEC(RIGHT(Table132321275358[[#This Row],[h2]],8))</f>
        <v>0</v>
      </c>
    </row>
    <row r="502" spans="1:18">
      <c r="A502" s="15" t="str">
        <f t="shared" si="12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8" t="s">
        <v>75</v>
      </c>
      <c r="P502" s="48">
        <f>HEX2DEC(RIGHT(Table132321275358[[#This Row],[h1]],8))</f>
        <v>0</v>
      </c>
      <c r="Q502" s="48" t="s">
        <v>75</v>
      </c>
      <c r="R502" s="48">
        <f>HEX2DEC(RIGHT(Table132321275358[[#This Row],[h2]],8))</f>
        <v>0</v>
      </c>
    </row>
    <row r="503" spans="1:18">
      <c r="A503" s="15" t="str">
        <f t="shared" si="12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8" t="s">
        <v>75</v>
      </c>
      <c r="P503" s="48">
        <f>HEX2DEC(RIGHT(Table132321275358[[#This Row],[h1]],8))</f>
        <v>0</v>
      </c>
      <c r="Q503" s="48" t="s">
        <v>75</v>
      </c>
      <c r="R503" s="48">
        <f>HEX2DEC(RIGHT(Table132321275358[[#This Row],[h2]],8))</f>
        <v>0</v>
      </c>
    </row>
    <row r="504" spans="1:18">
      <c r="A504" s="15" t="str">
        <f t="shared" si="12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8" t="s">
        <v>75</v>
      </c>
      <c r="P504" s="48">
        <f>HEX2DEC(RIGHT(Table132321275358[[#This Row],[h1]],8))</f>
        <v>0</v>
      </c>
      <c r="Q504" s="48" t="s">
        <v>75</v>
      </c>
      <c r="R504" s="48">
        <f>HEX2DEC(RIGHT(Table132321275358[[#This Row],[h2]],8))</f>
        <v>0</v>
      </c>
    </row>
    <row r="505" spans="1:18">
      <c r="A505" s="15" t="str">
        <f t="shared" si="12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8" t="s">
        <v>75</v>
      </c>
      <c r="P505" s="48">
        <f>HEX2DEC(RIGHT(Table132321275358[[#This Row],[h1]],8))</f>
        <v>0</v>
      </c>
      <c r="Q505" s="48" t="s">
        <v>75</v>
      </c>
      <c r="R505" s="48">
        <f>HEX2DEC(RIGHT(Table132321275358[[#This Row],[h2]],8))</f>
        <v>0</v>
      </c>
    </row>
    <row r="506" spans="1:18">
      <c r="A506" s="15" t="str">
        <f t="shared" si="12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8" t="s">
        <v>75</v>
      </c>
      <c r="P506" s="48">
        <f>HEX2DEC(RIGHT(Table132321275358[[#This Row],[h1]],8))</f>
        <v>0</v>
      </c>
      <c r="Q506" s="48" t="s">
        <v>75</v>
      </c>
      <c r="R506" s="48">
        <f>HEX2DEC(RIGHT(Table132321275358[[#This Row],[h2]],8))</f>
        <v>0</v>
      </c>
    </row>
    <row r="507" spans="1:18">
      <c r="A507" s="15" t="str">
        <f t="shared" si="12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8" t="s">
        <v>75</v>
      </c>
      <c r="P507" s="48">
        <f>HEX2DEC(RIGHT(Table132321275358[[#This Row],[h1]],8))</f>
        <v>0</v>
      </c>
      <c r="Q507" s="48" t="s">
        <v>75</v>
      </c>
      <c r="R507" s="48">
        <f>HEX2DEC(RIGHT(Table132321275358[[#This Row],[h2]],8))</f>
        <v>0</v>
      </c>
    </row>
    <row r="508" spans="1:18">
      <c r="A508" s="15" t="str">
        <f t="shared" si="12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8" t="s">
        <v>75</v>
      </c>
      <c r="P508" s="48">
        <f>HEX2DEC(RIGHT(Table132321275358[[#This Row],[h1]],8))</f>
        <v>0</v>
      </c>
      <c r="Q508" s="48" t="s">
        <v>75</v>
      </c>
      <c r="R508" s="48">
        <f>HEX2DEC(RIGHT(Table132321275358[[#This Row],[h2]],8))</f>
        <v>0</v>
      </c>
    </row>
    <row r="509" spans="1:18">
      <c r="A509" s="15" t="str">
        <f t="shared" si="12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8" t="s">
        <v>75</v>
      </c>
      <c r="P509" s="48">
        <f>HEX2DEC(RIGHT(Table132321275358[[#This Row],[h1]],8))</f>
        <v>0</v>
      </c>
      <c r="Q509" s="48" t="s">
        <v>75</v>
      </c>
      <c r="R509" s="48">
        <f>HEX2DEC(RIGHT(Table132321275358[[#This Row],[h2]],8))</f>
        <v>0</v>
      </c>
    </row>
    <row r="510" spans="1:18">
      <c r="A510" s="15" t="str">
        <f t="shared" si="12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8" t="s">
        <v>75</v>
      </c>
      <c r="P510" s="48">
        <f>HEX2DEC(RIGHT(Table132321275358[[#This Row],[h1]],8))</f>
        <v>0</v>
      </c>
      <c r="Q510" s="48" t="s">
        <v>75</v>
      </c>
      <c r="R510" s="48">
        <f>HEX2DEC(RIGHT(Table132321275358[[#This Row],[h2]],8))</f>
        <v>0</v>
      </c>
    </row>
    <row r="511" spans="1:18">
      <c r="A511" s="15" t="str">
        <f t="shared" si="12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8" t="s">
        <v>75</v>
      </c>
      <c r="P511" s="48">
        <f>HEX2DEC(RIGHT(Table132321275358[[#This Row],[h1]],8))</f>
        <v>0</v>
      </c>
      <c r="Q511" s="48" t="s">
        <v>75</v>
      </c>
      <c r="R511" s="48">
        <f>HEX2DEC(RIGHT(Table132321275358[[#This Row],[h2]],8))</f>
        <v>0</v>
      </c>
    </row>
    <row r="512" spans="1:18">
      <c r="A512" s="15" t="str">
        <f t="shared" si="12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8" t="s">
        <v>75</v>
      </c>
      <c r="P512" s="48">
        <f>HEX2DEC(RIGHT(Table132321275358[[#This Row],[h1]],8))</f>
        <v>0</v>
      </c>
      <c r="Q512" s="48" t="s">
        <v>75</v>
      </c>
      <c r="R512" s="48">
        <f>HEX2DEC(RIGHT(Table132321275358[[#This Row],[h2]],8))</f>
        <v>0</v>
      </c>
    </row>
    <row r="513" spans="1:18">
      <c r="A513" s="15" t="str">
        <f t="shared" si="12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8" t="s">
        <v>75</v>
      </c>
      <c r="P513" s="48">
        <f>HEX2DEC(RIGHT(Table132321275358[[#This Row],[h1]],8))</f>
        <v>0</v>
      </c>
      <c r="Q513" s="48" t="s">
        <v>75</v>
      </c>
      <c r="R513" s="48">
        <f>HEX2DEC(RIGHT(Table132321275358[[#This Row],[h2]],8))</f>
        <v>0</v>
      </c>
    </row>
    <row r="514" spans="1:18">
      <c r="A514" s="15" t="str">
        <f t="shared" si="12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8" t="s">
        <v>75</v>
      </c>
      <c r="P514" s="48">
        <f>HEX2DEC(RIGHT(Table132321275358[[#This Row],[h1]],8))</f>
        <v>0</v>
      </c>
      <c r="Q514" s="48" t="s">
        <v>75</v>
      </c>
      <c r="R514" s="48">
        <f>HEX2DEC(RIGHT(Table132321275358[[#This Row],[h2]],8))</f>
        <v>0</v>
      </c>
    </row>
    <row r="515" spans="1:18">
      <c r="A515" s="15" t="str">
        <f t="shared" si="12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8" t="s">
        <v>75</v>
      </c>
      <c r="P515" s="48">
        <f>HEX2DEC(RIGHT(Table132321275358[[#This Row],[h1]],8))</f>
        <v>0</v>
      </c>
      <c r="Q515" s="48" t="s">
        <v>75</v>
      </c>
      <c r="R515" s="48">
        <f>HEX2DEC(RIGHT(Table132321275358[[#This Row],[h2]],8))</f>
        <v>0</v>
      </c>
    </row>
    <row r="516" spans="1:18">
      <c r="A516" s="15" t="str">
        <f t="shared" si="12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8" t="s">
        <v>75</v>
      </c>
      <c r="P516" s="48">
        <f>HEX2DEC(RIGHT(Table132321275358[[#This Row],[h1]],8))</f>
        <v>0</v>
      </c>
      <c r="Q516" s="48" t="s">
        <v>75</v>
      </c>
      <c r="R516" s="48">
        <f>HEX2DEC(RIGHT(Table132321275358[[#This Row],[h2]],8))</f>
        <v>0</v>
      </c>
    </row>
    <row r="517" spans="1:18">
      <c r="A517" s="15" t="str">
        <f t="shared" si="12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8" t="s">
        <v>75</v>
      </c>
      <c r="P517" s="48">
        <f>HEX2DEC(RIGHT(Table132321275358[[#This Row],[h1]],8))</f>
        <v>0</v>
      </c>
      <c r="Q517" s="48" t="s">
        <v>75</v>
      </c>
      <c r="R517" s="48">
        <f>HEX2DEC(RIGHT(Table132321275358[[#This Row],[h2]],8))</f>
        <v>0</v>
      </c>
    </row>
    <row r="518" spans="1:18">
      <c r="A518" s="15" t="str">
        <f t="shared" si="12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8" t="s">
        <v>75</v>
      </c>
      <c r="P518" s="48">
        <f>HEX2DEC(RIGHT(Table132321275358[[#This Row],[h1]],8))</f>
        <v>0</v>
      </c>
      <c r="Q518" s="48" t="s">
        <v>75</v>
      </c>
      <c r="R518" s="48">
        <f>HEX2DEC(RIGHT(Table132321275358[[#This Row],[h2]],8))</f>
        <v>0</v>
      </c>
    </row>
    <row r="519" spans="1:18">
      <c r="A519" s="15" t="str">
        <f t="shared" si="12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8" t="s">
        <v>75</v>
      </c>
      <c r="P519" s="48">
        <f>HEX2DEC(RIGHT(Table132321275358[[#This Row],[h1]],8))</f>
        <v>0</v>
      </c>
      <c r="Q519" s="48" t="s">
        <v>75</v>
      </c>
      <c r="R519" s="48">
        <f>HEX2DEC(RIGHT(Table132321275358[[#This Row],[h2]],8))</f>
        <v>0</v>
      </c>
    </row>
    <row r="520" spans="1:18">
      <c r="A520" s="15" t="str">
        <f t="shared" si="12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8" t="s">
        <v>75</v>
      </c>
      <c r="P520" s="48">
        <f>HEX2DEC(RIGHT(Table132321275358[[#This Row],[h1]],8))</f>
        <v>0</v>
      </c>
      <c r="Q520" s="48" t="s">
        <v>75</v>
      </c>
      <c r="R520" s="48">
        <f>HEX2DEC(RIGHT(Table132321275358[[#This Row],[h2]],8))</f>
        <v>0</v>
      </c>
    </row>
    <row r="521" spans="1:18">
      <c r="A521" s="15" t="str">
        <f t="shared" si="12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8" t="s">
        <v>75</v>
      </c>
      <c r="P521" s="48">
        <f>HEX2DEC(RIGHT(Table132321275358[[#This Row],[h1]],8))</f>
        <v>0</v>
      </c>
      <c r="Q521" s="48" t="s">
        <v>75</v>
      </c>
      <c r="R521" s="48">
        <f>HEX2DEC(RIGHT(Table132321275358[[#This Row],[h2]],8))</f>
        <v>0</v>
      </c>
    </row>
    <row r="522" spans="1:18">
      <c r="A522" s="15" t="str">
        <f t="shared" si="12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8" t="s">
        <v>75</v>
      </c>
      <c r="P522" s="48">
        <f>HEX2DEC(RIGHT(Table132321275358[[#This Row],[h1]],8))</f>
        <v>0</v>
      </c>
      <c r="Q522" s="48" t="s">
        <v>75</v>
      </c>
      <c r="R522" s="48">
        <f>HEX2DEC(RIGHT(Table132321275358[[#This Row],[h2]],8))</f>
        <v>0</v>
      </c>
    </row>
    <row r="523" spans="1:18">
      <c r="A523" s="15" t="str">
        <f t="shared" ref="A523:A586" si="13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8" t="s">
        <v>75</v>
      </c>
      <c r="P523" s="48">
        <f>HEX2DEC(RIGHT(Table132321275358[[#This Row],[h1]],8))</f>
        <v>0</v>
      </c>
      <c r="Q523" s="48" t="s">
        <v>75</v>
      </c>
      <c r="R523" s="48">
        <f>HEX2DEC(RIGHT(Table132321275358[[#This Row],[h2]],8))</f>
        <v>0</v>
      </c>
    </row>
    <row r="524" spans="1:18">
      <c r="A524" s="15" t="str">
        <f t="shared" si="13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8" t="s">
        <v>75</v>
      </c>
      <c r="P524" s="48">
        <f>HEX2DEC(RIGHT(Table132321275358[[#This Row],[h1]],8))</f>
        <v>0</v>
      </c>
      <c r="Q524" s="48" t="s">
        <v>75</v>
      </c>
      <c r="R524" s="48">
        <f>HEX2DEC(RIGHT(Table132321275358[[#This Row],[h2]],8))</f>
        <v>0</v>
      </c>
    </row>
    <row r="525" spans="1:18">
      <c r="A525" s="15" t="str">
        <f t="shared" si="13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8" t="s">
        <v>75</v>
      </c>
      <c r="P525" s="48">
        <f>HEX2DEC(RIGHT(Table132321275358[[#This Row],[h1]],8))</f>
        <v>0</v>
      </c>
      <c r="Q525" s="48" t="s">
        <v>75</v>
      </c>
      <c r="R525" s="48">
        <f>HEX2DEC(RIGHT(Table132321275358[[#This Row],[h2]],8))</f>
        <v>0</v>
      </c>
    </row>
    <row r="526" spans="1:18">
      <c r="A526" s="15" t="str">
        <f t="shared" si="13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8" t="s">
        <v>75</v>
      </c>
      <c r="P526" s="48">
        <f>HEX2DEC(RIGHT(Table132321275358[[#This Row],[h1]],8))</f>
        <v>0</v>
      </c>
      <c r="Q526" s="48" t="s">
        <v>75</v>
      </c>
      <c r="R526" s="48">
        <f>HEX2DEC(RIGHT(Table132321275358[[#This Row],[h2]],8))</f>
        <v>0</v>
      </c>
    </row>
    <row r="527" spans="1:18">
      <c r="A527" s="15" t="str">
        <f t="shared" si="13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8" t="s">
        <v>75</v>
      </c>
      <c r="P527" s="48">
        <f>HEX2DEC(RIGHT(Table132321275358[[#This Row],[h1]],8))</f>
        <v>0</v>
      </c>
      <c r="Q527" s="48" t="s">
        <v>75</v>
      </c>
      <c r="R527" s="48">
        <f>HEX2DEC(RIGHT(Table132321275358[[#This Row],[h2]],8))</f>
        <v>0</v>
      </c>
    </row>
    <row r="528" spans="1:18">
      <c r="A528" s="15" t="str">
        <f t="shared" si="13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8" t="s">
        <v>75</v>
      </c>
      <c r="P528" s="48">
        <f>HEX2DEC(RIGHT(Table132321275358[[#This Row],[h1]],8))</f>
        <v>0</v>
      </c>
      <c r="Q528" s="48" t="s">
        <v>75</v>
      </c>
      <c r="R528" s="48">
        <f>HEX2DEC(RIGHT(Table132321275358[[#This Row],[h2]],8))</f>
        <v>0</v>
      </c>
    </row>
    <row r="529" spans="1:18">
      <c r="A529" s="15" t="str">
        <f t="shared" si="13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8" t="s">
        <v>75</v>
      </c>
      <c r="P529" s="48">
        <f>HEX2DEC(RIGHT(Table132321275358[[#This Row],[h1]],8))</f>
        <v>0</v>
      </c>
      <c r="Q529" s="48" t="s">
        <v>75</v>
      </c>
      <c r="R529" s="48">
        <f>HEX2DEC(RIGHT(Table132321275358[[#This Row],[h2]],8))</f>
        <v>0</v>
      </c>
    </row>
    <row r="530" spans="1:18">
      <c r="A530" s="15" t="str">
        <f t="shared" si="13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8" t="s">
        <v>75</v>
      </c>
      <c r="P530" s="48">
        <f>HEX2DEC(RIGHT(Table132321275358[[#This Row],[h1]],8))</f>
        <v>0</v>
      </c>
      <c r="Q530" s="48" t="s">
        <v>75</v>
      </c>
      <c r="R530" s="48">
        <f>HEX2DEC(RIGHT(Table132321275358[[#This Row],[h2]],8))</f>
        <v>0</v>
      </c>
    </row>
    <row r="531" spans="1:18">
      <c r="A531" s="15" t="str">
        <f t="shared" si="13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8" t="s">
        <v>75</v>
      </c>
      <c r="P531" s="48">
        <f>HEX2DEC(RIGHT(Table132321275358[[#This Row],[h1]],8))</f>
        <v>0</v>
      </c>
      <c r="Q531" s="48" t="s">
        <v>75</v>
      </c>
      <c r="R531" s="48">
        <f>HEX2DEC(RIGHT(Table132321275358[[#This Row],[h2]],8))</f>
        <v>0</v>
      </c>
    </row>
    <row r="532" spans="1:18">
      <c r="A532" s="15" t="str">
        <f t="shared" si="13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8" t="s">
        <v>75</v>
      </c>
      <c r="P532" s="48">
        <f>HEX2DEC(RIGHT(Table132321275358[[#This Row],[h1]],8))</f>
        <v>0</v>
      </c>
      <c r="Q532" s="48" t="s">
        <v>75</v>
      </c>
      <c r="R532" s="48">
        <f>HEX2DEC(RIGHT(Table132321275358[[#This Row],[h2]],8))</f>
        <v>0</v>
      </c>
    </row>
    <row r="533" spans="1:18">
      <c r="A533" s="15" t="str">
        <f t="shared" si="13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8" t="s">
        <v>75</v>
      </c>
      <c r="P533" s="48">
        <f>HEX2DEC(RIGHT(Table132321275358[[#This Row],[h1]],8))</f>
        <v>0</v>
      </c>
      <c r="Q533" s="48" t="s">
        <v>75</v>
      </c>
      <c r="R533" s="48">
        <f>HEX2DEC(RIGHT(Table132321275358[[#This Row],[h2]],8))</f>
        <v>0</v>
      </c>
    </row>
    <row r="534" spans="1:18">
      <c r="A534" s="15" t="str">
        <f t="shared" si="13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8" t="s">
        <v>75</v>
      </c>
      <c r="P534" s="48">
        <f>HEX2DEC(RIGHT(Table132321275358[[#This Row],[h1]],8))</f>
        <v>0</v>
      </c>
      <c r="Q534" s="48" t="s">
        <v>75</v>
      </c>
      <c r="R534" s="48">
        <f>HEX2DEC(RIGHT(Table132321275358[[#This Row],[h2]],8))</f>
        <v>0</v>
      </c>
    </row>
    <row r="535" spans="1:18">
      <c r="A535" s="15" t="str">
        <f t="shared" si="13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8" t="s">
        <v>75</v>
      </c>
      <c r="P535" s="48">
        <f>HEX2DEC(RIGHT(Table132321275358[[#This Row],[h1]],8))</f>
        <v>0</v>
      </c>
      <c r="Q535" s="48" t="s">
        <v>75</v>
      </c>
      <c r="R535" s="48">
        <f>HEX2DEC(RIGHT(Table132321275358[[#This Row],[h2]],8))</f>
        <v>0</v>
      </c>
    </row>
    <row r="536" spans="1:18">
      <c r="A536" s="15" t="str">
        <f t="shared" si="13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8" t="s">
        <v>75</v>
      </c>
      <c r="P536" s="48">
        <f>HEX2DEC(RIGHT(Table132321275358[[#This Row],[h1]],8))</f>
        <v>0</v>
      </c>
      <c r="Q536" s="48" t="s">
        <v>75</v>
      </c>
      <c r="R536" s="48">
        <f>HEX2DEC(RIGHT(Table132321275358[[#This Row],[h2]],8))</f>
        <v>0</v>
      </c>
    </row>
    <row r="537" spans="1:18">
      <c r="A537" s="15" t="str">
        <f t="shared" si="13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8" t="s">
        <v>75</v>
      </c>
      <c r="P537" s="48">
        <f>HEX2DEC(RIGHT(Table132321275358[[#This Row],[h1]],8))</f>
        <v>0</v>
      </c>
      <c r="Q537" s="48" t="s">
        <v>75</v>
      </c>
      <c r="R537" s="48">
        <f>HEX2DEC(RIGHT(Table132321275358[[#This Row],[h2]],8))</f>
        <v>0</v>
      </c>
    </row>
    <row r="538" spans="1:18">
      <c r="A538" s="15" t="str">
        <f t="shared" si="13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8" t="s">
        <v>75</v>
      </c>
      <c r="P538" s="48">
        <f>HEX2DEC(RIGHT(Table132321275358[[#This Row],[h1]],8))</f>
        <v>0</v>
      </c>
      <c r="Q538" s="48" t="s">
        <v>75</v>
      </c>
      <c r="R538" s="48">
        <f>HEX2DEC(RIGHT(Table132321275358[[#This Row],[h2]],8))</f>
        <v>0</v>
      </c>
    </row>
    <row r="539" spans="1:18">
      <c r="A539" s="15" t="str">
        <f t="shared" si="13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8" t="s">
        <v>75</v>
      </c>
      <c r="P539" s="48">
        <f>HEX2DEC(RIGHT(Table132321275358[[#This Row],[h1]],8))</f>
        <v>0</v>
      </c>
      <c r="Q539" s="48" t="s">
        <v>75</v>
      </c>
      <c r="R539" s="48">
        <f>HEX2DEC(RIGHT(Table132321275358[[#This Row],[h2]],8))</f>
        <v>0</v>
      </c>
    </row>
    <row r="540" spans="1:18">
      <c r="A540" s="15" t="str">
        <f t="shared" si="13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8" t="s">
        <v>75</v>
      </c>
      <c r="P540" s="48">
        <f>HEX2DEC(RIGHT(Table132321275358[[#This Row],[h1]],8))</f>
        <v>0</v>
      </c>
      <c r="Q540" s="48" t="s">
        <v>75</v>
      </c>
      <c r="R540" s="48">
        <f>HEX2DEC(RIGHT(Table132321275358[[#This Row],[h2]],8))</f>
        <v>0</v>
      </c>
    </row>
    <row r="541" spans="1:18">
      <c r="A541" s="15" t="str">
        <f t="shared" si="13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8" t="s">
        <v>75</v>
      </c>
      <c r="P541" s="48">
        <f>HEX2DEC(RIGHT(Table132321275358[[#This Row],[h1]],8))</f>
        <v>0</v>
      </c>
      <c r="Q541" s="48" t="s">
        <v>75</v>
      </c>
      <c r="R541" s="48">
        <f>HEX2DEC(RIGHT(Table132321275358[[#This Row],[h2]],8))</f>
        <v>0</v>
      </c>
    </row>
    <row r="542" spans="1:18">
      <c r="A542" s="15" t="str">
        <f t="shared" si="13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8" t="s">
        <v>75</v>
      </c>
      <c r="P542" s="48">
        <f>HEX2DEC(RIGHT(Table132321275358[[#This Row],[h1]],8))</f>
        <v>0</v>
      </c>
      <c r="Q542" s="48" t="s">
        <v>75</v>
      </c>
      <c r="R542" s="48">
        <f>HEX2DEC(RIGHT(Table132321275358[[#This Row],[h2]],8))</f>
        <v>0</v>
      </c>
    </row>
    <row r="543" spans="1:18">
      <c r="A543" s="15" t="str">
        <f t="shared" si="13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8" t="s">
        <v>75</v>
      </c>
      <c r="P543" s="48">
        <f>HEX2DEC(RIGHT(Table132321275358[[#This Row],[h1]],8))</f>
        <v>0</v>
      </c>
      <c r="Q543" s="48" t="s">
        <v>75</v>
      </c>
      <c r="R543" s="48">
        <f>HEX2DEC(RIGHT(Table132321275358[[#This Row],[h2]],8))</f>
        <v>0</v>
      </c>
    </row>
    <row r="544" spans="1:18">
      <c r="A544" s="15" t="str">
        <f t="shared" si="13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8" t="s">
        <v>75</v>
      </c>
      <c r="P544" s="48">
        <f>HEX2DEC(RIGHT(Table132321275358[[#This Row],[h1]],8))</f>
        <v>0</v>
      </c>
      <c r="Q544" s="48" t="s">
        <v>75</v>
      </c>
      <c r="R544" s="48">
        <f>HEX2DEC(RIGHT(Table132321275358[[#This Row],[h2]],8))</f>
        <v>0</v>
      </c>
    </row>
    <row r="545" spans="1:18">
      <c r="A545" s="15" t="str">
        <f t="shared" si="13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8" t="s">
        <v>75</v>
      </c>
      <c r="P545" s="48">
        <f>HEX2DEC(RIGHT(Table132321275358[[#This Row],[h1]],8))</f>
        <v>0</v>
      </c>
      <c r="Q545" s="48" t="s">
        <v>75</v>
      </c>
      <c r="R545" s="48">
        <f>HEX2DEC(RIGHT(Table132321275358[[#This Row],[h2]],8))</f>
        <v>0</v>
      </c>
    </row>
    <row r="546" spans="1:18">
      <c r="A546" s="15" t="str">
        <f t="shared" si="13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8" t="s">
        <v>75</v>
      </c>
      <c r="P546" s="48">
        <f>HEX2DEC(RIGHT(Table132321275358[[#This Row],[h1]],8))</f>
        <v>0</v>
      </c>
      <c r="Q546" s="48" t="s">
        <v>75</v>
      </c>
      <c r="R546" s="48">
        <f>HEX2DEC(RIGHT(Table132321275358[[#This Row],[h2]],8))</f>
        <v>0</v>
      </c>
    </row>
    <row r="547" spans="1:18">
      <c r="A547" s="15" t="str">
        <f t="shared" si="13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8" t="s">
        <v>75</v>
      </c>
      <c r="P547" s="48">
        <f>HEX2DEC(RIGHT(Table132321275358[[#This Row],[h1]],8))</f>
        <v>0</v>
      </c>
      <c r="Q547" s="48" t="s">
        <v>75</v>
      </c>
      <c r="R547" s="48">
        <f>HEX2DEC(RIGHT(Table132321275358[[#This Row],[h2]],8))</f>
        <v>0</v>
      </c>
    </row>
    <row r="548" spans="1:18">
      <c r="A548" s="15" t="str">
        <f t="shared" si="13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8" t="s">
        <v>75</v>
      </c>
      <c r="P548" s="48">
        <f>HEX2DEC(RIGHT(Table132321275358[[#This Row],[h1]],8))</f>
        <v>0</v>
      </c>
      <c r="Q548" s="48" t="s">
        <v>75</v>
      </c>
      <c r="R548" s="48">
        <f>HEX2DEC(RIGHT(Table132321275358[[#This Row],[h2]],8))</f>
        <v>0</v>
      </c>
    </row>
    <row r="549" spans="1:18">
      <c r="A549" s="15" t="str">
        <f t="shared" si="13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8" t="s">
        <v>75</v>
      </c>
      <c r="P549" s="48">
        <f>HEX2DEC(RIGHT(Table132321275358[[#This Row],[h1]],8))</f>
        <v>0</v>
      </c>
      <c r="Q549" s="48" t="s">
        <v>75</v>
      </c>
      <c r="R549" s="48">
        <f>HEX2DEC(RIGHT(Table132321275358[[#This Row],[h2]],8))</f>
        <v>0</v>
      </c>
    </row>
    <row r="550" spans="1:18">
      <c r="A550" s="15" t="str">
        <f t="shared" si="13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8" t="s">
        <v>75</v>
      </c>
      <c r="P550" s="48">
        <f>HEX2DEC(RIGHT(Table132321275358[[#This Row],[h1]],8))</f>
        <v>0</v>
      </c>
      <c r="Q550" s="48" t="s">
        <v>75</v>
      </c>
      <c r="R550" s="48">
        <f>HEX2DEC(RIGHT(Table132321275358[[#This Row],[h2]],8))</f>
        <v>0</v>
      </c>
    </row>
    <row r="551" spans="1:18">
      <c r="A551" s="15" t="str">
        <f t="shared" si="13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8" t="s">
        <v>75</v>
      </c>
      <c r="P551" s="48">
        <f>HEX2DEC(RIGHT(Table132321275358[[#This Row],[h1]],8))</f>
        <v>0</v>
      </c>
      <c r="Q551" s="48" t="s">
        <v>75</v>
      </c>
      <c r="R551" s="48">
        <f>HEX2DEC(RIGHT(Table132321275358[[#This Row],[h2]],8))</f>
        <v>0</v>
      </c>
    </row>
    <row r="552" spans="1:18">
      <c r="A552" s="15" t="str">
        <f t="shared" si="13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8" t="s">
        <v>75</v>
      </c>
      <c r="P552" s="48">
        <f>HEX2DEC(RIGHT(Table132321275358[[#This Row],[h1]],8))</f>
        <v>0</v>
      </c>
      <c r="Q552" s="48" t="s">
        <v>75</v>
      </c>
      <c r="R552" s="48">
        <f>HEX2DEC(RIGHT(Table132321275358[[#This Row],[h2]],8))</f>
        <v>0</v>
      </c>
    </row>
    <row r="553" spans="1:18">
      <c r="A553" s="15" t="str">
        <f t="shared" si="13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8" t="s">
        <v>75</v>
      </c>
      <c r="P553" s="48">
        <f>HEX2DEC(RIGHT(Table132321275358[[#This Row],[h1]],8))</f>
        <v>0</v>
      </c>
      <c r="Q553" s="48" t="s">
        <v>75</v>
      </c>
      <c r="R553" s="48">
        <f>HEX2DEC(RIGHT(Table132321275358[[#This Row],[h2]],8))</f>
        <v>0</v>
      </c>
    </row>
    <row r="554" spans="1:18">
      <c r="A554" s="15" t="str">
        <f t="shared" si="13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8" t="s">
        <v>75</v>
      </c>
      <c r="P554" s="48">
        <f>HEX2DEC(RIGHT(Table132321275358[[#This Row],[h1]],8))</f>
        <v>0</v>
      </c>
      <c r="Q554" s="48" t="s">
        <v>75</v>
      </c>
      <c r="R554" s="48">
        <f>HEX2DEC(RIGHT(Table132321275358[[#This Row],[h2]],8))</f>
        <v>0</v>
      </c>
    </row>
    <row r="555" spans="1:18">
      <c r="A555" s="15" t="str">
        <f t="shared" si="13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8" t="s">
        <v>75</v>
      </c>
      <c r="P555" s="48">
        <f>HEX2DEC(RIGHT(Table132321275358[[#This Row],[h1]],8))</f>
        <v>0</v>
      </c>
      <c r="Q555" s="48" t="s">
        <v>75</v>
      </c>
      <c r="R555" s="48">
        <f>HEX2DEC(RIGHT(Table132321275358[[#This Row],[h2]],8))</f>
        <v>0</v>
      </c>
    </row>
    <row r="556" spans="1:18">
      <c r="A556" s="15" t="str">
        <f t="shared" si="13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8" t="s">
        <v>75</v>
      </c>
      <c r="P556" s="48">
        <f>HEX2DEC(RIGHT(Table132321275358[[#This Row],[h1]],8))</f>
        <v>0</v>
      </c>
      <c r="Q556" s="48" t="s">
        <v>75</v>
      </c>
      <c r="R556" s="48">
        <f>HEX2DEC(RIGHT(Table132321275358[[#This Row],[h2]],8))</f>
        <v>0</v>
      </c>
    </row>
    <row r="557" spans="1:18">
      <c r="A557" s="15" t="str">
        <f t="shared" si="13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8" t="s">
        <v>75</v>
      </c>
      <c r="P557" s="48">
        <f>HEX2DEC(RIGHT(Table132321275358[[#This Row],[h1]],8))</f>
        <v>0</v>
      </c>
      <c r="Q557" s="48" t="s">
        <v>75</v>
      </c>
      <c r="R557" s="48">
        <f>HEX2DEC(RIGHT(Table132321275358[[#This Row],[h2]],8))</f>
        <v>0</v>
      </c>
    </row>
    <row r="558" spans="1:18">
      <c r="A558" s="15" t="str">
        <f t="shared" si="13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8" t="s">
        <v>75</v>
      </c>
      <c r="P558" s="48">
        <f>HEX2DEC(RIGHT(Table132321275358[[#This Row],[h1]],8))</f>
        <v>0</v>
      </c>
      <c r="Q558" s="48" t="s">
        <v>75</v>
      </c>
      <c r="R558" s="48">
        <f>HEX2DEC(RIGHT(Table132321275358[[#This Row],[h2]],8))</f>
        <v>0</v>
      </c>
    </row>
    <row r="559" spans="1:18">
      <c r="A559" s="15" t="str">
        <f t="shared" si="13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8" t="s">
        <v>75</v>
      </c>
      <c r="P559" s="48">
        <f>HEX2DEC(RIGHT(Table132321275358[[#This Row],[h1]],8))</f>
        <v>0</v>
      </c>
      <c r="Q559" s="48" t="s">
        <v>75</v>
      </c>
      <c r="R559" s="48">
        <f>HEX2DEC(RIGHT(Table132321275358[[#This Row],[h2]],8))</f>
        <v>0</v>
      </c>
    </row>
    <row r="560" spans="1:18">
      <c r="A560" s="15" t="str">
        <f t="shared" si="13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8" t="s">
        <v>75</v>
      </c>
      <c r="P560" s="48">
        <f>HEX2DEC(RIGHT(Table132321275358[[#This Row],[h1]],8))</f>
        <v>0</v>
      </c>
      <c r="Q560" s="48" t="s">
        <v>75</v>
      </c>
      <c r="R560" s="48">
        <f>HEX2DEC(RIGHT(Table132321275358[[#This Row],[h2]],8))</f>
        <v>0</v>
      </c>
    </row>
    <row r="561" spans="1:18">
      <c r="A561" s="15" t="str">
        <f t="shared" si="13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8" t="s">
        <v>75</v>
      </c>
      <c r="P561" s="48">
        <f>HEX2DEC(RIGHT(Table132321275358[[#This Row],[h1]],8))</f>
        <v>0</v>
      </c>
      <c r="Q561" s="48" t="s">
        <v>75</v>
      </c>
      <c r="R561" s="48">
        <f>HEX2DEC(RIGHT(Table132321275358[[#This Row],[h2]],8))</f>
        <v>0</v>
      </c>
    </row>
    <row r="562" spans="1:18">
      <c r="A562" s="15" t="str">
        <f t="shared" si="13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8" t="s">
        <v>75</v>
      </c>
      <c r="P562" s="48">
        <f>HEX2DEC(RIGHT(Table132321275358[[#This Row],[h1]],8))</f>
        <v>0</v>
      </c>
      <c r="Q562" s="48" t="s">
        <v>75</v>
      </c>
      <c r="R562" s="48">
        <f>HEX2DEC(RIGHT(Table132321275358[[#This Row],[h2]],8))</f>
        <v>0</v>
      </c>
    </row>
    <row r="563" spans="1:18">
      <c r="A563" s="15" t="str">
        <f t="shared" si="13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8" t="s">
        <v>75</v>
      </c>
      <c r="P563" s="48">
        <f>HEX2DEC(RIGHT(Table132321275358[[#This Row],[h1]],8))</f>
        <v>0</v>
      </c>
      <c r="Q563" s="48" t="s">
        <v>75</v>
      </c>
      <c r="R563" s="48">
        <f>HEX2DEC(RIGHT(Table132321275358[[#This Row],[h2]],8))</f>
        <v>0</v>
      </c>
    </row>
    <row r="564" spans="1:18">
      <c r="A564" s="15" t="str">
        <f t="shared" si="13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8" t="s">
        <v>75</v>
      </c>
      <c r="P564" s="48">
        <f>HEX2DEC(RIGHT(Table132321275358[[#This Row],[h1]],8))</f>
        <v>0</v>
      </c>
      <c r="Q564" s="48" t="s">
        <v>75</v>
      </c>
      <c r="R564" s="48">
        <f>HEX2DEC(RIGHT(Table132321275358[[#This Row],[h2]],8))</f>
        <v>0</v>
      </c>
    </row>
    <row r="565" spans="1:18">
      <c r="A565" s="15" t="str">
        <f t="shared" si="13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8" t="s">
        <v>75</v>
      </c>
      <c r="P565" s="48">
        <f>HEX2DEC(RIGHT(Table132321275358[[#This Row],[h1]],8))</f>
        <v>0</v>
      </c>
      <c r="Q565" s="48" t="s">
        <v>75</v>
      </c>
      <c r="R565" s="48">
        <f>HEX2DEC(RIGHT(Table132321275358[[#This Row],[h2]],8))</f>
        <v>0</v>
      </c>
    </row>
    <row r="566" spans="1:18">
      <c r="A566" s="15" t="str">
        <f t="shared" si="13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8" t="s">
        <v>75</v>
      </c>
      <c r="P566" s="48">
        <f>HEX2DEC(RIGHT(Table132321275358[[#This Row],[h1]],8))</f>
        <v>0</v>
      </c>
      <c r="Q566" s="48" t="s">
        <v>75</v>
      </c>
      <c r="R566" s="48">
        <f>HEX2DEC(RIGHT(Table132321275358[[#This Row],[h2]],8))</f>
        <v>0</v>
      </c>
    </row>
    <row r="567" spans="1:18">
      <c r="A567" s="15" t="str">
        <f t="shared" si="13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8" t="s">
        <v>75</v>
      </c>
      <c r="P567" s="48">
        <f>HEX2DEC(RIGHT(Table132321275358[[#This Row],[h1]],8))</f>
        <v>0</v>
      </c>
      <c r="Q567" s="48" t="s">
        <v>75</v>
      </c>
      <c r="R567" s="48">
        <f>HEX2DEC(RIGHT(Table132321275358[[#This Row],[h2]],8))</f>
        <v>0</v>
      </c>
    </row>
    <row r="568" spans="1:18">
      <c r="A568" s="15" t="str">
        <f t="shared" si="13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8" t="s">
        <v>75</v>
      </c>
      <c r="P568" s="48">
        <f>HEX2DEC(RIGHT(Table132321275358[[#This Row],[h1]],8))</f>
        <v>0</v>
      </c>
      <c r="Q568" s="48" t="s">
        <v>75</v>
      </c>
      <c r="R568" s="48">
        <f>HEX2DEC(RIGHT(Table132321275358[[#This Row],[h2]],8))</f>
        <v>0</v>
      </c>
    </row>
    <row r="569" spans="1:18">
      <c r="A569" s="15" t="str">
        <f t="shared" si="13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8" t="s">
        <v>75</v>
      </c>
      <c r="P569" s="48">
        <f>HEX2DEC(RIGHT(Table132321275358[[#This Row],[h1]],8))</f>
        <v>0</v>
      </c>
      <c r="Q569" s="48" t="s">
        <v>75</v>
      </c>
      <c r="R569" s="48">
        <f>HEX2DEC(RIGHT(Table132321275358[[#This Row],[h2]],8))</f>
        <v>0</v>
      </c>
    </row>
    <row r="570" spans="1:18">
      <c r="A570" s="15" t="str">
        <f t="shared" si="13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8" t="s">
        <v>75</v>
      </c>
      <c r="P570" s="48">
        <f>HEX2DEC(RIGHT(Table132321275358[[#This Row],[h1]],8))</f>
        <v>0</v>
      </c>
      <c r="Q570" s="48" t="s">
        <v>75</v>
      </c>
      <c r="R570" s="48">
        <f>HEX2DEC(RIGHT(Table132321275358[[#This Row],[h2]],8))</f>
        <v>0</v>
      </c>
    </row>
    <row r="571" spans="1:18">
      <c r="A571" s="15" t="str">
        <f t="shared" si="13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8" t="s">
        <v>75</v>
      </c>
      <c r="P571" s="48">
        <f>HEX2DEC(RIGHT(Table132321275358[[#This Row],[h1]],8))</f>
        <v>0</v>
      </c>
      <c r="Q571" s="48" t="s">
        <v>75</v>
      </c>
      <c r="R571" s="48">
        <f>HEX2DEC(RIGHT(Table132321275358[[#This Row],[h2]],8))</f>
        <v>0</v>
      </c>
    </row>
    <row r="572" spans="1:18">
      <c r="A572" s="15" t="str">
        <f t="shared" si="13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8" t="s">
        <v>75</v>
      </c>
      <c r="P572" s="48">
        <f>HEX2DEC(RIGHT(Table132321275358[[#This Row],[h1]],8))</f>
        <v>0</v>
      </c>
      <c r="Q572" s="48" t="s">
        <v>75</v>
      </c>
      <c r="R572" s="48">
        <f>HEX2DEC(RIGHT(Table132321275358[[#This Row],[h2]],8))</f>
        <v>0</v>
      </c>
    </row>
    <row r="573" spans="1:18">
      <c r="A573" s="15" t="str">
        <f t="shared" si="13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8" t="s">
        <v>75</v>
      </c>
      <c r="P573" s="48">
        <f>HEX2DEC(RIGHT(Table132321275358[[#This Row],[h1]],8))</f>
        <v>0</v>
      </c>
      <c r="Q573" s="48" t="s">
        <v>75</v>
      </c>
      <c r="R573" s="48">
        <f>HEX2DEC(RIGHT(Table132321275358[[#This Row],[h2]],8))</f>
        <v>0</v>
      </c>
    </row>
    <row r="574" spans="1:18">
      <c r="A574" s="15" t="str">
        <f t="shared" si="13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8" t="s">
        <v>75</v>
      </c>
      <c r="P574" s="48">
        <f>HEX2DEC(RIGHT(Table132321275358[[#This Row],[h1]],8))</f>
        <v>0</v>
      </c>
      <c r="Q574" s="48" t="s">
        <v>75</v>
      </c>
      <c r="R574" s="48">
        <f>HEX2DEC(RIGHT(Table132321275358[[#This Row],[h2]],8))</f>
        <v>0</v>
      </c>
    </row>
    <row r="575" spans="1:18">
      <c r="A575" s="15" t="str">
        <f t="shared" si="13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8" t="s">
        <v>75</v>
      </c>
      <c r="P575" s="48">
        <f>HEX2DEC(RIGHT(Table132321275358[[#This Row],[h1]],8))</f>
        <v>0</v>
      </c>
      <c r="Q575" s="48" t="s">
        <v>75</v>
      </c>
      <c r="R575" s="48">
        <f>HEX2DEC(RIGHT(Table132321275358[[#This Row],[h2]],8))</f>
        <v>0</v>
      </c>
    </row>
    <row r="576" spans="1:18">
      <c r="A576" s="15" t="str">
        <f t="shared" si="13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8" t="s">
        <v>75</v>
      </c>
      <c r="P576" s="48">
        <f>HEX2DEC(RIGHT(Table132321275358[[#This Row],[h1]],8))</f>
        <v>0</v>
      </c>
      <c r="Q576" s="48" t="s">
        <v>75</v>
      </c>
      <c r="R576" s="48">
        <f>HEX2DEC(RIGHT(Table132321275358[[#This Row],[h2]],8))</f>
        <v>0</v>
      </c>
    </row>
    <row r="577" spans="1:18">
      <c r="A577" s="15" t="str">
        <f t="shared" si="13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8" t="s">
        <v>75</v>
      </c>
      <c r="P577" s="48">
        <f>HEX2DEC(RIGHT(Table132321275358[[#This Row],[h1]],8))</f>
        <v>0</v>
      </c>
      <c r="Q577" s="48" t="s">
        <v>75</v>
      </c>
      <c r="R577" s="48">
        <f>HEX2DEC(RIGHT(Table132321275358[[#This Row],[h2]],8))</f>
        <v>0</v>
      </c>
    </row>
    <row r="578" spans="1:18">
      <c r="A578" s="15" t="str">
        <f t="shared" si="13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8" t="s">
        <v>75</v>
      </c>
      <c r="P578" s="48">
        <f>HEX2DEC(RIGHT(Table132321275358[[#This Row],[h1]],8))</f>
        <v>0</v>
      </c>
      <c r="Q578" s="48" t="s">
        <v>75</v>
      </c>
      <c r="R578" s="48">
        <f>HEX2DEC(RIGHT(Table132321275358[[#This Row],[h2]],8))</f>
        <v>0</v>
      </c>
    </row>
    <row r="579" spans="1:18">
      <c r="A579" s="15" t="str">
        <f t="shared" si="13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8" t="s">
        <v>75</v>
      </c>
      <c r="P579" s="48">
        <f>HEX2DEC(RIGHT(Table132321275358[[#This Row],[h1]],8))</f>
        <v>0</v>
      </c>
      <c r="Q579" s="48" t="s">
        <v>75</v>
      </c>
      <c r="R579" s="48">
        <f>HEX2DEC(RIGHT(Table132321275358[[#This Row],[h2]],8))</f>
        <v>0</v>
      </c>
    </row>
    <row r="580" spans="1:18">
      <c r="A580" s="15" t="str">
        <f t="shared" si="13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8" t="s">
        <v>75</v>
      </c>
      <c r="P580" s="48">
        <f>HEX2DEC(RIGHT(Table132321275358[[#This Row],[h1]],8))</f>
        <v>0</v>
      </c>
      <c r="Q580" s="48" t="s">
        <v>75</v>
      </c>
      <c r="R580" s="48">
        <f>HEX2DEC(RIGHT(Table132321275358[[#This Row],[h2]],8))</f>
        <v>0</v>
      </c>
    </row>
    <row r="581" spans="1:18">
      <c r="A581" s="15" t="str">
        <f t="shared" si="13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8" t="s">
        <v>75</v>
      </c>
      <c r="P581" s="48">
        <f>HEX2DEC(RIGHT(Table132321275358[[#This Row],[h1]],8))</f>
        <v>0</v>
      </c>
      <c r="Q581" s="48" t="s">
        <v>75</v>
      </c>
      <c r="R581" s="48">
        <f>HEX2DEC(RIGHT(Table132321275358[[#This Row],[h2]],8))</f>
        <v>0</v>
      </c>
    </row>
    <row r="582" spans="1:18">
      <c r="A582" s="15" t="str">
        <f t="shared" si="13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8" t="s">
        <v>75</v>
      </c>
      <c r="P582" s="48">
        <f>HEX2DEC(RIGHT(Table132321275358[[#This Row],[h1]],8))</f>
        <v>0</v>
      </c>
      <c r="Q582" s="48" t="s">
        <v>75</v>
      </c>
      <c r="R582" s="48">
        <f>HEX2DEC(RIGHT(Table132321275358[[#This Row],[h2]],8))</f>
        <v>0</v>
      </c>
    </row>
    <row r="583" spans="1:18">
      <c r="A583" s="15" t="str">
        <f t="shared" si="13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8" t="s">
        <v>75</v>
      </c>
      <c r="P583" s="48">
        <f>HEX2DEC(RIGHT(Table132321275358[[#This Row],[h1]],8))</f>
        <v>0</v>
      </c>
      <c r="Q583" s="48" t="s">
        <v>75</v>
      </c>
      <c r="R583" s="48">
        <f>HEX2DEC(RIGHT(Table132321275358[[#This Row],[h2]],8))</f>
        <v>0</v>
      </c>
    </row>
    <row r="584" spans="1:18">
      <c r="A584" s="15" t="str">
        <f t="shared" si="13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8" t="s">
        <v>75</v>
      </c>
      <c r="P584" s="48">
        <f>HEX2DEC(RIGHT(Table132321275358[[#This Row],[h1]],8))</f>
        <v>0</v>
      </c>
      <c r="Q584" s="48" t="s">
        <v>75</v>
      </c>
      <c r="R584" s="48">
        <f>HEX2DEC(RIGHT(Table132321275358[[#This Row],[h2]],8))</f>
        <v>0</v>
      </c>
    </row>
    <row r="585" spans="1:18">
      <c r="A585" s="15" t="str">
        <f t="shared" si="13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8" t="s">
        <v>75</v>
      </c>
      <c r="P585" s="48">
        <f>HEX2DEC(RIGHT(Table132321275358[[#This Row],[h1]],8))</f>
        <v>0</v>
      </c>
      <c r="Q585" s="48" t="s">
        <v>75</v>
      </c>
      <c r="R585" s="48">
        <f>HEX2DEC(RIGHT(Table132321275358[[#This Row],[h2]],8))</f>
        <v>0</v>
      </c>
    </row>
    <row r="586" spans="1:18">
      <c r="A586" s="15" t="str">
        <f t="shared" si="13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8" t="s">
        <v>75</v>
      </c>
      <c r="P586" s="48">
        <f>HEX2DEC(RIGHT(Table132321275358[[#This Row],[h1]],8))</f>
        <v>0</v>
      </c>
      <c r="Q586" s="48" t="s">
        <v>75</v>
      </c>
      <c r="R586" s="48">
        <f>HEX2DEC(RIGHT(Table132321275358[[#This Row],[h2]],8))</f>
        <v>0</v>
      </c>
    </row>
    <row r="587" spans="1:18">
      <c r="A587" s="15" t="str">
        <f t="shared" ref="A587:A650" si="14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8" t="s">
        <v>75</v>
      </c>
      <c r="P587" s="48">
        <f>HEX2DEC(RIGHT(Table132321275358[[#This Row],[h1]],8))</f>
        <v>0</v>
      </c>
      <c r="Q587" s="48" t="s">
        <v>75</v>
      </c>
      <c r="R587" s="48">
        <f>HEX2DEC(RIGHT(Table132321275358[[#This Row],[h2]],8))</f>
        <v>0</v>
      </c>
    </row>
    <row r="588" spans="1:18">
      <c r="A588" s="15" t="str">
        <f t="shared" si="14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8" t="s">
        <v>75</v>
      </c>
      <c r="P588" s="48">
        <f>HEX2DEC(RIGHT(Table132321275358[[#This Row],[h1]],8))</f>
        <v>0</v>
      </c>
      <c r="Q588" s="48" t="s">
        <v>75</v>
      </c>
      <c r="R588" s="48">
        <f>HEX2DEC(RIGHT(Table132321275358[[#This Row],[h2]],8))</f>
        <v>0</v>
      </c>
    </row>
    <row r="589" spans="1:18">
      <c r="A589" s="15" t="str">
        <f t="shared" si="14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8" t="s">
        <v>75</v>
      </c>
      <c r="P589" s="48">
        <f>HEX2DEC(RIGHT(Table132321275358[[#This Row],[h1]],8))</f>
        <v>0</v>
      </c>
      <c r="Q589" s="48" t="s">
        <v>75</v>
      </c>
      <c r="R589" s="48">
        <f>HEX2DEC(RIGHT(Table132321275358[[#This Row],[h2]],8))</f>
        <v>0</v>
      </c>
    </row>
    <row r="590" spans="1:18">
      <c r="A590" s="15" t="str">
        <f t="shared" si="14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8" t="s">
        <v>75</v>
      </c>
      <c r="P590" s="48">
        <f>HEX2DEC(RIGHT(Table132321275358[[#This Row],[h1]],8))</f>
        <v>0</v>
      </c>
      <c r="Q590" s="48" t="s">
        <v>75</v>
      </c>
      <c r="R590" s="48">
        <f>HEX2DEC(RIGHT(Table132321275358[[#This Row],[h2]],8))</f>
        <v>0</v>
      </c>
    </row>
    <row r="591" spans="1:18">
      <c r="A591" s="15" t="str">
        <f t="shared" si="14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8" t="s">
        <v>75</v>
      </c>
      <c r="P591" s="48">
        <f>HEX2DEC(RIGHT(Table132321275358[[#This Row],[h1]],8))</f>
        <v>0</v>
      </c>
      <c r="Q591" s="48" t="s">
        <v>75</v>
      </c>
      <c r="R591" s="48">
        <f>HEX2DEC(RIGHT(Table132321275358[[#This Row],[h2]],8))</f>
        <v>0</v>
      </c>
    </row>
    <row r="592" spans="1:18">
      <c r="A592" s="15" t="str">
        <f t="shared" si="14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8" t="s">
        <v>75</v>
      </c>
      <c r="P592" s="48">
        <f>HEX2DEC(RIGHT(Table132321275358[[#This Row],[h1]],8))</f>
        <v>0</v>
      </c>
      <c r="Q592" s="48" t="s">
        <v>75</v>
      </c>
      <c r="R592" s="48">
        <f>HEX2DEC(RIGHT(Table132321275358[[#This Row],[h2]],8))</f>
        <v>0</v>
      </c>
    </row>
    <row r="593" spans="1:18">
      <c r="A593" s="15" t="str">
        <f t="shared" si="14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8" t="s">
        <v>75</v>
      </c>
      <c r="P593" s="48">
        <f>HEX2DEC(RIGHT(Table132321275358[[#This Row],[h1]],8))</f>
        <v>0</v>
      </c>
      <c r="Q593" s="48" t="s">
        <v>75</v>
      </c>
      <c r="R593" s="48">
        <f>HEX2DEC(RIGHT(Table132321275358[[#This Row],[h2]],8))</f>
        <v>0</v>
      </c>
    </row>
    <row r="594" spans="1:18">
      <c r="A594" s="15" t="str">
        <f t="shared" si="14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8" t="s">
        <v>75</v>
      </c>
      <c r="P594" s="48">
        <f>HEX2DEC(RIGHT(Table132321275358[[#This Row],[h1]],8))</f>
        <v>0</v>
      </c>
      <c r="Q594" s="48" t="s">
        <v>75</v>
      </c>
      <c r="R594" s="48">
        <f>HEX2DEC(RIGHT(Table132321275358[[#This Row],[h2]],8))</f>
        <v>0</v>
      </c>
    </row>
    <row r="595" spans="1:18">
      <c r="A595" s="15" t="str">
        <f t="shared" si="14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8" t="s">
        <v>75</v>
      </c>
      <c r="P595" s="48">
        <f>HEX2DEC(RIGHT(Table132321275358[[#This Row],[h1]],8))</f>
        <v>0</v>
      </c>
      <c r="Q595" s="48" t="s">
        <v>75</v>
      </c>
      <c r="R595" s="48">
        <f>HEX2DEC(RIGHT(Table132321275358[[#This Row],[h2]],8))</f>
        <v>0</v>
      </c>
    </row>
    <row r="596" spans="1:18">
      <c r="A596" s="15" t="str">
        <f t="shared" si="14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8" t="s">
        <v>75</v>
      </c>
      <c r="P596" s="48">
        <f>HEX2DEC(RIGHT(Table132321275358[[#This Row],[h1]],8))</f>
        <v>0</v>
      </c>
      <c r="Q596" s="48" t="s">
        <v>75</v>
      </c>
      <c r="R596" s="48">
        <f>HEX2DEC(RIGHT(Table132321275358[[#This Row],[h2]],8))</f>
        <v>0</v>
      </c>
    </row>
    <row r="597" spans="1:18">
      <c r="A597" s="15" t="str">
        <f t="shared" si="14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8" t="s">
        <v>75</v>
      </c>
      <c r="P597" s="48">
        <f>HEX2DEC(RIGHT(Table132321275358[[#This Row],[h1]],8))</f>
        <v>0</v>
      </c>
      <c r="Q597" s="48" t="s">
        <v>75</v>
      </c>
      <c r="R597" s="48">
        <f>HEX2DEC(RIGHT(Table132321275358[[#This Row],[h2]],8))</f>
        <v>0</v>
      </c>
    </row>
    <row r="598" spans="1:18">
      <c r="A598" s="15" t="str">
        <f t="shared" si="14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8" t="s">
        <v>75</v>
      </c>
      <c r="P598" s="48">
        <f>HEX2DEC(RIGHT(Table132321275358[[#This Row],[h1]],8))</f>
        <v>0</v>
      </c>
      <c r="Q598" s="48" t="s">
        <v>75</v>
      </c>
      <c r="R598" s="48">
        <f>HEX2DEC(RIGHT(Table132321275358[[#This Row],[h2]],8))</f>
        <v>0</v>
      </c>
    </row>
    <row r="599" spans="1:18">
      <c r="A599" s="15" t="str">
        <f t="shared" si="14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8" t="s">
        <v>75</v>
      </c>
      <c r="P599" s="48">
        <f>HEX2DEC(RIGHT(Table132321275358[[#This Row],[h1]],8))</f>
        <v>0</v>
      </c>
      <c r="Q599" s="48" t="s">
        <v>75</v>
      </c>
      <c r="R599" s="48">
        <f>HEX2DEC(RIGHT(Table132321275358[[#This Row],[h2]],8))</f>
        <v>0</v>
      </c>
    </row>
    <row r="600" spans="1:18">
      <c r="A600" s="15" t="str">
        <f t="shared" si="14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8" t="s">
        <v>75</v>
      </c>
      <c r="P600" s="48">
        <f>HEX2DEC(RIGHT(Table132321275358[[#This Row],[h1]],8))</f>
        <v>0</v>
      </c>
      <c r="Q600" s="48" t="s">
        <v>75</v>
      </c>
      <c r="R600" s="48">
        <f>HEX2DEC(RIGHT(Table132321275358[[#This Row],[h2]],8))</f>
        <v>0</v>
      </c>
    </row>
    <row r="601" spans="1:18">
      <c r="A601" s="15" t="str">
        <f t="shared" si="14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8" t="s">
        <v>75</v>
      </c>
      <c r="P601" s="48">
        <f>HEX2DEC(RIGHT(Table132321275358[[#This Row],[h1]],8))</f>
        <v>0</v>
      </c>
      <c r="Q601" s="48" t="s">
        <v>75</v>
      </c>
      <c r="R601" s="48">
        <f>HEX2DEC(RIGHT(Table132321275358[[#This Row],[h2]],8))</f>
        <v>0</v>
      </c>
    </row>
    <row r="602" spans="1:18">
      <c r="A602" s="15" t="str">
        <f t="shared" si="14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8" t="s">
        <v>75</v>
      </c>
      <c r="P602" s="48">
        <f>HEX2DEC(RIGHT(Table132321275358[[#This Row],[h1]],8))</f>
        <v>0</v>
      </c>
      <c r="Q602" s="48" t="s">
        <v>75</v>
      </c>
      <c r="R602" s="48">
        <f>HEX2DEC(RIGHT(Table132321275358[[#This Row],[h2]],8))</f>
        <v>0</v>
      </c>
    </row>
    <row r="603" spans="1:18">
      <c r="A603" s="15" t="str">
        <f t="shared" si="14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8" t="s">
        <v>75</v>
      </c>
      <c r="P603" s="48">
        <f>HEX2DEC(RIGHT(Table132321275358[[#This Row],[h1]],8))</f>
        <v>0</v>
      </c>
      <c r="Q603" s="48" t="s">
        <v>75</v>
      </c>
      <c r="R603" s="48">
        <f>HEX2DEC(RIGHT(Table132321275358[[#This Row],[h2]],8))</f>
        <v>0</v>
      </c>
    </row>
    <row r="604" spans="1:18">
      <c r="A604" s="15" t="str">
        <f t="shared" si="14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8" t="s">
        <v>75</v>
      </c>
      <c r="P604" s="48">
        <f>HEX2DEC(RIGHT(Table132321275358[[#This Row],[h1]],8))</f>
        <v>0</v>
      </c>
      <c r="Q604" s="48" t="s">
        <v>75</v>
      </c>
      <c r="R604" s="48">
        <f>HEX2DEC(RIGHT(Table132321275358[[#This Row],[h2]],8))</f>
        <v>0</v>
      </c>
    </row>
    <row r="605" spans="1:18">
      <c r="A605" s="15" t="str">
        <f t="shared" si="14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8" t="s">
        <v>75</v>
      </c>
      <c r="P605" s="48">
        <f>HEX2DEC(RIGHT(Table132321275358[[#This Row],[h1]],8))</f>
        <v>0</v>
      </c>
      <c r="Q605" s="48" t="s">
        <v>75</v>
      </c>
      <c r="R605" s="48">
        <f>HEX2DEC(RIGHT(Table132321275358[[#This Row],[h2]],8))</f>
        <v>0</v>
      </c>
    </row>
    <row r="606" spans="1:18">
      <c r="A606" s="15" t="str">
        <f t="shared" si="14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8" t="s">
        <v>75</v>
      </c>
      <c r="P606" s="48">
        <f>HEX2DEC(RIGHT(Table132321275358[[#This Row],[h1]],8))</f>
        <v>0</v>
      </c>
      <c r="Q606" s="48" t="s">
        <v>75</v>
      </c>
      <c r="R606" s="48">
        <f>HEX2DEC(RIGHT(Table132321275358[[#This Row],[h2]],8))</f>
        <v>0</v>
      </c>
    </row>
    <row r="607" spans="1:18">
      <c r="A607" s="15" t="str">
        <f t="shared" si="14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8" t="s">
        <v>75</v>
      </c>
      <c r="P607" s="48">
        <f>HEX2DEC(RIGHT(Table132321275358[[#This Row],[h1]],8))</f>
        <v>0</v>
      </c>
      <c r="Q607" s="48" t="s">
        <v>75</v>
      </c>
      <c r="R607" s="48">
        <f>HEX2DEC(RIGHT(Table132321275358[[#This Row],[h2]],8))</f>
        <v>0</v>
      </c>
    </row>
    <row r="608" spans="1:18">
      <c r="A608" s="15" t="str">
        <f t="shared" si="14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8" t="s">
        <v>75</v>
      </c>
      <c r="P608" s="48">
        <f>HEX2DEC(RIGHT(Table132321275358[[#This Row],[h1]],8))</f>
        <v>0</v>
      </c>
      <c r="Q608" s="48" t="s">
        <v>75</v>
      </c>
      <c r="R608" s="48">
        <f>HEX2DEC(RIGHT(Table132321275358[[#This Row],[h2]],8))</f>
        <v>0</v>
      </c>
    </row>
    <row r="609" spans="1:18">
      <c r="A609" s="15" t="str">
        <f t="shared" si="14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8" t="s">
        <v>75</v>
      </c>
      <c r="P609" s="48">
        <f>HEX2DEC(RIGHT(Table132321275358[[#This Row],[h1]],8))</f>
        <v>0</v>
      </c>
      <c r="Q609" s="48" t="s">
        <v>75</v>
      </c>
      <c r="R609" s="48">
        <f>HEX2DEC(RIGHT(Table132321275358[[#This Row],[h2]],8))</f>
        <v>0</v>
      </c>
    </row>
    <row r="610" spans="1:18">
      <c r="A610" s="15" t="str">
        <f t="shared" si="14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8" t="s">
        <v>75</v>
      </c>
      <c r="P610" s="48">
        <f>HEX2DEC(RIGHT(Table132321275358[[#This Row],[h1]],8))</f>
        <v>0</v>
      </c>
      <c r="Q610" s="48" t="s">
        <v>75</v>
      </c>
      <c r="R610" s="48">
        <f>HEX2DEC(RIGHT(Table132321275358[[#This Row],[h2]],8))</f>
        <v>0</v>
      </c>
    </row>
    <row r="611" spans="1:18">
      <c r="A611" s="15" t="str">
        <f t="shared" si="14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8" t="s">
        <v>75</v>
      </c>
      <c r="P611" s="48">
        <f>HEX2DEC(RIGHT(Table132321275358[[#This Row],[h1]],8))</f>
        <v>0</v>
      </c>
      <c r="Q611" s="48" t="s">
        <v>75</v>
      </c>
      <c r="R611" s="48">
        <f>HEX2DEC(RIGHT(Table132321275358[[#This Row],[h2]],8))</f>
        <v>0</v>
      </c>
    </row>
    <row r="612" spans="1:18">
      <c r="A612" s="15" t="str">
        <f t="shared" si="14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8" t="s">
        <v>75</v>
      </c>
      <c r="P612" s="48">
        <f>HEX2DEC(RIGHT(Table132321275358[[#This Row],[h1]],8))</f>
        <v>0</v>
      </c>
      <c r="Q612" s="48" t="s">
        <v>75</v>
      </c>
      <c r="R612" s="48">
        <f>HEX2DEC(RIGHT(Table132321275358[[#This Row],[h2]],8))</f>
        <v>0</v>
      </c>
    </row>
    <row r="613" spans="1:18">
      <c r="A613" s="15" t="str">
        <f t="shared" si="14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8" t="s">
        <v>75</v>
      </c>
      <c r="P613" s="48">
        <f>HEX2DEC(RIGHT(Table132321275358[[#This Row],[h1]],8))</f>
        <v>0</v>
      </c>
      <c r="Q613" s="48" t="s">
        <v>75</v>
      </c>
      <c r="R613" s="48">
        <f>HEX2DEC(RIGHT(Table132321275358[[#This Row],[h2]],8))</f>
        <v>0</v>
      </c>
    </row>
    <row r="614" spans="1:18">
      <c r="A614" s="15" t="str">
        <f t="shared" si="14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8" t="s">
        <v>75</v>
      </c>
      <c r="P614" s="48">
        <f>HEX2DEC(RIGHT(Table132321275358[[#This Row],[h1]],8))</f>
        <v>0</v>
      </c>
      <c r="Q614" s="48" t="s">
        <v>75</v>
      </c>
      <c r="R614" s="48">
        <f>HEX2DEC(RIGHT(Table132321275358[[#This Row],[h2]],8))</f>
        <v>0</v>
      </c>
    </row>
    <row r="615" spans="1:18">
      <c r="A615" s="15" t="str">
        <f t="shared" si="14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8" t="s">
        <v>75</v>
      </c>
      <c r="P615" s="48">
        <f>HEX2DEC(RIGHT(Table132321275358[[#This Row],[h1]],8))</f>
        <v>0</v>
      </c>
      <c r="Q615" s="48" t="s">
        <v>75</v>
      </c>
      <c r="R615" s="48">
        <f>HEX2DEC(RIGHT(Table132321275358[[#This Row],[h2]],8))</f>
        <v>0</v>
      </c>
    </row>
    <row r="616" spans="1:18">
      <c r="A616" s="15" t="str">
        <f t="shared" si="14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8" t="s">
        <v>75</v>
      </c>
      <c r="P616" s="48">
        <f>HEX2DEC(RIGHT(Table132321275358[[#This Row],[h1]],8))</f>
        <v>0</v>
      </c>
      <c r="Q616" s="48" t="s">
        <v>75</v>
      </c>
      <c r="R616" s="48">
        <f>HEX2DEC(RIGHT(Table132321275358[[#This Row],[h2]],8))</f>
        <v>0</v>
      </c>
    </row>
    <row r="617" spans="1:18">
      <c r="A617" s="15" t="str">
        <f t="shared" si="14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8" t="s">
        <v>75</v>
      </c>
      <c r="P617" s="48">
        <f>HEX2DEC(RIGHT(Table132321275358[[#This Row],[h1]],8))</f>
        <v>0</v>
      </c>
      <c r="Q617" s="48" t="s">
        <v>75</v>
      </c>
      <c r="R617" s="48">
        <f>HEX2DEC(RIGHT(Table132321275358[[#This Row],[h2]],8))</f>
        <v>0</v>
      </c>
    </row>
    <row r="618" spans="1:18">
      <c r="A618" s="15" t="str">
        <f t="shared" si="14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8" t="s">
        <v>75</v>
      </c>
      <c r="P618" s="48">
        <f>HEX2DEC(RIGHT(Table132321275358[[#This Row],[h1]],8))</f>
        <v>0</v>
      </c>
      <c r="Q618" s="48" t="s">
        <v>75</v>
      </c>
      <c r="R618" s="48">
        <f>HEX2DEC(RIGHT(Table132321275358[[#This Row],[h2]],8))</f>
        <v>0</v>
      </c>
    </row>
    <row r="619" spans="1:18">
      <c r="A619" s="15" t="str">
        <f t="shared" si="14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8" t="s">
        <v>75</v>
      </c>
      <c r="P619" s="48">
        <f>HEX2DEC(RIGHT(Table132321275358[[#This Row],[h1]],8))</f>
        <v>0</v>
      </c>
      <c r="Q619" s="48" t="s">
        <v>75</v>
      </c>
      <c r="R619" s="48">
        <f>HEX2DEC(RIGHT(Table132321275358[[#This Row],[h2]],8))</f>
        <v>0</v>
      </c>
    </row>
    <row r="620" spans="1:18">
      <c r="A620" s="15" t="str">
        <f t="shared" si="14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8" t="s">
        <v>75</v>
      </c>
      <c r="P620" s="48">
        <f>HEX2DEC(RIGHT(Table132321275358[[#This Row],[h1]],8))</f>
        <v>0</v>
      </c>
      <c r="Q620" s="48" t="s">
        <v>75</v>
      </c>
      <c r="R620" s="48">
        <f>HEX2DEC(RIGHT(Table132321275358[[#This Row],[h2]],8))</f>
        <v>0</v>
      </c>
    </row>
    <row r="621" spans="1:18">
      <c r="A621" s="15" t="str">
        <f t="shared" si="14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8" t="s">
        <v>75</v>
      </c>
      <c r="P621" s="48">
        <f>HEX2DEC(RIGHT(Table132321275358[[#This Row],[h1]],8))</f>
        <v>0</v>
      </c>
      <c r="Q621" s="48" t="s">
        <v>75</v>
      </c>
      <c r="R621" s="48">
        <f>HEX2DEC(RIGHT(Table132321275358[[#This Row],[h2]],8))</f>
        <v>0</v>
      </c>
    </row>
    <row r="622" spans="1:18">
      <c r="A622" s="15" t="str">
        <f t="shared" si="14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8" t="s">
        <v>75</v>
      </c>
      <c r="P622" s="48">
        <f>HEX2DEC(RIGHT(Table132321275358[[#This Row],[h1]],8))</f>
        <v>0</v>
      </c>
      <c r="Q622" s="48" t="s">
        <v>75</v>
      </c>
      <c r="R622" s="48">
        <f>HEX2DEC(RIGHT(Table132321275358[[#This Row],[h2]],8))</f>
        <v>0</v>
      </c>
    </row>
    <row r="623" spans="1:18">
      <c r="A623" s="15" t="str">
        <f t="shared" si="14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8" t="s">
        <v>75</v>
      </c>
      <c r="P623" s="48">
        <f>HEX2DEC(RIGHT(Table132321275358[[#This Row],[h1]],8))</f>
        <v>0</v>
      </c>
      <c r="Q623" s="48" t="s">
        <v>75</v>
      </c>
      <c r="R623" s="48">
        <f>HEX2DEC(RIGHT(Table132321275358[[#This Row],[h2]],8))</f>
        <v>0</v>
      </c>
    </row>
    <row r="624" spans="1:18">
      <c r="A624" s="15" t="str">
        <f t="shared" si="14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8" t="s">
        <v>75</v>
      </c>
      <c r="P624" s="48">
        <f>HEX2DEC(RIGHT(Table132321275358[[#This Row],[h1]],8))</f>
        <v>0</v>
      </c>
      <c r="Q624" s="48" t="s">
        <v>75</v>
      </c>
      <c r="R624" s="48">
        <f>HEX2DEC(RIGHT(Table132321275358[[#This Row],[h2]],8))</f>
        <v>0</v>
      </c>
    </row>
    <row r="625" spans="1:18">
      <c r="A625" s="15" t="str">
        <f t="shared" si="14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8" t="s">
        <v>75</v>
      </c>
      <c r="P625" s="48">
        <f>HEX2DEC(RIGHT(Table132321275358[[#This Row],[h1]],8))</f>
        <v>0</v>
      </c>
      <c r="Q625" s="48" t="s">
        <v>75</v>
      </c>
      <c r="R625" s="48">
        <f>HEX2DEC(RIGHT(Table132321275358[[#This Row],[h2]],8))</f>
        <v>0</v>
      </c>
    </row>
    <row r="626" spans="1:18">
      <c r="A626" s="15" t="str">
        <f t="shared" si="14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8" t="s">
        <v>75</v>
      </c>
      <c r="P626" s="48">
        <f>HEX2DEC(RIGHT(Table132321275358[[#This Row],[h1]],8))</f>
        <v>0</v>
      </c>
      <c r="Q626" s="48" t="s">
        <v>75</v>
      </c>
      <c r="R626" s="48">
        <f>HEX2DEC(RIGHT(Table132321275358[[#This Row],[h2]],8))</f>
        <v>0</v>
      </c>
    </row>
    <row r="627" spans="1:18">
      <c r="A627" s="15" t="str">
        <f t="shared" si="14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8" t="s">
        <v>75</v>
      </c>
      <c r="P627" s="48">
        <f>HEX2DEC(RIGHT(Table132321275358[[#This Row],[h1]],8))</f>
        <v>0</v>
      </c>
      <c r="Q627" s="48" t="s">
        <v>75</v>
      </c>
      <c r="R627" s="48">
        <f>HEX2DEC(RIGHT(Table132321275358[[#This Row],[h2]],8))</f>
        <v>0</v>
      </c>
    </row>
    <row r="628" spans="1:18">
      <c r="A628" s="15" t="str">
        <f t="shared" si="14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8" t="s">
        <v>75</v>
      </c>
      <c r="P628" s="48">
        <f>HEX2DEC(RIGHT(Table132321275358[[#This Row],[h1]],8))</f>
        <v>0</v>
      </c>
      <c r="Q628" s="48" t="s">
        <v>75</v>
      </c>
      <c r="R628" s="48">
        <f>HEX2DEC(RIGHT(Table132321275358[[#This Row],[h2]],8))</f>
        <v>0</v>
      </c>
    </row>
    <row r="629" spans="1:18">
      <c r="A629" s="15" t="str">
        <f t="shared" si="14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8" t="s">
        <v>75</v>
      </c>
      <c r="P629" s="48">
        <f>HEX2DEC(RIGHT(Table132321275358[[#This Row],[h1]],8))</f>
        <v>0</v>
      </c>
      <c r="Q629" s="48" t="s">
        <v>75</v>
      </c>
      <c r="R629" s="48">
        <f>HEX2DEC(RIGHT(Table132321275358[[#This Row],[h2]],8))</f>
        <v>0</v>
      </c>
    </row>
    <row r="630" spans="1:18">
      <c r="A630" s="15" t="str">
        <f t="shared" si="14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8" t="s">
        <v>75</v>
      </c>
      <c r="P630" s="48">
        <f>HEX2DEC(RIGHT(Table132321275358[[#This Row],[h1]],8))</f>
        <v>0</v>
      </c>
      <c r="Q630" s="48" t="s">
        <v>75</v>
      </c>
      <c r="R630" s="48">
        <f>HEX2DEC(RIGHT(Table132321275358[[#This Row],[h2]],8))</f>
        <v>0</v>
      </c>
    </row>
    <row r="631" spans="1:18">
      <c r="A631" s="15" t="str">
        <f t="shared" si="14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8" t="s">
        <v>75</v>
      </c>
      <c r="P631" s="48">
        <f>HEX2DEC(RIGHT(Table132321275358[[#This Row],[h1]],8))</f>
        <v>0</v>
      </c>
      <c r="Q631" s="48" t="s">
        <v>75</v>
      </c>
      <c r="R631" s="48">
        <f>HEX2DEC(RIGHT(Table132321275358[[#This Row],[h2]],8))</f>
        <v>0</v>
      </c>
    </row>
    <row r="632" spans="1:18">
      <c r="A632" s="15" t="str">
        <f t="shared" si="14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8" t="s">
        <v>75</v>
      </c>
      <c r="P632" s="48">
        <f>HEX2DEC(RIGHT(Table132321275358[[#This Row],[h1]],8))</f>
        <v>0</v>
      </c>
      <c r="Q632" s="48" t="s">
        <v>75</v>
      </c>
      <c r="R632" s="48">
        <f>HEX2DEC(RIGHT(Table132321275358[[#This Row],[h2]],8))</f>
        <v>0</v>
      </c>
    </row>
    <row r="633" spans="1:18">
      <c r="A633" s="15" t="str">
        <f t="shared" si="14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8" t="s">
        <v>75</v>
      </c>
      <c r="P633" s="48">
        <f>HEX2DEC(RIGHT(Table132321275358[[#This Row],[h1]],8))</f>
        <v>0</v>
      </c>
      <c r="Q633" s="48" t="s">
        <v>75</v>
      </c>
      <c r="R633" s="48">
        <f>HEX2DEC(RIGHT(Table132321275358[[#This Row],[h2]],8))</f>
        <v>0</v>
      </c>
    </row>
    <row r="634" spans="1:18">
      <c r="A634" s="15" t="str">
        <f t="shared" si="14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8" t="s">
        <v>75</v>
      </c>
      <c r="P634" s="48">
        <f>HEX2DEC(RIGHT(Table132321275358[[#This Row],[h1]],8))</f>
        <v>0</v>
      </c>
      <c r="Q634" s="48" t="s">
        <v>75</v>
      </c>
      <c r="R634" s="48">
        <f>HEX2DEC(RIGHT(Table132321275358[[#This Row],[h2]],8))</f>
        <v>0</v>
      </c>
    </row>
    <row r="635" spans="1:18">
      <c r="A635" s="15" t="str">
        <f t="shared" si="14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8" t="s">
        <v>75</v>
      </c>
      <c r="P635" s="48">
        <f>HEX2DEC(RIGHT(Table132321275358[[#This Row],[h1]],8))</f>
        <v>0</v>
      </c>
      <c r="Q635" s="48" t="s">
        <v>75</v>
      </c>
      <c r="R635" s="48">
        <f>HEX2DEC(RIGHT(Table132321275358[[#This Row],[h2]],8))</f>
        <v>0</v>
      </c>
    </row>
    <row r="636" spans="1:18">
      <c r="A636" s="15" t="str">
        <f t="shared" si="14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8" t="s">
        <v>75</v>
      </c>
      <c r="P636" s="48">
        <f>HEX2DEC(RIGHT(Table132321275358[[#This Row],[h1]],8))</f>
        <v>0</v>
      </c>
      <c r="Q636" s="48" t="s">
        <v>75</v>
      </c>
      <c r="R636" s="48">
        <f>HEX2DEC(RIGHT(Table132321275358[[#This Row],[h2]],8))</f>
        <v>0</v>
      </c>
    </row>
    <row r="637" spans="1:18">
      <c r="A637" s="15" t="str">
        <f t="shared" si="14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8" t="s">
        <v>75</v>
      </c>
      <c r="P637" s="48">
        <f>HEX2DEC(RIGHT(Table132321275358[[#This Row],[h1]],8))</f>
        <v>0</v>
      </c>
      <c r="Q637" s="48" t="s">
        <v>75</v>
      </c>
      <c r="R637" s="48">
        <f>HEX2DEC(RIGHT(Table132321275358[[#This Row],[h2]],8))</f>
        <v>0</v>
      </c>
    </row>
    <row r="638" spans="1:18">
      <c r="A638" s="15" t="str">
        <f t="shared" si="14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8" t="s">
        <v>75</v>
      </c>
      <c r="P638" s="48">
        <f>HEX2DEC(RIGHT(Table132321275358[[#This Row],[h1]],8))</f>
        <v>0</v>
      </c>
      <c r="Q638" s="48" t="s">
        <v>75</v>
      </c>
      <c r="R638" s="48">
        <f>HEX2DEC(RIGHT(Table132321275358[[#This Row],[h2]],8))</f>
        <v>0</v>
      </c>
    </row>
    <row r="639" spans="1:18">
      <c r="A639" s="15" t="str">
        <f t="shared" si="14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8" t="s">
        <v>75</v>
      </c>
      <c r="P639" s="48">
        <f>HEX2DEC(RIGHT(Table132321275358[[#This Row],[h1]],8))</f>
        <v>0</v>
      </c>
      <c r="Q639" s="48" t="s">
        <v>75</v>
      </c>
      <c r="R639" s="48">
        <f>HEX2DEC(RIGHT(Table132321275358[[#This Row],[h2]],8))</f>
        <v>0</v>
      </c>
    </row>
    <row r="640" spans="1:18">
      <c r="A640" s="15" t="str">
        <f t="shared" si="14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8" t="s">
        <v>75</v>
      </c>
      <c r="P640" s="48">
        <f>HEX2DEC(RIGHT(Table132321275358[[#This Row],[h1]],8))</f>
        <v>0</v>
      </c>
      <c r="Q640" s="48" t="s">
        <v>75</v>
      </c>
      <c r="R640" s="48">
        <f>HEX2DEC(RIGHT(Table132321275358[[#This Row],[h2]],8))</f>
        <v>0</v>
      </c>
    </row>
    <row r="641" spans="1:18">
      <c r="A641" s="15" t="str">
        <f t="shared" si="14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8" t="s">
        <v>75</v>
      </c>
      <c r="P641" s="48">
        <f>HEX2DEC(RIGHT(Table132321275358[[#This Row],[h1]],8))</f>
        <v>0</v>
      </c>
      <c r="Q641" s="48" t="s">
        <v>75</v>
      </c>
      <c r="R641" s="48">
        <f>HEX2DEC(RIGHT(Table132321275358[[#This Row],[h2]],8))</f>
        <v>0</v>
      </c>
    </row>
    <row r="642" spans="1:18">
      <c r="A642" s="15" t="str">
        <f t="shared" si="14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8" t="s">
        <v>75</v>
      </c>
      <c r="P642" s="48">
        <f>HEX2DEC(RIGHT(Table132321275358[[#This Row],[h1]],8))</f>
        <v>0</v>
      </c>
      <c r="Q642" s="48" t="s">
        <v>75</v>
      </c>
      <c r="R642" s="48">
        <f>HEX2DEC(RIGHT(Table132321275358[[#This Row],[h2]],8))</f>
        <v>0</v>
      </c>
    </row>
    <row r="643" spans="1:18">
      <c r="A643" s="15" t="str">
        <f t="shared" si="14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8" t="s">
        <v>75</v>
      </c>
      <c r="P643" s="48">
        <f>HEX2DEC(RIGHT(Table132321275358[[#This Row],[h1]],8))</f>
        <v>0</v>
      </c>
      <c r="Q643" s="48" t="s">
        <v>75</v>
      </c>
      <c r="R643" s="48">
        <f>HEX2DEC(RIGHT(Table132321275358[[#This Row],[h2]],8))</f>
        <v>0</v>
      </c>
    </row>
    <row r="644" spans="1:18">
      <c r="A644" s="15" t="str">
        <f t="shared" si="14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8" t="s">
        <v>75</v>
      </c>
      <c r="P644" s="48">
        <f>HEX2DEC(RIGHT(Table132321275358[[#This Row],[h1]],8))</f>
        <v>0</v>
      </c>
      <c r="Q644" s="48" t="s">
        <v>75</v>
      </c>
      <c r="R644" s="48">
        <f>HEX2DEC(RIGHT(Table132321275358[[#This Row],[h2]],8))</f>
        <v>0</v>
      </c>
    </row>
    <row r="645" spans="1:18">
      <c r="A645" s="15" t="str">
        <f t="shared" si="14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8" t="s">
        <v>75</v>
      </c>
      <c r="P645" s="48">
        <f>HEX2DEC(RIGHT(Table132321275358[[#This Row],[h1]],8))</f>
        <v>0</v>
      </c>
      <c r="Q645" s="48" t="s">
        <v>75</v>
      </c>
      <c r="R645" s="48">
        <f>HEX2DEC(RIGHT(Table132321275358[[#This Row],[h2]],8))</f>
        <v>0</v>
      </c>
    </row>
    <row r="646" spans="1:18">
      <c r="A646" s="15" t="str">
        <f t="shared" si="14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8" t="s">
        <v>75</v>
      </c>
      <c r="P646" s="48">
        <f>HEX2DEC(RIGHT(Table132321275358[[#This Row],[h1]],8))</f>
        <v>0</v>
      </c>
      <c r="Q646" s="48" t="s">
        <v>75</v>
      </c>
      <c r="R646" s="48">
        <f>HEX2DEC(RIGHT(Table132321275358[[#This Row],[h2]],8))</f>
        <v>0</v>
      </c>
    </row>
    <row r="647" spans="1:18">
      <c r="A647" s="15" t="str">
        <f t="shared" si="14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8" t="s">
        <v>75</v>
      </c>
      <c r="P647" s="48">
        <f>HEX2DEC(RIGHT(Table132321275358[[#This Row],[h1]],8))</f>
        <v>0</v>
      </c>
      <c r="Q647" s="48" t="s">
        <v>75</v>
      </c>
      <c r="R647" s="48">
        <f>HEX2DEC(RIGHT(Table132321275358[[#This Row],[h2]],8))</f>
        <v>0</v>
      </c>
    </row>
    <row r="648" spans="1:18">
      <c r="A648" s="15" t="str">
        <f t="shared" si="14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8" t="s">
        <v>75</v>
      </c>
      <c r="P648" s="48">
        <f>HEX2DEC(RIGHT(Table132321275358[[#This Row],[h1]],8))</f>
        <v>0</v>
      </c>
      <c r="Q648" s="48" t="s">
        <v>75</v>
      </c>
      <c r="R648" s="48">
        <f>HEX2DEC(RIGHT(Table132321275358[[#This Row],[h2]],8))</f>
        <v>0</v>
      </c>
    </row>
    <row r="649" spans="1:18">
      <c r="A649" s="15" t="str">
        <f t="shared" si="14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8" t="s">
        <v>75</v>
      </c>
      <c r="P649" s="48">
        <f>HEX2DEC(RIGHT(Table132321275358[[#This Row],[h1]],8))</f>
        <v>0</v>
      </c>
      <c r="Q649" s="48" t="s">
        <v>75</v>
      </c>
      <c r="R649" s="48">
        <f>HEX2DEC(RIGHT(Table132321275358[[#This Row],[h2]],8))</f>
        <v>0</v>
      </c>
    </row>
    <row r="650" spans="1:18">
      <c r="A650" s="15" t="str">
        <f t="shared" si="14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8" t="s">
        <v>75</v>
      </c>
      <c r="P650" s="48">
        <f>HEX2DEC(RIGHT(Table132321275358[[#This Row],[h1]],8))</f>
        <v>0</v>
      </c>
      <c r="Q650" s="48" t="s">
        <v>75</v>
      </c>
      <c r="R650" s="48">
        <f>HEX2DEC(RIGHT(Table132321275358[[#This Row],[h2]],8))</f>
        <v>0</v>
      </c>
    </row>
    <row r="651" spans="1:18">
      <c r="A651" s="15" t="str">
        <f t="shared" ref="A651:A714" si="15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8" t="s">
        <v>75</v>
      </c>
      <c r="P651" s="48">
        <f>HEX2DEC(RIGHT(Table132321275358[[#This Row],[h1]],8))</f>
        <v>0</v>
      </c>
      <c r="Q651" s="48" t="s">
        <v>75</v>
      </c>
      <c r="R651" s="48">
        <f>HEX2DEC(RIGHT(Table132321275358[[#This Row],[h2]],8))</f>
        <v>0</v>
      </c>
    </row>
    <row r="652" spans="1:18">
      <c r="A652" s="15" t="str">
        <f t="shared" si="15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8" t="s">
        <v>75</v>
      </c>
      <c r="P652" s="48">
        <f>HEX2DEC(RIGHT(Table132321275358[[#This Row],[h1]],8))</f>
        <v>0</v>
      </c>
      <c r="Q652" s="48" t="s">
        <v>75</v>
      </c>
      <c r="R652" s="48">
        <f>HEX2DEC(RIGHT(Table132321275358[[#This Row],[h2]],8))</f>
        <v>0</v>
      </c>
    </row>
    <row r="653" spans="1:18">
      <c r="A653" s="15" t="str">
        <f t="shared" si="15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8" t="s">
        <v>75</v>
      </c>
      <c r="P653" s="48">
        <f>HEX2DEC(RIGHT(Table132321275358[[#This Row],[h1]],8))</f>
        <v>0</v>
      </c>
      <c r="Q653" s="48" t="s">
        <v>75</v>
      </c>
      <c r="R653" s="48">
        <f>HEX2DEC(RIGHT(Table132321275358[[#This Row],[h2]],8))</f>
        <v>0</v>
      </c>
    </row>
    <row r="654" spans="1:18">
      <c r="A654" s="15" t="str">
        <f t="shared" si="15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8" t="s">
        <v>75</v>
      </c>
      <c r="P654" s="48">
        <f>HEX2DEC(RIGHT(Table132321275358[[#This Row],[h1]],8))</f>
        <v>0</v>
      </c>
      <c r="Q654" s="48" t="s">
        <v>75</v>
      </c>
      <c r="R654" s="48">
        <f>HEX2DEC(RIGHT(Table132321275358[[#This Row],[h2]],8))</f>
        <v>0</v>
      </c>
    </row>
    <row r="655" spans="1:18">
      <c r="A655" s="15" t="str">
        <f t="shared" si="15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8" t="s">
        <v>75</v>
      </c>
      <c r="P655" s="48">
        <f>HEX2DEC(RIGHT(Table132321275358[[#This Row],[h1]],8))</f>
        <v>0</v>
      </c>
      <c r="Q655" s="48" t="s">
        <v>75</v>
      </c>
      <c r="R655" s="48">
        <f>HEX2DEC(RIGHT(Table132321275358[[#This Row],[h2]],8))</f>
        <v>0</v>
      </c>
    </row>
    <row r="656" spans="1:18">
      <c r="A656" s="15" t="str">
        <f t="shared" si="15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8" t="s">
        <v>75</v>
      </c>
      <c r="P656" s="48">
        <f>HEX2DEC(RIGHT(Table132321275358[[#This Row],[h1]],8))</f>
        <v>0</v>
      </c>
      <c r="Q656" s="48" t="s">
        <v>75</v>
      </c>
      <c r="R656" s="48">
        <f>HEX2DEC(RIGHT(Table132321275358[[#This Row],[h2]],8))</f>
        <v>0</v>
      </c>
    </row>
    <row r="657" spans="1:18">
      <c r="A657" s="15" t="str">
        <f t="shared" si="15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8" t="s">
        <v>75</v>
      </c>
      <c r="P657" s="48">
        <f>HEX2DEC(RIGHT(Table132321275358[[#This Row],[h1]],8))</f>
        <v>0</v>
      </c>
      <c r="Q657" s="48" t="s">
        <v>75</v>
      </c>
      <c r="R657" s="48">
        <f>HEX2DEC(RIGHT(Table132321275358[[#This Row],[h2]],8))</f>
        <v>0</v>
      </c>
    </row>
    <row r="658" spans="1:18">
      <c r="A658" s="15" t="str">
        <f t="shared" si="15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8" t="s">
        <v>75</v>
      </c>
      <c r="P658" s="48">
        <f>HEX2DEC(RIGHT(Table132321275358[[#This Row],[h1]],8))</f>
        <v>0</v>
      </c>
      <c r="Q658" s="48" t="s">
        <v>75</v>
      </c>
      <c r="R658" s="48">
        <f>HEX2DEC(RIGHT(Table132321275358[[#This Row],[h2]],8))</f>
        <v>0</v>
      </c>
    </row>
    <row r="659" spans="1:18">
      <c r="A659" s="15" t="str">
        <f t="shared" si="15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8" t="s">
        <v>75</v>
      </c>
      <c r="P659" s="48">
        <f>HEX2DEC(RIGHT(Table132321275358[[#This Row],[h1]],8))</f>
        <v>0</v>
      </c>
      <c r="Q659" s="48" t="s">
        <v>75</v>
      </c>
      <c r="R659" s="48">
        <f>HEX2DEC(RIGHT(Table132321275358[[#This Row],[h2]],8))</f>
        <v>0</v>
      </c>
    </row>
    <row r="660" spans="1:18">
      <c r="A660" s="15" t="str">
        <f t="shared" si="15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8" t="s">
        <v>75</v>
      </c>
      <c r="P660" s="48">
        <f>HEX2DEC(RIGHT(Table132321275358[[#This Row],[h1]],8))</f>
        <v>0</v>
      </c>
      <c r="Q660" s="48" t="s">
        <v>75</v>
      </c>
      <c r="R660" s="48">
        <f>HEX2DEC(RIGHT(Table132321275358[[#This Row],[h2]],8))</f>
        <v>0</v>
      </c>
    </row>
    <row r="661" spans="1:18">
      <c r="A661" s="15" t="str">
        <f t="shared" si="15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8" t="s">
        <v>75</v>
      </c>
      <c r="P661" s="48">
        <f>HEX2DEC(RIGHT(Table132321275358[[#This Row],[h1]],8))</f>
        <v>0</v>
      </c>
      <c r="Q661" s="48" t="s">
        <v>75</v>
      </c>
      <c r="R661" s="48">
        <f>HEX2DEC(RIGHT(Table132321275358[[#This Row],[h2]],8))</f>
        <v>0</v>
      </c>
    </row>
    <row r="662" spans="1:18">
      <c r="A662" s="15" t="str">
        <f t="shared" si="15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8" t="s">
        <v>75</v>
      </c>
      <c r="P662" s="48">
        <f>HEX2DEC(RIGHT(Table132321275358[[#This Row],[h1]],8))</f>
        <v>0</v>
      </c>
      <c r="Q662" s="48" t="s">
        <v>75</v>
      </c>
      <c r="R662" s="48">
        <f>HEX2DEC(RIGHT(Table132321275358[[#This Row],[h2]],8))</f>
        <v>0</v>
      </c>
    </row>
    <row r="663" spans="1:18">
      <c r="A663" s="15" t="str">
        <f t="shared" si="15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8" t="s">
        <v>75</v>
      </c>
      <c r="P663" s="48">
        <f>HEX2DEC(RIGHT(Table132321275358[[#This Row],[h1]],8))</f>
        <v>0</v>
      </c>
      <c r="Q663" s="48" t="s">
        <v>75</v>
      </c>
      <c r="R663" s="48">
        <f>HEX2DEC(RIGHT(Table132321275358[[#This Row],[h2]],8))</f>
        <v>0</v>
      </c>
    </row>
    <row r="664" spans="1:18">
      <c r="A664" s="15" t="str">
        <f t="shared" si="15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8" t="s">
        <v>75</v>
      </c>
      <c r="P664" s="48">
        <f>HEX2DEC(RIGHT(Table132321275358[[#This Row],[h1]],8))</f>
        <v>0</v>
      </c>
      <c r="Q664" s="48" t="s">
        <v>75</v>
      </c>
      <c r="R664" s="48">
        <f>HEX2DEC(RIGHT(Table132321275358[[#This Row],[h2]],8))</f>
        <v>0</v>
      </c>
    </row>
    <row r="665" spans="1:18">
      <c r="A665" s="15" t="str">
        <f t="shared" si="15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8" t="s">
        <v>75</v>
      </c>
      <c r="P665" s="48">
        <f>HEX2DEC(RIGHT(Table132321275358[[#This Row],[h1]],8))</f>
        <v>0</v>
      </c>
      <c r="Q665" s="48" t="s">
        <v>75</v>
      </c>
      <c r="R665" s="48">
        <f>HEX2DEC(RIGHT(Table132321275358[[#This Row],[h2]],8))</f>
        <v>0</v>
      </c>
    </row>
    <row r="666" spans="1:18">
      <c r="A666" s="15" t="str">
        <f t="shared" si="15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8" t="s">
        <v>75</v>
      </c>
      <c r="P666" s="48">
        <f>HEX2DEC(RIGHT(Table132321275358[[#This Row],[h1]],8))</f>
        <v>0</v>
      </c>
      <c r="Q666" s="48" t="s">
        <v>75</v>
      </c>
      <c r="R666" s="48">
        <f>HEX2DEC(RIGHT(Table132321275358[[#This Row],[h2]],8))</f>
        <v>0</v>
      </c>
    </row>
    <row r="667" spans="1:18">
      <c r="A667" s="15" t="str">
        <f t="shared" si="15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8" t="s">
        <v>75</v>
      </c>
      <c r="P667" s="48">
        <f>HEX2DEC(RIGHT(Table132321275358[[#This Row],[h1]],8))</f>
        <v>0</v>
      </c>
      <c r="Q667" s="48" t="s">
        <v>75</v>
      </c>
      <c r="R667" s="48">
        <f>HEX2DEC(RIGHT(Table132321275358[[#This Row],[h2]],8))</f>
        <v>0</v>
      </c>
    </row>
    <row r="668" spans="1:18">
      <c r="A668" s="15" t="str">
        <f t="shared" si="15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8" t="s">
        <v>75</v>
      </c>
      <c r="P668" s="48">
        <f>HEX2DEC(RIGHT(Table132321275358[[#This Row],[h1]],8))</f>
        <v>0</v>
      </c>
      <c r="Q668" s="48" t="s">
        <v>75</v>
      </c>
      <c r="R668" s="48">
        <f>HEX2DEC(RIGHT(Table132321275358[[#This Row],[h2]],8))</f>
        <v>0</v>
      </c>
    </row>
    <row r="669" spans="1:18">
      <c r="A669" s="15" t="str">
        <f t="shared" si="15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8" t="s">
        <v>75</v>
      </c>
      <c r="P669" s="48">
        <f>HEX2DEC(RIGHT(Table132321275358[[#This Row],[h1]],8))</f>
        <v>0</v>
      </c>
      <c r="Q669" s="48" t="s">
        <v>75</v>
      </c>
      <c r="R669" s="48">
        <f>HEX2DEC(RIGHT(Table132321275358[[#This Row],[h2]],8))</f>
        <v>0</v>
      </c>
    </row>
    <row r="670" spans="1:18">
      <c r="A670" s="15" t="str">
        <f t="shared" si="15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8" t="s">
        <v>75</v>
      </c>
      <c r="P670" s="48">
        <f>HEX2DEC(RIGHT(Table132321275358[[#This Row],[h1]],8))</f>
        <v>0</v>
      </c>
      <c r="Q670" s="48" t="s">
        <v>75</v>
      </c>
      <c r="R670" s="48">
        <f>HEX2DEC(RIGHT(Table132321275358[[#This Row],[h2]],8))</f>
        <v>0</v>
      </c>
    </row>
    <row r="671" spans="1:18">
      <c r="A671" s="15" t="str">
        <f t="shared" si="15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8" t="s">
        <v>75</v>
      </c>
      <c r="P671" s="48">
        <f>HEX2DEC(RIGHT(Table132321275358[[#This Row],[h1]],8))</f>
        <v>0</v>
      </c>
      <c r="Q671" s="48" t="s">
        <v>75</v>
      </c>
      <c r="R671" s="48">
        <f>HEX2DEC(RIGHT(Table132321275358[[#This Row],[h2]],8))</f>
        <v>0</v>
      </c>
    </row>
    <row r="672" spans="1:18">
      <c r="A672" s="15" t="str">
        <f t="shared" si="15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8" t="s">
        <v>75</v>
      </c>
      <c r="P672" s="48">
        <f>HEX2DEC(RIGHT(Table132321275358[[#This Row],[h1]],8))</f>
        <v>0</v>
      </c>
      <c r="Q672" s="48" t="s">
        <v>75</v>
      </c>
      <c r="R672" s="48">
        <f>HEX2DEC(RIGHT(Table132321275358[[#This Row],[h2]],8))</f>
        <v>0</v>
      </c>
    </row>
    <row r="673" spans="1:18">
      <c r="A673" s="15" t="str">
        <f t="shared" si="15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8" t="s">
        <v>75</v>
      </c>
      <c r="P673" s="48">
        <f>HEX2DEC(RIGHT(Table132321275358[[#This Row],[h1]],8))</f>
        <v>0</v>
      </c>
      <c r="Q673" s="48" t="s">
        <v>75</v>
      </c>
      <c r="R673" s="48">
        <f>HEX2DEC(RIGHT(Table132321275358[[#This Row],[h2]],8))</f>
        <v>0</v>
      </c>
    </row>
    <row r="674" spans="1:18">
      <c r="A674" s="15" t="str">
        <f t="shared" si="15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8" t="s">
        <v>75</v>
      </c>
      <c r="P674" s="48">
        <f>HEX2DEC(RIGHT(Table132321275358[[#This Row],[h1]],8))</f>
        <v>0</v>
      </c>
      <c r="Q674" s="48" t="s">
        <v>75</v>
      </c>
      <c r="R674" s="48">
        <f>HEX2DEC(RIGHT(Table132321275358[[#This Row],[h2]],8))</f>
        <v>0</v>
      </c>
    </row>
    <row r="675" spans="1:18">
      <c r="A675" s="15" t="str">
        <f t="shared" si="15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8" t="s">
        <v>75</v>
      </c>
      <c r="P675" s="48">
        <f>HEX2DEC(RIGHT(Table132321275358[[#This Row],[h1]],8))</f>
        <v>0</v>
      </c>
      <c r="Q675" s="48" t="s">
        <v>75</v>
      </c>
      <c r="R675" s="48">
        <f>HEX2DEC(RIGHT(Table132321275358[[#This Row],[h2]],8))</f>
        <v>0</v>
      </c>
    </row>
    <row r="676" spans="1:18">
      <c r="A676" s="15" t="str">
        <f t="shared" si="15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8" t="s">
        <v>75</v>
      </c>
      <c r="P676" s="48">
        <f>HEX2DEC(RIGHT(Table132321275358[[#This Row],[h1]],8))</f>
        <v>0</v>
      </c>
      <c r="Q676" s="48" t="s">
        <v>75</v>
      </c>
      <c r="R676" s="48">
        <f>HEX2DEC(RIGHT(Table132321275358[[#This Row],[h2]],8))</f>
        <v>0</v>
      </c>
    </row>
    <row r="677" spans="1:18">
      <c r="A677" s="15" t="str">
        <f t="shared" si="15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8" t="s">
        <v>75</v>
      </c>
      <c r="P677" s="48">
        <f>HEX2DEC(RIGHT(Table132321275358[[#This Row],[h1]],8))</f>
        <v>0</v>
      </c>
      <c r="Q677" s="48" t="s">
        <v>75</v>
      </c>
      <c r="R677" s="48">
        <f>HEX2DEC(RIGHT(Table132321275358[[#This Row],[h2]],8))</f>
        <v>0</v>
      </c>
    </row>
    <row r="678" spans="1:18">
      <c r="A678" s="15" t="str">
        <f t="shared" si="15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8" t="s">
        <v>75</v>
      </c>
      <c r="P678" s="48">
        <f>HEX2DEC(RIGHT(Table132321275358[[#This Row],[h1]],8))</f>
        <v>0</v>
      </c>
      <c r="Q678" s="48" t="s">
        <v>75</v>
      </c>
      <c r="R678" s="48">
        <f>HEX2DEC(RIGHT(Table132321275358[[#This Row],[h2]],8))</f>
        <v>0</v>
      </c>
    </row>
    <row r="679" spans="1:18">
      <c r="A679" s="15" t="str">
        <f t="shared" si="15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8" t="s">
        <v>75</v>
      </c>
      <c r="P679" s="48">
        <f>HEX2DEC(RIGHT(Table132321275358[[#This Row],[h1]],8))</f>
        <v>0</v>
      </c>
      <c r="Q679" s="48" t="s">
        <v>75</v>
      </c>
      <c r="R679" s="48">
        <f>HEX2DEC(RIGHT(Table132321275358[[#This Row],[h2]],8))</f>
        <v>0</v>
      </c>
    </row>
    <row r="680" spans="1:18">
      <c r="A680" s="15" t="str">
        <f t="shared" si="15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8" t="s">
        <v>75</v>
      </c>
      <c r="P680" s="48">
        <f>HEX2DEC(RIGHT(Table132321275358[[#This Row],[h1]],8))</f>
        <v>0</v>
      </c>
      <c r="Q680" s="48" t="s">
        <v>75</v>
      </c>
      <c r="R680" s="48">
        <f>HEX2DEC(RIGHT(Table132321275358[[#This Row],[h2]],8))</f>
        <v>0</v>
      </c>
    </row>
    <row r="681" spans="1:18">
      <c r="A681" s="15" t="str">
        <f t="shared" si="15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8" t="s">
        <v>75</v>
      </c>
      <c r="P681" s="48">
        <f>HEX2DEC(RIGHT(Table132321275358[[#This Row],[h1]],8))</f>
        <v>0</v>
      </c>
      <c r="Q681" s="48" t="s">
        <v>75</v>
      </c>
      <c r="R681" s="48">
        <f>HEX2DEC(RIGHT(Table132321275358[[#This Row],[h2]],8))</f>
        <v>0</v>
      </c>
    </row>
    <row r="682" spans="1:18">
      <c r="A682" s="15" t="str">
        <f t="shared" si="15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8" t="s">
        <v>75</v>
      </c>
      <c r="P682" s="48">
        <f>HEX2DEC(RIGHT(Table132321275358[[#This Row],[h1]],8))</f>
        <v>0</v>
      </c>
      <c r="Q682" s="48" t="s">
        <v>75</v>
      </c>
      <c r="R682" s="48">
        <f>HEX2DEC(RIGHT(Table132321275358[[#This Row],[h2]],8))</f>
        <v>0</v>
      </c>
    </row>
    <row r="683" spans="1:18">
      <c r="A683" s="15" t="str">
        <f t="shared" si="15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8" t="s">
        <v>75</v>
      </c>
      <c r="P683" s="48">
        <f>HEX2DEC(RIGHT(Table132321275358[[#This Row],[h1]],8))</f>
        <v>0</v>
      </c>
      <c r="Q683" s="48" t="s">
        <v>75</v>
      </c>
      <c r="R683" s="48">
        <f>HEX2DEC(RIGHT(Table132321275358[[#This Row],[h2]],8))</f>
        <v>0</v>
      </c>
    </row>
    <row r="684" spans="1:18">
      <c r="A684" s="15" t="str">
        <f t="shared" si="15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8" t="s">
        <v>75</v>
      </c>
      <c r="P684" s="48">
        <f>HEX2DEC(RIGHT(Table132321275358[[#This Row],[h1]],8))</f>
        <v>0</v>
      </c>
      <c r="Q684" s="48" t="s">
        <v>75</v>
      </c>
      <c r="R684" s="48">
        <f>HEX2DEC(RIGHT(Table132321275358[[#This Row],[h2]],8))</f>
        <v>0</v>
      </c>
    </row>
    <row r="685" spans="1:18">
      <c r="A685" s="15" t="str">
        <f t="shared" si="15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8" t="s">
        <v>75</v>
      </c>
      <c r="P685" s="48">
        <f>HEX2DEC(RIGHT(Table132321275358[[#This Row],[h1]],8))</f>
        <v>0</v>
      </c>
      <c r="Q685" s="48" t="s">
        <v>75</v>
      </c>
      <c r="R685" s="48">
        <f>HEX2DEC(RIGHT(Table132321275358[[#This Row],[h2]],8))</f>
        <v>0</v>
      </c>
    </row>
    <row r="686" spans="1:18">
      <c r="A686" s="15" t="str">
        <f t="shared" si="15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8" t="s">
        <v>75</v>
      </c>
      <c r="P686" s="48">
        <f>HEX2DEC(RIGHT(Table132321275358[[#This Row],[h1]],8))</f>
        <v>0</v>
      </c>
      <c r="Q686" s="48" t="s">
        <v>75</v>
      </c>
      <c r="R686" s="48">
        <f>HEX2DEC(RIGHT(Table132321275358[[#This Row],[h2]],8))</f>
        <v>0</v>
      </c>
    </row>
    <row r="687" spans="1:18">
      <c r="A687" s="15" t="str">
        <f t="shared" si="15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8" t="s">
        <v>75</v>
      </c>
      <c r="P687" s="48">
        <f>HEX2DEC(RIGHT(Table132321275358[[#This Row],[h1]],8))</f>
        <v>0</v>
      </c>
      <c r="Q687" s="48" t="s">
        <v>75</v>
      </c>
      <c r="R687" s="48">
        <f>HEX2DEC(RIGHT(Table132321275358[[#This Row],[h2]],8))</f>
        <v>0</v>
      </c>
    </row>
    <row r="688" spans="1:18">
      <c r="A688" s="15" t="str">
        <f t="shared" si="15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8" t="s">
        <v>75</v>
      </c>
      <c r="P688" s="48">
        <f>HEX2DEC(RIGHT(Table132321275358[[#This Row],[h1]],8))</f>
        <v>0</v>
      </c>
      <c r="Q688" s="48" t="s">
        <v>75</v>
      </c>
      <c r="R688" s="48">
        <f>HEX2DEC(RIGHT(Table132321275358[[#This Row],[h2]],8))</f>
        <v>0</v>
      </c>
    </row>
    <row r="689" spans="1:18">
      <c r="A689" s="15" t="str">
        <f t="shared" si="15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8" t="s">
        <v>75</v>
      </c>
      <c r="P689" s="48">
        <f>HEX2DEC(RIGHT(Table132321275358[[#This Row],[h1]],8))</f>
        <v>0</v>
      </c>
      <c r="Q689" s="48" t="s">
        <v>75</v>
      </c>
      <c r="R689" s="48">
        <f>HEX2DEC(RIGHT(Table132321275358[[#This Row],[h2]],8))</f>
        <v>0</v>
      </c>
    </row>
    <row r="690" spans="1:18">
      <c r="A690" s="15" t="str">
        <f t="shared" si="15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8" t="s">
        <v>75</v>
      </c>
      <c r="P690" s="48">
        <f>HEX2DEC(RIGHT(Table132321275358[[#This Row],[h1]],8))</f>
        <v>0</v>
      </c>
      <c r="Q690" s="48" t="s">
        <v>75</v>
      </c>
      <c r="R690" s="48">
        <f>HEX2DEC(RIGHT(Table132321275358[[#This Row],[h2]],8))</f>
        <v>0</v>
      </c>
    </row>
    <row r="691" spans="1:18">
      <c r="A691" s="15" t="str">
        <f t="shared" si="15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8" t="s">
        <v>75</v>
      </c>
      <c r="P691" s="48">
        <f>HEX2DEC(RIGHT(Table132321275358[[#This Row],[h1]],8))</f>
        <v>0</v>
      </c>
      <c r="Q691" s="48" t="s">
        <v>75</v>
      </c>
      <c r="R691" s="48">
        <f>HEX2DEC(RIGHT(Table132321275358[[#This Row],[h2]],8))</f>
        <v>0</v>
      </c>
    </row>
    <row r="692" spans="1:18">
      <c r="A692" s="15" t="str">
        <f t="shared" si="15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8" t="s">
        <v>75</v>
      </c>
      <c r="P692" s="48">
        <f>HEX2DEC(RIGHT(Table132321275358[[#This Row],[h1]],8))</f>
        <v>0</v>
      </c>
      <c r="Q692" s="48" t="s">
        <v>75</v>
      </c>
      <c r="R692" s="48">
        <f>HEX2DEC(RIGHT(Table132321275358[[#This Row],[h2]],8))</f>
        <v>0</v>
      </c>
    </row>
    <row r="693" spans="1:18">
      <c r="A693" s="15" t="str">
        <f t="shared" si="15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8" t="s">
        <v>75</v>
      </c>
      <c r="P693" s="48">
        <f>HEX2DEC(RIGHT(Table132321275358[[#This Row],[h1]],8))</f>
        <v>0</v>
      </c>
      <c r="Q693" s="48" t="s">
        <v>75</v>
      </c>
      <c r="R693" s="48">
        <f>HEX2DEC(RIGHT(Table132321275358[[#This Row],[h2]],8))</f>
        <v>0</v>
      </c>
    </row>
    <row r="694" spans="1:18">
      <c r="A694" s="15" t="str">
        <f t="shared" si="15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8" t="s">
        <v>75</v>
      </c>
      <c r="P694" s="48">
        <f>HEX2DEC(RIGHT(Table132321275358[[#This Row],[h1]],8))</f>
        <v>0</v>
      </c>
      <c r="Q694" s="48" t="s">
        <v>75</v>
      </c>
      <c r="R694" s="48">
        <f>HEX2DEC(RIGHT(Table132321275358[[#This Row],[h2]],8))</f>
        <v>0</v>
      </c>
    </row>
    <row r="695" spans="1:18">
      <c r="A695" s="15" t="str">
        <f t="shared" si="15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8" t="s">
        <v>75</v>
      </c>
      <c r="P695" s="48">
        <f>HEX2DEC(RIGHT(Table132321275358[[#This Row],[h1]],8))</f>
        <v>0</v>
      </c>
      <c r="Q695" s="48" t="s">
        <v>75</v>
      </c>
      <c r="R695" s="48">
        <f>HEX2DEC(RIGHT(Table132321275358[[#This Row],[h2]],8))</f>
        <v>0</v>
      </c>
    </row>
    <row r="696" spans="1:18">
      <c r="A696" s="15" t="str">
        <f t="shared" si="15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8" t="s">
        <v>75</v>
      </c>
      <c r="P696" s="48">
        <f>HEX2DEC(RIGHT(Table132321275358[[#This Row],[h1]],8))</f>
        <v>0</v>
      </c>
      <c r="Q696" s="48" t="s">
        <v>75</v>
      </c>
      <c r="R696" s="48">
        <f>HEX2DEC(RIGHT(Table132321275358[[#This Row],[h2]],8))</f>
        <v>0</v>
      </c>
    </row>
    <row r="697" spans="1:18">
      <c r="A697" s="15" t="str">
        <f t="shared" si="15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8" t="s">
        <v>75</v>
      </c>
      <c r="P697" s="48">
        <f>HEX2DEC(RIGHT(Table132321275358[[#This Row],[h1]],8))</f>
        <v>0</v>
      </c>
      <c r="Q697" s="48" t="s">
        <v>75</v>
      </c>
      <c r="R697" s="48">
        <f>HEX2DEC(RIGHT(Table132321275358[[#This Row],[h2]],8))</f>
        <v>0</v>
      </c>
    </row>
    <row r="698" spans="1:18">
      <c r="A698" s="15" t="str">
        <f t="shared" si="15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8" t="s">
        <v>75</v>
      </c>
      <c r="P698" s="48">
        <f>HEX2DEC(RIGHT(Table132321275358[[#This Row],[h1]],8))</f>
        <v>0</v>
      </c>
      <c r="Q698" s="48" t="s">
        <v>75</v>
      </c>
      <c r="R698" s="48">
        <f>HEX2DEC(RIGHT(Table132321275358[[#This Row],[h2]],8))</f>
        <v>0</v>
      </c>
    </row>
    <row r="699" spans="1:18">
      <c r="A699" s="15" t="str">
        <f t="shared" si="15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8" t="s">
        <v>75</v>
      </c>
      <c r="P699" s="48">
        <f>HEX2DEC(RIGHT(Table132321275358[[#This Row],[h1]],8))</f>
        <v>0</v>
      </c>
      <c r="Q699" s="48" t="s">
        <v>75</v>
      </c>
      <c r="R699" s="48">
        <f>HEX2DEC(RIGHT(Table132321275358[[#This Row],[h2]],8))</f>
        <v>0</v>
      </c>
    </row>
    <row r="700" spans="1:18">
      <c r="A700" s="15" t="str">
        <f t="shared" si="15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8" t="s">
        <v>75</v>
      </c>
      <c r="P700" s="48">
        <f>HEX2DEC(RIGHT(Table132321275358[[#This Row],[h1]],8))</f>
        <v>0</v>
      </c>
      <c r="Q700" s="48" t="s">
        <v>75</v>
      </c>
      <c r="R700" s="48">
        <f>HEX2DEC(RIGHT(Table132321275358[[#This Row],[h2]],8))</f>
        <v>0</v>
      </c>
    </row>
    <row r="701" spans="1:18">
      <c r="A701" s="15" t="str">
        <f t="shared" si="15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8" t="s">
        <v>75</v>
      </c>
      <c r="P701" s="48">
        <f>HEX2DEC(RIGHT(Table132321275358[[#This Row],[h1]],8))</f>
        <v>0</v>
      </c>
      <c r="Q701" s="48" t="s">
        <v>75</v>
      </c>
      <c r="R701" s="48">
        <f>HEX2DEC(RIGHT(Table132321275358[[#This Row],[h2]],8))</f>
        <v>0</v>
      </c>
    </row>
    <row r="702" spans="1:18">
      <c r="A702" s="15" t="str">
        <f t="shared" si="15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8" t="s">
        <v>75</v>
      </c>
      <c r="P702" s="48">
        <f>HEX2DEC(RIGHT(Table132321275358[[#This Row],[h1]],8))</f>
        <v>0</v>
      </c>
      <c r="Q702" s="48" t="s">
        <v>75</v>
      </c>
      <c r="R702" s="48">
        <f>HEX2DEC(RIGHT(Table132321275358[[#This Row],[h2]],8))</f>
        <v>0</v>
      </c>
    </row>
    <row r="703" spans="1:18">
      <c r="A703" s="15" t="str">
        <f t="shared" si="15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8" t="s">
        <v>75</v>
      </c>
      <c r="P703" s="48">
        <f>HEX2DEC(RIGHT(Table132321275358[[#This Row],[h1]],8))</f>
        <v>0</v>
      </c>
      <c r="Q703" s="48" t="s">
        <v>75</v>
      </c>
      <c r="R703" s="48">
        <f>HEX2DEC(RIGHT(Table132321275358[[#This Row],[h2]],8))</f>
        <v>0</v>
      </c>
    </row>
    <row r="704" spans="1:18">
      <c r="A704" s="15" t="str">
        <f t="shared" si="15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8" t="s">
        <v>75</v>
      </c>
      <c r="P704" s="48">
        <f>HEX2DEC(RIGHT(Table132321275358[[#This Row],[h1]],8))</f>
        <v>0</v>
      </c>
      <c r="Q704" s="48" t="s">
        <v>75</v>
      </c>
      <c r="R704" s="48">
        <f>HEX2DEC(RIGHT(Table132321275358[[#This Row],[h2]],8))</f>
        <v>0</v>
      </c>
    </row>
    <row r="705" spans="1:18">
      <c r="A705" s="15" t="str">
        <f t="shared" si="15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8" t="s">
        <v>75</v>
      </c>
      <c r="P705" s="48">
        <f>HEX2DEC(RIGHT(Table132321275358[[#This Row],[h1]],8))</f>
        <v>0</v>
      </c>
      <c r="Q705" s="48" t="s">
        <v>75</v>
      </c>
      <c r="R705" s="48">
        <f>HEX2DEC(RIGHT(Table132321275358[[#This Row],[h2]],8))</f>
        <v>0</v>
      </c>
    </row>
    <row r="706" spans="1:18">
      <c r="A706" s="15" t="str">
        <f t="shared" si="15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8" t="s">
        <v>75</v>
      </c>
      <c r="P706" s="48">
        <f>HEX2DEC(RIGHT(Table132321275358[[#This Row],[h1]],8))</f>
        <v>0</v>
      </c>
      <c r="Q706" s="48" t="s">
        <v>75</v>
      </c>
      <c r="R706" s="48">
        <f>HEX2DEC(RIGHT(Table132321275358[[#This Row],[h2]],8))</f>
        <v>0</v>
      </c>
    </row>
    <row r="707" spans="1:18">
      <c r="A707" s="15" t="str">
        <f t="shared" si="15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8" t="s">
        <v>75</v>
      </c>
      <c r="P707" s="48">
        <f>HEX2DEC(RIGHT(Table132321275358[[#This Row],[h1]],8))</f>
        <v>0</v>
      </c>
      <c r="Q707" s="48" t="s">
        <v>75</v>
      </c>
      <c r="R707" s="48">
        <f>HEX2DEC(RIGHT(Table132321275358[[#This Row],[h2]],8))</f>
        <v>0</v>
      </c>
    </row>
    <row r="708" spans="1:18">
      <c r="A708" s="15" t="str">
        <f t="shared" si="15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8" t="s">
        <v>75</v>
      </c>
      <c r="P708" s="48">
        <f>HEX2DEC(RIGHT(Table132321275358[[#This Row],[h1]],8))</f>
        <v>0</v>
      </c>
      <c r="Q708" s="48" t="s">
        <v>75</v>
      </c>
      <c r="R708" s="48">
        <f>HEX2DEC(RIGHT(Table132321275358[[#This Row],[h2]],8))</f>
        <v>0</v>
      </c>
    </row>
    <row r="709" spans="1:18">
      <c r="A709" s="15" t="str">
        <f t="shared" si="15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8" t="s">
        <v>75</v>
      </c>
      <c r="P709" s="48">
        <f>HEX2DEC(RIGHT(Table132321275358[[#This Row],[h1]],8))</f>
        <v>0</v>
      </c>
      <c r="Q709" s="48" t="s">
        <v>75</v>
      </c>
      <c r="R709" s="48">
        <f>HEX2DEC(RIGHT(Table132321275358[[#This Row],[h2]],8))</f>
        <v>0</v>
      </c>
    </row>
    <row r="710" spans="1:18">
      <c r="A710" s="15" t="str">
        <f t="shared" si="15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8" t="s">
        <v>75</v>
      </c>
      <c r="P710" s="48">
        <f>HEX2DEC(RIGHT(Table132321275358[[#This Row],[h1]],8))</f>
        <v>0</v>
      </c>
      <c r="Q710" s="48" t="s">
        <v>75</v>
      </c>
      <c r="R710" s="48">
        <f>HEX2DEC(RIGHT(Table132321275358[[#This Row],[h2]],8))</f>
        <v>0</v>
      </c>
    </row>
    <row r="711" spans="1:18">
      <c r="A711" s="15" t="str">
        <f t="shared" si="15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8" t="s">
        <v>75</v>
      </c>
      <c r="P711" s="48">
        <f>HEX2DEC(RIGHT(Table132321275358[[#This Row],[h1]],8))</f>
        <v>0</v>
      </c>
      <c r="Q711" s="48" t="s">
        <v>75</v>
      </c>
      <c r="R711" s="48">
        <f>HEX2DEC(RIGHT(Table132321275358[[#This Row],[h2]],8))</f>
        <v>0</v>
      </c>
    </row>
    <row r="712" spans="1:18">
      <c r="A712" s="15" t="str">
        <f t="shared" si="15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8" t="s">
        <v>75</v>
      </c>
      <c r="P712" s="48">
        <f>HEX2DEC(RIGHT(Table132321275358[[#This Row],[h1]],8))</f>
        <v>0</v>
      </c>
      <c r="Q712" s="48" t="s">
        <v>75</v>
      </c>
      <c r="R712" s="48">
        <f>HEX2DEC(RIGHT(Table132321275358[[#This Row],[h2]],8))</f>
        <v>0</v>
      </c>
    </row>
    <row r="713" spans="1:18">
      <c r="A713" s="15" t="str">
        <f t="shared" si="15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8" t="s">
        <v>75</v>
      </c>
      <c r="P713" s="48">
        <f>HEX2DEC(RIGHT(Table132321275358[[#This Row],[h1]],8))</f>
        <v>0</v>
      </c>
      <c r="Q713" s="48" t="s">
        <v>75</v>
      </c>
      <c r="R713" s="48">
        <f>HEX2DEC(RIGHT(Table132321275358[[#This Row],[h2]],8))</f>
        <v>0</v>
      </c>
    </row>
    <row r="714" spans="1:18">
      <c r="A714" s="15" t="str">
        <f t="shared" si="15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8" t="s">
        <v>75</v>
      </c>
      <c r="P714" s="48">
        <f>HEX2DEC(RIGHT(Table132321275358[[#This Row],[h1]],8))</f>
        <v>0</v>
      </c>
      <c r="Q714" s="48" t="s">
        <v>75</v>
      </c>
      <c r="R714" s="48">
        <f>HEX2DEC(RIGHT(Table132321275358[[#This Row],[h2]],8))</f>
        <v>0</v>
      </c>
    </row>
    <row r="715" spans="1:18">
      <c r="A715" s="15" t="str">
        <f t="shared" ref="A715:A778" si="16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8" t="s">
        <v>75</v>
      </c>
      <c r="P715" s="48">
        <f>HEX2DEC(RIGHT(Table132321275358[[#This Row],[h1]],8))</f>
        <v>0</v>
      </c>
      <c r="Q715" s="48" t="s">
        <v>75</v>
      </c>
      <c r="R715" s="48">
        <f>HEX2DEC(RIGHT(Table132321275358[[#This Row],[h2]],8))</f>
        <v>0</v>
      </c>
    </row>
    <row r="716" spans="1:18">
      <c r="A716" s="15" t="str">
        <f t="shared" si="16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8" t="s">
        <v>75</v>
      </c>
      <c r="P716" s="48">
        <f>HEX2DEC(RIGHT(Table132321275358[[#This Row],[h1]],8))</f>
        <v>0</v>
      </c>
      <c r="Q716" s="48" t="s">
        <v>75</v>
      </c>
      <c r="R716" s="48">
        <f>HEX2DEC(RIGHT(Table132321275358[[#This Row],[h2]],8))</f>
        <v>0</v>
      </c>
    </row>
    <row r="717" spans="1:18">
      <c r="A717" s="15" t="str">
        <f t="shared" si="16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8" t="s">
        <v>75</v>
      </c>
      <c r="P717" s="48">
        <f>HEX2DEC(RIGHT(Table132321275358[[#This Row],[h1]],8))</f>
        <v>0</v>
      </c>
      <c r="Q717" s="48" t="s">
        <v>75</v>
      </c>
      <c r="R717" s="48">
        <f>HEX2DEC(RIGHT(Table132321275358[[#This Row],[h2]],8))</f>
        <v>0</v>
      </c>
    </row>
    <row r="718" spans="1:18">
      <c r="A718" s="15" t="str">
        <f t="shared" si="16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8" t="s">
        <v>75</v>
      </c>
      <c r="P718" s="48">
        <f>HEX2DEC(RIGHT(Table132321275358[[#This Row],[h1]],8))</f>
        <v>0</v>
      </c>
      <c r="Q718" s="48" t="s">
        <v>75</v>
      </c>
      <c r="R718" s="48">
        <f>HEX2DEC(RIGHT(Table132321275358[[#This Row],[h2]],8))</f>
        <v>0</v>
      </c>
    </row>
    <row r="719" spans="1:18">
      <c r="A719" s="15" t="str">
        <f t="shared" si="16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8" t="s">
        <v>75</v>
      </c>
      <c r="P719" s="48">
        <f>HEX2DEC(RIGHT(Table132321275358[[#This Row],[h1]],8))</f>
        <v>0</v>
      </c>
      <c r="Q719" s="48" t="s">
        <v>75</v>
      </c>
      <c r="R719" s="48">
        <f>HEX2DEC(RIGHT(Table132321275358[[#This Row],[h2]],8))</f>
        <v>0</v>
      </c>
    </row>
    <row r="720" spans="1:18">
      <c r="A720" s="15" t="str">
        <f t="shared" si="16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8" t="s">
        <v>75</v>
      </c>
      <c r="P720" s="48">
        <f>HEX2DEC(RIGHT(Table132321275358[[#This Row],[h1]],8))</f>
        <v>0</v>
      </c>
      <c r="Q720" s="48" t="s">
        <v>75</v>
      </c>
      <c r="R720" s="48">
        <f>HEX2DEC(RIGHT(Table132321275358[[#This Row],[h2]],8))</f>
        <v>0</v>
      </c>
    </row>
    <row r="721" spans="1:18">
      <c r="A721" s="15" t="str">
        <f t="shared" si="16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8" t="s">
        <v>75</v>
      </c>
      <c r="P721" s="48">
        <f>HEX2DEC(RIGHT(Table132321275358[[#This Row],[h1]],8))</f>
        <v>0</v>
      </c>
      <c r="Q721" s="48" t="s">
        <v>75</v>
      </c>
      <c r="R721" s="48">
        <f>HEX2DEC(RIGHT(Table132321275358[[#This Row],[h2]],8))</f>
        <v>0</v>
      </c>
    </row>
    <row r="722" spans="1:18">
      <c r="A722" s="15" t="str">
        <f t="shared" si="16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8" t="s">
        <v>75</v>
      </c>
      <c r="P722" s="48">
        <f>HEX2DEC(RIGHT(Table132321275358[[#This Row],[h1]],8))</f>
        <v>0</v>
      </c>
      <c r="Q722" s="48" t="s">
        <v>75</v>
      </c>
      <c r="R722" s="48">
        <f>HEX2DEC(RIGHT(Table132321275358[[#This Row],[h2]],8))</f>
        <v>0</v>
      </c>
    </row>
    <row r="723" spans="1:18">
      <c r="A723" s="15" t="str">
        <f t="shared" si="16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8" t="s">
        <v>75</v>
      </c>
      <c r="P723" s="48">
        <f>HEX2DEC(RIGHT(Table132321275358[[#This Row],[h1]],8))</f>
        <v>0</v>
      </c>
      <c r="Q723" s="48" t="s">
        <v>75</v>
      </c>
      <c r="R723" s="48">
        <f>HEX2DEC(RIGHT(Table132321275358[[#This Row],[h2]],8))</f>
        <v>0</v>
      </c>
    </row>
    <row r="724" spans="1:18">
      <c r="A724" s="15" t="str">
        <f t="shared" si="16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8" t="s">
        <v>75</v>
      </c>
      <c r="P724" s="48">
        <f>HEX2DEC(RIGHT(Table132321275358[[#This Row],[h1]],8))</f>
        <v>0</v>
      </c>
      <c r="Q724" s="48" t="s">
        <v>75</v>
      </c>
      <c r="R724" s="48">
        <f>HEX2DEC(RIGHT(Table132321275358[[#This Row],[h2]],8))</f>
        <v>0</v>
      </c>
    </row>
    <row r="725" spans="1:18">
      <c r="A725" s="15" t="str">
        <f t="shared" si="16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8" t="s">
        <v>75</v>
      </c>
      <c r="P725" s="48">
        <f>HEX2DEC(RIGHT(Table132321275358[[#This Row],[h1]],8))</f>
        <v>0</v>
      </c>
      <c r="Q725" s="48" t="s">
        <v>75</v>
      </c>
      <c r="R725" s="48">
        <f>HEX2DEC(RIGHT(Table132321275358[[#This Row],[h2]],8))</f>
        <v>0</v>
      </c>
    </row>
    <row r="726" spans="1:18">
      <c r="A726" s="15" t="str">
        <f t="shared" si="16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8" t="s">
        <v>75</v>
      </c>
      <c r="P726" s="48">
        <f>HEX2DEC(RIGHT(Table132321275358[[#This Row],[h1]],8))</f>
        <v>0</v>
      </c>
      <c r="Q726" s="48" t="s">
        <v>75</v>
      </c>
      <c r="R726" s="48">
        <f>HEX2DEC(RIGHT(Table132321275358[[#This Row],[h2]],8))</f>
        <v>0</v>
      </c>
    </row>
    <row r="727" spans="1:18">
      <c r="A727" s="15" t="str">
        <f t="shared" si="16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8" t="s">
        <v>75</v>
      </c>
      <c r="P727" s="48">
        <f>HEX2DEC(RIGHT(Table132321275358[[#This Row],[h1]],8))</f>
        <v>0</v>
      </c>
      <c r="Q727" s="48" t="s">
        <v>75</v>
      </c>
      <c r="R727" s="48">
        <f>HEX2DEC(RIGHT(Table132321275358[[#This Row],[h2]],8))</f>
        <v>0</v>
      </c>
    </row>
    <row r="728" spans="1:18">
      <c r="A728" s="15" t="str">
        <f t="shared" si="16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8" t="s">
        <v>75</v>
      </c>
      <c r="P728" s="48">
        <f>HEX2DEC(RIGHT(Table132321275358[[#This Row],[h1]],8))</f>
        <v>0</v>
      </c>
      <c r="Q728" s="48" t="s">
        <v>75</v>
      </c>
      <c r="R728" s="48">
        <f>HEX2DEC(RIGHT(Table132321275358[[#This Row],[h2]],8))</f>
        <v>0</v>
      </c>
    </row>
    <row r="729" spans="1:18">
      <c r="A729" s="15" t="str">
        <f t="shared" si="16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8" t="s">
        <v>75</v>
      </c>
      <c r="P729" s="48">
        <f>HEX2DEC(RIGHT(Table132321275358[[#This Row],[h1]],8))</f>
        <v>0</v>
      </c>
      <c r="Q729" s="48" t="s">
        <v>75</v>
      </c>
      <c r="R729" s="48">
        <f>HEX2DEC(RIGHT(Table132321275358[[#This Row],[h2]],8))</f>
        <v>0</v>
      </c>
    </row>
    <row r="730" spans="1:18">
      <c r="A730" s="15" t="str">
        <f t="shared" si="16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8" t="s">
        <v>75</v>
      </c>
      <c r="P730" s="48">
        <f>HEX2DEC(RIGHT(Table132321275358[[#This Row],[h1]],8))</f>
        <v>0</v>
      </c>
      <c r="Q730" s="48" t="s">
        <v>75</v>
      </c>
      <c r="R730" s="48">
        <f>HEX2DEC(RIGHT(Table132321275358[[#This Row],[h2]],8))</f>
        <v>0</v>
      </c>
    </row>
    <row r="731" spans="1:18">
      <c r="A731" s="15" t="str">
        <f t="shared" si="16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8" t="s">
        <v>75</v>
      </c>
      <c r="P731" s="48">
        <f>HEX2DEC(RIGHT(Table132321275358[[#This Row],[h1]],8))</f>
        <v>0</v>
      </c>
      <c r="Q731" s="48" t="s">
        <v>75</v>
      </c>
      <c r="R731" s="48">
        <f>HEX2DEC(RIGHT(Table132321275358[[#This Row],[h2]],8))</f>
        <v>0</v>
      </c>
    </row>
    <row r="732" spans="1:18">
      <c r="A732" s="15" t="str">
        <f t="shared" si="16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8" t="s">
        <v>75</v>
      </c>
      <c r="P732" s="48">
        <f>HEX2DEC(RIGHT(Table132321275358[[#This Row],[h1]],8))</f>
        <v>0</v>
      </c>
      <c r="Q732" s="48" t="s">
        <v>75</v>
      </c>
      <c r="R732" s="48">
        <f>HEX2DEC(RIGHT(Table132321275358[[#This Row],[h2]],8))</f>
        <v>0</v>
      </c>
    </row>
    <row r="733" spans="1:18">
      <c r="A733" s="15" t="str">
        <f t="shared" si="16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8" t="s">
        <v>75</v>
      </c>
      <c r="P733" s="48">
        <f>HEX2DEC(RIGHT(Table132321275358[[#This Row],[h1]],8))</f>
        <v>0</v>
      </c>
      <c r="Q733" s="48" t="s">
        <v>75</v>
      </c>
      <c r="R733" s="48">
        <f>HEX2DEC(RIGHT(Table132321275358[[#This Row],[h2]],8))</f>
        <v>0</v>
      </c>
    </row>
    <row r="734" spans="1:18">
      <c r="A734" s="15" t="str">
        <f t="shared" si="16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8" t="s">
        <v>75</v>
      </c>
      <c r="P734" s="48">
        <f>HEX2DEC(RIGHT(Table132321275358[[#This Row],[h1]],8))</f>
        <v>0</v>
      </c>
      <c r="Q734" s="48" t="s">
        <v>75</v>
      </c>
      <c r="R734" s="48">
        <f>HEX2DEC(RIGHT(Table132321275358[[#This Row],[h2]],8))</f>
        <v>0</v>
      </c>
    </row>
    <row r="735" spans="1:18">
      <c r="A735" s="15" t="str">
        <f t="shared" si="16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8" t="s">
        <v>75</v>
      </c>
      <c r="P735" s="48">
        <f>HEX2DEC(RIGHT(Table132321275358[[#This Row],[h1]],8))</f>
        <v>0</v>
      </c>
      <c r="Q735" s="48" t="s">
        <v>75</v>
      </c>
      <c r="R735" s="48">
        <f>HEX2DEC(RIGHT(Table132321275358[[#This Row],[h2]],8))</f>
        <v>0</v>
      </c>
    </row>
    <row r="736" spans="1:18">
      <c r="A736" s="15" t="str">
        <f t="shared" si="16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8" t="s">
        <v>75</v>
      </c>
      <c r="P736" s="48">
        <f>HEX2DEC(RIGHT(Table132321275358[[#This Row],[h1]],8))</f>
        <v>0</v>
      </c>
      <c r="Q736" s="48" t="s">
        <v>75</v>
      </c>
      <c r="R736" s="48">
        <f>HEX2DEC(RIGHT(Table132321275358[[#This Row],[h2]],8))</f>
        <v>0</v>
      </c>
    </row>
    <row r="737" spans="1:18">
      <c r="A737" s="15" t="str">
        <f t="shared" si="16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8" t="s">
        <v>75</v>
      </c>
      <c r="P737" s="48">
        <f>HEX2DEC(RIGHT(Table132321275358[[#This Row],[h1]],8))</f>
        <v>0</v>
      </c>
      <c r="Q737" s="48" t="s">
        <v>75</v>
      </c>
      <c r="R737" s="48">
        <f>HEX2DEC(RIGHT(Table132321275358[[#This Row],[h2]],8))</f>
        <v>0</v>
      </c>
    </row>
    <row r="738" spans="1:18">
      <c r="A738" s="15" t="str">
        <f t="shared" si="16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8" t="s">
        <v>75</v>
      </c>
      <c r="P738" s="48">
        <f>HEX2DEC(RIGHT(Table132321275358[[#This Row],[h1]],8))</f>
        <v>0</v>
      </c>
      <c r="Q738" s="48" t="s">
        <v>75</v>
      </c>
      <c r="R738" s="48">
        <f>HEX2DEC(RIGHT(Table132321275358[[#This Row],[h2]],8))</f>
        <v>0</v>
      </c>
    </row>
    <row r="739" spans="1:18">
      <c r="A739" s="15" t="str">
        <f t="shared" si="16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8" t="s">
        <v>75</v>
      </c>
      <c r="P739" s="48">
        <f>HEX2DEC(RIGHT(Table132321275358[[#This Row],[h1]],8))</f>
        <v>0</v>
      </c>
      <c r="Q739" s="48" t="s">
        <v>75</v>
      </c>
      <c r="R739" s="48">
        <f>HEX2DEC(RIGHT(Table132321275358[[#This Row],[h2]],8))</f>
        <v>0</v>
      </c>
    </row>
    <row r="740" spans="1:18">
      <c r="A740" s="15" t="str">
        <f t="shared" si="16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8" t="s">
        <v>75</v>
      </c>
      <c r="P740" s="48">
        <f>HEX2DEC(RIGHT(Table132321275358[[#This Row],[h1]],8))</f>
        <v>0</v>
      </c>
      <c r="Q740" s="48" t="s">
        <v>75</v>
      </c>
      <c r="R740" s="48">
        <f>HEX2DEC(RIGHT(Table132321275358[[#This Row],[h2]],8))</f>
        <v>0</v>
      </c>
    </row>
    <row r="741" spans="1:18">
      <c r="A741" s="15" t="str">
        <f t="shared" si="16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8" t="s">
        <v>75</v>
      </c>
      <c r="P741" s="48">
        <f>HEX2DEC(RIGHT(Table132321275358[[#This Row],[h1]],8))</f>
        <v>0</v>
      </c>
      <c r="Q741" s="48" t="s">
        <v>75</v>
      </c>
      <c r="R741" s="48">
        <f>HEX2DEC(RIGHT(Table132321275358[[#This Row],[h2]],8))</f>
        <v>0</v>
      </c>
    </row>
    <row r="742" spans="1:18">
      <c r="A742" s="15" t="str">
        <f t="shared" si="16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8" t="s">
        <v>75</v>
      </c>
      <c r="P742" s="48">
        <f>HEX2DEC(RIGHT(Table132321275358[[#This Row],[h1]],8))</f>
        <v>0</v>
      </c>
      <c r="Q742" s="48" t="s">
        <v>75</v>
      </c>
      <c r="R742" s="48">
        <f>HEX2DEC(RIGHT(Table132321275358[[#This Row],[h2]],8))</f>
        <v>0</v>
      </c>
    </row>
    <row r="743" spans="1:18">
      <c r="A743" s="15" t="str">
        <f t="shared" si="16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8" t="s">
        <v>75</v>
      </c>
      <c r="P743" s="48">
        <f>HEX2DEC(RIGHT(Table132321275358[[#This Row],[h1]],8))</f>
        <v>0</v>
      </c>
      <c r="Q743" s="48" t="s">
        <v>75</v>
      </c>
      <c r="R743" s="48">
        <f>HEX2DEC(RIGHT(Table132321275358[[#This Row],[h2]],8))</f>
        <v>0</v>
      </c>
    </row>
    <row r="744" spans="1:18">
      <c r="A744" s="15" t="str">
        <f t="shared" si="16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8" t="s">
        <v>75</v>
      </c>
      <c r="P744" s="48">
        <f>HEX2DEC(RIGHT(Table132321275358[[#This Row],[h1]],8))</f>
        <v>0</v>
      </c>
      <c r="Q744" s="48" t="s">
        <v>75</v>
      </c>
      <c r="R744" s="48">
        <f>HEX2DEC(RIGHT(Table132321275358[[#This Row],[h2]],8))</f>
        <v>0</v>
      </c>
    </row>
    <row r="745" spans="1:18">
      <c r="A745" s="15" t="str">
        <f t="shared" si="16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8" t="s">
        <v>75</v>
      </c>
      <c r="P745" s="48">
        <f>HEX2DEC(RIGHT(Table132321275358[[#This Row],[h1]],8))</f>
        <v>0</v>
      </c>
      <c r="Q745" s="48" t="s">
        <v>75</v>
      </c>
      <c r="R745" s="48">
        <f>HEX2DEC(RIGHT(Table132321275358[[#This Row],[h2]],8))</f>
        <v>0</v>
      </c>
    </row>
    <row r="746" spans="1:18">
      <c r="A746" s="15" t="str">
        <f t="shared" si="16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8" t="s">
        <v>75</v>
      </c>
      <c r="P746" s="48">
        <f>HEX2DEC(RIGHT(Table132321275358[[#This Row],[h1]],8))</f>
        <v>0</v>
      </c>
      <c r="Q746" s="48" t="s">
        <v>75</v>
      </c>
      <c r="R746" s="48">
        <f>HEX2DEC(RIGHT(Table132321275358[[#This Row],[h2]],8))</f>
        <v>0</v>
      </c>
    </row>
    <row r="747" spans="1:18">
      <c r="A747" s="15" t="str">
        <f t="shared" si="16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8" t="s">
        <v>75</v>
      </c>
      <c r="P747" s="48">
        <f>HEX2DEC(RIGHT(Table132321275358[[#This Row],[h1]],8))</f>
        <v>0</v>
      </c>
      <c r="Q747" s="48" t="s">
        <v>75</v>
      </c>
      <c r="R747" s="48">
        <f>HEX2DEC(RIGHT(Table132321275358[[#This Row],[h2]],8))</f>
        <v>0</v>
      </c>
    </row>
    <row r="748" spans="1:18">
      <c r="A748" s="15" t="str">
        <f t="shared" si="16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8" t="s">
        <v>75</v>
      </c>
      <c r="P748" s="48">
        <f>HEX2DEC(RIGHT(Table132321275358[[#This Row],[h1]],8))</f>
        <v>0</v>
      </c>
      <c r="Q748" s="48" t="s">
        <v>75</v>
      </c>
      <c r="R748" s="48">
        <f>HEX2DEC(RIGHT(Table132321275358[[#This Row],[h2]],8))</f>
        <v>0</v>
      </c>
    </row>
    <row r="749" spans="1:18">
      <c r="A749" s="15" t="str">
        <f t="shared" si="16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8" t="s">
        <v>75</v>
      </c>
      <c r="P749" s="48">
        <f>HEX2DEC(RIGHT(Table132321275358[[#This Row],[h1]],8))</f>
        <v>0</v>
      </c>
      <c r="Q749" s="48" t="s">
        <v>75</v>
      </c>
      <c r="R749" s="48">
        <f>HEX2DEC(RIGHT(Table132321275358[[#This Row],[h2]],8))</f>
        <v>0</v>
      </c>
    </row>
    <row r="750" spans="1:18">
      <c r="A750" s="15" t="str">
        <f t="shared" si="16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8" t="s">
        <v>75</v>
      </c>
      <c r="P750" s="48">
        <f>HEX2DEC(RIGHT(Table132321275358[[#This Row],[h1]],8))</f>
        <v>0</v>
      </c>
      <c r="Q750" s="48" t="s">
        <v>75</v>
      </c>
      <c r="R750" s="48">
        <f>HEX2DEC(RIGHT(Table132321275358[[#This Row],[h2]],8))</f>
        <v>0</v>
      </c>
    </row>
    <row r="751" spans="1:18">
      <c r="A751" s="15" t="str">
        <f t="shared" si="16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8" t="s">
        <v>75</v>
      </c>
      <c r="P751" s="48">
        <f>HEX2DEC(RIGHT(Table132321275358[[#This Row],[h1]],8))</f>
        <v>0</v>
      </c>
      <c r="Q751" s="48" t="s">
        <v>75</v>
      </c>
      <c r="R751" s="48">
        <f>HEX2DEC(RIGHT(Table132321275358[[#This Row],[h2]],8))</f>
        <v>0</v>
      </c>
    </row>
    <row r="752" spans="1:18">
      <c r="A752" s="15" t="str">
        <f t="shared" si="16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8" t="s">
        <v>75</v>
      </c>
      <c r="P752" s="48">
        <f>HEX2DEC(RIGHT(Table132321275358[[#This Row],[h1]],8))</f>
        <v>0</v>
      </c>
      <c r="Q752" s="48" t="s">
        <v>75</v>
      </c>
      <c r="R752" s="48">
        <f>HEX2DEC(RIGHT(Table132321275358[[#This Row],[h2]],8))</f>
        <v>0</v>
      </c>
    </row>
    <row r="753" spans="1:18">
      <c r="A753" s="15" t="str">
        <f t="shared" si="16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8" t="s">
        <v>75</v>
      </c>
      <c r="P753" s="48">
        <f>HEX2DEC(RIGHT(Table132321275358[[#This Row],[h1]],8))</f>
        <v>0</v>
      </c>
      <c r="Q753" s="48" t="s">
        <v>75</v>
      </c>
      <c r="R753" s="48">
        <f>HEX2DEC(RIGHT(Table132321275358[[#This Row],[h2]],8))</f>
        <v>0</v>
      </c>
    </row>
    <row r="754" spans="1:18">
      <c r="A754" s="15" t="str">
        <f t="shared" si="16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8" t="s">
        <v>75</v>
      </c>
      <c r="P754" s="48">
        <f>HEX2DEC(RIGHT(Table132321275358[[#This Row],[h1]],8))</f>
        <v>0</v>
      </c>
      <c r="Q754" s="48" t="s">
        <v>75</v>
      </c>
      <c r="R754" s="48">
        <f>HEX2DEC(RIGHT(Table132321275358[[#This Row],[h2]],8))</f>
        <v>0</v>
      </c>
    </row>
    <row r="755" spans="1:18">
      <c r="A755" s="15" t="str">
        <f t="shared" si="16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8" t="s">
        <v>75</v>
      </c>
      <c r="P755" s="48">
        <f>HEX2DEC(RIGHT(Table132321275358[[#This Row],[h1]],8))</f>
        <v>0</v>
      </c>
      <c r="Q755" s="48" t="s">
        <v>75</v>
      </c>
      <c r="R755" s="48">
        <f>HEX2DEC(RIGHT(Table132321275358[[#This Row],[h2]],8))</f>
        <v>0</v>
      </c>
    </row>
    <row r="756" spans="1:18">
      <c r="A756" s="15" t="str">
        <f t="shared" si="16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8" t="s">
        <v>75</v>
      </c>
      <c r="P756" s="48">
        <f>HEX2DEC(RIGHT(Table132321275358[[#This Row],[h1]],8))</f>
        <v>0</v>
      </c>
      <c r="Q756" s="48" t="s">
        <v>75</v>
      </c>
      <c r="R756" s="48">
        <f>HEX2DEC(RIGHT(Table132321275358[[#This Row],[h2]],8))</f>
        <v>0</v>
      </c>
    </row>
    <row r="757" spans="1:18">
      <c r="A757" s="15" t="str">
        <f t="shared" si="16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8" t="s">
        <v>75</v>
      </c>
      <c r="P757" s="48">
        <f>HEX2DEC(RIGHT(Table132321275358[[#This Row],[h1]],8))</f>
        <v>0</v>
      </c>
      <c r="Q757" s="48" t="s">
        <v>75</v>
      </c>
      <c r="R757" s="48">
        <f>HEX2DEC(RIGHT(Table132321275358[[#This Row],[h2]],8))</f>
        <v>0</v>
      </c>
    </row>
    <row r="758" spans="1:18">
      <c r="A758" s="15" t="str">
        <f t="shared" si="16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8" t="s">
        <v>75</v>
      </c>
      <c r="P758" s="48">
        <f>HEX2DEC(RIGHT(Table132321275358[[#This Row],[h1]],8))</f>
        <v>0</v>
      </c>
      <c r="Q758" s="48" t="s">
        <v>75</v>
      </c>
      <c r="R758" s="48">
        <f>HEX2DEC(RIGHT(Table132321275358[[#This Row],[h2]],8))</f>
        <v>0</v>
      </c>
    </row>
    <row r="759" spans="1:18">
      <c r="A759" s="15" t="str">
        <f t="shared" si="16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8" t="s">
        <v>75</v>
      </c>
      <c r="P759" s="48">
        <f>HEX2DEC(RIGHT(Table132321275358[[#This Row],[h1]],8))</f>
        <v>0</v>
      </c>
      <c r="Q759" s="48" t="s">
        <v>75</v>
      </c>
      <c r="R759" s="48">
        <f>HEX2DEC(RIGHT(Table132321275358[[#This Row],[h2]],8))</f>
        <v>0</v>
      </c>
    </row>
    <row r="760" spans="1:18">
      <c r="A760" s="15" t="str">
        <f t="shared" si="16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8" t="s">
        <v>75</v>
      </c>
      <c r="P760" s="48">
        <f>HEX2DEC(RIGHT(Table132321275358[[#This Row],[h1]],8))</f>
        <v>0</v>
      </c>
      <c r="Q760" s="48" t="s">
        <v>75</v>
      </c>
      <c r="R760" s="48">
        <f>HEX2DEC(RIGHT(Table132321275358[[#This Row],[h2]],8))</f>
        <v>0</v>
      </c>
    </row>
    <row r="761" spans="1:18">
      <c r="A761" s="15" t="str">
        <f t="shared" si="16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8" t="s">
        <v>75</v>
      </c>
      <c r="P761" s="48">
        <f>HEX2DEC(RIGHT(Table132321275358[[#This Row],[h1]],8))</f>
        <v>0</v>
      </c>
      <c r="Q761" s="48" t="s">
        <v>75</v>
      </c>
      <c r="R761" s="48">
        <f>HEX2DEC(RIGHT(Table132321275358[[#This Row],[h2]],8))</f>
        <v>0</v>
      </c>
    </row>
    <row r="762" spans="1:18">
      <c r="A762" s="15" t="str">
        <f t="shared" si="16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8" t="s">
        <v>75</v>
      </c>
      <c r="P762" s="48">
        <f>HEX2DEC(RIGHT(Table132321275358[[#This Row],[h1]],8))</f>
        <v>0</v>
      </c>
      <c r="Q762" s="48" t="s">
        <v>75</v>
      </c>
      <c r="R762" s="48">
        <f>HEX2DEC(RIGHT(Table132321275358[[#This Row],[h2]],8))</f>
        <v>0</v>
      </c>
    </row>
    <row r="763" spans="1:18">
      <c r="A763" s="15" t="str">
        <f t="shared" si="16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8" t="s">
        <v>75</v>
      </c>
      <c r="P763" s="48">
        <f>HEX2DEC(RIGHT(Table132321275358[[#This Row],[h1]],8))</f>
        <v>0</v>
      </c>
      <c r="Q763" s="48" t="s">
        <v>75</v>
      </c>
      <c r="R763" s="48">
        <f>HEX2DEC(RIGHT(Table132321275358[[#This Row],[h2]],8))</f>
        <v>0</v>
      </c>
    </row>
    <row r="764" spans="1:18">
      <c r="A764" s="15" t="str">
        <f t="shared" si="16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8" t="s">
        <v>75</v>
      </c>
      <c r="P764" s="48">
        <f>HEX2DEC(RIGHT(Table132321275358[[#This Row],[h1]],8))</f>
        <v>0</v>
      </c>
      <c r="Q764" s="48" t="s">
        <v>75</v>
      </c>
      <c r="R764" s="48">
        <f>HEX2DEC(RIGHT(Table132321275358[[#This Row],[h2]],8))</f>
        <v>0</v>
      </c>
    </row>
    <row r="765" spans="1:18">
      <c r="A765" s="15" t="str">
        <f t="shared" si="16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8" t="s">
        <v>75</v>
      </c>
      <c r="P765" s="48">
        <f>HEX2DEC(RIGHT(Table132321275358[[#This Row],[h1]],8))</f>
        <v>0</v>
      </c>
      <c r="Q765" s="48" t="s">
        <v>75</v>
      </c>
      <c r="R765" s="48">
        <f>HEX2DEC(RIGHT(Table132321275358[[#This Row],[h2]],8))</f>
        <v>0</v>
      </c>
    </row>
    <row r="766" spans="1:18">
      <c r="A766" s="15" t="str">
        <f t="shared" si="16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8" t="s">
        <v>75</v>
      </c>
      <c r="P766" s="48">
        <f>HEX2DEC(RIGHT(Table132321275358[[#This Row],[h1]],8))</f>
        <v>0</v>
      </c>
      <c r="Q766" s="48" t="s">
        <v>75</v>
      </c>
      <c r="R766" s="48">
        <f>HEX2DEC(RIGHT(Table132321275358[[#This Row],[h2]],8))</f>
        <v>0</v>
      </c>
    </row>
    <row r="767" spans="1:18">
      <c r="A767" s="15" t="str">
        <f t="shared" si="16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8" t="s">
        <v>75</v>
      </c>
      <c r="P767" s="48">
        <f>HEX2DEC(RIGHT(Table132321275358[[#This Row],[h1]],8))</f>
        <v>0</v>
      </c>
      <c r="Q767" s="48" t="s">
        <v>75</v>
      </c>
      <c r="R767" s="48">
        <f>HEX2DEC(RIGHT(Table132321275358[[#This Row],[h2]],8))</f>
        <v>0</v>
      </c>
    </row>
    <row r="768" spans="1:18">
      <c r="A768" s="15" t="str">
        <f t="shared" si="16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8" t="s">
        <v>75</v>
      </c>
      <c r="P768" s="48">
        <f>HEX2DEC(RIGHT(Table132321275358[[#This Row],[h1]],8))</f>
        <v>0</v>
      </c>
      <c r="Q768" s="48" t="s">
        <v>75</v>
      </c>
      <c r="R768" s="48">
        <f>HEX2DEC(RIGHT(Table132321275358[[#This Row],[h2]],8))</f>
        <v>0</v>
      </c>
    </row>
    <row r="769" spans="1:18">
      <c r="A769" s="15" t="str">
        <f t="shared" si="16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8" t="s">
        <v>75</v>
      </c>
      <c r="P769" s="48">
        <f>HEX2DEC(RIGHT(Table132321275358[[#This Row],[h1]],8))</f>
        <v>0</v>
      </c>
      <c r="Q769" s="48" t="s">
        <v>75</v>
      </c>
      <c r="R769" s="48">
        <f>HEX2DEC(RIGHT(Table132321275358[[#This Row],[h2]],8))</f>
        <v>0</v>
      </c>
    </row>
    <row r="770" spans="1:18">
      <c r="A770" s="15" t="str">
        <f t="shared" si="16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8" t="s">
        <v>75</v>
      </c>
      <c r="P770" s="48">
        <f>HEX2DEC(RIGHT(Table132321275358[[#This Row],[h1]],8))</f>
        <v>0</v>
      </c>
      <c r="Q770" s="48" t="s">
        <v>75</v>
      </c>
      <c r="R770" s="48">
        <f>HEX2DEC(RIGHT(Table132321275358[[#This Row],[h2]],8))</f>
        <v>0</v>
      </c>
    </row>
    <row r="771" spans="1:18">
      <c r="A771" s="15" t="str">
        <f t="shared" si="16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8" t="s">
        <v>75</v>
      </c>
      <c r="P771" s="48">
        <f>HEX2DEC(RIGHT(Table132321275358[[#This Row],[h1]],8))</f>
        <v>0</v>
      </c>
      <c r="Q771" s="48" t="s">
        <v>75</v>
      </c>
      <c r="R771" s="48">
        <f>HEX2DEC(RIGHT(Table132321275358[[#This Row],[h2]],8))</f>
        <v>0</v>
      </c>
    </row>
    <row r="772" spans="1:18">
      <c r="A772" s="15" t="str">
        <f t="shared" si="16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8" t="s">
        <v>75</v>
      </c>
      <c r="P772" s="48">
        <f>HEX2DEC(RIGHT(Table132321275358[[#This Row],[h1]],8))</f>
        <v>0</v>
      </c>
      <c r="Q772" s="48" t="s">
        <v>75</v>
      </c>
      <c r="R772" s="48">
        <f>HEX2DEC(RIGHT(Table132321275358[[#This Row],[h2]],8))</f>
        <v>0</v>
      </c>
    </row>
    <row r="773" spans="1:18">
      <c r="A773" s="15" t="str">
        <f t="shared" si="16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8" t="s">
        <v>75</v>
      </c>
      <c r="P773" s="48">
        <f>HEX2DEC(RIGHT(Table132321275358[[#This Row],[h1]],8))</f>
        <v>0</v>
      </c>
      <c r="Q773" s="48" t="s">
        <v>75</v>
      </c>
      <c r="R773" s="48">
        <f>HEX2DEC(RIGHT(Table132321275358[[#This Row],[h2]],8))</f>
        <v>0</v>
      </c>
    </row>
    <row r="774" spans="1:18">
      <c r="A774" s="15" t="str">
        <f t="shared" si="16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8" t="s">
        <v>75</v>
      </c>
      <c r="P774" s="48">
        <f>HEX2DEC(RIGHT(Table132321275358[[#This Row],[h1]],8))</f>
        <v>0</v>
      </c>
      <c r="Q774" s="48" t="s">
        <v>75</v>
      </c>
      <c r="R774" s="48">
        <f>HEX2DEC(RIGHT(Table132321275358[[#This Row],[h2]],8))</f>
        <v>0</v>
      </c>
    </row>
    <row r="775" spans="1:18">
      <c r="A775" s="15" t="str">
        <f t="shared" si="16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8" t="s">
        <v>75</v>
      </c>
      <c r="P775" s="48">
        <f>HEX2DEC(RIGHT(Table132321275358[[#This Row],[h1]],8))</f>
        <v>0</v>
      </c>
      <c r="Q775" s="48" t="s">
        <v>75</v>
      </c>
      <c r="R775" s="48">
        <f>HEX2DEC(RIGHT(Table132321275358[[#This Row],[h2]],8))</f>
        <v>0</v>
      </c>
    </row>
    <row r="776" spans="1:18">
      <c r="A776" s="15" t="str">
        <f t="shared" si="16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8" t="s">
        <v>75</v>
      </c>
      <c r="P776" s="48">
        <f>HEX2DEC(RIGHT(Table132321275358[[#This Row],[h1]],8))</f>
        <v>0</v>
      </c>
      <c r="Q776" s="48" t="s">
        <v>75</v>
      </c>
      <c r="R776" s="48">
        <f>HEX2DEC(RIGHT(Table132321275358[[#This Row],[h2]],8))</f>
        <v>0</v>
      </c>
    </row>
    <row r="777" spans="1:18">
      <c r="A777" s="15" t="str">
        <f t="shared" si="16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8" t="s">
        <v>75</v>
      </c>
      <c r="P777" s="48">
        <f>HEX2DEC(RIGHT(Table132321275358[[#This Row],[h1]],8))</f>
        <v>0</v>
      </c>
      <c r="Q777" s="48" t="s">
        <v>75</v>
      </c>
      <c r="R777" s="48">
        <f>HEX2DEC(RIGHT(Table132321275358[[#This Row],[h2]],8))</f>
        <v>0</v>
      </c>
    </row>
    <row r="778" spans="1:18">
      <c r="A778" s="15" t="str">
        <f t="shared" si="16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8" t="s">
        <v>75</v>
      </c>
      <c r="P778" s="48">
        <f>HEX2DEC(RIGHT(Table132321275358[[#This Row],[h1]],8))</f>
        <v>0</v>
      </c>
      <c r="Q778" s="48" t="s">
        <v>75</v>
      </c>
      <c r="R778" s="48">
        <f>HEX2DEC(RIGHT(Table132321275358[[#This Row],[h2]],8))</f>
        <v>0</v>
      </c>
    </row>
    <row r="779" spans="1:18">
      <c r="A779" s="15" t="str">
        <f t="shared" ref="A779:A842" si="17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8" t="s">
        <v>75</v>
      </c>
      <c r="P779" s="48">
        <f>HEX2DEC(RIGHT(Table132321275358[[#This Row],[h1]],8))</f>
        <v>0</v>
      </c>
      <c r="Q779" s="48" t="s">
        <v>75</v>
      </c>
      <c r="R779" s="48">
        <f>HEX2DEC(RIGHT(Table132321275358[[#This Row],[h2]],8))</f>
        <v>0</v>
      </c>
    </row>
    <row r="780" spans="1:18">
      <c r="A780" s="15" t="str">
        <f t="shared" si="17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8" t="s">
        <v>75</v>
      </c>
      <c r="P780" s="48">
        <f>HEX2DEC(RIGHT(Table132321275358[[#This Row],[h1]],8))</f>
        <v>0</v>
      </c>
      <c r="Q780" s="48" t="s">
        <v>75</v>
      </c>
      <c r="R780" s="48">
        <f>HEX2DEC(RIGHT(Table132321275358[[#This Row],[h2]],8))</f>
        <v>0</v>
      </c>
    </row>
    <row r="781" spans="1:18">
      <c r="A781" s="15" t="str">
        <f t="shared" si="17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8" t="s">
        <v>75</v>
      </c>
      <c r="P781" s="48">
        <f>HEX2DEC(RIGHT(Table132321275358[[#This Row],[h1]],8))</f>
        <v>0</v>
      </c>
      <c r="Q781" s="48" t="s">
        <v>75</v>
      </c>
      <c r="R781" s="48">
        <f>HEX2DEC(RIGHT(Table132321275358[[#This Row],[h2]],8))</f>
        <v>0</v>
      </c>
    </row>
    <row r="782" spans="1:18">
      <c r="A782" s="15" t="str">
        <f t="shared" si="17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8" t="s">
        <v>75</v>
      </c>
      <c r="P782" s="48">
        <f>HEX2DEC(RIGHT(Table132321275358[[#This Row],[h1]],8))</f>
        <v>0</v>
      </c>
      <c r="Q782" s="48" t="s">
        <v>75</v>
      </c>
      <c r="R782" s="48">
        <f>HEX2DEC(RIGHT(Table132321275358[[#This Row],[h2]],8))</f>
        <v>0</v>
      </c>
    </row>
    <row r="783" spans="1:18">
      <c r="A783" s="15" t="str">
        <f t="shared" si="17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8" t="s">
        <v>75</v>
      </c>
      <c r="P783" s="48">
        <f>HEX2DEC(RIGHT(Table132321275358[[#This Row],[h1]],8))</f>
        <v>0</v>
      </c>
      <c r="Q783" s="48" t="s">
        <v>75</v>
      </c>
      <c r="R783" s="48">
        <f>HEX2DEC(RIGHT(Table132321275358[[#This Row],[h2]],8))</f>
        <v>0</v>
      </c>
    </row>
    <row r="784" spans="1:18">
      <c r="A784" s="15" t="str">
        <f t="shared" si="17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8" t="s">
        <v>75</v>
      </c>
      <c r="P784" s="48">
        <f>HEX2DEC(RIGHT(Table132321275358[[#This Row],[h1]],8))</f>
        <v>0</v>
      </c>
      <c r="Q784" s="48" t="s">
        <v>75</v>
      </c>
      <c r="R784" s="48">
        <f>HEX2DEC(RIGHT(Table132321275358[[#This Row],[h2]],8))</f>
        <v>0</v>
      </c>
    </row>
    <row r="785" spans="1:18">
      <c r="A785" s="15" t="str">
        <f t="shared" si="17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8" t="s">
        <v>75</v>
      </c>
      <c r="P785" s="48">
        <f>HEX2DEC(RIGHT(Table132321275358[[#This Row],[h1]],8))</f>
        <v>0</v>
      </c>
      <c r="Q785" s="48" t="s">
        <v>75</v>
      </c>
      <c r="R785" s="48">
        <f>HEX2DEC(RIGHT(Table132321275358[[#This Row],[h2]],8))</f>
        <v>0</v>
      </c>
    </row>
    <row r="786" spans="1:18">
      <c r="A786" s="15" t="str">
        <f t="shared" si="17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8" t="s">
        <v>75</v>
      </c>
      <c r="P786" s="48">
        <f>HEX2DEC(RIGHT(Table132321275358[[#This Row],[h1]],8))</f>
        <v>0</v>
      </c>
      <c r="Q786" s="48" t="s">
        <v>75</v>
      </c>
      <c r="R786" s="48">
        <f>HEX2DEC(RIGHT(Table132321275358[[#This Row],[h2]],8))</f>
        <v>0</v>
      </c>
    </row>
    <row r="787" spans="1:18">
      <c r="A787" s="15" t="str">
        <f t="shared" si="17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8" t="s">
        <v>75</v>
      </c>
      <c r="P787" s="48">
        <f>HEX2DEC(RIGHT(Table132321275358[[#This Row],[h1]],8))</f>
        <v>0</v>
      </c>
      <c r="Q787" s="48" t="s">
        <v>75</v>
      </c>
      <c r="R787" s="48">
        <f>HEX2DEC(RIGHT(Table132321275358[[#This Row],[h2]],8))</f>
        <v>0</v>
      </c>
    </row>
    <row r="788" spans="1:18">
      <c r="A788" s="15" t="str">
        <f t="shared" si="17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8" t="s">
        <v>75</v>
      </c>
      <c r="P788" s="48">
        <f>HEX2DEC(RIGHT(Table132321275358[[#This Row],[h1]],8))</f>
        <v>0</v>
      </c>
      <c r="Q788" s="48" t="s">
        <v>75</v>
      </c>
      <c r="R788" s="48">
        <f>HEX2DEC(RIGHT(Table132321275358[[#This Row],[h2]],8))</f>
        <v>0</v>
      </c>
    </row>
    <row r="789" spans="1:18">
      <c r="A789" s="15" t="str">
        <f t="shared" si="17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8" t="s">
        <v>75</v>
      </c>
      <c r="P789" s="48">
        <f>HEX2DEC(RIGHT(Table132321275358[[#This Row],[h1]],8))</f>
        <v>0</v>
      </c>
      <c r="Q789" s="48" t="s">
        <v>75</v>
      </c>
      <c r="R789" s="48">
        <f>HEX2DEC(RIGHT(Table132321275358[[#This Row],[h2]],8))</f>
        <v>0</v>
      </c>
    </row>
    <row r="790" spans="1:18">
      <c r="A790" s="15" t="str">
        <f t="shared" si="17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8" t="s">
        <v>75</v>
      </c>
      <c r="P790" s="48">
        <f>HEX2DEC(RIGHT(Table132321275358[[#This Row],[h1]],8))</f>
        <v>0</v>
      </c>
      <c r="Q790" s="48" t="s">
        <v>75</v>
      </c>
      <c r="R790" s="48">
        <f>HEX2DEC(RIGHT(Table132321275358[[#This Row],[h2]],8))</f>
        <v>0</v>
      </c>
    </row>
    <row r="791" spans="1:18">
      <c r="A791" s="15" t="str">
        <f t="shared" si="17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8" t="s">
        <v>75</v>
      </c>
      <c r="P791" s="48">
        <f>HEX2DEC(RIGHT(Table132321275358[[#This Row],[h1]],8))</f>
        <v>0</v>
      </c>
      <c r="Q791" s="48" t="s">
        <v>75</v>
      </c>
      <c r="R791" s="48">
        <f>HEX2DEC(RIGHT(Table132321275358[[#This Row],[h2]],8))</f>
        <v>0</v>
      </c>
    </row>
    <row r="792" spans="1:18">
      <c r="A792" s="15" t="str">
        <f t="shared" si="17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8" t="s">
        <v>75</v>
      </c>
      <c r="P792" s="48">
        <f>HEX2DEC(RIGHT(Table132321275358[[#This Row],[h1]],8))</f>
        <v>0</v>
      </c>
      <c r="Q792" s="48" t="s">
        <v>75</v>
      </c>
      <c r="R792" s="48">
        <f>HEX2DEC(RIGHT(Table132321275358[[#This Row],[h2]],8))</f>
        <v>0</v>
      </c>
    </row>
    <row r="793" spans="1:18">
      <c r="A793" s="15" t="str">
        <f t="shared" si="17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8" t="s">
        <v>75</v>
      </c>
      <c r="P793" s="48">
        <f>HEX2DEC(RIGHT(Table132321275358[[#This Row],[h1]],8))</f>
        <v>0</v>
      </c>
      <c r="Q793" s="48" t="s">
        <v>75</v>
      </c>
      <c r="R793" s="48">
        <f>HEX2DEC(RIGHT(Table132321275358[[#This Row],[h2]],8))</f>
        <v>0</v>
      </c>
    </row>
    <row r="794" spans="1:18">
      <c r="A794" s="15" t="str">
        <f t="shared" si="17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8" t="s">
        <v>75</v>
      </c>
      <c r="P794" s="48">
        <f>HEX2DEC(RIGHT(Table132321275358[[#This Row],[h1]],8))</f>
        <v>0</v>
      </c>
      <c r="Q794" s="48" t="s">
        <v>75</v>
      </c>
      <c r="R794" s="48">
        <f>HEX2DEC(RIGHT(Table132321275358[[#This Row],[h2]],8))</f>
        <v>0</v>
      </c>
    </row>
    <row r="795" spans="1:18">
      <c r="A795" s="15" t="str">
        <f t="shared" si="17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8" t="s">
        <v>75</v>
      </c>
      <c r="P795" s="48">
        <f>HEX2DEC(RIGHT(Table132321275358[[#This Row],[h1]],8))</f>
        <v>0</v>
      </c>
      <c r="Q795" s="48" t="s">
        <v>75</v>
      </c>
      <c r="R795" s="48">
        <f>HEX2DEC(RIGHT(Table132321275358[[#This Row],[h2]],8))</f>
        <v>0</v>
      </c>
    </row>
    <row r="796" spans="1:18">
      <c r="A796" s="15" t="str">
        <f t="shared" si="17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8" t="s">
        <v>75</v>
      </c>
      <c r="P796" s="48">
        <f>HEX2DEC(RIGHT(Table132321275358[[#This Row],[h1]],8))</f>
        <v>0</v>
      </c>
      <c r="Q796" s="48" t="s">
        <v>75</v>
      </c>
      <c r="R796" s="48">
        <f>HEX2DEC(RIGHT(Table132321275358[[#This Row],[h2]],8))</f>
        <v>0</v>
      </c>
    </row>
    <row r="797" spans="1:18">
      <c r="A797" s="15" t="str">
        <f t="shared" si="17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8" t="s">
        <v>75</v>
      </c>
      <c r="P797" s="48">
        <f>HEX2DEC(RIGHT(Table132321275358[[#This Row],[h1]],8))</f>
        <v>0</v>
      </c>
      <c r="Q797" s="48" t="s">
        <v>75</v>
      </c>
      <c r="R797" s="48">
        <f>HEX2DEC(RIGHT(Table132321275358[[#This Row],[h2]],8))</f>
        <v>0</v>
      </c>
    </row>
    <row r="798" spans="1:18">
      <c r="A798" s="15" t="str">
        <f t="shared" si="17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8" t="s">
        <v>75</v>
      </c>
      <c r="P798" s="48">
        <f>HEX2DEC(RIGHT(Table132321275358[[#This Row],[h1]],8))</f>
        <v>0</v>
      </c>
      <c r="Q798" s="48" t="s">
        <v>75</v>
      </c>
      <c r="R798" s="48">
        <f>HEX2DEC(RIGHT(Table132321275358[[#This Row],[h2]],8))</f>
        <v>0</v>
      </c>
    </row>
    <row r="799" spans="1:18">
      <c r="A799" s="15" t="str">
        <f t="shared" si="17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8" t="s">
        <v>75</v>
      </c>
      <c r="P799" s="48">
        <f>HEX2DEC(RIGHT(Table132321275358[[#This Row],[h1]],8))</f>
        <v>0</v>
      </c>
      <c r="Q799" s="48" t="s">
        <v>75</v>
      </c>
      <c r="R799" s="48">
        <f>HEX2DEC(RIGHT(Table132321275358[[#This Row],[h2]],8))</f>
        <v>0</v>
      </c>
    </row>
    <row r="800" spans="1:18">
      <c r="A800" s="15" t="str">
        <f t="shared" si="17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8" t="s">
        <v>75</v>
      </c>
      <c r="P800" s="48">
        <f>HEX2DEC(RIGHT(Table132321275358[[#This Row],[h1]],8))</f>
        <v>0</v>
      </c>
      <c r="Q800" s="48" t="s">
        <v>75</v>
      </c>
      <c r="R800" s="48">
        <f>HEX2DEC(RIGHT(Table132321275358[[#This Row],[h2]],8))</f>
        <v>0</v>
      </c>
    </row>
    <row r="801" spans="1:18">
      <c r="A801" s="15" t="str">
        <f t="shared" si="17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8" t="s">
        <v>75</v>
      </c>
      <c r="P801" s="48">
        <f>HEX2DEC(RIGHT(Table132321275358[[#This Row],[h1]],8))</f>
        <v>0</v>
      </c>
      <c r="Q801" s="48" t="s">
        <v>75</v>
      </c>
      <c r="R801" s="48">
        <f>HEX2DEC(RIGHT(Table132321275358[[#This Row],[h2]],8))</f>
        <v>0</v>
      </c>
    </row>
    <row r="802" spans="1:18">
      <c r="A802" s="15" t="str">
        <f t="shared" si="17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8" t="s">
        <v>75</v>
      </c>
      <c r="P802" s="48">
        <f>HEX2DEC(RIGHT(Table132321275358[[#This Row],[h1]],8))</f>
        <v>0</v>
      </c>
      <c r="Q802" s="48" t="s">
        <v>75</v>
      </c>
      <c r="R802" s="48">
        <f>HEX2DEC(RIGHT(Table132321275358[[#This Row],[h2]],8))</f>
        <v>0</v>
      </c>
    </row>
    <row r="803" spans="1:18">
      <c r="A803" s="15" t="str">
        <f t="shared" si="17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8" t="s">
        <v>75</v>
      </c>
      <c r="P803" s="48">
        <f>HEX2DEC(RIGHT(Table132321275358[[#This Row],[h1]],8))</f>
        <v>0</v>
      </c>
      <c r="Q803" s="48" t="s">
        <v>75</v>
      </c>
      <c r="R803" s="48">
        <f>HEX2DEC(RIGHT(Table132321275358[[#This Row],[h2]],8))</f>
        <v>0</v>
      </c>
    </row>
    <row r="804" spans="1:18">
      <c r="A804" s="15" t="str">
        <f t="shared" si="17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8" t="s">
        <v>75</v>
      </c>
      <c r="P804" s="48">
        <f>HEX2DEC(RIGHT(Table132321275358[[#This Row],[h1]],8))</f>
        <v>0</v>
      </c>
      <c r="Q804" s="48" t="s">
        <v>75</v>
      </c>
      <c r="R804" s="48">
        <f>HEX2DEC(RIGHT(Table132321275358[[#This Row],[h2]],8))</f>
        <v>0</v>
      </c>
    </row>
    <row r="805" spans="1:18">
      <c r="A805" s="15" t="str">
        <f t="shared" si="17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8" t="s">
        <v>75</v>
      </c>
      <c r="P805" s="48">
        <f>HEX2DEC(RIGHT(Table132321275358[[#This Row],[h1]],8))</f>
        <v>0</v>
      </c>
      <c r="Q805" s="48" t="s">
        <v>75</v>
      </c>
      <c r="R805" s="48">
        <f>HEX2DEC(RIGHT(Table132321275358[[#This Row],[h2]],8))</f>
        <v>0</v>
      </c>
    </row>
    <row r="806" spans="1:18">
      <c r="A806" s="15" t="str">
        <f t="shared" si="17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8" t="s">
        <v>75</v>
      </c>
      <c r="P806" s="48">
        <f>HEX2DEC(RIGHT(Table132321275358[[#This Row],[h1]],8))</f>
        <v>0</v>
      </c>
      <c r="Q806" s="48" t="s">
        <v>75</v>
      </c>
      <c r="R806" s="48">
        <f>HEX2DEC(RIGHT(Table132321275358[[#This Row],[h2]],8))</f>
        <v>0</v>
      </c>
    </row>
    <row r="807" spans="1:18">
      <c r="A807" s="15" t="str">
        <f t="shared" si="17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8" t="s">
        <v>75</v>
      </c>
      <c r="P807" s="48">
        <f>HEX2DEC(RIGHT(Table132321275358[[#This Row],[h1]],8))</f>
        <v>0</v>
      </c>
      <c r="Q807" s="48" t="s">
        <v>75</v>
      </c>
      <c r="R807" s="48">
        <f>HEX2DEC(RIGHT(Table132321275358[[#This Row],[h2]],8))</f>
        <v>0</v>
      </c>
    </row>
    <row r="808" spans="1:18">
      <c r="A808" s="15" t="str">
        <f t="shared" si="17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8" t="s">
        <v>75</v>
      </c>
      <c r="P808" s="48">
        <f>HEX2DEC(RIGHT(Table132321275358[[#This Row],[h1]],8))</f>
        <v>0</v>
      </c>
      <c r="Q808" s="48" t="s">
        <v>75</v>
      </c>
      <c r="R808" s="48">
        <f>HEX2DEC(RIGHT(Table132321275358[[#This Row],[h2]],8))</f>
        <v>0</v>
      </c>
    </row>
    <row r="809" spans="1:18">
      <c r="A809" s="15" t="str">
        <f t="shared" si="17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8" t="s">
        <v>75</v>
      </c>
      <c r="P809" s="48">
        <f>HEX2DEC(RIGHT(Table132321275358[[#This Row],[h1]],8))</f>
        <v>0</v>
      </c>
      <c r="Q809" s="48" t="s">
        <v>75</v>
      </c>
      <c r="R809" s="48">
        <f>HEX2DEC(RIGHT(Table132321275358[[#This Row],[h2]],8))</f>
        <v>0</v>
      </c>
    </row>
    <row r="810" spans="1:18">
      <c r="A810" s="15" t="str">
        <f t="shared" si="17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8" t="s">
        <v>75</v>
      </c>
      <c r="P810" s="48">
        <f>HEX2DEC(RIGHT(Table132321275358[[#This Row],[h1]],8))</f>
        <v>0</v>
      </c>
      <c r="Q810" s="48" t="s">
        <v>75</v>
      </c>
      <c r="R810" s="48">
        <f>HEX2DEC(RIGHT(Table132321275358[[#This Row],[h2]],8))</f>
        <v>0</v>
      </c>
    </row>
    <row r="811" spans="1:18">
      <c r="A811" s="15" t="str">
        <f t="shared" si="17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8" t="s">
        <v>75</v>
      </c>
      <c r="P811" s="48">
        <f>HEX2DEC(RIGHT(Table132321275358[[#This Row],[h1]],8))</f>
        <v>0</v>
      </c>
      <c r="Q811" s="48" t="s">
        <v>75</v>
      </c>
      <c r="R811" s="48">
        <f>HEX2DEC(RIGHT(Table132321275358[[#This Row],[h2]],8))</f>
        <v>0</v>
      </c>
    </row>
    <row r="812" spans="1:18">
      <c r="A812" s="15" t="str">
        <f t="shared" si="17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8" t="s">
        <v>75</v>
      </c>
      <c r="P812" s="48">
        <f>HEX2DEC(RIGHT(Table132321275358[[#This Row],[h1]],8))</f>
        <v>0</v>
      </c>
      <c r="Q812" s="48" t="s">
        <v>75</v>
      </c>
      <c r="R812" s="48">
        <f>HEX2DEC(RIGHT(Table132321275358[[#This Row],[h2]],8))</f>
        <v>0</v>
      </c>
    </row>
    <row r="813" spans="1:18">
      <c r="A813" s="15" t="str">
        <f t="shared" si="17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8" t="s">
        <v>75</v>
      </c>
      <c r="P813" s="48">
        <f>HEX2DEC(RIGHT(Table132321275358[[#This Row],[h1]],8))</f>
        <v>0</v>
      </c>
      <c r="Q813" s="48" t="s">
        <v>75</v>
      </c>
      <c r="R813" s="48">
        <f>HEX2DEC(RIGHT(Table132321275358[[#This Row],[h2]],8))</f>
        <v>0</v>
      </c>
    </row>
    <row r="814" spans="1:18">
      <c r="A814" s="15" t="str">
        <f t="shared" si="17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8" t="s">
        <v>75</v>
      </c>
      <c r="P814" s="48">
        <f>HEX2DEC(RIGHT(Table132321275358[[#This Row],[h1]],8))</f>
        <v>0</v>
      </c>
      <c r="Q814" s="48" t="s">
        <v>75</v>
      </c>
      <c r="R814" s="48">
        <f>HEX2DEC(RIGHT(Table132321275358[[#This Row],[h2]],8))</f>
        <v>0</v>
      </c>
    </row>
    <row r="815" spans="1:18">
      <c r="A815" s="15" t="str">
        <f t="shared" si="17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8" t="s">
        <v>75</v>
      </c>
      <c r="P815" s="48">
        <f>HEX2DEC(RIGHT(Table132321275358[[#This Row],[h1]],8))</f>
        <v>0</v>
      </c>
      <c r="Q815" s="48" t="s">
        <v>75</v>
      </c>
      <c r="R815" s="48">
        <f>HEX2DEC(RIGHT(Table132321275358[[#This Row],[h2]],8))</f>
        <v>0</v>
      </c>
    </row>
    <row r="816" spans="1:18">
      <c r="A816" s="15" t="str">
        <f t="shared" si="17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8" t="s">
        <v>75</v>
      </c>
      <c r="P816" s="48">
        <f>HEX2DEC(RIGHT(Table132321275358[[#This Row],[h1]],8))</f>
        <v>0</v>
      </c>
      <c r="Q816" s="48" t="s">
        <v>75</v>
      </c>
      <c r="R816" s="48">
        <f>HEX2DEC(RIGHT(Table132321275358[[#This Row],[h2]],8))</f>
        <v>0</v>
      </c>
    </row>
    <row r="817" spans="1:18">
      <c r="A817" s="15" t="str">
        <f t="shared" si="17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8" t="s">
        <v>75</v>
      </c>
      <c r="P817" s="48">
        <f>HEX2DEC(RIGHT(Table132321275358[[#This Row],[h1]],8))</f>
        <v>0</v>
      </c>
      <c r="Q817" s="48" t="s">
        <v>75</v>
      </c>
      <c r="R817" s="48">
        <f>HEX2DEC(RIGHT(Table132321275358[[#This Row],[h2]],8))</f>
        <v>0</v>
      </c>
    </row>
    <row r="818" spans="1:18">
      <c r="A818" s="15" t="str">
        <f t="shared" si="17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8" t="s">
        <v>75</v>
      </c>
      <c r="P818" s="48">
        <f>HEX2DEC(RIGHT(Table132321275358[[#This Row],[h1]],8))</f>
        <v>0</v>
      </c>
      <c r="Q818" s="48" t="s">
        <v>75</v>
      </c>
      <c r="R818" s="48">
        <f>HEX2DEC(RIGHT(Table132321275358[[#This Row],[h2]],8))</f>
        <v>0</v>
      </c>
    </row>
    <row r="819" spans="1:18">
      <c r="A819" s="15" t="str">
        <f t="shared" si="17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8" t="s">
        <v>75</v>
      </c>
      <c r="P819" s="48">
        <f>HEX2DEC(RIGHT(Table132321275358[[#This Row],[h1]],8))</f>
        <v>0</v>
      </c>
      <c r="Q819" s="48" t="s">
        <v>75</v>
      </c>
      <c r="R819" s="48">
        <f>HEX2DEC(RIGHT(Table132321275358[[#This Row],[h2]],8))</f>
        <v>0</v>
      </c>
    </row>
    <row r="820" spans="1:18">
      <c r="A820" s="15" t="str">
        <f t="shared" si="17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8" t="s">
        <v>75</v>
      </c>
      <c r="P820" s="48">
        <f>HEX2DEC(RIGHT(Table132321275358[[#This Row],[h1]],8))</f>
        <v>0</v>
      </c>
      <c r="Q820" s="48" t="s">
        <v>75</v>
      </c>
      <c r="R820" s="48">
        <f>HEX2DEC(RIGHT(Table132321275358[[#This Row],[h2]],8))</f>
        <v>0</v>
      </c>
    </row>
    <row r="821" spans="1:18">
      <c r="A821" s="15" t="str">
        <f t="shared" si="17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8" t="s">
        <v>75</v>
      </c>
      <c r="P821" s="48">
        <f>HEX2DEC(RIGHT(Table132321275358[[#This Row],[h1]],8))</f>
        <v>0</v>
      </c>
      <c r="Q821" s="48" t="s">
        <v>75</v>
      </c>
      <c r="R821" s="48">
        <f>HEX2DEC(RIGHT(Table132321275358[[#This Row],[h2]],8))</f>
        <v>0</v>
      </c>
    </row>
    <row r="822" spans="1:18">
      <c r="A822" s="15" t="str">
        <f t="shared" si="17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8" t="s">
        <v>75</v>
      </c>
      <c r="P822" s="48">
        <f>HEX2DEC(RIGHT(Table132321275358[[#This Row],[h1]],8))</f>
        <v>0</v>
      </c>
      <c r="Q822" s="48" t="s">
        <v>75</v>
      </c>
      <c r="R822" s="48">
        <f>HEX2DEC(RIGHT(Table132321275358[[#This Row],[h2]],8))</f>
        <v>0</v>
      </c>
    </row>
    <row r="823" spans="1:18">
      <c r="A823" s="15" t="str">
        <f t="shared" si="17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8" t="s">
        <v>75</v>
      </c>
      <c r="P823" s="48">
        <f>HEX2DEC(RIGHT(Table132321275358[[#This Row],[h1]],8))</f>
        <v>0</v>
      </c>
      <c r="Q823" s="48" t="s">
        <v>75</v>
      </c>
      <c r="R823" s="48">
        <f>HEX2DEC(RIGHT(Table132321275358[[#This Row],[h2]],8))</f>
        <v>0</v>
      </c>
    </row>
    <row r="824" spans="1:18">
      <c r="A824" s="15" t="str">
        <f t="shared" si="17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8" t="s">
        <v>75</v>
      </c>
      <c r="P824" s="48">
        <f>HEX2DEC(RIGHT(Table132321275358[[#This Row],[h1]],8))</f>
        <v>0</v>
      </c>
      <c r="Q824" s="48" t="s">
        <v>75</v>
      </c>
      <c r="R824" s="48">
        <f>HEX2DEC(RIGHT(Table132321275358[[#This Row],[h2]],8))</f>
        <v>0</v>
      </c>
    </row>
    <row r="825" spans="1:18">
      <c r="A825" s="15" t="str">
        <f t="shared" si="17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8" t="s">
        <v>75</v>
      </c>
      <c r="P825" s="48">
        <f>HEX2DEC(RIGHT(Table132321275358[[#This Row],[h1]],8))</f>
        <v>0</v>
      </c>
      <c r="Q825" s="48" t="s">
        <v>75</v>
      </c>
      <c r="R825" s="48">
        <f>HEX2DEC(RIGHT(Table132321275358[[#This Row],[h2]],8))</f>
        <v>0</v>
      </c>
    </row>
    <row r="826" spans="1:18">
      <c r="A826" s="15" t="str">
        <f t="shared" si="17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8" t="s">
        <v>75</v>
      </c>
      <c r="P826" s="48">
        <f>HEX2DEC(RIGHT(Table132321275358[[#This Row],[h1]],8))</f>
        <v>0</v>
      </c>
      <c r="Q826" s="48" t="s">
        <v>75</v>
      </c>
      <c r="R826" s="48">
        <f>HEX2DEC(RIGHT(Table132321275358[[#This Row],[h2]],8))</f>
        <v>0</v>
      </c>
    </row>
    <row r="827" spans="1:18">
      <c r="A827" s="15" t="str">
        <f t="shared" si="17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8" t="s">
        <v>75</v>
      </c>
      <c r="P827" s="48">
        <f>HEX2DEC(RIGHT(Table132321275358[[#This Row],[h1]],8))</f>
        <v>0</v>
      </c>
      <c r="Q827" s="48" t="s">
        <v>75</v>
      </c>
      <c r="R827" s="48">
        <f>HEX2DEC(RIGHT(Table132321275358[[#This Row],[h2]],8))</f>
        <v>0</v>
      </c>
    </row>
    <row r="828" spans="1:18">
      <c r="A828" s="15" t="str">
        <f t="shared" si="17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8" t="s">
        <v>75</v>
      </c>
      <c r="P828" s="48">
        <f>HEX2DEC(RIGHT(Table132321275358[[#This Row],[h1]],8))</f>
        <v>0</v>
      </c>
      <c r="Q828" s="48" t="s">
        <v>75</v>
      </c>
      <c r="R828" s="48">
        <f>HEX2DEC(RIGHT(Table132321275358[[#This Row],[h2]],8))</f>
        <v>0</v>
      </c>
    </row>
    <row r="829" spans="1:18">
      <c r="A829" s="15" t="str">
        <f t="shared" si="17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8" t="s">
        <v>75</v>
      </c>
      <c r="P829" s="48">
        <f>HEX2DEC(RIGHT(Table132321275358[[#This Row],[h1]],8))</f>
        <v>0</v>
      </c>
      <c r="Q829" s="48" t="s">
        <v>75</v>
      </c>
      <c r="R829" s="48">
        <f>HEX2DEC(RIGHT(Table132321275358[[#This Row],[h2]],8))</f>
        <v>0</v>
      </c>
    </row>
    <row r="830" spans="1:18">
      <c r="A830" s="15" t="str">
        <f t="shared" si="17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8" t="s">
        <v>75</v>
      </c>
      <c r="P830" s="48">
        <f>HEX2DEC(RIGHT(Table132321275358[[#This Row],[h1]],8))</f>
        <v>0</v>
      </c>
      <c r="Q830" s="48" t="s">
        <v>75</v>
      </c>
      <c r="R830" s="48">
        <f>HEX2DEC(RIGHT(Table132321275358[[#This Row],[h2]],8))</f>
        <v>0</v>
      </c>
    </row>
    <row r="831" spans="1:18">
      <c r="A831" s="15" t="str">
        <f t="shared" si="17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8" t="s">
        <v>75</v>
      </c>
      <c r="P831" s="48">
        <f>HEX2DEC(RIGHT(Table132321275358[[#This Row],[h1]],8))</f>
        <v>0</v>
      </c>
      <c r="Q831" s="48" t="s">
        <v>75</v>
      </c>
      <c r="R831" s="48">
        <f>HEX2DEC(RIGHT(Table132321275358[[#This Row],[h2]],8))</f>
        <v>0</v>
      </c>
    </row>
    <row r="832" spans="1:18">
      <c r="A832" s="15" t="str">
        <f t="shared" si="17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8" t="s">
        <v>75</v>
      </c>
      <c r="P832" s="48">
        <f>HEX2DEC(RIGHT(Table132321275358[[#This Row],[h1]],8))</f>
        <v>0</v>
      </c>
      <c r="Q832" s="48" t="s">
        <v>75</v>
      </c>
      <c r="R832" s="48">
        <f>HEX2DEC(RIGHT(Table132321275358[[#This Row],[h2]],8))</f>
        <v>0</v>
      </c>
    </row>
    <row r="833" spans="1:18">
      <c r="A833" s="15" t="str">
        <f t="shared" si="17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8" t="s">
        <v>75</v>
      </c>
      <c r="P833" s="48">
        <f>HEX2DEC(RIGHT(Table132321275358[[#This Row],[h1]],8))</f>
        <v>0</v>
      </c>
      <c r="Q833" s="48" t="s">
        <v>75</v>
      </c>
      <c r="R833" s="48">
        <f>HEX2DEC(RIGHT(Table132321275358[[#This Row],[h2]],8))</f>
        <v>0</v>
      </c>
    </row>
    <row r="834" spans="1:18">
      <c r="A834" s="15" t="str">
        <f t="shared" si="17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8" t="s">
        <v>75</v>
      </c>
      <c r="P834" s="48">
        <f>HEX2DEC(RIGHT(Table132321275358[[#This Row],[h1]],8))</f>
        <v>0</v>
      </c>
      <c r="Q834" s="48" t="s">
        <v>75</v>
      </c>
      <c r="R834" s="48">
        <f>HEX2DEC(RIGHT(Table132321275358[[#This Row],[h2]],8))</f>
        <v>0</v>
      </c>
    </row>
    <row r="835" spans="1:18">
      <c r="A835" s="15" t="str">
        <f t="shared" si="17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8" t="s">
        <v>75</v>
      </c>
      <c r="P835" s="48">
        <f>HEX2DEC(RIGHT(Table132321275358[[#This Row],[h1]],8))</f>
        <v>0</v>
      </c>
      <c r="Q835" s="48" t="s">
        <v>75</v>
      </c>
      <c r="R835" s="48">
        <f>HEX2DEC(RIGHT(Table132321275358[[#This Row],[h2]],8))</f>
        <v>0</v>
      </c>
    </row>
    <row r="836" spans="1:18">
      <c r="A836" s="15" t="str">
        <f t="shared" si="17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8" t="s">
        <v>75</v>
      </c>
      <c r="P836" s="48">
        <f>HEX2DEC(RIGHT(Table132321275358[[#This Row],[h1]],8))</f>
        <v>0</v>
      </c>
      <c r="Q836" s="48" t="s">
        <v>75</v>
      </c>
      <c r="R836" s="48">
        <f>HEX2DEC(RIGHT(Table132321275358[[#This Row],[h2]],8))</f>
        <v>0</v>
      </c>
    </row>
    <row r="837" spans="1:18">
      <c r="A837" s="15" t="str">
        <f t="shared" si="17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8" t="s">
        <v>75</v>
      </c>
      <c r="P837" s="48">
        <f>HEX2DEC(RIGHT(Table132321275358[[#This Row],[h1]],8))</f>
        <v>0</v>
      </c>
      <c r="Q837" s="48" t="s">
        <v>75</v>
      </c>
      <c r="R837" s="48">
        <f>HEX2DEC(RIGHT(Table132321275358[[#This Row],[h2]],8))</f>
        <v>0</v>
      </c>
    </row>
    <row r="838" spans="1:18">
      <c r="A838" s="15" t="str">
        <f t="shared" si="17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8" t="s">
        <v>75</v>
      </c>
      <c r="P838" s="48">
        <f>HEX2DEC(RIGHT(Table132321275358[[#This Row],[h1]],8))</f>
        <v>0</v>
      </c>
      <c r="Q838" s="48" t="s">
        <v>75</v>
      </c>
      <c r="R838" s="48">
        <f>HEX2DEC(RIGHT(Table132321275358[[#This Row],[h2]],8))</f>
        <v>0</v>
      </c>
    </row>
    <row r="839" spans="1:18">
      <c r="A839" s="15" t="str">
        <f t="shared" si="17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8" t="s">
        <v>75</v>
      </c>
      <c r="P839" s="48">
        <f>HEX2DEC(RIGHT(Table132321275358[[#This Row],[h1]],8))</f>
        <v>0</v>
      </c>
      <c r="Q839" s="48" t="s">
        <v>75</v>
      </c>
      <c r="R839" s="48">
        <f>HEX2DEC(RIGHT(Table132321275358[[#This Row],[h2]],8))</f>
        <v>0</v>
      </c>
    </row>
    <row r="840" spans="1:18">
      <c r="A840" s="15" t="str">
        <f t="shared" si="17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8" t="s">
        <v>75</v>
      </c>
      <c r="P840" s="48">
        <f>HEX2DEC(RIGHT(Table132321275358[[#This Row],[h1]],8))</f>
        <v>0</v>
      </c>
      <c r="Q840" s="48" t="s">
        <v>75</v>
      </c>
      <c r="R840" s="48">
        <f>HEX2DEC(RIGHT(Table132321275358[[#This Row],[h2]],8))</f>
        <v>0</v>
      </c>
    </row>
    <row r="841" spans="1:18">
      <c r="A841" s="15" t="str">
        <f t="shared" si="17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8" t="s">
        <v>75</v>
      </c>
      <c r="P841" s="48">
        <f>HEX2DEC(RIGHT(Table132321275358[[#This Row],[h1]],8))</f>
        <v>0</v>
      </c>
      <c r="Q841" s="48" t="s">
        <v>75</v>
      </c>
      <c r="R841" s="48">
        <f>HEX2DEC(RIGHT(Table132321275358[[#This Row],[h2]],8))</f>
        <v>0</v>
      </c>
    </row>
    <row r="842" spans="1:18">
      <c r="A842" s="15" t="str">
        <f t="shared" si="17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8" t="s">
        <v>75</v>
      </c>
      <c r="P842" s="48">
        <f>HEX2DEC(RIGHT(Table132321275358[[#This Row],[h1]],8))</f>
        <v>0</v>
      </c>
      <c r="Q842" s="48" t="s">
        <v>75</v>
      </c>
      <c r="R842" s="48">
        <f>HEX2DEC(RIGHT(Table132321275358[[#This Row],[h2]],8))</f>
        <v>0</v>
      </c>
    </row>
    <row r="843" spans="1:18">
      <c r="A843" s="15" t="str">
        <f t="shared" ref="A843:A906" si="18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8" t="s">
        <v>75</v>
      </c>
      <c r="P843" s="48">
        <f>HEX2DEC(RIGHT(Table132321275358[[#This Row],[h1]],8))</f>
        <v>0</v>
      </c>
      <c r="Q843" s="48" t="s">
        <v>75</v>
      </c>
      <c r="R843" s="48">
        <f>HEX2DEC(RIGHT(Table132321275358[[#This Row],[h2]],8))</f>
        <v>0</v>
      </c>
    </row>
    <row r="844" spans="1:18">
      <c r="A844" s="15" t="str">
        <f t="shared" si="18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8" t="s">
        <v>75</v>
      </c>
      <c r="P844" s="48">
        <f>HEX2DEC(RIGHT(Table132321275358[[#This Row],[h1]],8))</f>
        <v>0</v>
      </c>
      <c r="Q844" s="48" t="s">
        <v>75</v>
      </c>
      <c r="R844" s="48">
        <f>HEX2DEC(RIGHT(Table132321275358[[#This Row],[h2]],8))</f>
        <v>0</v>
      </c>
    </row>
    <row r="845" spans="1:18">
      <c r="A845" s="15" t="str">
        <f t="shared" si="18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8" t="s">
        <v>75</v>
      </c>
      <c r="P845" s="48">
        <f>HEX2DEC(RIGHT(Table132321275358[[#This Row],[h1]],8))</f>
        <v>0</v>
      </c>
      <c r="Q845" s="48" t="s">
        <v>75</v>
      </c>
      <c r="R845" s="48">
        <f>HEX2DEC(RIGHT(Table132321275358[[#This Row],[h2]],8))</f>
        <v>0</v>
      </c>
    </row>
    <row r="846" spans="1:18">
      <c r="A846" s="15" t="str">
        <f t="shared" si="18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8" t="s">
        <v>75</v>
      </c>
      <c r="P846" s="48">
        <f>HEX2DEC(RIGHT(Table132321275358[[#This Row],[h1]],8))</f>
        <v>0</v>
      </c>
      <c r="Q846" s="48" t="s">
        <v>75</v>
      </c>
      <c r="R846" s="48">
        <f>HEX2DEC(RIGHT(Table132321275358[[#This Row],[h2]],8))</f>
        <v>0</v>
      </c>
    </row>
    <row r="847" spans="1:18">
      <c r="A847" s="15" t="str">
        <f t="shared" si="18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8" t="s">
        <v>75</v>
      </c>
      <c r="P847" s="48">
        <f>HEX2DEC(RIGHT(Table132321275358[[#This Row],[h1]],8))</f>
        <v>0</v>
      </c>
      <c r="Q847" s="48" t="s">
        <v>75</v>
      </c>
      <c r="R847" s="48">
        <f>HEX2DEC(RIGHT(Table132321275358[[#This Row],[h2]],8))</f>
        <v>0</v>
      </c>
    </row>
    <row r="848" spans="1:18">
      <c r="A848" s="15" t="str">
        <f t="shared" si="18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8" t="s">
        <v>75</v>
      </c>
      <c r="P848" s="48">
        <f>HEX2DEC(RIGHT(Table132321275358[[#This Row],[h1]],8))</f>
        <v>0</v>
      </c>
      <c r="Q848" s="48" t="s">
        <v>75</v>
      </c>
      <c r="R848" s="48">
        <f>HEX2DEC(RIGHT(Table132321275358[[#This Row],[h2]],8))</f>
        <v>0</v>
      </c>
    </row>
    <row r="849" spans="1:18">
      <c r="A849" s="15" t="str">
        <f t="shared" si="18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8" t="s">
        <v>75</v>
      </c>
      <c r="P849" s="48">
        <f>HEX2DEC(RIGHT(Table132321275358[[#This Row],[h1]],8))</f>
        <v>0</v>
      </c>
      <c r="Q849" s="48" t="s">
        <v>75</v>
      </c>
      <c r="R849" s="48">
        <f>HEX2DEC(RIGHT(Table132321275358[[#This Row],[h2]],8))</f>
        <v>0</v>
      </c>
    </row>
    <row r="850" spans="1:18">
      <c r="A850" s="15" t="str">
        <f t="shared" si="18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8" t="s">
        <v>75</v>
      </c>
      <c r="P850" s="48">
        <f>HEX2DEC(RIGHT(Table132321275358[[#This Row],[h1]],8))</f>
        <v>0</v>
      </c>
      <c r="Q850" s="48" t="s">
        <v>75</v>
      </c>
      <c r="R850" s="48">
        <f>HEX2DEC(RIGHT(Table132321275358[[#This Row],[h2]],8))</f>
        <v>0</v>
      </c>
    </row>
    <row r="851" spans="1:18">
      <c r="A851" s="15" t="str">
        <f t="shared" si="18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8" t="s">
        <v>75</v>
      </c>
      <c r="P851" s="48">
        <f>HEX2DEC(RIGHT(Table132321275358[[#This Row],[h1]],8))</f>
        <v>0</v>
      </c>
      <c r="Q851" s="48" t="s">
        <v>75</v>
      </c>
      <c r="R851" s="48">
        <f>HEX2DEC(RIGHT(Table132321275358[[#This Row],[h2]],8))</f>
        <v>0</v>
      </c>
    </row>
    <row r="852" spans="1:18">
      <c r="A852" s="15" t="str">
        <f t="shared" si="18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8" t="s">
        <v>75</v>
      </c>
      <c r="P852" s="48">
        <f>HEX2DEC(RIGHT(Table132321275358[[#This Row],[h1]],8))</f>
        <v>0</v>
      </c>
      <c r="Q852" s="48" t="s">
        <v>75</v>
      </c>
      <c r="R852" s="48">
        <f>HEX2DEC(RIGHT(Table132321275358[[#This Row],[h2]],8))</f>
        <v>0</v>
      </c>
    </row>
    <row r="853" spans="1:18">
      <c r="A853" s="15" t="str">
        <f t="shared" si="18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8" t="s">
        <v>75</v>
      </c>
      <c r="P853" s="48">
        <f>HEX2DEC(RIGHT(Table132321275358[[#This Row],[h1]],8))</f>
        <v>0</v>
      </c>
      <c r="Q853" s="48" t="s">
        <v>75</v>
      </c>
      <c r="R853" s="48">
        <f>HEX2DEC(RIGHT(Table132321275358[[#This Row],[h2]],8))</f>
        <v>0</v>
      </c>
    </row>
    <row r="854" spans="1:18">
      <c r="A854" s="15" t="str">
        <f t="shared" si="18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8" t="s">
        <v>75</v>
      </c>
      <c r="P854" s="48">
        <f>HEX2DEC(RIGHT(Table132321275358[[#This Row],[h1]],8))</f>
        <v>0</v>
      </c>
      <c r="Q854" s="48" t="s">
        <v>75</v>
      </c>
      <c r="R854" s="48">
        <f>HEX2DEC(RIGHT(Table132321275358[[#This Row],[h2]],8))</f>
        <v>0</v>
      </c>
    </row>
    <row r="855" spans="1:18">
      <c r="A855" s="15" t="str">
        <f t="shared" si="18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8" t="s">
        <v>75</v>
      </c>
      <c r="P855" s="48">
        <f>HEX2DEC(RIGHT(Table132321275358[[#This Row],[h1]],8))</f>
        <v>0</v>
      </c>
      <c r="Q855" s="48" t="s">
        <v>75</v>
      </c>
      <c r="R855" s="48">
        <f>HEX2DEC(RIGHT(Table132321275358[[#This Row],[h2]],8))</f>
        <v>0</v>
      </c>
    </row>
    <row r="856" spans="1:18">
      <c r="A856" s="15" t="str">
        <f t="shared" si="18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8" t="s">
        <v>75</v>
      </c>
      <c r="P856" s="48">
        <f>HEX2DEC(RIGHT(Table132321275358[[#This Row],[h1]],8))</f>
        <v>0</v>
      </c>
      <c r="Q856" s="48" t="s">
        <v>75</v>
      </c>
      <c r="R856" s="48">
        <f>HEX2DEC(RIGHT(Table132321275358[[#This Row],[h2]],8))</f>
        <v>0</v>
      </c>
    </row>
    <row r="857" spans="1:18">
      <c r="A857" s="15" t="str">
        <f t="shared" si="18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8" t="s">
        <v>75</v>
      </c>
      <c r="P857" s="48">
        <f>HEX2DEC(RIGHT(Table132321275358[[#This Row],[h1]],8))</f>
        <v>0</v>
      </c>
      <c r="Q857" s="48" t="s">
        <v>75</v>
      </c>
      <c r="R857" s="48">
        <f>HEX2DEC(RIGHT(Table132321275358[[#This Row],[h2]],8))</f>
        <v>0</v>
      </c>
    </row>
    <row r="858" spans="1:18">
      <c r="A858" s="15" t="str">
        <f t="shared" si="18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8" t="s">
        <v>75</v>
      </c>
      <c r="P858" s="48">
        <f>HEX2DEC(RIGHT(Table132321275358[[#This Row],[h1]],8))</f>
        <v>0</v>
      </c>
      <c r="Q858" s="48" t="s">
        <v>75</v>
      </c>
      <c r="R858" s="48">
        <f>HEX2DEC(RIGHT(Table132321275358[[#This Row],[h2]],8))</f>
        <v>0</v>
      </c>
    </row>
    <row r="859" spans="1:18">
      <c r="A859" s="15" t="str">
        <f t="shared" si="18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8" t="s">
        <v>75</v>
      </c>
      <c r="P859" s="48">
        <f>HEX2DEC(RIGHT(Table132321275358[[#This Row],[h1]],8))</f>
        <v>0</v>
      </c>
      <c r="Q859" s="48" t="s">
        <v>75</v>
      </c>
      <c r="R859" s="48">
        <f>HEX2DEC(RIGHT(Table132321275358[[#This Row],[h2]],8))</f>
        <v>0</v>
      </c>
    </row>
    <row r="860" spans="1:18">
      <c r="A860" s="15" t="str">
        <f t="shared" si="18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8" t="s">
        <v>75</v>
      </c>
      <c r="P860" s="48">
        <f>HEX2DEC(RIGHT(Table132321275358[[#This Row],[h1]],8))</f>
        <v>0</v>
      </c>
      <c r="Q860" s="48" t="s">
        <v>75</v>
      </c>
      <c r="R860" s="48">
        <f>HEX2DEC(RIGHT(Table132321275358[[#This Row],[h2]],8))</f>
        <v>0</v>
      </c>
    </row>
    <row r="861" spans="1:18">
      <c r="A861" s="15" t="str">
        <f t="shared" si="18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8" t="s">
        <v>75</v>
      </c>
      <c r="P861" s="48">
        <f>HEX2DEC(RIGHT(Table132321275358[[#This Row],[h1]],8))</f>
        <v>0</v>
      </c>
      <c r="Q861" s="48" t="s">
        <v>75</v>
      </c>
      <c r="R861" s="48">
        <f>HEX2DEC(RIGHT(Table132321275358[[#This Row],[h2]],8))</f>
        <v>0</v>
      </c>
    </row>
    <row r="862" spans="1:18">
      <c r="A862" s="15" t="str">
        <f t="shared" si="18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8" t="s">
        <v>75</v>
      </c>
      <c r="P862" s="48">
        <f>HEX2DEC(RIGHT(Table132321275358[[#This Row],[h1]],8))</f>
        <v>0</v>
      </c>
      <c r="Q862" s="48" t="s">
        <v>75</v>
      </c>
      <c r="R862" s="48">
        <f>HEX2DEC(RIGHT(Table132321275358[[#This Row],[h2]],8))</f>
        <v>0</v>
      </c>
    </row>
    <row r="863" spans="1:18">
      <c r="A863" s="15" t="str">
        <f t="shared" si="18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8" t="s">
        <v>75</v>
      </c>
      <c r="P863" s="48">
        <f>HEX2DEC(RIGHT(Table132321275358[[#This Row],[h1]],8))</f>
        <v>0</v>
      </c>
      <c r="Q863" s="48" t="s">
        <v>75</v>
      </c>
      <c r="R863" s="48">
        <f>HEX2DEC(RIGHT(Table132321275358[[#This Row],[h2]],8))</f>
        <v>0</v>
      </c>
    </row>
    <row r="864" spans="1:18">
      <c r="A864" s="15" t="str">
        <f t="shared" si="18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8" t="s">
        <v>75</v>
      </c>
      <c r="P864" s="48">
        <f>HEX2DEC(RIGHT(Table132321275358[[#This Row],[h1]],8))</f>
        <v>0</v>
      </c>
      <c r="Q864" s="48" t="s">
        <v>75</v>
      </c>
      <c r="R864" s="48">
        <f>HEX2DEC(RIGHT(Table132321275358[[#This Row],[h2]],8))</f>
        <v>0</v>
      </c>
    </row>
    <row r="865" spans="1:18">
      <c r="A865" s="15" t="str">
        <f t="shared" si="18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8" t="s">
        <v>75</v>
      </c>
      <c r="P865" s="48">
        <f>HEX2DEC(RIGHT(Table132321275358[[#This Row],[h1]],8))</f>
        <v>0</v>
      </c>
      <c r="Q865" s="48" t="s">
        <v>75</v>
      </c>
      <c r="R865" s="48">
        <f>HEX2DEC(RIGHT(Table132321275358[[#This Row],[h2]],8))</f>
        <v>0</v>
      </c>
    </row>
    <row r="866" spans="1:18">
      <c r="A866" s="15" t="str">
        <f t="shared" si="18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8" t="s">
        <v>75</v>
      </c>
      <c r="P866" s="48">
        <f>HEX2DEC(RIGHT(Table132321275358[[#This Row],[h1]],8))</f>
        <v>0</v>
      </c>
      <c r="Q866" s="48" t="s">
        <v>75</v>
      </c>
      <c r="R866" s="48">
        <f>HEX2DEC(RIGHT(Table132321275358[[#This Row],[h2]],8))</f>
        <v>0</v>
      </c>
    </row>
    <row r="867" spans="1:18">
      <c r="A867" s="15" t="str">
        <f t="shared" si="18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8" t="s">
        <v>75</v>
      </c>
      <c r="P867" s="48">
        <f>HEX2DEC(RIGHT(Table132321275358[[#This Row],[h1]],8))</f>
        <v>0</v>
      </c>
      <c r="Q867" s="48" t="s">
        <v>75</v>
      </c>
      <c r="R867" s="48">
        <f>HEX2DEC(RIGHT(Table132321275358[[#This Row],[h2]],8))</f>
        <v>0</v>
      </c>
    </row>
    <row r="868" spans="1:18">
      <c r="A868" s="15" t="str">
        <f t="shared" si="18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8" t="s">
        <v>75</v>
      </c>
      <c r="P868" s="48">
        <f>HEX2DEC(RIGHT(Table132321275358[[#This Row],[h1]],8))</f>
        <v>0</v>
      </c>
      <c r="Q868" s="48" t="s">
        <v>75</v>
      </c>
      <c r="R868" s="48">
        <f>HEX2DEC(RIGHT(Table132321275358[[#This Row],[h2]],8))</f>
        <v>0</v>
      </c>
    </row>
    <row r="869" spans="1:18">
      <c r="A869" s="15" t="str">
        <f t="shared" si="18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8" t="s">
        <v>75</v>
      </c>
      <c r="P869" s="48">
        <f>HEX2DEC(RIGHT(Table132321275358[[#This Row],[h1]],8))</f>
        <v>0</v>
      </c>
      <c r="Q869" s="48" t="s">
        <v>75</v>
      </c>
      <c r="R869" s="48">
        <f>HEX2DEC(RIGHT(Table132321275358[[#This Row],[h2]],8))</f>
        <v>0</v>
      </c>
    </row>
    <row r="870" spans="1:18">
      <c r="A870" s="15" t="str">
        <f t="shared" si="18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8" t="s">
        <v>75</v>
      </c>
      <c r="P870" s="48">
        <f>HEX2DEC(RIGHT(Table132321275358[[#This Row],[h1]],8))</f>
        <v>0</v>
      </c>
      <c r="Q870" s="48" t="s">
        <v>75</v>
      </c>
      <c r="R870" s="48">
        <f>HEX2DEC(RIGHT(Table132321275358[[#This Row],[h2]],8))</f>
        <v>0</v>
      </c>
    </row>
    <row r="871" spans="1:18">
      <c r="A871" s="15" t="str">
        <f t="shared" si="18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8" t="s">
        <v>75</v>
      </c>
      <c r="P871" s="48">
        <f>HEX2DEC(RIGHT(Table132321275358[[#This Row],[h1]],8))</f>
        <v>0</v>
      </c>
      <c r="Q871" s="48" t="s">
        <v>75</v>
      </c>
      <c r="R871" s="48">
        <f>HEX2DEC(RIGHT(Table132321275358[[#This Row],[h2]],8))</f>
        <v>0</v>
      </c>
    </row>
    <row r="872" spans="1:18">
      <c r="A872" s="15" t="str">
        <f t="shared" si="18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8" t="s">
        <v>75</v>
      </c>
      <c r="P872" s="48">
        <f>HEX2DEC(RIGHT(Table132321275358[[#This Row],[h1]],8))</f>
        <v>0</v>
      </c>
      <c r="Q872" s="48" t="s">
        <v>75</v>
      </c>
      <c r="R872" s="48">
        <f>HEX2DEC(RIGHT(Table132321275358[[#This Row],[h2]],8))</f>
        <v>0</v>
      </c>
    </row>
    <row r="873" spans="1:18">
      <c r="A873" s="15" t="str">
        <f t="shared" si="18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8" t="s">
        <v>75</v>
      </c>
      <c r="P873" s="48">
        <f>HEX2DEC(RIGHT(Table132321275358[[#This Row],[h1]],8))</f>
        <v>0</v>
      </c>
      <c r="Q873" s="48" t="s">
        <v>75</v>
      </c>
      <c r="R873" s="48">
        <f>HEX2DEC(RIGHT(Table132321275358[[#This Row],[h2]],8))</f>
        <v>0</v>
      </c>
    </row>
    <row r="874" spans="1:18">
      <c r="A874" s="15" t="str">
        <f t="shared" si="18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8" t="s">
        <v>75</v>
      </c>
      <c r="P874" s="48">
        <f>HEX2DEC(RIGHT(Table132321275358[[#This Row],[h1]],8))</f>
        <v>0</v>
      </c>
      <c r="Q874" s="48" t="s">
        <v>75</v>
      </c>
      <c r="R874" s="48">
        <f>HEX2DEC(RIGHT(Table132321275358[[#This Row],[h2]],8))</f>
        <v>0</v>
      </c>
    </row>
    <row r="875" spans="1:18">
      <c r="A875" s="15" t="str">
        <f t="shared" si="18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8" t="s">
        <v>75</v>
      </c>
      <c r="P875" s="48">
        <f>HEX2DEC(RIGHT(Table132321275358[[#This Row],[h1]],8))</f>
        <v>0</v>
      </c>
      <c r="Q875" s="48" t="s">
        <v>75</v>
      </c>
      <c r="R875" s="48">
        <f>HEX2DEC(RIGHT(Table132321275358[[#This Row],[h2]],8))</f>
        <v>0</v>
      </c>
    </row>
    <row r="876" spans="1:18">
      <c r="A876" s="15" t="str">
        <f t="shared" si="18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8" t="s">
        <v>75</v>
      </c>
      <c r="P876" s="48">
        <f>HEX2DEC(RIGHT(Table132321275358[[#This Row],[h1]],8))</f>
        <v>0</v>
      </c>
      <c r="Q876" s="48" t="s">
        <v>75</v>
      </c>
      <c r="R876" s="48">
        <f>HEX2DEC(RIGHT(Table132321275358[[#This Row],[h2]],8))</f>
        <v>0</v>
      </c>
    </row>
    <row r="877" spans="1:18">
      <c r="A877" s="15" t="str">
        <f t="shared" si="18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8" t="s">
        <v>75</v>
      </c>
      <c r="P877" s="48">
        <f>HEX2DEC(RIGHT(Table132321275358[[#This Row],[h1]],8))</f>
        <v>0</v>
      </c>
      <c r="Q877" s="48" t="s">
        <v>75</v>
      </c>
      <c r="R877" s="48">
        <f>HEX2DEC(RIGHT(Table132321275358[[#This Row],[h2]],8))</f>
        <v>0</v>
      </c>
    </row>
    <row r="878" spans="1:18">
      <c r="A878" s="15" t="str">
        <f t="shared" si="18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8" t="s">
        <v>75</v>
      </c>
      <c r="P878" s="48">
        <f>HEX2DEC(RIGHT(Table132321275358[[#This Row],[h1]],8))</f>
        <v>0</v>
      </c>
      <c r="Q878" s="48" t="s">
        <v>75</v>
      </c>
      <c r="R878" s="48">
        <f>HEX2DEC(RIGHT(Table132321275358[[#This Row],[h2]],8))</f>
        <v>0</v>
      </c>
    </row>
    <row r="879" spans="1:18">
      <c r="A879" s="15" t="str">
        <f t="shared" si="18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8" t="s">
        <v>75</v>
      </c>
      <c r="P879" s="48">
        <f>HEX2DEC(RIGHT(Table132321275358[[#This Row],[h1]],8))</f>
        <v>0</v>
      </c>
      <c r="Q879" s="48" t="s">
        <v>75</v>
      </c>
      <c r="R879" s="48">
        <f>HEX2DEC(RIGHT(Table132321275358[[#This Row],[h2]],8))</f>
        <v>0</v>
      </c>
    </row>
    <row r="880" spans="1:18">
      <c r="A880" s="15" t="str">
        <f t="shared" si="18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8" t="s">
        <v>75</v>
      </c>
      <c r="P880" s="48">
        <f>HEX2DEC(RIGHT(Table132321275358[[#This Row],[h1]],8))</f>
        <v>0</v>
      </c>
      <c r="Q880" s="48" t="s">
        <v>75</v>
      </c>
      <c r="R880" s="48">
        <f>HEX2DEC(RIGHT(Table132321275358[[#This Row],[h2]],8))</f>
        <v>0</v>
      </c>
    </row>
    <row r="881" spans="1:18">
      <c r="A881" s="15" t="str">
        <f t="shared" si="18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8" t="s">
        <v>75</v>
      </c>
      <c r="P881" s="48">
        <f>HEX2DEC(RIGHT(Table132321275358[[#This Row],[h1]],8))</f>
        <v>0</v>
      </c>
      <c r="Q881" s="48" t="s">
        <v>75</v>
      </c>
      <c r="R881" s="48">
        <f>HEX2DEC(RIGHT(Table132321275358[[#This Row],[h2]],8))</f>
        <v>0</v>
      </c>
    </row>
    <row r="882" spans="1:18">
      <c r="A882" s="15" t="str">
        <f t="shared" si="18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8" t="s">
        <v>75</v>
      </c>
      <c r="P882" s="48">
        <f>HEX2DEC(RIGHT(Table132321275358[[#This Row],[h1]],8))</f>
        <v>0</v>
      </c>
      <c r="Q882" s="48" t="s">
        <v>75</v>
      </c>
      <c r="R882" s="48">
        <f>HEX2DEC(RIGHT(Table132321275358[[#This Row],[h2]],8))</f>
        <v>0</v>
      </c>
    </row>
    <row r="883" spans="1:18">
      <c r="A883" s="15" t="str">
        <f t="shared" si="18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8" t="s">
        <v>75</v>
      </c>
      <c r="P883" s="48">
        <f>HEX2DEC(RIGHT(Table132321275358[[#This Row],[h1]],8))</f>
        <v>0</v>
      </c>
      <c r="Q883" s="48" t="s">
        <v>75</v>
      </c>
      <c r="R883" s="48">
        <f>HEX2DEC(RIGHT(Table132321275358[[#This Row],[h2]],8))</f>
        <v>0</v>
      </c>
    </row>
    <row r="884" spans="1:18">
      <c r="A884" s="15" t="str">
        <f t="shared" si="18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8" t="s">
        <v>75</v>
      </c>
      <c r="P884" s="48">
        <f>HEX2DEC(RIGHT(Table132321275358[[#This Row],[h1]],8))</f>
        <v>0</v>
      </c>
      <c r="Q884" s="48" t="s">
        <v>75</v>
      </c>
      <c r="R884" s="48">
        <f>HEX2DEC(RIGHT(Table132321275358[[#This Row],[h2]],8))</f>
        <v>0</v>
      </c>
    </row>
    <row r="885" spans="1:18">
      <c r="A885" s="15" t="str">
        <f t="shared" si="18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8" t="s">
        <v>75</v>
      </c>
      <c r="P885" s="48">
        <f>HEX2DEC(RIGHT(Table132321275358[[#This Row],[h1]],8))</f>
        <v>0</v>
      </c>
      <c r="Q885" s="48" t="s">
        <v>75</v>
      </c>
      <c r="R885" s="48">
        <f>HEX2DEC(RIGHT(Table132321275358[[#This Row],[h2]],8))</f>
        <v>0</v>
      </c>
    </row>
    <row r="886" spans="1:18">
      <c r="A886" s="15" t="str">
        <f t="shared" si="18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8" t="s">
        <v>75</v>
      </c>
      <c r="P886" s="48">
        <f>HEX2DEC(RIGHT(Table132321275358[[#This Row],[h1]],8))</f>
        <v>0</v>
      </c>
      <c r="Q886" s="48" t="s">
        <v>75</v>
      </c>
      <c r="R886" s="48">
        <f>HEX2DEC(RIGHT(Table132321275358[[#This Row],[h2]],8))</f>
        <v>0</v>
      </c>
    </row>
    <row r="887" spans="1:18">
      <c r="A887" s="15" t="str">
        <f t="shared" si="18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8" t="s">
        <v>75</v>
      </c>
      <c r="P887" s="48">
        <f>HEX2DEC(RIGHT(Table132321275358[[#This Row],[h1]],8))</f>
        <v>0</v>
      </c>
      <c r="Q887" s="48" t="s">
        <v>75</v>
      </c>
      <c r="R887" s="48">
        <f>HEX2DEC(RIGHT(Table132321275358[[#This Row],[h2]],8))</f>
        <v>0</v>
      </c>
    </row>
    <row r="888" spans="1:18">
      <c r="A888" s="15" t="str">
        <f t="shared" si="18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8" t="s">
        <v>75</v>
      </c>
      <c r="P888" s="48">
        <f>HEX2DEC(RIGHT(Table132321275358[[#This Row],[h1]],8))</f>
        <v>0</v>
      </c>
      <c r="Q888" s="48" t="s">
        <v>75</v>
      </c>
      <c r="R888" s="48">
        <f>HEX2DEC(RIGHT(Table132321275358[[#This Row],[h2]],8))</f>
        <v>0</v>
      </c>
    </row>
    <row r="889" spans="1:18">
      <c r="A889" s="15" t="str">
        <f t="shared" si="18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8" t="s">
        <v>75</v>
      </c>
      <c r="P889" s="48">
        <f>HEX2DEC(RIGHT(Table132321275358[[#This Row],[h1]],8))</f>
        <v>0</v>
      </c>
      <c r="Q889" s="48" t="s">
        <v>75</v>
      </c>
      <c r="R889" s="48">
        <f>HEX2DEC(RIGHT(Table132321275358[[#This Row],[h2]],8))</f>
        <v>0</v>
      </c>
    </row>
    <row r="890" spans="1:18">
      <c r="A890" s="15" t="str">
        <f t="shared" si="18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8" t="s">
        <v>75</v>
      </c>
      <c r="P890" s="48">
        <f>HEX2DEC(RIGHT(Table132321275358[[#This Row],[h1]],8))</f>
        <v>0</v>
      </c>
      <c r="Q890" s="48" t="s">
        <v>75</v>
      </c>
      <c r="R890" s="48">
        <f>HEX2DEC(RIGHT(Table132321275358[[#This Row],[h2]],8))</f>
        <v>0</v>
      </c>
    </row>
    <row r="891" spans="1:18">
      <c r="A891" s="15" t="str">
        <f t="shared" si="18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8" t="s">
        <v>75</v>
      </c>
      <c r="P891" s="48">
        <f>HEX2DEC(RIGHT(Table132321275358[[#This Row],[h1]],8))</f>
        <v>0</v>
      </c>
      <c r="Q891" s="48" t="s">
        <v>75</v>
      </c>
      <c r="R891" s="48">
        <f>HEX2DEC(RIGHT(Table132321275358[[#This Row],[h2]],8))</f>
        <v>0</v>
      </c>
    </row>
    <row r="892" spans="1:18">
      <c r="A892" s="15" t="str">
        <f t="shared" si="18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8" t="s">
        <v>75</v>
      </c>
      <c r="P892" s="48">
        <f>HEX2DEC(RIGHT(Table132321275358[[#This Row],[h1]],8))</f>
        <v>0</v>
      </c>
      <c r="Q892" s="48" t="s">
        <v>75</v>
      </c>
      <c r="R892" s="48">
        <f>HEX2DEC(RIGHT(Table132321275358[[#This Row],[h2]],8))</f>
        <v>0</v>
      </c>
    </row>
    <row r="893" spans="1:18">
      <c r="A893" s="15" t="str">
        <f t="shared" si="18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8" t="s">
        <v>75</v>
      </c>
      <c r="P893" s="48">
        <f>HEX2DEC(RIGHT(Table132321275358[[#This Row],[h1]],8))</f>
        <v>0</v>
      </c>
      <c r="Q893" s="48" t="s">
        <v>75</v>
      </c>
      <c r="R893" s="48">
        <f>HEX2DEC(RIGHT(Table132321275358[[#This Row],[h2]],8))</f>
        <v>0</v>
      </c>
    </row>
    <row r="894" spans="1:18">
      <c r="A894" s="15" t="str">
        <f t="shared" si="18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8" t="s">
        <v>75</v>
      </c>
      <c r="P894" s="48">
        <f>HEX2DEC(RIGHT(Table132321275358[[#This Row],[h1]],8))</f>
        <v>0</v>
      </c>
      <c r="Q894" s="48" t="s">
        <v>75</v>
      </c>
      <c r="R894" s="48">
        <f>HEX2DEC(RIGHT(Table132321275358[[#This Row],[h2]],8))</f>
        <v>0</v>
      </c>
    </row>
    <row r="895" spans="1:18">
      <c r="A895" s="15" t="str">
        <f t="shared" si="18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8" t="s">
        <v>75</v>
      </c>
      <c r="P895" s="48">
        <f>HEX2DEC(RIGHT(Table132321275358[[#This Row],[h1]],8))</f>
        <v>0</v>
      </c>
      <c r="Q895" s="48" t="s">
        <v>75</v>
      </c>
      <c r="R895" s="48">
        <f>HEX2DEC(RIGHT(Table132321275358[[#This Row],[h2]],8))</f>
        <v>0</v>
      </c>
    </row>
    <row r="896" spans="1:18">
      <c r="A896" s="15" t="str">
        <f t="shared" si="18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8" t="s">
        <v>75</v>
      </c>
      <c r="P896" s="48">
        <f>HEX2DEC(RIGHT(Table132321275358[[#This Row],[h1]],8))</f>
        <v>0</v>
      </c>
      <c r="Q896" s="48" t="s">
        <v>75</v>
      </c>
      <c r="R896" s="48">
        <f>HEX2DEC(RIGHT(Table132321275358[[#This Row],[h2]],8))</f>
        <v>0</v>
      </c>
    </row>
    <row r="897" spans="1:18">
      <c r="A897" s="15" t="str">
        <f t="shared" si="18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8" t="s">
        <v>75</v>
      </c>
      <c r="P897" s="48">
        <f>HEX2DEC(RIGHT(Table132321275358[[#This Row],[h1]],8))</f>
        <v>0</v>
      </c>
      <c r="Q897" s="48" t="s">
        <v>75</v>
      </c>
      <c r="R897" s="48">
        <f>HEX2DEC(RIGHT(Table132321275358[[#This Row],[h2]],8))</f>
        <v>0</v>
      </c>
    </row>
    <row r="898" spans="1:18">
      <c r="A898" s="15" t="str">
        <f t="shared" si="18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8" t="s">
        <v>75</v>
      </c>
      <c r="P898" s="48">
        <f>HEX2DEC(RIGHT(Table132321275358[[#This Row],[h1]],8))</f>
        <v>0</v>
      </c>
      <c r="Q898" s="48" t="s">
        <v>75</v>
      </c>
      <c r="R898" s="48">
        <f>HEX2DEC(RIGHT(Table132321275358[[#This Row],[h2]],8))</f>
        <v>0</v>
      </c>
    </row>
    <row r="899" spans="1:18">
      <c r="A899" s="15" t="str">
        <f t="shared" si="18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8" t="s">
        <v>75</v>
      </c>
      <c r="P899" s="48">
        <f>HEX2DEC(RIGHT(Table132321275358[[#This Row],[h1]],8))</f>
        <v>0</v>
      </c>
      <c r="Q899" s="48" t="s">
        <v>75</v>
      </c>
      <c r="R899" s="48">
        <f>HEX2DEC(RIGHT(Table132321275358[[#This Row],[h2]],8))</f>
        <v>0</v>
      </c>
    </row>
    <row r="900" spans="1:18">
      <c r="A900" s="15" t="str">
        <f t="shared" si="18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8" t="s">
        <v>75</v>
      </c>
      <c r="P900" s="48">
        <f>HEX2DEC(RIGHT(Table132321275358[[#This Row],[h1]],8))</f>
        <v>0</v>
      </c>
      <c r="Q900" s="48" t="s">
        <v>75</v>
      </c>
      <c r="R900" s="48">
        <f>HEX2DEC(RIGHT(Table132321275358[[#This Row],[h2]],8))</f>
        <v>0</v>
      </c>
    </row>
    <row r="901" spans="1:18">
      <c r="A901" s="15" t="str">
        <f t="shared" si="18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8" t="s">
        <v>75</v>
      </c>
      <c r="P901" s="48">
        <f>HEX2DEC(RIGHT(Table132321275358[[#This Row],[h1]],8))</f>
        <v>0</v>
      </c>
      <c r="Q901" s="48" t="s">
        <v>75</v>
      </c>
      <c r="R901" s="48">
        <f>HEX2DEC(RIGHT(Table132321275358[[#This Row],[h2]],8))</f>
        <v>0</v>
      </c>
    </row>
    <row r="902" spans="1:18">
      <c r="A902" s="15" t="str">
        <f t="shared" si="18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8" t="s">
        <v>75</v>
      </c>
      <c r="P902" s="48">
        <f>HEX2DEC(RIGHT(Table132321275358[[#This Row],[h1]],8))</f>
        <v>0</v>
      </c>
      <c r="Q902" s="48" t="s">
        <v>75</v>
      </c>
      <c r="R902" s="48">
        <f>HEX2DEC(RIGHT(Table132321275358[[#This Row],[h2]],8))</f>
        <v>0</v>
      </c>
    </row>
    <row r="903" spans="1:18">
      <c r="A903" s="15" t="str">
        <f t="shared" si="18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8" t="s">
        <v>75</v>
      </c>
      <c r="P903" s="48">
        <f>HEX2DEC(RIGHT(Table132321275358[[#This Row],[h1]],8))</f>
        <v>0</v>
      </c>
      <c r="Q903" s="48" t="s">
        <v>75</v>
      </c>
      <c r="R903" s="48">
        <f>HEX2DEC(RIGHT(Table132321275358[[#This Row],[h2]],8))</f>
        <v>0</v>
      </c>
    </row>
    <row r="904" spans="1:18">
      <c r="A904" s="15" t="str">
        <f t="shared" si="18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8" t="s">
        <v>75</v>
      </c>
      <c r="P904" s="48">
        <f>HEX2DEC(RIGHT(Table132321275358[[#This Row],[h1]],8))</f>
        <v>0</v>
      </c>
      <c r="Q904" s="48" t="s">
        <v>75</v>
      </c>
      <c r="R904" s="48">
        <f>HEX2DEC(RIGHT(Table132321275358[[#This Row],[h2]],8))</f>
        <v>0</v>
      </c>
    </row>
    <row r="905" spans="1:18">
      <c r="A905" s="15" t="str">
        <f t="shared" si="18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8" t="s">
        <v>75</v>
      </c>
      <c r="P905" s="48">
        <f>HEX2DEC(RIGHT(Table132321275358[[#This Row],[h1]],8))</f>
        <v>0</v>
      </c>
      <c r="Q905" s="48" t="s">
        <v>75</v>
      </c>
      <c r="R905" s="48">
        <f>HEX2DEC(RIGHT(Table132321275358[[#This Row],[h2]],8))</f>
        <v>0</v>
      </c>
    </row>
    <row r="906" spans="1:18">
      <c r="A906" s="15" t="str">
        <f t="shared" si="18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8" t="s">
        <v>75</v>
      </c>
      <c r="P906" s="48">
        <f>HEX2DEC(RIGHT(Table132321275358[[#This Row],[h1]],8))</f>
        <v>0</v>
      </c>
      <c r="Q906" s="48" t="s">
        <v>75</v>
      </c>
      <c r="R906" s="48">
        <f>HEX2DEC(RIGHT(Table132321275358[[#This Row],[h2]],8))</f>
        <v>0</v>
      </c>
    </row>
    <row r="907" spans="1:18">
      <c r="A907" s="15" t="str">
        <f t="shared" ref="A907:A970" si="19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8" t="s">
        <v>75</v>
      </c>
      <c r="P907" s="48">
        <f>HEX2DEC(RIGHT(Table132321275358[[#This Row],[h1]],8))</f>
        <v>0</v>
      </c>
      <c r="Q907" s="48" t="s">
        <v>75</v>
      </c>
      <c r="R907" s="48">
        <f>HEX2DEC(RIGHT(Table132321275358[[#This Row],[h2]],8))</f>
        <v>0</v>
      </c>
    </row>
    <row r="908" spans="1:18">
      <c r="A908" s="15" t="str">
        <f t="shared" si="19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8" t="s">
        <v>75</v>
      </c>
      <c r="P908" s="48">
        <f>HEX2DEC(RIGHT(Table132321275358[[#This Row],[h1]],8))</f>
        <v>0</v>
      </c>
      <c r="Q908" s="48" t="s">
        <v>75</v>
      </c>
      <c r="R908" s="48">
        <f>HEX2DEC(RIGHT(Table132321275358[[#This Row],[h2]],8))</f>
        <v>0</v>
      </c>
    </row>
    <row r="909" spans="1:18">
      <c r="A909" s="15" t="str">
        <f t="shared" si="19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8" t="s">
        <v>75</v>
      </c>
      <c r="P909" s="48">
        <f>HEX2DEC(RIGHT(Table132321275358[[#This Row],[h1]],8))</f>
        <v>0</v>
      </c>
      <c r="Q909" s="48" t="s">
        <v>75</v>
      </c>
      <c r="R909" s="48">
        <f>HEX2DEC(RIGHT(Table132321275358[[#This Row],[h2]],8))</f>
        <v>0</v>
      </c>
    </row>
    <row r="910" spans="1:18">
      <c r="A910" s="15" t="str">
        <f t="shared" si="19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8" t="s">
        <v>75</v>
      </c>
      <c r="P910" s="48">
        <f>HEX2DEC(RIGHT(Table132321275358[[#This Row],[h1]],8))</f>
        <v>0</v>
      </c>
      <c r="Q910" s="48" t="s">
        <v>75</v>
      </c>
      <c r="R910" s="48">
        <f>HEX2DEC(RIGHT(Table132321275358[[#This Row],[h2]],8))</f>
        <v>0</v>
      </c>
    </row>
    <row r="911" spans="1:18">
      <c r="A911" s="15" t="str">
        <f t="shared" si="19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8" t="s">
        <v>75</v>
      </c>
      <c r="P911" s="48">
        <f>HEX2DEC(RIGHT(Table132321275358[[#This Row],[h1]],8))</f>
        <v>0</v>
      </c>
      <c r="Q911" s="48" t="s">
        <v>75</v>
      </c>
      <c r="R911" s="48">
        <f>HEX2DEC(RIGHT(Table132321275358[[#This Row],[h2]],8))</f>
        <v>0</v>
      </c>
    </row>
    <row r="912" spans="1:18">
      <c r="A912" s="15" t="str">
        <f t="shared" si="19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8" t="s">
        <v>75</v>
      </c>
      <c r="P912" s="48">
        <f>HEX2DEC(RIGHT(Table132321275358[[#This Row],[h1]],8))</f>
        <v>0</v>
      </c>
      <c r="Q912" s="48" t="s">
        <v>75</v>
      </c>
      <c r="R912" s="48">
        <f>HEX2DEC(RIGHT(Table132321275358[[#This Row],[h2]],8))</f>
        <v>0</v>
      </c>
    </row>
    <row r="913" spans="1:18">
      <c r="A913" s="15" t="str">
        <f t="shared" si="19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8" t="s">
        <v>75</v>
      </c>
      <c r="P913" s="48">
        <f>HEX2DEC(RIGHT(Table132321275358[[#This Row],[h1]],8))</f>
        <v>0</v>
      </c>
      <c r="Q913" s="48" t="s">
        <v>75</v>
      </c>
      <c r="R913" s="48">
        <f>HEX2DEC(RIGHT(Table132321275358[[#This Row],[h2]],8))</f>
        <v>0</v>
      </c>
    </row>
    <row r="914" spans="1:18">
      <c r="A914" s="15" t="str">
        <f t="shared" si="19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8" t="s">
        <v>75</v>
      </c>
      <c r="P914" s="48">
        <f>HEX2DEC(RIGHT(Table132321275358[[#This Row],[h1]],8))</f>
        <v>0</v>
      </c>
      <c r="Q914" s="48" t="s">
        <v>75</v>
      </c>
      <c r="R914" s="48">
        <f>HEX2DEC(RIGHT(Table132321275358[[#This Row],[h2]],8))</f>
        <v>0</v>
      </c>
    </row>
    <row r="915" spans="1:18">
      <c r="A915" s="15" t="str">
        <f t="shared" si="19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8" t="s">
        <v>75</v>
      </c>
      <c r="P915" s="48">
        <f>HEX2DEC(RIGHT(Table132321275358[[#This Row],[h1]],8))</f>
        <v>0</v>
      </c>
      <c r="Q915" s="48" t="s">
        <v>75</v>
      </c>
      <c r="R915" s="48">
        <f>HEX2DEC(RIGHT(Table132321275358[[#This Row],[h2]],8))</f>
        <v>0</v>
      </c>
    </row>
    <row r="916" spans="1:18">
      <c r="A916" s="15" t="str">
        <f t="shared" si="19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8" t="s">
        <v>75</v>
      </c>
      <c r="P916" s="48">
        <f>HEX2DEC(RIGHT(Table132321275358[[#This Row],[h1]],8))</f>
        <v>0</v>
      </c>
      <c r="Q916" s="48" t="s">
        <v>75</v>
      </c>
      <c r="R916" s="48">
        <f>HEX2DEC(RIGHT(Table132321275358[[#This Row],[h2]],8))</f>
        <v>0</v>
      </c>
    </row>
    <row r="917" spans="1:18">
      <c r="A917" s="15" t="str">
        <f t="shared" si="19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8" t="s">
        <v>75</v>
      </c>
      <c r="P917" s="48">
        <f>HEX2DEC(RIGHT(Table132321275358[[#This Row],[h1]],8))</f>
        <v>0</v>
      </c>
      <c r="Q917" s="48" t="s">
        <v>75</v>
      </c>
      <c r="R917" s="48">
        <f>HEX2DEC(RIGHT(Table132321275358[[#This Row],[h2]],8))</f>
        <v>0</v>
      </c>
    </row>
    <row r="918" spans="1:18">
      <c r="A918" s="15" t="str">
        <f t="shared" si="19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8" t="s">
        <v>75</v>
      </c>
      <c r="P918" s="48">
        <f>HEX2DEC(RIGHT(Table132321275358[[#This Row],[h1]],8))</f>
        <v>0</v>
      </c>
      <c r="Q918" s="48" t="s">
        <v>75</v>
      </c>
      <c r="R918" s="48">
        <f>HEX2DEC(RIGHT(Table132321275358[[#This Row],[h2]],8))</f>
        <v>0</v>
      </c>
    </row>
    <row r="919" spans="1:18">
      <c r="A919" s="15" t="str">
        <f t="shared" si="19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8" t="s">
        <v>75</v>
      </c>
      <c r="P919" s="48">
        <f>HEX2DEC(RIGHT(Table132321275358[[#This Row],[h1]],8))</f>
        <v>0</v>
      </c>
      <c r="Q919" s="48" t="s">
        <v>75</v>
      </c>
      <c r="R919" s="48">
        <f>HEX2DEC(RIGHT(Table132321275358[[#This Row],[h2]],8))</f>
        <v>0</v>
      </c>
    </row>
    <row r="920" spans="1:18">
      <c r="A920" s="15" t="str">
        <f t="shared" si="19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8" t="s">
        <v>75</v>
      </c>
      <c r="P920" s="48">
        <f>HEX2DEC(RIGHT(Table132321275358[[#This Row],[h1]],8))</f>
        <v>0</v>
      </c>
      <c r="Q920" s="48" t="s">
        <v>75</v>
      </c>
      <c r="R920" s="48">
        <f>HEX2DEC(RIGHT(Table132321275358[[#This Row],[h2]],8))</f>
        <v>0</v>
      </c>
    </row>
    <row r="921" spans="1:18">
      <c r="A921" s="15" t="str">
        <f t="shared" si="19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8" t="s">
        <v>75</v>
      </c>
      <c r="P921" s="48">
        <f>HEX2DEC(RIGHT(Table132321275358[[#This Row],[h1]],8))</f>
        <v>0</v>
      </c>
      <c r="Q921" s="48" t="s">
        <v>75</v>
      </c>
      <c r="R921" s="48">
        <f>HEX2DEC(RIGHT(Table132321275358[[#This Row],[h2]],8))</f>
        <v>0</v>
      </c>
    </row>
    <row r="922" spans="1:18">
      <c r="A922" s="15" t="str">
        <f t="shared" si="19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8" t="s">
        <v>75</v>
      </c>
      <c r="P922" s="48">
        <f>HEX2DEC(RIGHT(Table132321275358[[#This Row],[h1]],8))</f>
        <v>0</v>
      </c>
      <c r="Q922" s="48" t="s">
        <v>75</v>
      </c>
      <c r="R922" s="48">
        <f>HEX2DEC(RIGHT(Table132321275358[[#This Row],[h2]],8))</f>
        <v>0</v>
      </c>
    </row>
    <row r="923" spans="1:18">
      <c r="A923" s="15" t="str">
        <f t="shared" si="19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8" t="s">
        <v>75</v>
      </c>
      <c r="P923" s="48">
        <f>HEX2DEC(RIGHT(Table132321275358[[#This Row],[h1]],8))</f>
        <v>0</v>
      </c>
      <c r="Q923" s="48" t="s">
        <v>75</v>
      </c>
      <c r="R923" s="48">
        <f>HEX2DEC(RIGHT(Table132321275358[[#This Row],[h2]],8))</f>
        <v>0</v>
      </c>
    </row>
    <row r="924" spans="1:18">
      <c r="A924" s="15" t="str">
        <f t="shared" si="19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8" t="s">
        <v>75</v>
      </c>
      <c r="P924" s="48">
        <f>HEX2DEC(RIGHT(Table132321275358[[#This Row],[h1]],8))</f>
        <v>0</v>
      </c>
      <c r="Q924" s="48" t="s">
        <v>75</v>
      </c>
      <c r="R924" s="48">
        <f>HEX2DEC(RIGHT(Table132321275358[[#This Row],[h2]],8))</f>
        <v>0</v>
      </c>
    </row>
    <row r="925" spans="1:18">
      <c r="A925" s="15" t="str">
        <f t="shared" si="19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8" t="s">
        <v>75</v>
      </c>
      <c r="P925" s="48">
        <f>HEX2DEC(RIGHT(Table132321275358[[#This Row],[h1]],8))</f>
        <v>0</v>
      </c>
      <c r="Q925" s="48" t="s">
        <v>75</v>
      </c>
      <c r="R925" s="48">
        <f>HEX2DEC(RIGHT(Table132321275358[[#This Row],[h2]],8))</f>
        <v>0</v>
      </c>
    </row>
    <row r="926" spans="1:18">
      <c r="A926" s="15" t="str">
        <f t="shared" si="19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8" t="s">
        <v>75</v>
      </c>
      <c r="P926" s="48">
        <f>HEX2DEC(RIGHT(Table132321275358[[#This Row],[h1]],8))</f>
        <v>0</v>
      </c>
      <c r="Q926" s="48" t="s">
        <v>75</v>
      </c>
      <c r="R926" s="48">
        <f>HEX2DEC(RIGHT(Table132321275358[[#This Row],[h2]],8))</f>
        <v>0</v>
      </c>
    </row>
    <row r="927" spans="1:18">
      <c r="A927" s="15" t="str">
        <f t="shared" si="19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8" t="s">
        <v>75</v>
      </c>
      <c r="P927" s="48">
        <f>HEX2DEC(RIGHT(Table132321275358[[#This Row],[h1]],8))</f>
        <v>0</v>
      </c>
      <c r="Q927" s="48" t="s">
        <v>75</v>
      </c>
      <c r="R927" s="48">
        <f>HEX2DEC(RIGHT(Table132321275358[[#This Row],[h2]],8))</f>
        <v>0</v>
      </c>
    </row>
    <row r="928" spans="1:18">
      <c r="A928" s="15" t="str">
        <f t="shared" si="19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8" t="s">
        <v>75</v>
      </c>
      <c r="P928" s="48">
        <f>HEX2DEC(RIGHT(Table132321275358[[#This Row],[h1]],8))</f>
        <v>0</v>
      </c>
      <c r="Q928" s="48" t="s">
        <v>75</v>
      </c>
      <c r="R928" s="48">
        <f>HEX2DEC(RIGHT(Table132321275358[[#This Row],[h2]],8))</f>
        <v>0</v>
      </c>
    </row>
    <row r="929" spans="1:18">
      <c r="A929" s="15" t="str">
        <f t="shared" si="19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8" t="s">
        <v>75</v>
      </c>
      <c r="P929" s="48">
        <f>HEX2DEC(RIGHT(Table132321275358[[#This Row],[h1]],8))</f>
        <v>0</v>
      </c>
      <c r="Q929" s="48" t="s">
        <v>75</v>
      </c>
      <c r="R929" s="48">
        <f>HEX2DEC(RIGHT(Table132321275358[[#This Row],[h2]],8))</f>
        <v>0</v>
      </c>
    </row>
    <row r="930" spans="1:18">
      <c r="A930" s="15" t="str">
        <f t="shared" si="19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8" t="s">
        <v>75</v>
      </c>
      <c r="P930" s="48">
        <f>HEX2DEC(RIGHT(Table132321275358[[#This Row],[h1]],8))</f>
        <v>0</v>
      </c>
      <c r="Q930" s="48" t="s">
        <v>75</v>
      </c>
      <c r="R930" s="48">
        <f>HEX2DEC(RIGHT(Table132321275358[[#This Row],[h2]],8))</f>
        <v>0</v>
      </c>
    </row>
    <row r="931" spans="1:18">
      <c r="A931" s="15" t="str">
        <f t="shared" si="19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8" t="s">
        <v>75</v>
      </c>
      <c r="P931" s="48">
        <f>HEX2DEC(RIGHT(Table132321275358[[#This Row],[h1]],8))</f>
        <v>0</v>
      </c>
      <c r="Q931" s="48" t="s">
        <v>75</v>
      </c>
      <c r="R931" s="48">
        <f>HEX2DEC(RIGHT(Table132321275358[[#This Row],[h2]],8))</f>
        <v>0</v>
      </c>
    </row>
    <row r="932" spans="1:18">
      <c r="A932" s="15" t="str">
        <f t="shared" si="19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8" t="s">
        <v>75</v>
      </c>
      <c r="P932" s="48">
        <f>HEX2DEC(RIGHT(Table132321275358[[#This Row],[h1]],8))</f>
        <v>0</v>
      </c>
      <c r="Q932" s="48" t="s">
        <v>75</v>
      </c>
      <c r="R932" s="48">
        <f>HEX2DEC(RIGHT(Table132321275358[[#This Row],[h2]],8))</f>
        <v>0</v>
      </c>
    </row>
    <row r="933" spans="1:18">
      <c r="A933" s="15" t="str">
        <f t="shared" si="19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8" t="s">
        <v>75</v>
      </c>
      <c r="P933" s="48">
        <f>HEX2DEC(RIGHT(Table132321275358[[#This Row],[h1]],8))</f>
        <v>0</v>
      </c>
      <c r="Q933" s="48" t="s">
        <v>75</v>
      </c>
      <c r="R933" s="48">
        <f>HEX2DEC(RIGHT(Table132321275358[[#This Row],[h2]],8))</f>
        <v>0</v>
      </c>
    </row>
    <row r="934" spans="1:18">
      <c r="A934" s="15" t="str">
        <f t="shared" si="19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8" t="s">
        <v>75</v>
      </c>
      <c r="P934" s="48">
        <f>HEX2DEC(RIGHT(Table132321275358[[#This Row],[h1]],8))</f>
        <v>0</v>
      </c>
      <c r="Q934" s="48" t="s">
        <v>75</v>
      </c>
      <c r="R934" s="48">
        <f>HEX2DEC(RIGHT(Table132321275358[[#This Row],[h2]],8))</f>
        <v>0</v>
      </c>
    </row>
    <row r="935" spans="1:18">
      <c r="A935" s="15" t="str">
        <f t="shared" si="19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8" t="s">
        <v>75</v>
      </c>
      <c r="P935" s="48">
        <f>HEX2DEC(RIGHT(Table132321275358[[#This Row],[h1]],8))</f>
        <v>0</v>
      </c>
      <c r="Q935" s="48" t="s">
        <v>75</v>
      </c>
      <c r="R935" s="48">
        <f>HEX2DEC(RIGHT(Table132321275358[[#This Row],[h2]],8))</f>
        <v>0</v>
      </c>
    </row>
    <row r="936" spans="1:18">
      <c r="A936" s="15" t="str">
        <f t="shared" si="19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8" t="s">
        <v>75</v>
      </c>
      <c r="P936" s="48">
        <f>HEX2DEC(RIGHT(Table132321275358[[#This Row],[h1]],8))</f>
        <v>0</v>
      </c>
      <c r="Q936" s="48" t="s">
        <v>75</v>
      </c>
      <c r="R936" s="48">
        <f>HEX2DEC(RIGHT(Table132321275358[[#This Row],[h2]],8))</f>
        <v>0</v>
      </c>
    </row>
    <row r="937" spans="1:18">
      <c r="A937" s="15" t="str">
        <f t="shared" si="19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8" t="s">
        <v>75</v>
      </c>
      <c r="P937" s="48">
        <f>HEX2DEC(RIGHT(Table132321275358[[#This Row],[h1]],8))</f>
        <v>0</v>
      </c>
      <c r="Q937" s="48" t="s">
        <v>75</v>
      </c>
      <c r="R937" s="48">
        <f>HEX2DEC(RIGHT(Table132321275358[[#This Row],[h2]],8))</f>
        <v>0</v>
      </c>
    </row>
    <row r="938" spans="1:18">
      <c r="A938" s="15" t="str">
        <f t="shared" si="19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8" t="s">
        <v>75</v>
      </c>
      <c r="P938" s="48">
        <f>HEX2DEC(RIGHT(Table132321275358[[#This Row],[h1]],8))</f>
        <v>0</v>
      </c>
      <c r="Q938" s="48" t="s">
        <v>75</v>
      </c>
      <c r="R938" s="48">
        <f>HEX2DEC(RIGHT(Table132321275358[[#This Row],[h2]],8))</f>
        <v>0</v>
      </c>
    </row>
    <row r="939" spans="1:18">
      <c r="A939" s="15" t="str">
        <f t="shared" si="19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8" t="s">
        <v>75</v>
      </c>
      <c r="P939" s="48">
        <f>HEX2DEC(RIGHT(Table132321275358[[#This Row],[h1]],8))</f>
        <v>0</v>
      </c>
      <c r="Q939" s="48" t="s">
        <v>75</v>
      </c>
      <c r="R939" s="48">
        <f>HEX2DEC(RIGHT(Table132321275358[[#This Row],[h2]],8))</f>
        <v>0</v>
      </c>
    </row>
    <row r="940" spans="1:18">
      <c r="A940" s="15" t="str">
        <f t="shared" si="19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8" t="s">
        <v>75</v>
      </c>
      <c r="P940" s="48">
        <f>HEX2DEC(RIGHT(Table132321275358[[#This Row],[h1]],8))</f>
        <v>0</v>
      </c>
      <c r="Q940" s="48" t="s">
        <v>75</v>
      </c>
      <c r="R940" s="48">
        <f>HEX2DEC(RIGHT(Table132321275358[[#This Row],[h2]],8))</f>
        <v>0</v>
      </c>
    </row>
    <row r="941" spans="1:18">
      <c r="A941" s="15" t="str">
        <f t="shared" si="19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8" t="s">
        <v>75</v>
      </c>
      <c r="P941" s="48">
        <f>HEX2DEC(RIGHT(Table132321275358[[#This Row],[h1]],8))</f>
        <v>0</v>
      </c>
      <c r="Q941" s="48" t="s">
        <v>75</v>
      </c>
      <c r="R941" s="48">
        <f>HEX2DEC(RIGHT(Table132321275358[[#This Row],[h2]],8))</f>
        <v>0</v>
      </c>
    </row>
    <row r="942" spans="1:18">
      <c r="A942" s="15" t="str">
        <f t="shared" si="19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8" t="s">
        <v>75</v>
      </c>
      <c r="P942" s="48">
        <f>HEX2DEC(RIGHT(Table132321275358[[#This Row],[h1]],8))</f>
        <v>0</v>
      </c>
      <c r="Q942" s="48" t="s">
        <v>75</v>
      </c>
      <c r="R942" s="48">
        <f>HEX2DEC(RIGHT(Table132321275358[[#This Row],[h2]],8))</f>
        <v>0</v>
      </c>
    </row>
    <row r="943" spans="1:18">
      <c r="A943" s="15" t="str">
        <f t="shared" si="19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8" t="s">
        <v>75</v>
      </c>
      <c r="P943" s="48">
        <f>HEX2DEC(RIGHT(Table132321275358[[#This Row],[h1]],8))</f>
        <v>0</v>
      </c>
      <c r="Q943" s="48" t="s">
        <v>75</v>
      </c>
      <c r="R943" s="48">
        <f>HEX2DEC(RIGHT(Table132321275358[[#This Row],[h2]],8))</f>
        <v>0</v>
      </c>
    </row>
    <row r="944" spans="1:18">
      <c r="A944" s="15" t="str">
        <f t="shared" si="19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8" t="s">
        <v>75</v>
      </c>
      <c r="P944" s="48">
        <f>HEX2DEC(RIGHT(Table132321275358[[#This Row],[h1]],8))</f>
        <v>0</v>
      </c>
      <c r="Q944" s="48" t="s">
        <v>75</v>
      </c>
      <c r="R944" s="48">
        <f>HEX2DEC(RIGHT(Table132321275358[[#This Row],[h2]],8))</f>
        <v>0</v>
      </c>
    </row>
    <row r="945" spans="1:18">
      <c r="A945" s="15" t="str">
        <f t="shared" si="19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8" t="s">
        <v>75</v>
      </c>
      <c r="P945" s="48">
        <f>HEX2DEC(RIGHT(Table132321275358[[#This Row],[h1]],8))</f>
        <v>0</v>
      </c>
      <c r="Q945" s="48" t="s">
        <v>75</v>
      </c>
      <c r="R945" s="48">
        <f>HEX2DEC(RIGHT(Table132321275358[[#This Row],[h2]],8))</f>
        <v>0</v>
      </c>
    </row>
    <row r="946" spans="1:18">
      <c r="A946" s="15" t="str">
        <f t="shared" si="19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8" t="s">
        <v>75</v>
      </c>
      <c r="P946" s="48">
        <f>HEX2DEC(RIGHT(Table132321275358[[#This Row],[h1]],8))</f>
        <v>0</v>
      </c>
      <c r="Q946" s="48" t="s">
        <v>75</v>
      </c>
      <c r="R946" s="48">
        <f>HEX2DEC(RIGHT(Table132321275358[[#This Row],[h2]],8))</f>
        <v>0</v>
      </c>
    </row>
    <row r="947" spans="1:18">
      <c r="A947" s="15" t="str">
        <f t="shared" si="19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8" t="s">
        <v>75</v>
      </c>
      <c r="P947" s="48">
        <f>HEX2DEC(RIGHT(Table132321275358[[#This Row],[h1]],8))</f>
        <v>0</v>
      </c>
      <c r="Q947" s="48" t="s">
        <v>75</v>
      </c>
      <c r="R947" s="48">
        <f>HEX2DEC(RIGHT(Table132321275358[[#This Row],[h2]],8))</f>
        <v>0</v>
      </c>
    </row>
    <row r="948" spans="1:18">
      <c r="A948" s="15" t="str">
        <f t="shared" si="19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8" t="s">
        <v>75</v>
      </c>
      <c r="P948" s="48">
        <f>HEX2DEC(RIGHT(Table132321275358[[#This Row],[h1]],8))</f>
        <v>0</v>
      </c>
      <c r="Q948" s="48" t="s">
        <v>75</v>
      </c>
      <c r="R948" s="48">
        <f>HEX2DEC(RIGHT(Table132321275358[[#This Row],[h2]],8))</f>
        <v>0</v>
      </c>
    </row>
    <row r="949" spans="1:18">
      <c r="A949" s="15" t="str">
        <f t="shared" si="19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8" t="s">
        <v>75</v>
      </c>
      <c r="P949" s="48">
        <f>HEX2DEC(RIGHT(Table132321275358[[#This Row],[h1]],8))</f>
        <v>0</v>
      </c>
      <c r="Q949" s="48" t="s">
        <v>75</v>
      </c>
      <c r="R949" s="48">
        <f>HEX2DEC(RIGHT(Table132321275358[[#This Row],[h2]],8))</f>
        <v>0</v>
      </c>
    </row>
    <row r="950" spans="1:18">
      <c r="A950" s="15" t="str">
        <f t="shared" si="19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8" t="s">
        <v>75</v>
      </c>
      <c r="P950" s="48">
        <f>HEX2DEC(RIGHT(Table132321275358[[#This Row],[h1]],8))</f>
        <v>0</v>
      </c>
      <c r="Q950" s="48" t="s">
        <v>75</v>
      </c>
      <c r="R950" s="48">
        <f>HEX2DEC(RIGHT(Table132321275358[[#This Row],[h2]],8))</f>
        <v>0</v>
      </c>
    </row>
    <row r="951" spans="1:18">
      <c r="A951" s="15" t="str">
        <f t="shared" si="19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8" t="s">
        <v>75</v>
      </c>
      <c r="P951" s="48">
        <f>HEX2DEC(RIGHT(Table132321275358[[#This Row],[h1]],8))</f>
        <v>0</v>
      </c>
      <c r="Q951" s="48" t="s">
        <v>75</v>
      </c>
      <c r="R951" s="48">
        <f>HEX2DEC(RIGHT(Table132321275358[[#This Row],[h2]],8))</f>
        <v>0</v>
      </c>
    </row>
    <row r="952" spans="1:18">
      <c r="A952" s="15" t="str">
        <f t="shared" si="19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8" t="s">
        <v>75</v>
      </c>
      <c r="P952" s="48">
        <f>HEX2DEC(RIGHT(Table132321275358[[#This Row],[h1]],8))</f>
        <v>0</v>
      </c>
      <c r="Q952" s="48" t="s">
        <v>75</v>
      </c>
      <c r="R952" s="48">
        <f>HEX2DEC(RIGHT(Table132321275358[[#This Row],[h2]],8))</f>
        <v>0</v>
      </c>
    </row>
    <row r="953" spans="1:18">
      <c r="A953" s="15" t="str">
        <f t="shared" si="19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8" t="s">
        <v>75</v>
      </c>
      <c r="P953" s="48">
        <f>HEX2DEC(RIGHT(Table132321275358[[#This Row],[h1]],8))</f>
        <v>0</v>
      </c>
      <c r="Q953" s="48" t="s">
        <v>75</v>
      </c>
      <c r="R953" s="48">
        <f>HEX2DEC(RIGHT(Table132321275358[[#This Row],[h2]],8))</f>
        <v>0</v>
      </c>
    </row>
    <row r="954" spans="1:18">
      <c r="A954" s="15" t="str">
        <f t="shared" si="19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8" t="s">
        <v>75</v>
      </c>
      <c r="P954" s="48">
        <f>HEX2DEC(RIGHT(Table132321275358[[#This Row],[h1]],8))</f>
        <v>0</v>
      </c>
      <c r="Q954" s="48" t="s">
        <v>75</v>
      </c>
      <c r="R954" s="48">
        <f>HEX2DEC(RIGHT(Table132321275358[[#This Row],[h2]],8))</f>
        <v>0</v>
      </c>
    </row>
    <row r="955" spans="1:18">
      <c r="A955" s="15" t="str">
        <f t="shared" si="19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8" t="s">
        <v>75</v>
      </c>
      <c r="P955" s="48">
        <f>HEX2DEC(RIGHT(Table132321275358[[#This Row],[h1]],8))</f>
        <v>0</v>
      </c>
      <c r="Q955" s="48" t="s">
        <v>75</v>
      </c>
      <c r="R955" s="48">
        <f>HEX2DEC(RIGHT(Table132321275358[[#This Row],[h2]],8))</f>
        <v>0</v>
      </c>
    </row>
    <row r="956" spans="1:18">
      <c r="A956" s="15" t="str">
        <f t="shared" si="19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8" t="s">
        <v>75</v>
      </c>
      <c r="P956" s="48">
        <f>HEX2DEC(RIGHT(Table132321275358[[#This Row],[h1]],8))</f>
        <v>0</v>
      </c>
      <c r="Q956" s="48" t="s">
        <v>75</v>
      </c>
      <c r="R956" s="48">
        <f>HEX2DEC(RIGHT(Table132321275358[[#This Row],[h2]],8))</f>
        <v>0</v>
      </c>
    </row>
    <row r="957" spans="1:18">
      <c r="A957" s="15" t="str">
        <f t="shared" si="19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8" t="s">
        <v>75</v>
      </c>
      <c r="P957" s="48">
        <f>HEX2DEC(RIGHT(Table132321275358[[#This Row],[h1]],8))</f>
        <v>0</v>
      </c>
      <c r="Q957" s="48" t="s">
        <v>75</v>
      </c>
      <c r="R957" s="48">
        <f>HEX2DEC(RIGHT(Table132321275358[[#This Row],[h2]],8))</f>
        <v>0</v>
      </c>
    </row>
    <row r="958" spans="1:18">
      <c r="A958" s="15" t="str">
        <f t="shared" si="19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8" t="s">
        <v>75</v>
      </c>
      <c r="P958" s="48">
        <f>HEX2DEC(RIGHT(Table132321275358[[#This Row],[h1]],8))</f>
        <v>0</v>
      </c>
      <c r="Q958" s="48" t="s">
        <v>75</v>
      </c>
      <c r="R958" s="48">
        <f>HEX2DEC(RIGHT(Table132321275358[[#This Row],[h2]],8))</f>
        <v>0</v>
      </c>
    </row>
    <row r="959" spans="1:18">
      <c r="A959" s="15" t="str">
        <f t="shared" si="19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8" t="s">
        <v>75</v>
      </c>
      <c r="P959" s="48">
        <f>HEX2DEC(RIGHT(Table132321275358[[#This Row],[h1]],8))</f>
        <v>0</v>
      </c>
      <c r="Q959" s="48" t="s">
        <v>75</v>
      </c>
      <c r="R959" s="48">
        <f>HEX2DEC(RIGHT(Table132321275358[[#This Row],[h2]],8))</f>
        <v>0</v>
      </c>
    </row>
    <row r="960" spans="1:18">
      <c r="A960" s="15" t="str">
        <f t="shared" si="19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8" t="s">
        <v>75</v>
      </c>
      <c r="P960" s="48">
        <f>HEX2DEC(RIGHT(Table132321275358[[#This Row],[h1]],8))</f>
        <v>0</v>
      </c>
      <c r="Q960" s="48" t="s">
        <v>75</v>
      </c>
      <c r="R960" s="48">
        <f>HEX2DEC(RIGHT(Table132321275358[[#This Row],[h2]],8))</f>
        <v>0</v>
      </c>
    </row>
    <row r="961" spans="1:18">
      <c r="A961" s="15" t="str">
        <f t="shared" si="19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8" t="s">
        <v>75</v>
      </c>
      <c r="P961" s="48">
        <f>HEX2DEC(RIGHT(Table132321275358[[#This Row],[h1]],8))</f>
        <v>0</v>
      </c>
      <c r="Q961" s="48" t="s">
        <v>75</v>
      </c>
      <c r="R961" s="48">
        <f>HEX2DEC(RIGHT(Table132321275358[[#This Row],[h2]],8))</f>
        <v>0</v>
      </c>
    </row>
    <row r="962" spans="1:18">
      <c r="A962" s="15" t="str">
        <f t="shared" si="19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8" t="s">
        <v>75</v>
      </c>
      <c r="P962" s="48">
        <f>HEX2DEC(RIGHT(Table132321275358[[#This Row],[h1]],8))</f>
        <v>0</v>
      </c>
      <c r="Q962" s="48" t="s">
        <v>75</v>
      </c>
      <c r="R962" s="48">
        <f>HEX2DEC(RIGHT(Table132321275358[[#This Row],[h2]],8))</f>
        <v>0</v>
      </c>
    </row>
    <row r="963" spans="1:18">
      <c r="A963" s="15" t="str">
        <f t="shared" si="19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8" t="s">
        <v>75</v>
      </c>
      <c r="P963" s="48">
        <f>HEX2DEC(RIGHT(Table132321275358[[#This Row],[h1]],8))</f>
        <v>0</v>
      </c>
      <c r="Q963" s="48" t="s">
        <v>75</v>
      </c>
      <c r="R963" s="48">
        <f>HEX2DEC(RIGHT(Table132321275358[[#This Row],[h2]],8))</f>
        <v>0</v>
      </c>
    </row>
    <row r="964" spans="1:18">
      <c r="A964" s="15" t="str">
        <f t="shared" si="19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8" t="s">
        <v>75</v>
      </c>
      <c r="P964" s="48">
        <f>HEX2DEC(RIGHT(Table132321275358[[#This Row],[h1]],8))</f>
        <v>0</v>
      </c>
      <c r="Q964" s="48" t="s">
        <v>75</v>
      </c>
      <c r="R964" s="48">
        <f>HEX2DEC(RIGHT(Table132321275358[[#This Row],[h2]],8))</f>
        <v>0</v>
      </c>
    </row>
    <row r="965" spans="1:18">
      <c r="A965" s="15" t="str">
        <f t="shared" si="19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8" t="s">
        <v>75</v>
      </c>
      <c r="P965" s="48">
        <f>HEX2DEC(RIGHT(Table132321275358[[#This Row],[h1]],8))</f>
        <v>0</v>
      </c>
      <c r="Q965" s="48" t="s">
        <v>75</v>
      </c>
      <c r="R965" s="48">
        <f>HEX2DEC(RIGHT(Table132321275358[[#This Row],[h2]],8))</f>
        <v>0</v>
      </c>
    </row>
    <row r="966" spans="1:18">
      <c r="A966" s="15" t="str">
        <f t="shared" si="19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8" t="s">
        <v>75</v>
      </c>
      <c r="P966" s="48">
        <f>HEX2DEC(RIGHT(Table132321275358[[#This Row],[h1]],8))</f>
        <v>0</v>
      </c>
      <c r="Q966" s="48" t="s">
        <v>75</v>
      </c>
      <c r="R966" s="48">
        <f>HEX2DEC(RIGHT(Table132321275358[[#This Row],[h2]],8))</f>
        <v>0</v>
      </c>
    </row>
    <row r="967" spans="1:18">
      <c r="A967" s="15" t="str">
        <f t="shared" si="19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8" t="s">
        <v>75</v>
      </c>
      <c r="P967" s="48">
        <f>HEX2DEC(RIGHT(Table132321275358[[#This Row],[h1]],8))</f>
        <v>0</v>
      </c>
      <c r="Q967" s="48" t="s">
        <v>75</v>
      </c>
      <c r="R967" s="48">
        <f>HEX2DEC(RIGHT(Table132321275358[[#This Row],[h2]],8))</f>
        <v>0</v>
      </c>
    </row>
    <row r="968" spans="1:18">
      <c r="A968" s="15" t="str">
        <f t="shared" si="19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8" t="s">
        <v>75</v>
      </c>
      <c r="P968" s="48">
        <f>HEX2DEC(RIGHT(Table132321275358[[#This Row],[h1]],8))</f>
        <v>0</v>
      </c>
      <c r="Q968" s="48" t="s">
        <v>75</v>
      </c>
      <c r="R968" s="48">
        <f>HEX2DEC(RIGHT(Table132321275358[[#This Row],[h2]],8))</f>
        <v>0</v>
      </c>
    </row>
    <row r="969" spans="1:18">
      <c r="A969" s="15" t="str">
        <f t="shared" si="19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8" t="s">
        <v>75</v>
      </c>
      <c r="P969" s="48">
        <f>HEX2DEC(RIGHT(Table132321275358[[#This Row],[h1]],8))</f>
        <v>0</v>
      </c>
      <c r="Q969" s="48" t="s">
        <v>75</v>
      </c>
      <c r="R969" s="48">
        <f>HEX2DEC(RIGHT(Table132321275358[[#This Row],[h2]],8))</f>
        <v>0</v>
      </c>
    </row>
    <row r="970" spans="1:18">
      <c r="A970" s="15" t="str">
        <f t="shared" si="19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8" t="s">
        <v>75</v>
      </c>
      <c r="P970" s="48">
        <f>HEX2DEC(RIGHT(Table132321275358[[#This Row],[h1]],8))</f>
        <v>0</v>
      </c>
      <c r="Q970" s="48" t="s">
        <v>75</v>
      </c>
      <c r="R970" s="48">
        <f>HEX2DEC(RIGHT(Table132321275358[[#This Row],[h2]],8))</f>
        <v>0</v>
      </c>
    </row>
    <row r="971" spans="1:18">
      <c r="A971" s="15" t="str">
        <f t="shared" ref="A971:A1034" si="20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8" t="s">
        <v>75</v>
      </c>
      <c r="P971" s="48">
        <f>HEX2DEC(RIGHT(Table132321275358[[#This Row],[h1]],8))</f>
        <v>0</v>
      </c>
      <c r="Q971" s="48" t="s">
        <v>75</v>
      </c>
      <c r="R971" s="48">
        <f>HEX2DEC(RIGHT(Table132321275358[[#This Row],[h2]],8))</f>
        <v>0</v>
      </c>
    </row>
    <row r="972" spans="1:18">
      <c r="A972" s="15" t="str">
        <f t="shared" si="20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8" t="s">
        <v>75</v>
      </c>
      <c r="P972" s="48">
        <f>HEX2DEC(RIGHT(Table132321275358[[#This Row],[h1]],8))</f>
        <v>0</v>
      </c>
      <c r="Q972" s="48" t="s">
        <v>75</v>
      </c>
      <c r="R972" s="48">
        <f>HEX2DEC(RIGHT(Table132321275358[[#This Row],[h2]],8))</f>
        <v>0</v>
      </c>
    </row>
    <row r="973" spans="1:18">
      <c r="A973" s="15" t="str">
        <f t="shared" si="20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8" t="s">
        <v>75</v>
      </c>
      <c r="P973" s="48">
        <f>HEX2DEC(RIGHT(Table132321275358[[#This Row],[h1]],8))</f>
        <v>0</v>
      </c>
      <c r="Q973" s="48" t="s">
        <v>75</v>
      </c>
      <c r="R973" s="48">
        <f>HEX2DEC(RIGHT(Table132321275358[[#This Row],[h2]],8))</f>
        <v>0</v>
      </c>
    </row>
    <row r="974" spans="1:18">
      <c r="A974" s="15" t="str">
        <f t="shared" si="20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8" t="s">
        <v>75</v>
      </c>
      <c r="P974" s="48">
        <f>HEX2DEC(RIGHT(Table132321275358[[#This Row],[h1]],8))</f>
        <v>0</v>
      </c>
      <c r="Q974" s="48" t="s">
        <v>75</v>
      </c>
      <c r="R974" s="48">
        <f>HEX2DEC(RIGHT(Table132321275358[[#This Row],[h2]],8))</f>
        <v>0</v>
      </c>
    </row>
    <row r="975" spans="1:18">
      <c r="A975" s="15" t="str">
        <f t="shared" si="20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8" t="s">
        <v>75</v>
      </c>
      <c r="P975" s="48">
        <f>HEX2DEC(RIGHT(Table132321275358[[#This Row],[h1]],8))</f>
        <v>0</v>
      </c>
      <c r="Q975" s="48" t="s">
        <v>75</v>
      </c>
      <c r="R975" s="48">
        <f>HEX2DEC(RIGHT(Table132321275358[[#This Row],[h2]],8))</f>
        <v>0</v>
      </c>
    </row>
    <row r="976" spans="1:18">
      <c r="A976" s="15" t="str">
        <f t="shared" si="20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8" t="s">
        <v>75</v>
      </c>
      <c r="P976" s="48">
        <f>HEX2DEC(RIGHT(Table132321275358[[#This Row],[h1]],8))</f>
        <v>0</v>
      </c>
      <c r="Q976" s="48" t="s">
        <v>75</v>
      </c>
      <c r="R976" s="48">
        <f>HEX2DEC(RIGHT(Table132321275358[[#This Row],[h2]],8))</f>
        <v>0</v>
      </c>
    </row>
    <row r="977" spans="1:18">
      <c r="A977" s="15" t="str">
        <f t="shared" si="20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8" t="s">
        <v>75</v>
      </c>
      <c r="P977" s="48">
        <f>HEX2DEC(RIGHT(Table132321275358[[#This Row],[h1]],8))</f>
        <v>0</v>
      </c>
      <c r="Q977" s="48" t="s">
        <v>75</v>
      </c>
      <c r="R977" s="48">
        <f>HEX2DEC(RIGHT(Table132321275358[[#This Row],[h2]],8))</f>
        <v>0</v>
      </c>
    </row>
    <row r="978" spans="1:18">
      <c r="A978" s="15" t="str">
        <f t="shared" si="20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8" t="s">
        <v>75</v>
      </c>
      <c r="P978" s="48">
        <f>HEX2DEC(RIGHT(Table132321275358[[#This Row],[h1]],8))</f>
        <v>0</v>
      </c>
      <c r="Q978" s="48" t="s">
        <v>75</v>
      </c>
      <c r="R978" s="48">
        <f>HEX2DEC(RIGHT(Table132321275358[[#This Row],[h2]],8))</f>
        <v>0</v>
      </c>
    </row>
    <row r="979" spans="1:18">
      <c r="A979" s="15" t="str">
        <f t="shared" si="20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8" t="s">
        <v>75</v>
      </c>
      <c r="P979" s="48">
        <f>HEX2DEC(RIGHT(Table132321275358[[#This Row],[h1]],8))</f>
        <v>0</v>
      </c>
      <c r="Q979" s="48" t="s">
        <v>75</v>
      </c>
      <c r="R979" s="48">
        <f>HEX2DEC(RIGHT(Table132321275358[[#This Row],[h2]],8))</f>
        <v>0</v>
      </c>
    </row>
    <row r="980" spans="1:18">
      <c r="A980" s="15" t="str">
        <f t="shared" si="20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8" t="s">
        <v>75</v>
      </c>
      <c r="P980" s="48">
        <f>HEX2DEC(RIGHT(Table132321275358[[#This Row],[h1]],8))</f>
        <v>0</v>
      </c>
      <c r="Q980" s="48" t="s">
        <v>75</v>
      </c>
      <c r="R980" s="48">
        <f>HEX2DEC(RIGHT(Table132321275358[[#This Row],[h2]],8))</f>
        <v>0</v>
      </c>
    </row>
    <row r="981" spans="1:18">
      <c r="A981" s="15" t="str">
        <f t="shared" si="20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8" t="s">
        <v>75</v>
      </c>
      <c r="P981" s="48">
        <f>HEX2DEC(RIGHT(Table132321275358[[#This Row],[h1]],8))</f>
        <v>0</v>
      </c>
      <c r="Q981" s="48" t="s">
        <v>75</v>
      </c>
      <c r="R981" s="48">
        <f>HEX2DEC(RIGHT(Table132321275358[[#This Row],[h2]],8))</f>
        <v>0</v>
      </c>
    </row>
    <row r="982" spans="1:18">
      <c r="A982" s="15" t="str">
        <f t="shared" si="20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8" t="s">
        <v>75</v>
      </c>
      <c r="P982" s="48">
        <f>HEX2DEC(RIGHT(Table132321275358[[#This Row],[h1]],8))</f>
        <v>0</v>
      </c>
      <c r="Q982" s="48" t="s">
        <v>75</v>
      </c>
      <c r="R982" s="48">
        <f>HEX2DEC(RIGHT(Table132321275358[[#This Row],[h2]],8))</f>
        <v>0</v>
      </c>
    </row>
    <row r="983" spans="1:18">
      <c r="A983" s="15" t="str">
        <f t="shared" si="20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8" t="s">
        <v>75</v>
      </c>
      <c r="P983" s="48">
        <f>HEX2DEC(RIGHT(Table132321275358[[#This Row],[h1]],8))</f>
        <v>0</v>
      </c>
      <c r="Q983" s="48" t="s">
        <v>75</v>
      </c>
      <c r="R983" s="48">
        <f>HEX2DEC(RIGHT(Table132321275358[[#This Row],[h2]],8))</f>
        <v>0</v>
      </c>
    </row>
    <row r="984" spans="1:18">
      <c r="A984" s="15" t="str">
        <f t="shared" si="20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8" t="s">
        <v>75</v>
      </c>
      <c r="P984" s="48">
        <f>HEX2DEC(RIGHT(Table132321275358[[#This Row],[h1]],8))</f>
        <v>0</v>
      </c>
      <c r="Q984" s="48" t="s">
        <v>75</v>
      </c>
      <c r="R984" s="48">
        <f>HEX2DEC(RIGHT(Table132321275358[[#This Row],[h2]],8))</f>
        <v>0</v>
      </c>
    </row>
    <row r="985" spans="1:18">
      <c r="A985" s="15" t="str">
        <f t="shared" si="20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8" t="s">
        <v>75</v>
      </c>
      <c r="P985" s="48">
        <f>HEX2DEC(RIGHT(Table132321275358[[#This Row],[h1]],8))</f>
        <v>0</v>
      </c>
      <c r="Q985" s="48" t="s">
        <v>75</v>
      </c>
      <c r="R985" s="48">
        <f>HEX2DEC(RIGHT(Table132321275358[[#This Row],[h2]],8))</f>
        <v>0</v>
      </c>
    </row>
    <row r="986" spans="1:18">
      <c r="A986" s="15" t="str">
        <f t="shared" si="20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8" t="s">
        <v>75</v>
      </c>
      <c r="P986" s="48">
        <f>HEX2DEC(RIGHT(Table132321275358[[#This Row],[h1]],8))</f>
        <v>0</v>
      </c>
      <c r="Q986" s="48" t="s">
        <v>75</v>
      </c>
      <c r="R986" s="48">
        <f>HEX2DEC(RIGHT(Table132321275358[[#This Row],[h2]],8))</f>
        <v>0</v>
      </c>
    </row>
    <row r="987" spans="1:18">
      <c r="A987" s="15" t="str">
        <f t="shared" si="20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8" t="s">
        <v>75</v>
      </c>
      <c r="P987" s="48">
        <f>HEX2DEC(RIGHT(Table132321275358[[#This Row],[h1]],8))</f>
        <v>0</v>
      </c>
      <c r="Q987" s="48" t="s">
        <v>75</v>
      </c>
      <c r="R987" s="48">
        <f>HEX2DEC(RIGHT(Table132321275358[[#This Row],[h2]],8))</f>
        <v>0</v>
      </c>
    </row>
    <row r="988" spans="1:18">
      <c r="A988" s="15" t="str">
        <f t="shared" si="20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8" t="s">
        <v>75</v>
      </c>
      <c r="P988" s="48">
        <f>HEX2DEC(RIGHT(Table132321275358[[#This Row],[h1]],8))</f>
        <v>0</v>
      </c>
      <c r="Q988" s="48" t="s">
        <v>75</v>
      </c>
      <c r="R988" s="48">
        <f>HEX2DEC(RIGHT(Table132321275358[[#This Row],[h2]],8))</f>
        <v>0</v>
      </c>
    </row>
    <row r="989" spans="1:18">
      <c r="A989" s="15" t="str">
        <f t="shared" si="20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8" t="s">
        <v>75</v>
      </c>
      <c r="P989" s="48">
        <f>HEX2DEC(RIGHT(Table132321275358[[#This Row],[h1]],8))</f>
        <v>0</v>
      </c>
      <c r="Q989" s="48" t="s">
        <v>75</v>
      </c>
      <c r="R989" s="48">
        <f>HEX2DEC(RIGHT(Table132321275358[[#This Row],[h2]],8))</f>
        <v>0</v>
      </c>
    </row>
    <row r="990" spans="1:18">
      <c r="A990" s="15" t="str">
        <f t="shared" si="20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8" t="s">
        <v>75</v>
      </c>
      <c r="P990" s="48">
        <f>HEX2DEC(RIGHT(Table132321275358[[#This Row],[h1]],8))</f>
        <v>0</v>
      </c>
      <c r="Q990" s="48" t="s">
        <v>75</v>
      </c>
      <c r="R990" s="48">
        <f>HEX2DEC(RIGHT(Table132321275358[[#This Row],[h2]],8))</f>
        <v>0</v>
      </c>
    </row>
    <row r="991" spans="1:18">
      <c r="A991" s="15" t="str">
        <f t="shared" si="20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8" t="s">
        <v>75</v>
      </c>
      <c r="P991" s="48">
        <f>HEX2DEC(RIGHT(Table132321275358[[#This Row],[h1]],8))</f>
        <v>0</v>
      </c>
      <c r="Q991" s="48" t="s">
        <v>75</v>
      </c>
      <c r="R991" s="48">
        <f>HEX2DEC(RIGHT(Table132321275358[[#This Row],[h2]],8))</f>
        <v>0</v>
      </c>
    </row>
    <row r="992" spans="1:18">
      <c r="A992" s="15" t="str">
        <f t="shared" si="20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8" t="s">
        <v>75</v>
      </c>
      <c r="P992" s="48">
        <f>HEX2DEC(RIGHT(Table132321275358[[#This Row],[h1]],8))</f>
        <v>0</v>
      </c>
      <c r="Q992" s="48" t="s">
        <v>75</v>
      </c>
      <c r="R992" s="48">
        <f>HEX2DEC(RIGHT(Table132321275358[[#This Row],[h2]],8))</f>
        <v>0</v>
      </c>
    </row>
    <row r="993" spans="1:18">
      <c r="A993" s="15" t="str">
        <f t="shared" si="20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8" t="s">
        <v>75</v>
      </c>
      <c r="P993" s="48">
        <f>HEX2DEC(RIGHT(Table132321275358[[#This Row],[h1]],8))</f>
        <v>0</v>
      </c>
      <c r="Q993" s="48" t="s">
        <v>75</v>
      </c>
      <c r="R993" s="48">
        <f>HEX2DEC(RIGHT(Table132321275358[[#This Row],[h2]],8))</f>
        <v>0</v>
      </c>
    </row>
    <row r="994" spans="1:18">
      <c r="A994" s="15" t="str">
        <f t="shared" si="20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8" t="s">
        <v>75</v>
      </c>
      <c r="P994" s="48">
        <f>HEX2DEC(RIGHT(Table132321275358[[#This Row],[h1]],8))</f>
        <v>0</v>
      </c>
      <c r="Q994" s="48" t="s">
        <v>75</v>
      </c>
      <c r="R994" s="48">
        <f>HEX2DEC(RIGHT(Table132321275358[[#This Row],[h2]],8))</f>
        <v>0</v>
      </c>
    </row>
    <row r="995" spans="1:18">
      <c r="A995" s="15" t="str">
        <f t="shared" si="20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8" t="s">
        <v>75</v>
      </c>
      <c r="P995" s="48">
        <f>HEX2DEC(RIGHT(Table132321275358[[#This Row],[h1]],8))</f>
        <v>0</v>
      </c>
      <c r="Q995" s="48" t="s">
        <v>75</v>
      </c>
      <c r="R995" s="48">
        <f>HEX2DEC(RIGHT(Table132321275358[[#This Row],[h2]],8))</f>
        <v>0</v>
      </c>
    </row>
    <row r="996" spans="1:18">
      <c r="A996" s="15" t="str">
        <f t="shared" si="20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8" t="s">
        <v>75</v>
      </c>
      <c r="P996" s="48">
        <f>HEX2DEC(RIGHT(Table132321275358[[#This Row],[h1]],8))</f>
        <v>0</v>
      </c>
      <c r="Q996" s="48" t="s">
        <v>75</v>
      </c>
      <c r="R996" s="48">
        <f>HEX2DEC(RIGHT(Table132321275358[[#This Row],[h2]],8))</f>
        <v>0</v>
      </c>
    </row>
    <row r="997" spans="1:18">
      <c r="A997" s="15" t="str">
        <f t="shared" si="20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8" t="s">
        <v>75</v>
      </c>
      <c r="P997" s="48">
        <f>HEX2DEC(RIGHT(Table132321275358[[#This Row],[h1]],8))</f>
        <v>0</v>
      </c>
      <c r="Q997" s="48" t="s">
        <v>75</v>
      </c>
      <c r="R997" s="48">
        <f>HEX2DEC(RIGHT(Table132321275358[[#This Row],[h2]],8))</f>
        <v>0</v>
      </c>
    </row>
    <row r="998" spans="1:18">
      <c r="A998" s="15" t="str">
        <f t="shared" si="20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8" t="s">
        <v>75</v>
      </c>
      <c r="P998" s="48">
        <f>HEX2DEC(RIGHT(Table132321275358[[#This Row],[h1]],8))</f>
        <v>0</v>
      </c>
      <c r="Q998" s="48" t="s">
        <v>75</v>
      </c>
      <c r="R998" s="48">
        <f>HEX2DEC(RIGHT(Table132321275358[[#This Row],[h2]],8))</f>
        <v>0</v>
      </c>
    </row>
    <row r="999" spans="1:18">
      <c r="A999" s="15" t="str">
        <f t="shared" si="20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8" t="s">
        <v>75</v>
      </c>
      <c r="P999" s="48">
        <f>HEX2DEC(RIGHT(Table132321275358[[#This Row],[h1]],8))</f>
        <v>0</v>
      </c>
      <c r="Q999" s="48" t="s">
        <v>75</v>
      </c>
      <c r="R999" s="48">
        <f>HEX2DEC(RIGHT(Table132321275358[[#This Row],[h2]],8))</f>
        <v>0</v>
      </c>
    </row>
    <row r="1000" spans="1:18">
      <c r="A1000" s="15" t="str">
        <f t="shared" si="20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8" t="s">
        <v>75</v>
      </c>
      <c r="P1000" s="48">
        <f>HEX2DEC(RIGHT(Table132321275358[[#This Row],[h1]],8))</f>
        <v>0</v>
      </c>
      <c r="Q1000" s="48" t="s">
        <v>75</v>
      </c>
      <c r="R1000" s="48">
        <f>HEX2DEC(RIGHT(Table132321275358[[#This Row],[h2]],8))</f>
        <v>0</v>
      </c>
    </row>
    <row r="1001" spans="1:18">
      <c r="A1001" s="15" t="str">
        <f t="shared" si="20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8" t="s">
        <v>75</v>
      </c>
      <c r="P1001" s="48">
        <f>HEX2DEC(RIGHT(Table132321275358[[#This Row],[h1]],8))</f>
        <v>0</v>
      </c>
      <c r="Q1001" s="48" t="s">
        <v>75</v>
      </c>
      <c r="R1001" s="48">
        <f>HEX2DEC(RIGHT(Table132321275358[[#This Row],[h2]],8))</f>
        <v>0</v>
      </c>
    </row>
    <row r="1002" spans="1:18">
      <c r="A1002" s="15" t="str">
        <f t="shared" si="20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8" t="s">
        <v>75</v>
      </c>
      <c r="P1002" s="48">
        <f>HEX2DEC(RIGHT(Table132321275358[[#This Row],[h1]],8))</f>
        <v>0</v>
      </c>
      <c r="Q1002" s="48" t="s">
        <v>75</v>
      </c>
      <c r="R1002" s="48">
        <f>HEX2DEC(RIGHT(Table132321275358[[#This Row],[h2]],8))</f>
        <v>0</v>
      </c>
    </row>
    <row r="1003" spans="1:18">
      <c r="A1003" s="15" t="str">
        <f t="shared" si="20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8" t="s">
        <v>75</v>
      </c>
      <c r="P1003" s="48">
        <f>HEX2DEC(RIGHT(Table132321275358[[#This Row],[h1]],8))</f>
        <v>0</v>
      </c>
      <c r="Q1003" s="48" t="s">
        <v>75</v>
      </c>
      <c r="R1003" s="48">
        <f>HEX2DEC(RIGHT(Table132321275358[[#This Row],[h2]],8))</f>
        <v>0</v>
      </c>
    </row>
    <row r="1004" spans="1:18">
      <c r="A1004" s="15" t="str">
        <f t="shared" si="20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8" t="s">
        <v>75</v>
      </c>
      <c r="P1004" s="48">
        <f>HEX2DEC(RIGHT(Table132321275358[[#This Row],[h1]],8))</f>
        <v>0</v>
      </c>
      <c r="Q1004" s="48" t="s">
        <v>75</v>
      </c>
      <c r="R1004" s="48">
        <f>HEX2DEC(RIGHT(Table132321275358[[#This Row],[h2]],8))</f>
        <v>0</v>
      </c>
    </row>
    <row r="1005" spans="1:18">
      <c r="A1005" s="15" t="str">
        <f t="shared" si="20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8" t="s">
        <v>75</v>
      </c>
      <c r="P1005" s="48">
        <f>HEX2DEC(RIGHT(Table132321275358[[#This Row],[h1]],8))</f>
        <v>0</v>
      </c>
      <c r="Q1005" s="48" t="s">
        <v>75</v>
      </c>
      <c r="R1005" s="48">
        <f>HEX2DEC(RIGHT(Table132321275358[[#This Row],[h2]],8))</f>
        <v>0</v>
      </c>
    </row>
    <row r="1006" spans="1:18">
      <c r="A1006" s="15" t="str">
        <f t="shared" si="20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8" t="s">
        <v>75</v>
      </c>
      <c r="P1006" s="48">
        <f>HEX2DEC(RIGHT(Table132321275358[[#This Row],[h1]],8))</f>
        <v>0</v>
      </c>
      <c r="Q1006" s="48" t="s">
        <v>75</v>
      </c>
      <c r="R1006" s="48">
        <f>HEX2DEC(RIGHT(Table132321275358[[#This Row],[h2]],8))</f>
        <v>0</v>
      </c>
    </row>
    <row r="1007" spans="1:18">
      <c r="A1007" s="15" t="str">
        <f t="shared" si="20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8" t="s">
        <v>75</v>
      </c>
      <c r="P1007" s="48">
        <f>HEX2DEC(RIGHT(Table132321275358[[#This Row],[h1]],8))</f>
        <v>0</v>
      </c>
      <c r="Q1007" s="48" t="s">
        <v>75</v>
      </c>
      <c r="R1007" s="48">
        <f>HEX2DEC(RIGHT(Table132321275358[[#This Row],[h2]],8))</f>
        <v>0</v>
      </c>
    </row>
    <row r="1008" spans="1:18">
      <c r="A1008" s="15" t="str">
        <f t="shared" si="20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8" t="s">
        <v>75</v>
      </c>
      <c r="P1008" s="48">
        <f>HEX2DEC(RIGHT(Table132321275358[[#This Row],[h1]],8))</f>
        <v>0</v>
      </c>
      <c r="Q1008" s="48" t="s">
        <v>75</v>
      </c>
      <c r="R1008" s="48">
        <f>HEX2DEC(RIGHT(Table132321275358[[#This Row],[h2]],8))</f>
        <v>0</v>
      </c>
    </row>
    <row r="1009" spans="1:18">
      <c r="A1009" s="15" t="str">
        <f t="shared" si="20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8" t="s">
        <v>75</v>
      </c>
      <c r="P1009" s="48">
        <f>HEX2DEC(RIGHT(Table132321275358[[#This Row],[h1]],8))</f>
        <v>0</v>
      </c>
      <c r="Q1009" s="48" t="s">
        <v>75</v>
      </c>
      <c r="R1009" s="48">
        <f>HEX2DEC(RIGHT(Table132321275358[[#This Row],[h2]],8))</f>
        <v>0</v>
      </c>
    </row>
    <row r="1010" spans="1:18">
      <c r="A1010" s="15" t="str">
        <f t="shared" si="20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8" t="s">
        <v>75</v>
      </c>
      <c r="P1010" s="48">
        <f>HEX2DEC(RIGHT(Table132321275358[[#This Row],[h1]],8))</f>
        <v>0</v>
      </c>
      <c r="Q1010" s="48" t="s">
        <v>75</v>
      </c>
      <c r="R1010" s="48">
        <f>HEX2DEC(RIGHT(Table132321275358[[#This Row],[h2]],8))</f>
        <v>0</v>
      </c>
    </row>
    <row r="1011" spans="1:18">
      <c r="A1011" s="15" t="str">
        <f t="shared" si="20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8" t="s">
        <v>75</v>
      </c>
      <c r="P1011" s="48">
        <f>HEX2DEC(RIGHT(Table132321275358[[#This Row],[h1]],8))</f>
        <v>0</v>
      </c>
      <c r="Q1011" s="48" t="s">
        <v>75</v>
      </c>
      <c r="R1011" s="48">
        <f>HEX2DEC(RIGHT(Table132321275358[[#This Row],[h2]],8))</f>
        <v>0</v>
      </c>
    </row>
    <row r="1012" spans="1:18">
      <c r="A1012" s="15" t="str">
        <f t="shared" si="20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8" t="s">
        <v>75</v>
      </c>
      <c r="P1012" s="48">
        <f>HEX2DEC(RIGHT(Table132321275358[[#This Row],[h1]],8))</f>
        <v>0</v>
      </c>
      <c r="Q1012" s="48" t="s">
        <v>75</v>
      </c>
      <c r="R1012" s="48">
        <f>HEX2DEC(RIGHT(Table132321275358[[#This Row],[h2]],8))</f>
        <v>0</v>
      </c>
    </row>
    <row r="1013" spans="1:18">
      <c r="A1013" s="15" t="str">
        <f t="shared" si="20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8" t="s">
        <v>75</v>
      </c>
      <c r="P1013" s="48">
        <f>HEX2DEC(RIGHT(Table132321275358[[#This Row],[h1]],8))</f>
        <v>0</v>
      </c>
      <c r="Q1013" s="48" t="s">
        <v>75</v>
      </c>
      <c r="R1013" s="48">
        <f>HEX2DEC(RIGHT(Table132321275358[[#This Row],[h2]],8))</f>
        <v>0</v>
      </c>
    </row>
    <row r="1014" spans="1:18">
      <c r="A1014" s="15" t="str">
        <f t="shared" si="20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8" t="s">
        <v>75</v>
      </c>
      <c r="P1014" s="48">
        <f>HEX2DEC(RIGHT(Table132321275358[[#This Row],[h1]],8))</f>
        <v>0</v>
      </c>
      <c r="Q1014" s="48" t="s">
        <v>75</v>
      </c>
      <c r="R1014" s="48">
        <f>HEX2DEC(RIGHT(Table132321275358[[#This Row],[h2]],8))</f>
        <v>0</v>
      </c>
    </row>
    <row r="1015" spans="1:18">
      <c r="A1015" s="15" t="str">
        <f t="shared" si="20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8" t="s">
        <v>75</v>
      </c>
      <c r="P1015" s="48">
        <f>HEX2DEC(RIGHT(Table132321275358[[#This Row],[h1]],8))</f>
        <v>0</v>
      </c>
      <c r="Q1015" s="48" t="s">
        <v>75</v>
      </c>
      <c r="R1015" s="48">
        <f>HEX2DEC(RIGHT(Table132321275358[[#This Row],[h2]],8))</f>
        <v>0</v>
      </c>
    </row>
    <row r="1016" spans="1:18">
      <c r="A1016" s="15" t="str">
        <f t="shared" si="20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8" t="s">
        <v>75</v>
      </c>
      <c r="P1016" s="48">
        <f>HEX2DEC(RIGHT(Table132321275358[[#This Row],[h1]],8))</f>
        <v>0</v>
      </c>
      <c r="Q1016" s="48" t="s">
        <v>75</v>
      </c>
      <c r="R1016" s="48">
        <f>HEX2DEC(RIGHT(Table132321275358[[#This Row],[h2]],8))</f>
        <v>0</v>
      </c>
    </row>
    <row r="1017" spans="1:18">
      <c r="A1017" s="15" t="str">
        <f t="shared" si="20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8" t="s">
        <v>75</v>
      </c>
      <c r="P1017" s="48">
        <f>HEX2DEC(RIGHT(Table132321275358[[#This Row],[h1]],8))</f>
        <v>0</v>
      </c>
      <c r="Q1017" s="48" t="s">
        <v>75</v>
      </c>
      <c r="R1017" s="48">
        <f>HEX2DEC(RIGHT(Table132321275358[[#This Row],[h2]],8))</f>
        <v>0</v>
      </c>
    </row>
    <row r="1018" spans="1:18">
      <c r="A1018" s="15" t="str">
        <f t="shared" si="20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8" t="s">
        <v>75</v>
      </c>
      <c r="P1018" s="48">
        <f>HEX2DEC(RIGHT(Table132321275358[[#This Row],[h1]],8))</f>
        <v>0</v>
      </c>
      <c r="Q1018" s="48" t="s">
        <v>75</v>
      </c>
      <c r="R1018" s="48">
        <f>HEX2DEC(RIGHT(Table132321275358[[#This Row],[h2]],8))</f>
        <v>0</v>
      </c>
    </row>
    <row r="1019" spans="1:18">
      <c r="A1019" s="15" t="str">
        <f t="shared" si="20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8" t="s">
        <v>75</v>
      </c>
      <c r="P1019" s="48">
        <f>HEX2DEC(RIGHT(Table132321275358[[#This Row],[h1]],8))</f>
        <v>0</v>
      </c>
      <c r="Q1019" s="48" t="s">
        <v>75</v>
      </c>
      <c r="R1019" s="48">
        <f>HEX2DEC(RIGHT(Table132321275358[[#This Row],[h2]],8))</f>
        <v>0</v>
      </c>
    </row>
    <row r="1020" spans="1:18">
      <c r="A1020" s="15" t="str">
        <f t="shared" si="20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8" t="s">
        <v>75</v>
      </c>
      <c r="P1020" s="48">
        <f>HEX2DEC(RIGHT(Table132321275358[[#This Row],[h1]],8))</f>
        <v>0</v>
      </c>
      <c r="Q1020" s="48" t="s">
        <v>75</v>
      </c>
      <c r="R1020" s="48">
        <f>HEX2DEC(RIGHT(Table132321275358[[#This Row],[h2]],8))</f>
        <v>0</v>
      </c>
    </row>
    <row r="1021" spans="1:18">
      <c r="A1021" s="15" t="str">
        <f t="shared" si="20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8" t="s">
        <v>75</v>
      </c>
      <c r="P1021" s="48">
        <f>HEX2DEC(RIGHT(Table132321275358[[#This Row],[h1]],8))</f>
        <v>0</v>
      </c>
      <c r="Q1021" s="48" t="s">
        <v>75</v>
      </c>
      <c r="R1021" s="48">
        <f>HEX2DEC(RIGHT(Table132321275358[[#This Row],[h2]],8))</f>
        <v>0</v>
      </c>
    </row>
    <row r="1022" spans="1:18">
      <c r="A1022" s="15" t="str">
        <f t="shared" si="20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8" t="s">
        <v>75</v>
      </c>
      <c r="P1022" s="48">
        <f>HEX2DEC(RIGHT(Table132321275358[[#This Row],[h1]],8))</f>
        <v>0</v>
      </c>
      <c r="Q1022" s="48" t="s">
        <v>75</v>
      </c>
      <c r="R1022" s="48">
        <f>HEX2DEC(RIGHT(Table132321275358[[#This Row],[h2]],8))</f>
        <v>0</v>
      </c>
    </row>
    <row r="1023" spans="1:18">
      <c r="A1023" s="15" t="str">
        <f t="shared" si="20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8" t="s">
        <v>75</v>
      </c>
      <c r="P1023" s="48">
        <f>HEX2DEC(RIGHT(Table132321275358[[#This Row],[h1]],8))</f>
        <v>0</v>
      </c>
      <c r="Q1023" s="48" t="s">
        <v>75</v>
      </c>
      <c r="R1023" s="48">
        <f>HEX2DEC(RIGHT(Table132321275358[[#This Row],[h2]],8))</f>
        <v>0</v>
      </c>
    </row>
    <row r="1024" spans="1:18">
      <c r="A1024" s="15" t="str">
        <f t="shared" si="20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8" t="s">
        <v>75</v>
      </c>
      <c r="P1024" s="48">
        <f>HEX2DEC(RIGHT(Table132321275358[[#This Row],[h1]],8))</f>
        <v>0</v>
      </c>
      <c r="Q1024" s="48" t="s">
        <v>75</v>
      </c>
      <c r="R1024" s="48">
        <f>HEX2DEC(RIGHT(Table132321275358[[#This Row],[h2]],8))</f>
        <v>0</v>
      </c>
    </row>
    <row r="1025" spans="1:18">
      <c r="A1025" s="15" t="str">
        <f t="shared" si="20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8" t="s">
        <v>75</v>
      </c>
      <c r="P1025" s="48">
        <f>HEX2DEC(RIGHT(Table132321275358[[#This Row],[h1]],8))</f>
        <v>0</v>
      </c>
      <c r="Q1025" s="48" t="s">
        <v>75</v>
      </c>
      <c r="R1025" s="48">
        <f>HEX2DEC(RIGHT(Table132321275358[[#This Row],[h2]],8))</f>
        <v>0</v>
      </c>
    </row>
    <row r="1026" spans="1:18">
      <c r="A1026" s="15" t="str">
        <f t="shared" si="20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8" t="s">
        <v>75</v>
      </c>
      <c r="P1026" s="48">
        <f>HEX2DEC(RIGHT(Table132321275358[[#This Row],[h1]],8))</f>
        <v>0</v>
      </c>
      <c r="Q1026" s="48" t="s">
        <v>75</v>
      </c>
      <c r="R1026" s="48">
        <f>HEX2DEC(RIGHT(Table132321275358[[#This Row],[h2]],8))</f>
        <v>0</v>
      </c>
    </row>
    <row r="1027" spans="1:18">
      <c r="A1027" s="15" t="str">
        <f t="shared" si="20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8" t="s">
        <v>75</v>
      </c>
      <c r="P1027" s="48">
        <f>HEX2DEC(RIGHT(Table132321275358[[#This Row],[h1]],8))</f>
        <v>0</v>
      </c>
      <c r="Q1027" s="48" t="s">
        <v>75</v>
      </c>
      <c r="R1027" s="48">
        <f>HEX2DEC(RIGHT(Table132321275358[[#This Row],[h2]],8))</f>
        <v>0</v>
      </c>
    </row>
    <row r="1028" spans="1:18">
      <c r="A1028" s="15" t="str">
        <f t="shared" si="20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8" t="s">
        <v>75</v>
      </c>
      <c r="P1028" s="48">
        <f>HEX2DEC(RIGHT(Table132321275358[[#This Row],[h1]],8))</f>
        <v>0</v>
      </c>
      <c r="Q1028" s="48" t="s">
        <v>75</v>
      </c>
      <c r="R1028" s="48">
        <f>HEX2DEC(RIGHT(Table132321275358[[#This Row],[h2]],8))</f>
        <v>0</v>
      </c>
    </row>
    <row r="1029" spans="1:18">
      <c r="A1029" s="15" t="str">
        <f t="shared" si="20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8" t="s">
        <v>75</v>
      </c>
      <c r="P1029" s="48">
        <f>HEX2DEC(RIGHT(Table132321275358[[#This Row],[h1]],8))</f>
        <v>0</v>
      </c>
      <c r="Q1029" s="48" t="s">
        <v>75</v>
      </c>
      <c r="R1029" s="48">
        <f>HEX2DEC(RIGHT(Table132321275358[[#This Row],[h2]],8))</f>
        <v>0</v>
      </c>
    </row>
    <row r="1030" spans="1:18">
      <c r="A1030" s="15" t="str">
        <f t="shared" si="20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8" t="s">
        <v>75</v>
      </c>
      <c r="P1030" s="48">
        <f>HEX2DEC(RIGHT(Table132321275358[[#This Row],[h1]],8))</f>
        <v>0</v>
      </c>
      <c r="Q1030" s="48" t="s">
        <v>75</v>
      </c>
      <c r="R1030" s="48">
        <f>HEX2DEC(RIGHT(Table132321275358[[#This Row],[h2]],8))</f>
        <v>0</v>
      </c>
    </row>
    <row r="1031" spans="1:18">
      <c r="A1031" s="15" t="str">
        <f t="shared" si="20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8" t="s">
        <v>75</v>
      </c>
      <c r="P1031" s="48">
        <f>HEX2DEC(RIGHT(Table132321275358[[#This Row],[h1]],8))</f>
        <v>0</v>
      </c>
      <c r="Q1031" s="48" t="s">
        <v>75</v>
      </c>
      <c r="R1031" s="48">
        <f>HEX2DEC(RIGHT(Table132321275358[[#This Row],[h2]],8))</f>
        <v>0</v>
      </c>
    </row>
    <row r="1032" spans="1:18">
      <c r="A1032" s="15" t="str">
        <f t="shared" si="20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8" t="s">
        <v>75</v>
      </c>
      <c r="P1032" s="48">
        <f>HEX2DEC(RIGHT(Table132321275358[[#This Row],[h1]],8))</f>
        <v>0</v>
      </c>
      <c r="Q1032" s="48" t="s">
        <v>75</v>
      </c>
      <c r="R1032" s="48">
        <f>HEX2DEC(RIGHT(Table132321275358[[#This Row],[h2]],8))</f>
        <v>0</v>
      </c>
    </row>
    <row r="1033" spans="1:18">
      <c r="A1033" s="15" t="str">
        <f t="shared" si="20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8" t="s">
        <v>75</v>
      </c>
      <c r="P1033" s="48">
        <f>HEX2DEC(RIGHT(Table132321275358[[#This Row],[h1]],8))</f>
        <v>0</v>
      </c>
      <c r="Q1033" s="48" t="s">
        <v>75</v>
      </c>
      <c r="R1033" s="48">
        <f>HEX2DEC(RIGHT(Table132321275358[[#This Row],[h2]],8))</f>
        <v>0</v>
      </c>
    </row>
    <row r="1034" spans="1:18">
      <c r="A1034" s="15" t="str">
        <f t="shared" si="20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8" t="s">
        <v>75</v>
      </c>
      <c r="P1034" s="48">
        <f>HEX2DEC(RIGHT(Table132321275358[[#This Row],[h1]],8))</f>
        <v>0</v>
      </c>
      <c r="Q1034" s="48" t="s">
        <v>75</v>
      </c>
      <c r="R1034" s="48">
        <f>HEX2DEC(RIGHT(Table132321275358[[#This Row],[h2]],8))</f>
        <v>0</v>
      </c>
    </row>
    <row r="1035" spans="1:18">
      <c r="A1035" s="15" t="str">
        <f t="shared" ref="A1035:A1098" si="21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8" t="s">
        <v>75</v>
      </c>
      <c r="P1035" s="48">
        <f>HEX2DEC(RIGHT(Table132321275358[[#This Row],[h1]],8))</f>
        <v>0</v>
      </c>
      <c r="Q1035" s="48" t="s">
        <v>75</v>
      </c>
      <c r="R1035" s="48">
        <f>HEX2DEC(RIGHT(Table132321275358[[#This Row],[h2]],8))</f>
        <v>0</v>
      </c>
    </row>
    <row r="1036" spans="1:18">
      <c r="A1036" s="15" t="str">
        <f t="shared" si="21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8" t="s">
        <v>75</v>
      </c>
      <c r="P1036" s="48">
        <f>HEX2DEC(RIGHT(Table132321275358[[#This Row],[h1]],8))</f>
        <v>0</v>
      </c>
      <c r="Q1036" s="48" t="s">
        <v>75</v>
      </c>
      <c r="R1036" s="48">
        <f>HEX2DEC(RIGHT(Table132321275358[[#This Row],[h2]],8))</f>
        <v>0</v>
      </c>
    </row>
    <row r="1037" spans="1:18">
      <c r="A1037" s="15" t="str">
        <f t="shared" si="21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8" t="s">
        <v>75</v>
      </c>
      <c r="P1037" s="48">
        <f>HEX2DEC(RIGHT(Table132321275358[[#This Row],[h1]],8))</f>
        <v>0</v>
      </c>
      <c r="Q1037" s="48" t="s">
        <v>75</v>
      </c>
      <c r="R1037" s="48">
        <f>HEX2DEC(RIGHT(Table132321275358[[#This Row],[h2]],8))</f>
        <v>0</v>
      </c>
    </row>
    <row r="1038" spans="1:18">
      <c r="A1038" s="15" t="str">
        <f t="shared" si="21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8" t="s">
        <v>75</v>
      </c>
      <c r="P1038" s="48">
        <f>HEX2DEC(RIGHT(Table132321275358[[#This Row],[h1]],8))</f>
        <v>0</v>
      </c>
      <c r="Q1038" s="48" t="s">
        <v>75</v>
      </c>
      <c r="R1038" s="48">
        <f>HEX2DEC(RIGHT(Table132321275358[[#This Row],[h2]],8))</f>
        <v>0</v>
      </c>
    </row>
    <row r="1039" spans="1:18">
      <c r="A1039" s="15" t="str">
        <f t="shared" si="21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8" t="s">
        <v>75</v>
      </c>
      <c r="P1039" s="48">
        <f>HEX2DEC(RIGHT(Table132321275358[[#This Row],[h1]],8))</f>
        <v>0</v>
      </c>
      <c r="Q1039" s="48" t="s">
        <v>75</v>
      </c>
      <c r="R1039" s="48">
        <f>HEX2DEC(RIGHT(Table132321275358[[#This Row],[h2]],8))</f>
        <v>0</v>
      </c>
    </row>
    <row r="1040" spans="1:18">
      <c r="A1040" s="15" t="str">
        <f t="shared" si="21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8" t="s">
        <v>75</v>
      </c>
      <c r="P1040" s="48">
        <f>HEX2DEC(RIGHT(Table132321275358[[#This Row],[h1]],8))</f>
        <v>0</v>
      </c>
      <c r="Q1040" s="48" t="s">
        <v>75</v>
      </c>
      <c r="R1040" s="48">
        <f>HEX2DEC(RIGHT(Table132321275358[[#This Row],[h2]],8))</f>
        <v>0</v>
      </c>
    </row>
    <row r="1041" spans="1:18">
      <c r="A1041" s="15" t="str">
        <f t="shared" si="21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8" t="s">
        <v>75</v>
      </c>
      <c r="P1041" s="48">
        <f>HEX2DEC(RIGHT(Table132321275358[[#This Row],[h1]],8))</f>
        <v>0</v>
      </c>
      <c r="Q1041" s="48" t="s">
        <v>75</v>
      </c>
      <c r="R1041" s="48">
        <f>HEX2DEC(RIGHT(Table132321275358[[#This Row],[h2]],8))</f>
        <v>0</v>
      </c>
    </row>
    <row r="1042" spans="1:18">
      <c r="A1042" s="15" t="str">
        <f t="shared" si="21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8" t="s">
        <v>75</v>
      </c>
      <c r="P1042" s="48">
        <f>HEX2DEC(RIGHT(Table132321275358[[#This Row],[h1]],8))</f>
        <v>0</v>
      </c>
      <c r="Q1042" s="48" t="s">
        <v>75</v>
      </c>
      <c r="R1042" s="48">
        <f>HEX2DEC(RIGHT(Table132321275358[[#This Row],[h2]],8))</f>
        <v>0</v>
      </c>
    </row>
    <row r="1043" spans="1:18">
      <c r="A1043" s="15" t="str">
        <f t="shared" si="21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8" t="s">
        <v>75</v>
      </c>
      <c r="P1043" s="48">
        <f>HEX2DEC(RIGHT(Table132321275358[[#This Row],[h1]],8))</f>
        <v>0</v>
      </c>
      <c r="Q1043" s="48" t="s">
        <v>75</v>
      </c>
      <c r="R1043" s="48">
        <f>HEX2DEC(RIGHT(Table132321275358[[#This Row],[h2]],8))</f>
        <v>0</v>
      </c>
    </row>
    <row r="1044" spans="1:18">
      <c r="A1044" s="15" t="str">
        <f t="shared" si="21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8" t="s">
        <v>75</v>
      </c>
      <c r="P1044" s="48">
        <f>HEX2DEC(RIGHT(Table132321275358[[#This Row],[h1]],8))</f>
        <v>0</v>
      </c>
      <c r="Q1044" s="48" t="s">
        <v>75</v>
      </c>
      <c r="R1044" s="48">
        <f>HEX2DEC(RIGHT(Table132321275358[[#This Row],[h2]],8))</f>
        <v>0</v>
      </c>
    </row>
    <row r="1045" spans="1:18">
      <c r="A1045" s="15" t="str">
        <f t="shared" si="21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8" t="s">
        <v>75</v>
      </c>
      <c r="P1045" s="48">
        <f>HEX2DEC(RIGHT(Table132321275358[[#This Row],[h1]],8))</f>
        <v>0</v>
      </c>
      <c r="Q1045" s="48" t="s">
        <v>75</v>
      </c>
      <c r="R1045" s="48">
        <f>HEX2DEC(RIGHT(Table132321275358[[#This Row],[h2]],8))</f>
        <v>0</v>
      </c>
    </row>
    <row r="1046" spans="1:18">
      <c r="A1046" s="15" t="str">
        <f t="shared" si="21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8" t="s">
        <v>75</v>
      </c>
      <c r="P1046" s="48">
        <f>HEX2DEC(RIGHT(Table132321275358[[#This Row],[h1]],8))</f>
        <v>0</v>
      </c>
      <c r="Q1046" s="48" t="s">
        <v>75</v>
      </c>
      <c r="R1046" s="48">
        <f>HEX2DEC(RIGHT(Table132321275358[[#This Row],[h2]],8))</f>
        <v>0</v>
      </c>
    </row>
    <row r="1047" spans="1:18">
      <c r="A1047" s="15" t="str">
        <f t="shared" si="21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8" t="s">
        <v>75</v>
      </c>
      <c r="P1047" s="48">
        <f>HEX2DEC(RIGHT(Table132321275358[[#This Row],[h1]],8))</f>
        <v>0</v>
      </c>
      <c r="Q1047" s="48" t="s">
        <v>75</v>
      </c>
      <c r="R1047" s="48">
        <f>HEX2DEC(RIGHT(Table132321275358[[#This Row],[h2]],8))</f>
        <v>0</v>
      </c>
    </row>
    <row r="1048" spans="1:18">
      <c r="A1048" s="15" t="str">
        <f t="shared" si="21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8" t="s">
        <v>75</v>
      </c>
      <c r="P1048" s="48">
        <f>HEX2DEC(RIGHT(Table132321275358[[#This Row],[h1]],8))</f>
        <v>0</v>
      </c>
      <c r="Q1048" s="48" t="s">
        <v>75</v>
      </c>
      <c r="R1048" s="48">
        <f>HEX2DEC(RIGHT(Table132321275358[[#This Row],[h2]],8))</f>
        <v>0</v>
      </c>
    </row>
    <row r="1049" spans="1:18">
      <c r="A1049" s="15" t="str">
        <f t="shared" si="21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8" t="s">
        <v>75</v>
      </c>
      <c r="P1049" s="48">
        <f>HEX2DEC(RIGHT(Table132321275358[[#This Row],[h1]],8))</f>
        <v>0</v>
      </c>
      <c r="Q1049" s="48" t="s">
        <v>75</v>
      </c>
      <c r="R1049" s="48">
        <f>HEX2DEC(RIGHT(Table132321275358[[#This Row],[h2]],8))</f>
        <v>0</v>
      </c>
    </row>
    <row r="1050" spans="1:18">
      <c r="A1050" s="15" t="str">
        <f t="shared" si="21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8" t="s">
        <v>75</v>
      </c>
      <c r="P1050" s="48">
        <f>HEX2DEC(RIGHT(Table132321275358[[#This Row],[h1]],8))</f>
        <v>0</v>
      </c>
      <c r="Q1050" s="48" t="s">
        <v>75</v>
      </c>
      <c r="R1050" s="48">
        <f>HEX2DEC(RIGHT(Table132321275358[[#This Row],[h2]],8))</f>
        <v>0</v>
      </c>
    </row>
    <row r="1051" spans="1:18">
      <c r="A1051" s="15" t="str">
        <f t="shared" si="21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8" t="s">
        <v>75</v>
      </c>
      <c r="P1051" s="48">
        <f>HEX2DEC(RIGHT(Table132321275358[[#This Row],[h1]],8))</f>
        <v>0</v>
      </c>
      <c r="Q1051" s="48" t="s">
        <v>75</v>
      </c>
      <c r="R1051" s="48">
        <f>HEX2DEC(RIGHT(Table132321275358[[#This Row],[h2]],8))</f>
        <v>0</v>
      </c>
    </row>
    <row r="1052" spans="1:18">
      <c r="A1052" s="15" t="str">
        <f t="shared" si="21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8" t="s">
        <v>75</v>
      </c>
      <c r="P1052" s="48">
        <f>HEX2DEC(RIGHT(Table132321275358[[#This Row],[h1]],8))</f>
        <v>0</v>
      </c>
      <c r="Q1052" s="48" t="s">
        <v>75</v>
      </c>
      <c r="R1052" s="48">
        <f>HEX2DEC(RIGHT(Table132321275358[[#This Row],[h2]],8))</f>
        <v>0</v>
      </c>
    </row>
    <row r="1053" spans="1:18">
      <c r="A1053" s="15" t="str">
        <f t="shared" si="21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8" t="s">
        <v>75</v>
      </c>
      <c r="P1053" s="48">
        <f>HEX2DEC(RIGHT(Table132321275358[[#This Row],[h1]],8))</f>
        <v>0</v>
      </c>
      <c r="Q1053" s="48" t="s">
        <v>75</v>
      </c>
      <c r="R1053" s="48">
        <f>HEX2DEC(RIGHT(Table132321275358[[#This Row],[h2]],8))</f>
        <v>0</v>
      </c>
    </row>
    <row r="1054" spans="1:18">
      <c r="A1054" s="15" t="str">
        <f t="shared" si="21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8" t="s">
        <v>75</v>
      </c>
      <c r="P1054" s="48">
        <f>HEX2DEC(RIGHT(Table132321275358[[#This Row],[h1]],8))</f>
        <v>0</v>
      </c>
      <c r="Q1054" s="48" t="s">
        <v>75</v>
      </c>
      <c r="R1054" s="48">
        <f>HEX2DEC(RIGHT(Table132321275358[[#This Row],[h2]],8))</f>
        <v>0</v>
      </c>
    </row>
    <row r="1055" spans="1:18">
      <c r="A1055" s="15" t="str">
        <f t="shared" si="21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8" t="s">
        <v>75</v>
      </c>
      <c r="P1055" s="48">
        <f>HEX2DEC(RIGHT(Table132321275358[[#This Row],[h1]],8))</f>
        <v>0</v>
      </c>
      <c r="Q1055" s="48" t="s">
        <v>75</v>
      </c>
      <c r="R1055" s="48">
        <f>HEX2DEC(RIGHT(Table132321275358[[#This Row],[h2]],8))</f>
        <v>0</v>
      </c>
    </row>
    <row r="1056" spans="1:18">
      <c r="A1056" s="15" t="str">
        <f t="shared" si="21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8" t="s">
        <v>75</v>
      </c>
      <c r="P1056" s="48">
        <f>HEX2DEC(RIGHT(Table132321275358[[#This Row],[h1]],8))</f>
        <v>0</v>
      </c>
      <c r="Q1056" s="48" t="s">
        <v>75</v>
      </c>
      <c r="R1056" s="48">
        <f>HEX2DEC(RIGHT(Table132321275358[[#This Row],[h2]],8))</f>
        <v>0</v>
      </c>
    </row>
    <row r="1057" spans="1:18">
      <c r="A1057" s="15" t="str">
        <f t="shared" si="21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8" t="s">
        <v>75</v>
      </c>
      <c r="P1057" s="48">
        <f>HEX2DEC(RIGHT(Table132321275358[[#This Row],[h1]],8))</f>
        <v>0</v>
      </c>
      <c r="Q1057" s="48" t="s">
        <v>75</v>
      </c>
      <c r="R1057" s="48">
        <f>HEX2DEC(RIGHT(Table132321275358[[#This Row],[h2]],8))</f>
        <v>0</v>
      </c>
    </row>
    <row r="1058" spans="1:18">
      <c r="A1058" s="15" t="str">
        <f t="shared" si="21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8" t="s">
        <v>75</v>
      </c>
      <c r="P1058" s="48">
        <f>HEX2DEC(RIGHT(Table132321275358[[#This Row],[h1]],8))</f>
        <v>0</v>
      </c>
      <c r="Q1058" s="48" t="s">
        <v>75</v>
      </c>
      <c r="R1058" s="48">
        <f>HEX2DEC(RIGHT(Table132321275358[[#This Row],[h2]],8))</f>
        <v>0</v>
      </c>
    </row>
    <row r="1059" spans="1:18">
      <c r="A1059" s="15" t="str">
        <f t="shared" si="21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8" t="s">
        <v>75</v>
      </c>
      <c r="P1059" s="48">
        <f>HEX2DEC(RIGHT(Table132321275358[[#This Row],[h1]],8))</f>
        <v>0</v>
      </c>
      <c r="Q1059" s="48" t="s">
        <v>75</v>
      </c>
      <c r="R1059" s="48">
        <f>HEX2DEC(RIGHT(Table132321275358[[#This Row],[h2]],8))</f>
        <v>0</v>
      </c>
    </row>
    <row r="1060" spans="1:18">
      <c r="A1060" s="15" t="str">
        <f t="shared" si="21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8" t="s">
        <v>75</v>
      </c>
      <c r="P1060" s="48">
        <f>HEX2DEC(RIGHT(Table132321275358[[#This Row],[h1]],8))</f>
        <v>0</v>
      </c>
      <c r="Q1060" s="48" t="s">
        <v>75</v>
      </c>
      <c r="R1060" s="48">
        <f>HEX2DEC(RIGHT(Table132321275358[[#This Row],[h2]],8))</f>
        <v>0</v>
      </c>
    </row>
    <row r="1061" spans="1:18">
      <c r="A1061" s="15" t="str">
        <f t="shared" si="21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8" t="s">
        <v>75</v>
      </c>
      <c r="P1061" s="48">
        <f>HEX2DEC(RIGHT(Table132321275358[[#This Row],[h1]],8))</f>
        <v>0</v>
      </c>
      <c r="Q1061" s="48" t="s">
        <v>75</v>
      </c>
      <c r="R1061" s="48">
        <f>HEX2DEC(RIGHT(Table132321275358[[#This Row],[h2]],8))</f>
        <v>0</v>
      </c>
    </row>
    <row r="1062" spans="1:18">
      <c r="A1062" s="15" t="str">
        <f t="shared" si="21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8" t="s">
        <v>75</v>
      </c>
      <c r="P1062" s="48">
        <f>HEX2DEC(RIGHT(Table132321275358[[#This Row],[h1]],8))</f>
        <v>0</v>
      </c>
      <c r="Q1062" s="48" t="s">
        <v>75</v>
      </c>
      <c r="R1062" s="48">
        <f>HEX2DEC(RIGHT(Table132321275358[[#This Row],[h2]],8))</f>
        <v>0</v>
      </c>
    </row>
    <row r="1063" spans="1:18">
      <c r="A1063" s="15" t="str">
        <f t="shared" si="21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8" t="s">
        <v>75</v>
      </c>
      <c r="P1063" s="48">
        <f>HEX2DEC(RIGHT(Table132321275358[[#This Row],[h1]],8))</f>
        <v>0</v>
      </c>
      <c r="Q1063" s="48" t="s">
        <v>75</v>
      </c>
      <c r="R1063" s="48">
        <f>HEX2DEC(RIGHT(Table132321275358[[#This Row],[h2]],8))</f>
        <v>0</v>
      </c>
    </row>
    <row r="1064" spans="1:18">
      <c r="A1064" s="15" t="str">
        <f t="shared" si="21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8" t="s">
        <v>75</v>
      </c>
      <c r="P1064" s="48">
        <f>HEX2DEC(RIGHT(Table132321275358[[#This Row],[h1]],8))</f>
        <v>0</v>
      </c>
      <c r="Q1064" s="48" t="s">
        <v>75</v>
      </c>
      <c r="R1064" s="48">
        <f>HEX2DEC(RIGHT(Table132321275358[[#This Row],[h2]],8))</f>
        <v>0</v>
      </c>
    </row>
    <row r="1065" spans="1:18">
      <c r="A1065" s="15" t="str">
        <f t="shared" si="21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8" t="s">
        <v>75</v>
      </c>
      <c r="P1065" s="48">
        <f>HEX2DEC(RIGHT(Table132321275358[[#This Row],[h1]],8))</f>
        <v>0</v>
      </c>
      <c r="Q1065" s="48" t="s">
        <v>75</v>
      </c>
      <c r="R1065" s="48">
        <f>HEX2DEC(RIGHT(Table132321275358[[#This Row],[h2]],8))</f>
        <v>0</v>
      </c>
    </row>
    <row r="1066" spans="1:18">
      <c r="A1066" s="15" t="str">
        <f t="shared" si="21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8" t="s">
        <v>75</v>
      </c>
      <c r="P1066" s="48">
        <f>HEX2DEC(RIGHT(Table132321275358[[#This Row],[h1]],8))</f>
        <v>0</v>
      </c>
      <c r="Q1066" s="48" t="s">
        <v>75</v>
      </c>
      <c r="R1066" s="48">
        <f>HEX2DEC(RIGHT(Table132321275358[[#This Row],[h2]],8))</f>
        <v>0</v>
      </c>
    </row>
    <row r="1067" spans="1:18">
      <c r="A1067" s="15" t="str">
        <f t="shared" si="21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8" t="s">
        <v>75</v>
      </c>
      <c r="P1067" s="48">
        <f>HEX2DEC(RIGHT(Table132321275358[[#This Row],[h1]],8))</f>
        <v>0</v>
      </c>
      <c r="Q1067" s="48" t="s">
        <v>75</v>
      </c>
      <c r="R1067" s="48">
        <f>HEX2DEC(RIGHT(Table132321275358[[#This Row],[h2]],8))</f>
        <v>0</v>
      </c>
    </row>
    <row r="1068" spans="1:18">
      <c r="A1068" s="15" t="str">
        <f t="shared" si="21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8" t="s">
        <v>75</v>
      </c>
      <c r="P1068" s="48">
        <f>HEX2DEC(RIGHT(Table132321275358[[#This Row],[h1]],8))</f>
        <v>0</v>
      </c>
      <c r="Q1068" s="48" t="s">
        <v>75</v>
      </c>
      <c r="R1068" s="48">
        <f>HEX2DEC(RIGHT(Table132321275358[[#This Row],[h2]],8))</f>
        <v>0</v>
      </c>
    </row>
    <row r="1069" spans="1:18">
      <c r="A1069" s="15" t="str">
        <f t="shared" si="21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8" t="s">
        <v>75</v>
      </c>
      <c r="P1069" s="48">
        <f>HEX2DEC(RIGHT(Table132321275358[[#This Row],[h1]],8))</f>
        <v>0</v>
      </c>
      <c r="Q1069" s="48" t="s">
        <v>75</v>
      </c>
      <c r="R1069" s="48">
        <f>HEX2DEC(RIGHT(Table132321275358[[#This Row],[h2]],8))</f>
        <v>0</v>
      </c>
    </row>
    <row r="1070" spans="1:18">
      <c r="A1070" s="15" t="str">
        <f t="shared" si="21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8" t="s">
        <v>75</v>
      </c>
      <c r="P1070" s="48">
        <f>HEX2DEC(RIGHT(Table132321275358[[#This Row],[h1]],8))</f>
        <v>0</v>
      </c>
      <c r="Q1070" s="48" t="s">
        <v>75</v>
      </c>
      <c r="R1070" s="48">
        <f>HEX2DEC(RIGHT(Table132321275358[[#This Row],[h2]],8))</f>
        <v>0</v>
      </c>
    </row>
    <row r="1071" spans="1:18">
      <c r="A1071" s="15" t="str">
        <f t="shared" si="21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8" t="s">
        <v>75</v>
      </c>
      <c r="P1071" s="48">
        <f>HEX2DEC(RIGHT(Table132321275358[[#This Row],[h1]],8))</f>
        <v>0</v>
      </c>
      <c r="Q1071" s="48" t="s">
        <v>75</v>
      </c>
      <c r="R1071" s="48">
        <f>HEX2DEC(RIGHT(Table132321275358[[#This Row],[h2]],8))</f>
        <v>0</v>
      </c>
    </row>
    <row r="1072" spans="1:18">
      <c r="A1072" s="15" t="str">
        <f t="shared" si="21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8" t="s">
        <v>75</v>
      </c>
      <c r="P1072" s="48">
        <f>HEX2DEC(RIGHT(Table132321275358[[#This Row],[h1]],8))</f>
        <v>0</v>
      </c>
      <c r="Q1072" s="48" t="s">
        <v>75</v>
      </c>
      <c r="R1072" s="48">
        <f>HEX2DEC(RIGHT(Table132321275358[[#This Row],[h2]],8))</f>
        <v>0</v>
      </c>
    </row>
    <row r="1073" spans="1:18">
      <c r="A1073" s="15" t="str">
        <f t="shared" si="21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8" t="s">
        <v>75</v>
      </c>
      <c r="P1073" s="48">
        <f>HEX2DEC(RIGHT(Table132321275358[[#This Row],[h1]],8))</f>
        <v>0</v>
      </c>
      <c r="Q1073" s="48" t="s">
        <v>75</v>
      </c>
      <c r="R1073" s="48">
        <f>HEX2DEC(RIGHT(Table132321275358[[#This Row],[h2]],8))</f>
        <v>0</v>
      </c>
    </row>
    <row r="1074" spans="1:18">
      <c r="A1074" s="15" t="str">
        <f t="shared" si="21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8" t="s">
        <v>75</v>
      </c>
      <c r="P1074" s="48">
        <f>HEX2DEC(RIGHT(Table132321275358[[#This Row],[h1]],8))</f>
        <v>0</v>
      </c>
      <c r="Q1074" s="48" t="s">
        <v>75</v>
      </c>
      <c r="R1074" s="48">
        <f>HEX2DEC(RIGHT(Table132321275358[[#This Row],[h2]],8))</f>
        <v>0</v>
      </c>
    </row>
    <row r="1075" spans="1:18">
      <c r="A1075" s="15" t="str">
        <f t="shared" si="21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8" t="s">
        <v>75</v>
      </c>
      <c r="P1075" s="48">
        <f>HEX2DEC(RIGHT(Table132321275358[[#This Row],[h1]],8))</f>
        <v>0</v>
      </c>
      <c r="Q1075" s="48" t="s">
        <v>75</v>
      </c>
      <c r="R1075" s="48">
        <f>HEX2DEC(RIGHT(Table132321275358[[#This Row],[h2]],8))</f>
        <v>0</v>
      </c>
    </row>
    <row r="1076" spans="1:18">
      <c r="A1076" s="15" t="str">
        <f t="shared" si="21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8" t="s">
        <v>75</v>
      </c>
      <c r="P1076" s="48">
        <f>HEX2DEC(RIGHT(Table132321275358[[#This Row],[h1]],8))</f>
        <v>0</v>
      </c>
      <c r="Q1076" s="48" t="s">
        <v>75</v>
      </c>
      <c r="R1076" s="48">
        <f>HEX2DEC(RIGHT(Table132321275358[[#This Row],[h2]],8))</f>
        <v>0</v>
      </c>
    </row>
    <row r="1077" spans="1:18">
      <c r="A1077" s="15" t="str">
        <f t="shared" si="21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8" t="s">
        <v>75</v>
      </c>
      <c r="P1077" s="48">
        <f>HEX2DEC(RIGHT(Table132321275358[[#This Row],[h1]],8))</f>
        <v>0</v>
      </c>
      <c r="Q1077" s="48" t="s">
        <v>75</v>
      </c>
      <c r="R1077" s="48">
        <f>HEX2DEC(RIGHT(Table132321275358[[#This Row],[h2]],8))</f>
        <v>0</v>
      </c>
    </row>
    <row r="1078" spans="1:18">
      <c r="A1078" s="15" t="str">
        <f t="shared" si="21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8" t="s">
        <v>75</v>
      </c>
      <c r="P1078" s="48">
        <f>HEX2DEC(RIGHT(Table132321275358[[#This Row],[h1]],8))</f>
        <v>0</v>
      </c>
      <c r="Q1078" s="48" t="s">
        <v>75</v>
      </c>
      <c r="R1078" s="48">
        <f>HEX2DEC(RIGHT(Table132321275358[[#This Row],[h2]],8))</f>
        <v>0</v>
      </c>
    </row>
    <row r="1079" spans="1:18">
      <c r="A1079" s="15" t="str">
        <f t="shared" si="21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8" t="s">
        <v>75</v>
      </c>
      <c r="P1079" s="48">
        <f>HEX2DEC(RIGHT(Table132321275358[[#This Row],[h1]],8))</f>
        <v>0</v>
      </c>
      <c r="Q1079" s="48" t="s">
        <v>75</v>
      </c>
      <c r="R1079" s="48">
        <f>HEX2DEC(RIGHT(Table132321275358[[#This Row],[h2]],8))</f>
        <v>0</v>
      </c>
    </row>
    <row r="1080" spans="1:18">
      <c r="A1080" s="15" t="str">
        <f t="shared" si="21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8" t="s">
        <v>75</v>
      </c>
      <c r="P1080" s="48">
        <f>HEX2DEC(RIGHT(Table132321275358[[#This Row],[h1]],8))</f>
        <v>0</v>
      </c>
      <c r="Q1080" s="48" t="s">
        <v>75</v>
      </c>
      <c r="R1080" s="48">
        <f>HEX2DEC(RIGHT(Table132321275358[[#This Row],[h2]],8))</f>
        <v>0</v>
      </c>
    </row>
    <row r="1081" spans="1:18">
      <c r="A1081" s="15" t="str">
        <f t="shared" si="21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8" t="s">
        <v>75</v>
      </c>
      <c r="P1081" s="48">
        <f>HEX2DEC(RIGHT(Table132321275358[[#This Row],[h1]],8))</f>
        <v>0</v>
      </c>
      <c r="Q1081" s="48" t="s">
        <v>75</v>
      </c>
      <c r="R1081" s="48">
        <f>HEX2DEC(RIGHT(Table132321275358[[#This Row],[h2]],8))</f>
        <v>0</v>
      </c>
    </row>
    <row r="1082" spans="1:18">
      <c r="A1082" s="15" t="str">
        <f t="shared" si="21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8" t="s">
        <v>75</v>
      </c>
      <c r="P1082" s="48">
        <f>HEX2DEC(RIGHT(Table132321275358[[#This Row],[h1]],8))</f>
        <v>0</v>
      </c>
      <c r="Q1082" s="48" t="s">
        <v>75</v>
      </c>
      <c r="R1082" s="48">
        <f>HEX2DEC(RIGHT(Table132321275358[[#This Row],[h2]],8))</f>
        <v>0</v>
      </c>
    </row>
    <row r="1083" spans="1:18">
      <c r="A1083" s="15" t="str">
        <f t="shared" si="21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8" t="s">
        <v>75</v>
      </c>
      <c r="P1083" s="48">
        <f>HEX2DEC(RIGHT(Table132321275358[[#This Row],[h1]],8))</f>
        <v>0</v>
      </c>
      <c r="Q1083" s="48" t="s">
        <v>75</v>
      </c>
      <c r="R1083" s="48">
        <f>HEX2DEC(RIGHT(Table132321275358[[#This Row],[h2]],8))</f>
        <v>0</v>
      </c>
    </row>
    <row r="1084" spans="1:18">
      <c r="A1084" s="15" t="str">
        <f t="shared" si="21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8" t="s">
        <v>75</v>
      </c>
      <c r="P1084" s="48">
        <f>HEX2DEC(RIGHT(Table132321275358[[#This Row],[h1]],8))</f>
        <v>0</v>
      </c>
      <c r="Q1084" s="48" t="s">
        <v>75</v>
      </c>
      <c r="R1084" s="48">
        <f>HEX2DEC(RIGHT(Table132321275358[[#This Row],[h2]],8))</f>
        <v>0</v>
      </c>
    </row>
    <row r="1085" spans="1:18">
      <c r="A1085" s="15" t="str">
        <f t="shared" si="21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8" t="s">
        <v>75</v>
      </c>
      <c r="P1085" s="48">
        <f>HEX2DEC(RIGHT(Table132321275358[[#This Row],[h1]],8))</f>
        <v>0</v>
      </c>
      <c r="Q1085" s="48" t="s">
        <v>75</v>
      </c>
      <c r="R1085" s="48">
        <f>HEX2DEC(RIGHT(Table132321275358[[#This Row],[h2]],8))</f>
        <v>0</v>
      </c>
    </row>
    <row r="1086" spans="1:18">
      <c r="A1086" s="15" t="str">
        <f t="shared" si="21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8" t="s">
        <v>75</v>
      </c>
      <c r="P1086" s="48">
        <f>HEX2DEC(RIGHT(Table132321275358[[#This Row],[h1]],8))</f>
        <v>0</v>
      </c>
      <c r="Q1086" s="48" t="s">
        <v>75</v>
      </c>
      <c r="R1086" s="48">
        <f>HEX2DEC(RIGHT(Table132321275358[[#This Row],[h2]],8))</f>
        <v>0</v>
      </c>
    </row>
    <row r="1087" spans="1:18">
      <c r="A1087" s="15" t="str">
        <f t="shared" si="21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8" t="s">
        <v>75</v>
      </c>
      <c r="P1087" s="48">
        <f>HEX2DEC(RIGHT(Table132321275358[[#This Row],[h1]],8))</f>
        <v>0</v>
      </c>
      <c r="Q1087" s="48" t="s">
        <v>75</v>
      </c>
      <c r="R1087" s="48">
        <f>HEX2DEC(RIGHT(Table132321275358[[#This Row],[h2]],8))</f>
        <v>0</v>
      </c>
    </row>
    <row r="1088" spans="1:18">
      <c r="A1088" s="15" t="str">
        <f t="shared" si="21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8" t="s">
        <v>75</v>
      </c>
      <c r="P1088" s="48">
        <f>HEX2DEC(RIGHT(Table132321275358[[#This Row],[h1]],8))</f>
        <v>0</v>
      </c>
      <c r="Q1088" s="48" t="s">
        <v>75</v>
      </c>
      <c r="R1088" s="48">
        <f>HEX2DEC(RIGHT(Table132321275358[[#This Row],[h2]],8))</f>
        <v>0</v>
      </c>
    </row>
    <row r="1089" spans="1:18">
      <c r="A1089" s="15" t="str">
        <f t="shared" si="21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8" t="s">
        <v>75</v>
      </c>
      <c r="P1089" s="48">
        <f>HEX2DEC(RIGHT(Table132321275358[[#This Row],[h1]],8))</f>
        <v>0</v>
      </c>
      <c r="Q1089" s="48" t="s">
        <v>75</v>
      </c>
      <c r="R1089" s="48">
        <f>HEX2DEC(RIGHT(Table132321275358[[#This Row],[h2]],8))</f>
        <v>0</v>
      </c>
    </row>
    <row r="1090" spans="1:18">
      <c r="A1090" s="15" t="str">
        <f t="shared" si="21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8" t="s">
        <v>75</v>
      </c>
      <c r="P1090" s="48">
        <f>HEX2DEC(RIGHT(Table132321275358[[#This Row],[h1]],8))</f>
        <v>0</v>
      </c>
      <c r="Q1090" s="48" t="s">
        <v>75</v>
      </c>
      <c r="R1090" s="48">
        <f>HEX2DEC(RIGHT(Table132321275358[[#This Row],[h2]],8))</f>
        <v>0</v>
      </c>
    </row>
    <row r="1091" spans="1:18">
      <c r="A1091" s="15" t="str">
        <f t="shared" si="21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8" t="s">
        <v>75</v>
      </c>
      <c r="P1091" s="48">
        <f>HEX2DEC(RIGHT(Table132321275358[[#This Row],[h1]],8))</f>
        <v>0</v>
      </c>
      <c r="Q1091" s="48" t="s">
        <v>75</v>
      </c>
      <c r="R1091" s="48">
        <f>HEX2DEC(RIGHT(Table132321275358[[#This Row],[h2]],8))</f>
        <v>0</v>
      </c>
    </row>
    <row r="1092" spans="1:18">
      <c r="A1092" s="15" t="str">
        <f t="shared" si="21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8" t="s">
        <v>75</v>
      </c>
      <c r="P1092" s="48">
        <f>HEX2DEC(RIGHT(Table132321275358[[#This Row],[h1]],8))</f>
        <v>0</v>
      </c>
      <c r="Q1092" s="48" t="s">
        <v>75</v>
      </c>
      <c r="R1092" s="48">
        <f>HEX2DEC(RIGHT(Table132321275358[[#This Row],[h2]],8))</f>
        <v>0</v>
      </c>
    </row>
    <row r="1093" spans="1:18">
      <c r="A1093" s="15" t="str">
        <f t="shared" si="21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8" t="s">
        <v>75</v>
      </c>
      <c r="P1093" s="48">
        <f>HEX2DEC(RIGHT(Table132321275358[[#This Row],[h1]],8))</f>
        <v>0</v>
      </c>
      <c r="Q1093" s="48" t="s">
        <v>75</v>
      </c>
      <c r="R1093" s="48">
        <f>HEX2DEC(RIGHT(Table132321275358[[#This Row],[h2]],8))</f>
        <v>0</v>
      </c>
    </row>
    <row r="1094" spans="1:18">
      <c r="A1094" s="15" t="str">
        <f t="shared" si="21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8" t="s">
        <v>75</v>
      </c>
      <c r="P1094" s="48">
        <f>HEX2DEC(RIGHT(Table132321275358[[#This Row],[h1]],8))</f>
        <v>0</v>
      </c>
      <c r="Q1094" s="48" t="s">
        <v>75</v>
      </c>
      <c r="R1094" s="48">
        <f>HEX2DEC(RIGHT(Table132321275358[[#This Row],[h2]],8))</f>
        <v>0</v>
      </c>
    </row>
    <row r="1095" spans="1:18">
      <c r="A1095" s="15" t="str">
        <f t="shared" si="21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8" t="s">
        <v>75</v>
      </c>
      <c r="P1095" s="48">
        <f>HEX2DEC(RIGHT(Table132321275358[[#This Row],[h1]],8))</f>
        <v>0</v>
      </c>
      <c r="Q1095" s="48" t="s">
        <v>75</v>
      </c>
      <c r="R1095" s="48">
        <f>HEX2DEC(RIGHT(Table132321275358[[#This Row],[h2]],8))</f>
        <v>0</v>
      </c>
    </row>
    <row r="1096" spans="1:18">
      <c r="A1096" s="15" t="str">
        <f t="shared" si="21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8" t="s">
        <v>75</v>
      </c>
      <c r="P1096" s="48">
        <f>HEX2DEC(RIGHT(Table132321275358[[#This Row],[h1]],8))</f>
        <v>0</v>
      </c>
      <c r="Q1096" s="48" t="s">
        <v>75</v>
      </c>
      <c r="R1096" s="48">
        <f>HEX2DEC(RIGHT(Table132321275358[[#This Row],[h2]],8))</f>
        <v>0</v>
      </c>
    </row>
    <row r="1097" spans="1:18">
      <c r="A1097" s="15" t="str">
        <f t="shared" si="21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8" t="s">
        <v>75</v>
      </c>
      <c r="P1097" s="48">
        <f>HEX2DEC(RIGHT(Table132321275358[[#This Row],[h1]],8))</f>
        <v>0</v>
      </c>
      <c r="Q1097" s="48" t="s">
        <v>75</v>
      </c>
      <c r="R1097" s="48">
        <f>HEX2DEC(RIGHT(Table132321275358[[#This Row],[h2]],8))</f>
        <v>0</v>
      </c>
    </row>
    <row r="1098" spans="1:18">
      <c r="A1098" s="15" t="str">
        <f t="shared" si="21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8" t="s">
        <v>75</v>
      </c>
      <c r="P1098" s="48">
        <f>HEX2DEC(RIGHT(Table132321275358[[#This Row],[h1]],8))</f>
        <v>0</v>
      </c>
      <c r="Q1098" s="48" t="s">
        <v>75</v>
      </c>
      <c r="R1098" s="48">
        <f>HEX2DEC(RIGHT(Table132321275358[[#This Row],[h2]],8))</f>
        <v>0</v>
      </c>
    </row>
    <row r="1099" spans="1:18">
      <c r="A1099" s="15" t="str">
        <f t="shared" ref="A1099:A1162" si="22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8" t="s">
        <v>75</v>
      </c>
      <c r="P1099" s="48">
        <f>HEX2DEC(RIGHT(Table132321275358[[#This Row],[h1]],8))</f>
        <v>0</v>
      </c>
      <c r="Q1099" s="48" t="s">
        <v>75</v>
      </c>
      <c r="R1099" s="48">
        <f>HEX2DEC(RIGHT(Table132321275358[[#This Row],[h2]],8))</f>
        <v>0</v>
      </c>
    </row>
    <row r="1100" spans="1:18">
      <c r="A1100" s="15" t="str">
        <f t="shared" si="22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8" t="s">
        <v>75</v>
      </c>
      <c r="P1100" s="48">
        <f>HEX2DEC(RIGHT(Table132321275358[[#This Row],[h1]],8))</f>
        <v>0</v>
      </c>
      <c r="Q1100" s="48" t="s">
        <v>75</v>
      </c>
      <c r="R1100" s="48">
        <f>HEX2DEC(RIGHT(Table132321275358[[#This Row],[h2]],8))</f>
        <v>0</v>
      </c>
    </row>
    <row r="1101" spans="1:18">
      <c r="A1101" s="15" t="str">
        <f t="shared" si="22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8" t="s">
        <v>75</v>
      </c>
      <c r="P1101" s="48">
        <f>HEX2DEC(RIGHT(Table132321275358[[#This Row],[h1]],8))</f>
        <v>0</v>
      </c>
      <c r="Q1101" s="48" t="s">
        <v>75</v>
      </c>
      <c r="R1101" s="48">
        <f>HEX2DEC(RIGHT(Table132321275358[[#This Row],[h2]],8))</f>
        <v>0</v>
      </c>
    </row>
    <row r="1102" spans="1:18">
      <c r="A1102" s="15" t="str">
        <f t="shared" si="22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8" t="s">
        <v>75</v>
      </c>
      <c r="P1102" s="48">
        <f>HEX2DEC(RIGHT(Table132321275358[[#This Row],[h1]],8))</f>
        <v>0</v>
      </c>
      <c r="Q1102" s="48" t="s">
        <v>75</v>
      </c>
      <c r="R1102" s="48">
        <f>HEX2DEC(RIGHT(Table132321275358[[#This Row],[h2]],8))</f>
        <v>0</v>
      </c>
    </row>
    <row r="1103" spans="1:18">
      <c r="A1103" s="15" t="str">
        <f t="shared" si="22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8" t="s">
        <v>75</v>
      </c>
      <c r="P1103" s="48">
        <f>HEX2DEC(RIGHT(Table132321275358[[#This Row],[h1]],8))</f>
        <v>0</v>
      </c>
      <c r="Q1103" s="48" t="s">
        <v>75</v>
      </c>
      <c r="R1103" s="48">
        <f>HEX2DEC(RIGHT(Table132321275358[[#This Row],[h2]],8))</f>
        <v>0</v>
      </c>
    </row>
    <row r="1104" spans="1:18">
      <c r="A1104" s="15" t="str">
        <f t="shared" si="22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8" t="s">
        <v>75</v>
      </c>
      <c r="P1104" s="48">
        <f>HEX2DEC(RIGHT(Table132321275358[[#This Row],[h1]],8))</f>
        <v>0</v>
      </c>
      <c r="Q1104" s="48" t="s">
        <v>75</v>
      </c>
      <c r="R1104" s="48">
        <f>HEX2DEC(RIGHT(Table132321275358[[#This Row],[h2]],8))</f>
        <v>0</v>
      </c>
    </row>
    <row r="1105" spans="1:18">
      <c r="A1105" s="15" t="str">
        <f t="shared" si="22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8" t="s">
        <v>75</v>
      </c>
      <c r="P1105" s="48">
        <f>HEX2DEC(RIGHT(Table132321275358[[#This Row],[h1]],8))</f>
        <v>0</v>
      </c>
      <c r="Q1105" s="48" t="s">
        <v>75</v>
      </c>
      <c r="R1105" s="48">
        <f>HEX2DEC(RIGHT(Table132321275358[[#This Row],[h2]],8))</f>
        <v>0</v>
      </c>
    </row>
    <row r="1106" spans="1:18">
      <c r="A1106" s="15" t="str">
        <f t="shared" si="22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8" t="s">
        <v>75</v>
      </c>
      <c r="P1106" s="48">
        <f>HEX2DEC(RIGHT(Table132321275358[[#This Row],[h1]],8))</f>
        <v>0</v>
      </c>
      <c r="Q1106" s="48" t="s">
        <v>75</v>
      </c>
      <c r="R1106" s="48">
        <f>HEX2DEC(RIGHT(Table132321275358[[#This Row],[h2]],8))</f>
        <v>0</v>
      </c>
    </row>
    <row r="1107" spans="1:18">
      <c r="A1107" s="15" t="str">
        <f t="shared" si="22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8" t="s">
        <v>75</v>
      </c>
      <c r="P1107" s="48">
        <f>HEX2DEC(RIGHT(Table132321275358[[#This Row],[h1]],8))</f>
        <v>0</v>
      </c>
      <c r="Q1107" s="48" t="s">
        <v>75</v>
      </c>
      <c r="R1107" s="48">
        <f>HEX2DEC(RIGHT(Table132321275358[[#This Row],[h2]],8))</f>
        <v>0</v>
      </c>
    </row>
    <row r="1108" spans="1:18">
      <c r="A1108" s="15" t="str">
        <f t="shared" si="22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8" t="s">
        <v>75</v>
      </c>
      <c r="P1108" s="48">
        <f>HEX2DEC(RIGHT(Table132321275358[[#This Row],[h1]],8))</f>
        <v>0</v>
      </c>
      <c r="Q1108" s="48" t="s">
        <v>75</v>
      </c>
      <c r="R1108" s="48">
        <f>HEX2DEC(RIGHT(Table132321275358[[#This Row],[h2]],8))</f>
        <v>0</v>
      </c>
    </row>
    <row r="1109" spans="1:18">
      <c r="A1109" s="15" t="str">
        <f t="shared" si="22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8" t="s">
        <v>75</v>
      </c>
      <c r="P1109" s="48">
        <f>HEX2DEC(RIGHT(Table132321275358[[#This Row],[h1]],8))</f>
        <v>0</v>
      </c>
      <c r="Q1109" s="48" t="s">
        <v>75</v>
      </c>
      <c r="R1109" s="48">
        <f>HEX2DEC(RIGHT(Table132321275358[[#This Row],[h2]],8))</f>
        <v>0</v>
      </c>
    </row>
    <row r="1110" spans="1:18">
      <c r="A1110" s="15" t="str">
        <f t="shared" si="22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8" t="s">
        <v>75</v>
      </c>
      <c r="P1110" s="48">
        <f>HEX2DEC(RIGHT(Table132321275358[[#This Row],[h1]],8))</f>
        <v>0</v>
      </c>
      <c r="Q1110" s="48" t="s">
        <v>75</v>
      </c>
      <c r="R1110" s="48">
        <f>HEX2DEC(RIGHT(Table132321275358[[#This Row],[h2]],8))</f>
        <v>0</v>
      </c>
    </row>
    <row r="1111" spans="1:18">
      <c r="A1111" s="15" t="str">
        <f t="shared" si="22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8" t="s">
        <v>75</v>
      </c>
      <c r="P1111" s="48">
        <f>HEX2DEC(RIGHT(Table132321275358[[#This Row],[h1]],8))</f>
        <v>0</v>
      </c>
      <c r="Q1111" s="48" t="s">
        <v>75</v>
      </c>
      <c r="R1111" s="48">
        <f>HEX2DEC(RIGHT(Table132321275358[[#This Row],[h2]],8))</f>
        <v>0</v>
      </c>
    </row>
    <row r="1112" spans="1:18">
      <c r="A1112" s="15" t="str">
        <f t="shared" si="22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8" t="s">
        <v>75</v>
      </c>
      <c r="P1112" s="48">
        <f>HEX2DEC(RIGHT(Table132321275358[[#This Row],[h1]],8))</f>
        <v>0</v>
      </c>
      <c r="Q1112" s="48" t="s">
        <v>75</v>
      </c>
      <c r="R1112" s="48">
        <f>HEX2DEC(RIGHT(Table132321275358[[#This Row],[h2]],8))</f>
        <v>0</v>
      </c>
    </row>
    <row r="1113" spans="1:18">
      <c r="A1113" s="15" t="str">
        <f t="shared" si="22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8" t="s">
        <v>75</v>
      </c>
      <c r="P1113" s="48">
        <f>HEX2DEC(RIGHT(Table132321275358[[#This Row],[h1]],8))</f>
        <v>0</v>
      </c>
      <c r="Q1113" s="48" t="s">
        <v>75</v>
      </c>
      <c r="R1113" s="48">
        <f>HEX2DEC(RIGHT(Table132321275358[[#This Row],[h2]],8))</f>
        <v>0</v>
      </c>
    </row>
    <row r="1114" spans="1:18">
      <c r="A1114" s="15" t="str">
        <f t="shared" si="22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8" t="s">
        <v>75</v>
      </c>
      <c r="P1114" s="48">
        <f>HEX2DEC(RIGHT(Table132321275358[[#This Row],[h1]],8))</f>
        <v>0</v>
      </c>
      <c r="Q1114" s="48" t="s">
        <v>75</v>
      </c>
      <c r="R1114" s="48">
        <f>HEX2DEC(RIGHT(Table132321275358[[#This Row],[h2]],8))</f>
        <v>0</v>
      </c>
    </row>
    <row r="1115" spans="1:18">
      <c r="A1115" s="15" t="str">
        <f t="shared" si="22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8" t="s">
        <v>75</v>
      </c>
      <c r="P1115" s="48">
        <f>HEX2DEC(RIGHT(Table132321275358[[#This Row],[h1]],8))</f>
        <v>0</v>
      </c>
      <c r="Q1115" s="48" t="s">
        <v>75</v>
      </c>
      <c r="R1115" s="48">
        <f>HEX2DEC(RIGHT(Table132321275358[[#This Row],[h2]],8))</f>
        <v>0</v>
      </c>
    </row>
    <row r="1116" spans="1:18">
      <c r="A1116" s="15" t="str">
        <f t="shared" si="22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8" t="s">
        <v>75</v>
      </c>
      <c r="P1116" s="48">
        <f>HEX2DEC(RIGHT(Table132321275358[[#This Row],[h1]],8))</f>
        <v>0</v>
      </c>
      <c r="Q1116" s="48" t="s">
        <v>75</v>
      </c>
      <c r="R1116" s="48">
        <f>HEX2DEC(RIGHT(Table132321275358[[#This Row],[h2]],8))</f>
        <v>0</v>
      </c>
    </row>
    <row r="1117" spans="1:18">
      <c r="A1117" s="15" t="str">
        <f t="shared" si="22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8" t="s">
        <v>75</v>
      </c>
      <c r="P1117" s="48">
        <f>HEX2DEC(RIGHT(Table132321275358[[#This Row],[h1]],8))</f>
        <v>0</v>
      </c>
      <c r="Q1117" s="48" t="s">
        <v>75</v>
      </c>
      <c r="R1117" s="48">
        <f>HEX2DEC(RIGHT(Table132321275358[[#This Row],[h2]],8))</f>
        <v>0</v>
      </c>
    </row>
    <row r="1118" spans="1:18">
      <c r="A1118" s="15" t="str">
        <f t="shared" si="22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8" t="s">
        <v>75</v>
      </c>
      <c r="P1118" s="48">
        <f>HEX2DEC(RIGHT(Table132321275358[[#This Row],[h1]],8))</f>
        <v>0</v>
      </c>
      <c r="Q1118" s="48" t="s">
        <v>75</v>
      </c>
      <c r="R1118" s="48">
        <f>HEX2DEC(RIGHT(Table132321275358[[#This Row],[h2]],8))</f>
        <v>0</v>
      </c>
    </row>
    <row r="1119" spans="1:18">
      <c r="A1119" s="15" t="str">
        <f t="shared" si="22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8" t="s">
        <v>75</v>
      </c>
      <c r="P1119" s="48">
        <f>HEX2DEC(RIGHT(Table132321275358[[#This Row],[h1]],8))</f>
        <v>0</v>
      </c>
      <c r="Q1119" s="48" t="s">
        <v>75</v>
      </c>
      <c r="R1119" s="48">
        <f>HEX2DEC(RIGHT(Table132321275358[[#This Row],[h2]],8))</f>
        <v>0</v>
      </c>
    </row>
    <row r="1120" spans="1:18">
      <c r="A1120" s="15" t="str">
        <f t="shared" si="22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8" t="s">
        <v>75</v>
      </c>
      <c r="P1120" s="48">
        <f>HEX2DEC(RIGHT(Table132321275358[[#This Row],[h1]],8))</f>
        <v>0</v>
      </c>
      <c r="Q1120" s="48" t="s">
        <v>75</v>
      </c>
      <c r="R1120" s="48">
        <f>HEX2DEC(RIGHT(Table132321275358[[#This Row],[h2]],8))</f>
        <v>0</v>
      </c>
    </row>
    <row r="1121" spans="1:18">
      <c r="A1121" s="15" t="str">
        <f t="shared" si="22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8" t="s">
        <v>75</v>
      </c>
      <c r="P1121" s="48">
        <f>HEX2DEC(RIGHT(Table132321275358[[#This Row],[h1]],8))</f>
        <v>0</v>
      </c>
      <c r="Q1121" s="48" t="s">
        <v>75</v>
      </c>
      <c r="R1121" s="48">
        <f>HEX2DEC(RIGHT(Table132321275358[[#This Row],[h2]],8))</f>
        <v>0</v>
      </c>
    </row>
    <row r="1122" spans="1:18">
      <c r="A1122" s="15" t="str">
        <f t="shared" si="22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8" t="s">
        <v>75</v>
      </c>
      <c r="P1122" s="48">
        <f>HEX2DEC(RIGHT(Table132321275358[[#This Row],[h1]],8))</f>
        <v>0</v>
      </c>
      <c r="Q1122" s="48" t="s">
        <v>75</v>
      </c>
      <c r="R1122" s="48">
        <f>HEX2DEC(RIGHT(Table132321275358[[#This Row],[h2]],8))</f>
        <v>0</v>
      </c>
    </row>
    <row r="1123" spans="1:18">
      <c r="A1123" s="15" t="str">
        <f t="shared" si="22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8" t="s">
        <v>75</v>
      </c>
      <c r="P1123" s="48">
        <f>HEX2DEC(RIGHT(Table132321275358[[#This Row],[h1]],8))</f>
        <v>0</v>
      </c>
      <c r="Q1123" s="48" t="s">
        <v>75</v>
      </c>
      <c r="R1123" s="48">
        <f>HEX2DEC(RIGHT(Table132321275358[[#This Row],[h2]],8))</f>
        <v>0</v>
      </c>
    </row>
    <row r="1124" spans="1:18">
      <c r="A1124" s="15" t="str">
        <f t="shared" si="22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8" t="s">
        <v>75</v>
      </c>
      <c r="P1124" s="48">
        <f>HEX2DEC(RIGHT(Table132321275358[[#This Row],[h1]],8))</f>
        <v>0</v>
      </c>
      <c r="Q1124" s="48" t="s">
        <v>75</v>
      </c>
      <c r="R1124" s="48">
        <f>HEX2DEC(RIGHT(Table132321275358[[#This Row],[h2]],8))</f>
        <v>0</v>
      </c>
    </row>
    <row r="1125" spans="1:18">
      <c r="A1125" s="15" t="str">
        <f t="shared" si="22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8" t="s">
        <v>75</v>
      </c>
      <c r="P1125" s="48">
        <f>HEX2DEC(RIGHT(Table132321275358[[#This Row],[h1]],8))</f>
        <v>0</v>
      </c>
      <c r="Q1125" s="48" t="s">
        <v>75</v>
      </c>
      <c r="R1125" s="48">
        <f>HEX2DEC(RIGHT(Table132321275358[[#This Row],[h2]],8))</f>
        <v>0</v>
      </c>
    </row>
    <row r="1126" spans="1:18">
      <c r="A1126" s="15" t="str">
        <f t="shared" si="22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8" t="s">
        <v>75</v>
      </c>
      <c r="P1126" s="48">
        <f>HEX2DEC(RIGHT(Table132321275358[[#This Row],[h1]],8))</f>
        <v>0</v>
      </c>
      <c r="Q1126" s="48" t="s">
        <v>75</v>
      </c>
      <c r="R1126" s="48">
        <f>HEX2DEC(RIGHT(Table132321275358[[#This Row],[h2]],8))</f>
        <v>0</v>
      </c>
    </row>
    <row r="1127" spans="1:18">
      <c r="A1127" s="15" t="str">
        <f t="shared" si="22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8" t="s">
        <v>75</v>
      </c>
      <c r="P1127" s="48">
        <f>HEX2DEC(RIGHT(Table132321275358[[#This Row],[h1]],8))</f>
        <v>0</v>
      </c>
      <c r="Q1127" s="48" t="s">
        <v>75</v>
      </c>
      <c r="R1127" s="48">
        <f>HEX2DEC(RIGHT(Table132321275358[[#This Row],[h2]],8))</f>
        <v>0</v>
      </c>
    </row>
    <row r="1128" spans="1:18">
      <c r="A1128" s="15" t="str">
        <f t="shared" si="22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8" t="s">
        <v>75</v>
      </c>
      <c r="P1128" s="48">
        <f>HEX2DEC(RIGHT(Table132321275358[[#This Row],[h1]],8))</f>
        <v>0</v>
      </c>
      <c r="Q1128" s="48" t="s">
        <v>75</v>
      </c>
      <c r="R1128" s="48">
        <f>HEX2DEC(RIGHT(Table132321275358[[#This Row],[h2]],8))</f>
        <v>0</v>
      </c>
    </row>
    <row r="1129" spans="1:18">
      <c r="A1129" s="15" t="str">
        <f t="shared" si="22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8" t="s">
        <v>75</v>
      </c>
      <c r="P1129" s="48">
        <f>HEX2DEC(RIGHT(Table132321275358[[#This Row],[h1]],8))</f>
        <v>0</v>
      </c>
      <c r="Q1129" s="48" t="s">
        <v>75</v>
      </c>
      <c r="R1129" s="48">
        <f>HEX2DEC(RIGHT(Table132321275358[[#This Row],[h2]],8))</f>
        <v>0</v>
      </c>
    </row>
    <row r="1130" spans="1:18">
      <c r="A1130" s="15" t="str">
        <f t="shared" si="22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8" t="s">
        <v>75</v>
      </c>
      <c r="P1130" s="48">
        <f>HEX2DEC(RIGHT(Table132321275358[[#This Row],[h1]],8))</f>
        <v>0</v>
      </c>
      <c r="Q1130" s="48" t="s">
        <v>75</v>
      </c>
      <c r="R1130" s="48">
        <f>HEX2DEC(RIGHT(Table132321275358[[#This Row],[h2]],8))</f>
        <v>0</v>
      </c>
    </row>
    <row r="1131" spans="1:18">
      <c r="A1131" s="15" t="str">
        <f t="shared" si="22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8" t="s">
        <v>75</v>
      </c>
      <c r="P1131" s="48">
        <f>HEX2DEC(RIGHT(Table132321275358[[#This Row],[h1]],8))</f>
        <v>0</v>
      </c>
      <c r="Q1131" s="48" t="s">
        <v>75</v>
      </c>
      <c r="R1131" s="48">
        <f>HEX2DEC(RIGHT(Table132321275358[[#This Row],[h2]],8))</f>
        <v>0</v>
      </c>
    </row>
    <row r="1132" spans="1:18">
      <c r="A1132" s="15" t="str">
        <f t="shared" si="22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8" t="s">
        <v>75</v>
      </c>
      <c r="P1132" s="48">
        <f>HEX2DEC(RIGHT(Table132321275358[[#This Row],[h1]],8))</f>
        <v>0</v>
      </c>
      <c r="Q1132" s="48" t="s">
        <v>75</v>
      </c>
      <c r="R1132" s="48">
        <f>HEX2DEC(RIGHT(Table132321275358[[#This Row],[h2]],8))</f>
        <v>0</v>
      </c>
    </row>
    <row r="1133" spans="1:18">
      <c r="A1133" s="15" t="str">
        <f t="shared" si="22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8" t="s">
        <v>75</v>
      </c>
      <c r="P1133" s="48">
        <f>HEX2DEC(RIGHT(Table132321275358[[#This Row],[h1]],8))</f>
        <v>0</v>
      </c>
      <c r="Q1133" s="48" t="s">
        <v>75</v>
      </c>
      <c r="R1133" s="48">
        <f>HEX2DEC(RIGHT(Table132321275358[[#This Row],[h2]],8))</f>
        <v>0</v>
      </c>
    </row>
    <row r="1134" spans="1:18">
      <c r="A1134" s="15" t="str">
        <f t="shared" si="22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8" t="s">
        <v>75</v>
      </c>
      <c r="P1134" s="48">
        <f>HEX2DEC(RIGHT(Table132321275358[[#This Row],[h1]],8))</f>
        <v>0</v>
      </c>
      <c r="Q1134" s="48" t="s">
        <v>75</v>
      </c>
      <c r="R1134" s="48">
        <f>HEX2DEC(RIGHT(Table132321275358[[#This Row],[h2]],8))</f>
        <v>0</v>
      </c>
    </row>
    <row r="1135" spans="1:18">
      <c r="A1135" s="15" t="str">
        <f t="shared" si="22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8" t="s">
        <v>75</v>
      </c>
      <c r="P1135" s="48">
        <f>HEX2DEC(RIGHT(Table132321275358[[#This Row],[h1]],8))</f>
        <v>0</v>
      </c>
      <c r="Q1135" s="48" t="s">
        <v>75</v>
      </c>
      <c r="R1135" s="48">
        <f>HEX2DEC(RIGHT(Table132321275358[[#This Row],[h2]],8))</f>
        <v>0</v>
      </c>
    </row>
    <row r="1136" spans="1:18">
      <c r="A1136" s="15" t="str">
        <f t="shared" si="22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8" t="s">
        <v>75</v>
      </c>
      <c r="P1136" s="48">
        <f>HEX2DEC(RIGHT(Table132321275358[[#This Row],[h1]],8))</f>
        <v>0</v>
      </c>
      <c r="Q1136" s="48" t="s">
        <v>75</v>
      </c>
      <c r="R1136" s="48">
        <f>HEX2DEC(RIGHT(Table132321275358[[#This Row],[h2]],8))</f>
        <v>0</v>
      </c>
    </row>
    <row r="1137" spans="1:18">
      <c r="A1137" s="15" t="str">
        <f t="shared" si="22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8" t="s">
        <v>75</v>
      </c>
      <c r="P1137" s="48">
        <f>HEX2DEC(RIGHT(Table132321275358[[#This Row],[h1]],8))</f>
        <v>0</v>
      </c>
      <c r="Q1137" s="48" t="s">
        <v>75</v>
      </c>
      <c r="R1137" s="48">
        <f>HEX2DEC(RIGHT(Table132321275358[[#This Row],[h2]],8))</f>
        <v>0</v>
      </c>
    </row>
    <row r="1138" spans="1:18">
      <c r="A1138" s="15" t="str">
        <f t="shared" si="22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8" t="s">
        <v>75</v>
      </c>
      <c r="P1138" s="48">
        <f>HEX2DEC(RIGHT(Table132321275358[[#This Row],[h1]],8))</f>
        <v>0</v>
      </c>
      <c r="Q1138" s="48" t="s">
        <v>75</v>
      </c>
      <c r="R1138" s="48">
        <f>HEX2DEC(RIGHT(Table132321275358[[#This Row],[h2]],8))</f>
        <v>0</v>
      </c>
    </row>
    <row r="1139" spans="1:18">
      <c r="A1139" s="15" t="str">
        <f t="shared" si="22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8" t="s">
        <v>75</v>
      </c>
      <c r="P1139" s="48">
        <f>HEX2DEC(RIGHT(Table132321275358[[#This Row],[h1]],8))</f>
        <v>0</v>
      </c>
      <c r="Q1139" s="48" t="s">
        <v>75</v>
      </c>
      <c r="R1139" s="48">
        <f>HEX2DEC(RIGHT(Table132321275358[[#This Row],[h2]],8))</f>
        <v>0</v>
      </c>
    </row>
    <row r="1140" spans="1:18">
      <c r="A1140" s="15" t="str">
        <f t="shared" si="22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8" t="s">
        <v>75</v>
      </c>
      <c r="P1140" s="48">
        <f>HEX2DEC(RIGHT(Table132321275358[[#This Row],[h1]],8))</f>
        <v>0</v>
      </c>
      <c r="Q1140" s="48" t="s">
        <v>75</v>
      </c>
      <c r="R1140" s="48">
        <f>HEX2DEC(RIGHT(Table132321275358[[#This Row],[h2]],8))</f>
        <v>0</v>
      </c>
    </row>
    <row r="1141" spans="1:18">
      <c r="A1141" s="15" t="str">
        <f t="shared" si="22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8" t="s">
        <v>75</v>
      </c>
      <c r="P1141" s="48">
        <f>HEX2DEC(RIGHT(Table132321275358[[#This Row],[h1]],8))</f>
        <v>0</v>
      </c>
      <c r="Q1141" s="48" t="s">
        <v>75</v>
      </c>
      <c r="R1141" s="48">
        <f>HEX2DEC(RIGHT(Table132321275358[[#This Row],[h2]],8))</f>
        <v>0</v>
      </c>
    </row>
    <row r="1142" spans="1:18">
      <c r="A1142" s="15" t="str">
        <f t="shared" si="22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8" t="s">
        <v>75</v>
      </c>
      <c r="P1142" s="48">
        <f>HEX2DEC(RIGHT(Table132321275358[[#This Row],[h1]],8))</f>
        <v>0</v>
      </c>
      <c r="Q1142" s="48" t="s">
        <v>75</v>
      </c>
      <c r="R1142" s="48">
        <f>HEX2DEC(RIGHT(Table132321275358[[#This Row],[h2]],8))</f>
        <v>0</v>
      </c>
    </row>
    <row r="1143" spans="1:18">
      <c r="A1143" s="15" t="str">
        <f t="shared" si="22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8" t="s">
        <v>75</v>
      </c>
      <c r="P1143" s="48">
        <f>HEX2DEC(RIGHT(Table132321275358[[#This Row],[h1]],8))</f>
        <v>0</v>
      </c>
      <c r="Q1143" s="48" t="s">
        <v>75</v>
      </c>
      <c r="R1143" s="48">
        <f>HEX2DEC(RIGHT(Table132321275358[[#This Row],[h2]],8))</f>
        <v>0</v>
      </c>
    </row>
    <row r="1144" spans="1:18">
      <c r="A1144" s="15" t="str">
        <f t="shared" si="22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8" t="s">
        <v>75</v>
      </c>
      <c r="P1144" s="48">
        <f>HEX2DEC(RIGHT(Table132321275358[[#This Row],[h1]],8))</f>
        <v>0</v>
      </c>
      <c r="Q1144" s="48" t="s">
        <v>75</v>
      </c>
      <c r="R1144" s="48">
        <f>HEX2DEC(RIGHT(Table132321275358[[#This Row],[h2]],8))</f>
        <v>0</v>
      </c>
    </row>
    <row r="1145" spans="1:18">
      <c r="A1145" s="15" t="str">
        <f t="shared" si="22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8" t="s">
        <v>75</v>
      </c>
      <c r="P1145" s="48">
        <f>HEX2DEC(RIGHT(Table132321275358[[#This Row],[h1]],8))</f>
        <v>0</v>
      </c>
      <c r="Q1145" s="48" t="s">
        <v>75</v>
      </c>
      <c r="R1145" s="48">
        <f>HEX2DEC(RIGHT(Table132321275358[[#This Row],[h2]],8))</f>
        <v>0</v>
      </c>
    </row>
    <row r="1146" spans="1:18">
      <c r="A1146" s="15" t="str">
        <f t="shared" si="22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8" t="s">
        <v>75</v>
      </c>
      <c r="P1146" s="48">
        <f>HEX2DEC(RIGHT(Table132321275358[[#This Row],[h1]],8))</f>
        <v>0</v>
      </c>
      <c r="Q1146" s="48" t="s">
        <v>75</v>
      </c>
      <c r="R1146" s="48">
        <f>HEX2DEC(RIGHT(Table132321275358[[#This Row],[h2]],8))</f>
        <v>0</v>
      </c>
    </row>
    <row r="1147" spans="1:18">
      <c r="A1147" s="15" t="str">
        <f t="shared" si="22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8" t="s">
        <v>75</v>
      </c>
      <c r="P1147" s="48">
        <f>HEX2DEC(RIGHT(Table132321275358[[#This Row],[h1]],8))</f>
        <v>0</v>
      </c>
      <c r="Q1147" s="48" t="s">
        <v>75</v>
      </c>
      <c r="R1147" s="48">
        <f>HEX2DEC(RIGHT(Table132321275358[[#This Row],[h2]],8))</f>
        <v>0</v>
      </c>
    </row>
    <row r="1148" spans="1:18">
      <c r="A1148" s="15" t="str">
        <f t="shared" si="22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8" t="s">
        <v>75</v>
      </c>
      <c r="P1148" s="48">
        <f>HEX2DEC(RIGHT(Table132321275358[[#This Row],[h1]],8))</f>
        <v>0</v>
      </c>
      <c r="Q1148" s="48" t="s">
        <v>75</v>
      </c>
      <c r="R1148" s="48">
        <f>HEX2DEC(RIGHT(Table132321275358[[#This Row],[h2]],8))</f>
        <v>0</v>
      </c>
    </row>
    <row r="1149" spans="1:18">
      <c r="A1149" s="15" t="str">
        <f t="shared" si="22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8" t="s">
        <v>75</v>
      </c>
      <c r="P1149" s="48">
        <f>HEX2DEC(RIGHT(Table132321275358[[#This Row],[h1]],8))</f>
        <v>0</v>
      </c>
      <c r="Q1149" s="48" t="s">
        <v>75</v>
      </c>
      <c r="R1149" s="48">
        <f>HEX2DEC(RIGHT(Table132321275358[[#This Row],[h2]],8))</f>
        <v>0</v>
      </c>
    </row>
    <row r="1150" spans="1:18">
      <c r="A1150" s="15" t="str">
        <f t="shared" si="22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8" t="s">
        <v>75</v>
      </c>
      <c r="P1150" s="48">
        <f>HEX2DEC(RIGHT(Table132321275358[[#This Row],[h1]],8))</f>
        <v>0</v>
      </c>
      <c r="Q1150" s="48" t="s">
        <v>75</v>
      </c>
      <c r="R1150" s="48">
        <f>HEX2DEC(RIGHT(Table132321275358[[#This Row],[h2]],8))</f>
        <v>0</v>
      </c>
    </row>
    <row r="1151" spans="1:18">
      <c r="A1151" s="15" t="str">
        <f t="shared" si="22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8" t="s">
        <v>75</v>
      </c>
      <c r="P1151" s="48">
        <f>HEX2DEC(RIGHT(Table132321275358[[#This Row],[h1]],8))</f>
        <v>0</v>
      </c>
      <c r="Q1151" s="48" t="s">
        <v>75</v>
      </c>
      <c r="R1151" s="48">
        <f>HEX2DEC(RIGHT(Table132321275358[[#This Row],[h2]],8))</f>
        <v>0</v>
      </c>
    </row>
    <row r="1152" spans="1:18">
      <c r="A1152" s="15" t="str">
        <f t="shared" si="22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8" t="s">
        <v>75</v>
      </c>
      <c r="P1152" s="48">
        <f>HEX2DEC(RIGHT(Table132321275358[[#This Row],[h1]],8))</f>
        <v>0</v>
      </c>
      <c r="Q1152" s="48" t="s">
        <v>75</v>
      </c>
      <c r="R1152" s="48">
        <f>HEX2DEC(RIGHT(Table132321275358[[#This Row],[h2]],8))</f>
        <v>0</v>
      </c>
    </row>
    <row r="1153" spans="1:18">
      <c r="A1153" s="15" t="str">
        <f t="shared" si="22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8" t="s">
        <v>75</v>
      </c>
      <c r="P1153" s="48">
        <f>HEX2DEC(RIGHT(Table132321275358[[#This Row],[h1]],8))</f>
        <v>0</v>
      </c>
      <c r="Q1153" s="48" t="s">
        <v>75</v>
      </c>
      <c r="R1153" s="48">
        <f>HEX2DEC(RIGHT(Table132321275358[[#This Row],[h2]],8))</f>
        <v>0</v>
      </c>
    </row>
    <row r="1154" spans="1:18">
      <c r="A1154" s="15" t="str">
        <f t="shared" si="22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8" t="s">
        <v>75</v>
      </c>
      <c r="P1154" s="48">
        <f>HEX2DEC(RIGHT(Table132321275358[[#This Row],[h1]],8))</f>
        <v>0</v>
      </c>
      <c r="Q1154" s="48" t="s">
        <v>75</v>
      </c>
      <c r="R1154" s="48">
        <f>HEX2DEC(RIGHT(Table132321275358[[#This Row],[h2]],8))</f>
        <v>0</v>
      </c>
    </row>
    <row r="1155" spans="1:18">
      <c r="A1155" s="15" t="str">
        <f t="shared" si="22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8" t="s">
        <v>75</v>
      </c>
      <c r="P1155" s="48">
        <f>HEX2DEC(RIGHT(Table132321275358[[#This Row],[h1]],8))</f>
        <v>0</v>
      </c>
      <c r="Q1155" s="48" t="s">
        <v>75</v>
      </c>
      <c r="R1155" s="48">
        <f>HEX2DEC(RIGHT(Table132321275358[[#This Row],[h2]],8))</f>
        <v>0</v>
      </c>
    </row>
    <row r="1156" spans="1:18">
      <c r="A1156" s="15" t="str">
        <f t="shared" si="22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8" t="s">
        <v>75</v>
      </c>
      <c r="P1156" s="48">
        <f>HEX2DEC(RIGHT(Table132321275358[[#This Row],[h1]],8))</f>
        <v>0</v>
      </c>
      <c r="Q1156" s="48" t="s">
        <v>75</v>
      </c>
      <c r="R1156" s="48">
        <f>HEX2DEC(RIGHT(Table132321275358[[#This Row],[h2]],8))</f>
        <v>0</v>
      </c>
    </row>
    <row r="1157" spans="1:18">
      <c r="A1157" s="15" t="str">
        <f t="shared" si="22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8" t="s">
        <v>75</v>
      </c>
      <c r="P1157" s="48">
        <f>HEX2DEC(RIGHT(Table132321275358[[#This Row],[h1]],8))</f>
        <v>0</v>
      </c>
      <c r="Q1157" s="48" t="s">
        <v>75</v>
      </c>
      <c r="R1157" s="48">
        <f>HEX2DEC(RIGHT(Table132321275358[[#This Row],[h2]],8))</f>
        <v>0</v>
      </c>
    </row>
    <row r="1158" spans="1:18">
      <c r="A1158" s="15" t="str">
        <f t="shared" si="22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8" t="s">
        <v>75</v>
      </c>
      <c r="P1158" s="48">
        <f>HEX2DEC(RIGHT(Table132321275358[[#This Row],[h1]],8))</f>
        <v>0</v>
      </c>
      <c r="Q1158" s="48" t="s">
        <v>75</v>
      </c>
      <c r="R1158" s="48">
        <f>HEX2DEC(RIGHT(Table132321275358[[#This Row],[h2]],8))</f>
        <v>0</v>
      </c>
    </row>
    <row r="1159" spans="1:18">
      <c r="A1159" s="15" t="str">
        <f t="shared" si="22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8" t="s">
        <v>75</v>
      </c>
      <c r="P1159" s="48">
        <f>HEX2DEC(RIGHT(Table132321275358[[#This Row],[h1]],8))</f>
        <v>0</v>
      </c>
      <c r="Q1159" s="48" t="s">
        <v>75</v>
      </c>
      <c r="R1159" s="48">
        <f>HEX2DEC(RIGHT(Table132321275358[[#This Row],[h2]],8))</f>
        <v>0</v>
      </c>
    </row>
    <row r="1160" spans="1:18">
      <c r="A1160" s="15" t="str">
        <f t="shared" si="22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8" t="s">
        <v>75</v>
      </c>
      <c r="P1160" s="48">
        <f>HEX2DEC(RIGHT(Table132321275358[[#This Row],[h1]],8))</f>
        <v>0</v>
      </c>
      <c r="Q1160" s="48" t="s">
        <v>75</v>
      </c>
      <c r="R1160" s="48">
        <f>HEX2DEC(RIGHT(Table132321275358[[#This Row],[h2]],8))</f>
        <v>0</v>
      </c>
    </row>
    <row r="1161" spans="1:18">
      <c r="A1161" s="15" t="str">
        <f t="shared" si="22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8" t="s">
        <v>75</v>
      </c>
      <c r="P1161" s="48">
        <f>HEX2DEC(RIGHT(Table132321275358[[#This Row],[h1]],8))</f>
        <v>0</v>
      </c>
      <c r="Q1161" s="48" t="s">
        <v>75</v>
      </c>
      <c r="R1161" s="48">
        <f>HEX2DEC(RIGHT(Table132321275358[[#This Row],[h2]],8))</f>
        <v>0</v>
      </c>
    </row>
    <row r="1162" spans="1:18">
      <c r="A1162" s="15" t="str">
        <f t="shared" si="22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8" t="s">
        <v>75</v>
      </c>
      <c r="P1162" s="48">
        <f>HEX2DEC(RIGHT(Table132321275358[[#This Row],[h1]],8))</f>
        <v>0</v>
      </c>
      <c r="Q1162" s="48" t="s">
        <v>75</v>
      </c>
      <c r="R1162" s="48">
        <f>HEX2DEC(RIGHT(Table132321275358[[#This Row],[h2]],8))</f>
        <v>0</v>
      </c>
    </row>
    <row r="1163" spans="1:18">
      <c r="A1163" s="15" t="str">
        <f t="shared" ref="A1163:A1226" si="23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8" t="s">
        <v>75</v>
      </c>
      <c r="P1163" s="48">
        <f>HEX2DEC(RIGHT(Table132321275358[[#This Row],[h1]],8))</f>
        <v>0</v>
      </c>
      <c r="Q1163" s="48" t="s">
        <v>75</v>
      </c>
      <c r="R1163" s="48">
        <f>HEX2DEC(RIGHT(Table132321275358[[#This Row],[h2]],8))</f>
        <v>0</v>
      </c>
    </row>
    <row r="1164" spans="1:18">
      <c r="A1164" s="15" t="str">
        <f t="shared" si="23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8" t="s">
        <v>75</v>
      </c>
      <c r="P1164" s="48">
        <f>HEX2DEC(RIGHT(Table132321275358[[#This Row],[h1]],8))</f>
        <v>0</v>
      </c>
      <c r="Q1164" s="48" t="s">
        <v>75</v>
      </c>
      <c r="R1164" s="48">
        <f>HEX2DEC(RIGHT(Table132321275358[[#This Row],[h2]],8))</f>
        <v>0</v>
      </c>
    </row>
    <row r="1165" spans="1:18">
      <c r="A1165" s="15" t="str">
        <f t="shared" si="23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8" t="s">
        <v>75</v>
      </c>
      <c r="P1165" s="48">
        <f>HEX2DEC(RIGHT(Table132321275358[[#This Row],[h1]],8))</f>
        <v>0</v>
      </c>
      <c r="Q1165" s="48" t="s">
        <v>75</v>
      </c>
      <c r="R1165" s="48">
        <f>HEX2DEC(RIGHT(Table132321275358[[#This Row],[h2]],8))</f>
        <v>0</v>
      </c>
    </row>
    <row r="1166" spans="1:18">
      <c r="A1166" s="15" t="str">
        <f t="shared" si="23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8" t="s">
        <v>75</v>
      </c>
      <c r="P1166" s="48">
        <f>HEX2DEC(RIGHT(Table132321275358[[#This Row],[h1]],8))</f>
        <v>0</v>
      </c>
      <c r="Q1166" s="48" t="s">
        <v>75</v>
      </c>
      <c r="R1166" s="48">
        <f>HEX2DEC(RIGHT(Table132321275358[[#This Row],[h2]],8))</f>
        <v>0</v>
      </c>
    </row>
    <row r="1167" spans="1:18">
      <c r="A1167" s="15" t="str">
        <f t="shared" si="23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8" t="s">
        <v>75</v>
      </c>
      <c r="P1167" s="48">
        <f>HEX2DEC(RIGHT(Table132321275358[[#This Row],[h1]],8))</f>
        <v>0</v>
      </c>
      <c r="Q1167" s="48" t="s">
        <v>75</v>
      </c>
      <c r="R1167" s="48">
        <f>HEX2DEC(RIGHT(Table132321275358[[#This Row],[h2]],8))</f>
        <v>0</v>
      </c>
    </row>
    <row r="1168" spans="1:18">
      <c r="A1168" s="15" t="str">
        <f t="shared" si="23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8" t="s">
        <v>75</v>
      </c>
      <c r="P1168" s="48">
        <f>HEX2DEC(RIGHT(Table132321275358[[#This Row],[h1]],8))</f>
        <v>0</v>
      </c>
      <c r="Q1168" s="48" t="s">
        <v>75</v>
      </c>
      <c r="R1168" s="48">
        <f>HEX2DEC(RIGHT(Table132321275358[[#This Row],[h2]],8))</f>
        <v>0</v>
      </c>
    </row>
    <row r="1169" spans="1:18">
      <c r="A1169" s="15" t="str">
        <f t="shared" si="23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8" t="s">
        <v>75</v>
      </c>
      <c r="P1169" s="48">
        <f>HEX2DEC(RIGHT(Table132321275358[[#This Row],[h1]],8))</f>
        <v>0</v>
      </c>
      <c r="Q1169" s="48" t="s">
        <v>75</v>
      </c>
      <c r="R1169" s="48">
        <f>HEX2DEC(RIGHT(Table132321275358[[#This Row],[h2]],8))</f>
        <v>0</v>
      </c>
    </row>
    <row r="1170" spans="1:18">
      <c r="A1170" s="15" t="str">
        <f t="shared" si="23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8" t="s">
        <v>75</v>
      </c>
      <c r="P1170" s="48">
        <f>HEX2DEC(RIGHT(Table132321275358[[#This Row],[h1]],8))</f>
        <v>0</v>
      </c>
      <c r="Q1170" s="48" t="s">
        <v>75</v>
      </c>
      <c r="R1170" s="48">
        <f>HEX2DEC(RIGHT(Table132321275358[[#This Row],[h2]],8))</f>
        <v>0</v>
      </c>
    </row>
    <row r="1171" spans="1:18">
      <c r="A1171" s="15" t="str">
        <f t="shared" si="23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8" t="s">
        <v>75</v>
      </c>
      <c r="P1171" s="48">
        <f>HEX2DEC(RIGHT(Table132321275358[[#This Row],[h1]],8))</f>
        <v>0</v>
      </c>
      <c r="Q1171" s="48" t="s">
        <v>75</v>
      </c>
      <c r="R1171" s="48">
        <f>HEX2DEC(RIGHT(Table132321275358[[#This Row],[h2]],8))</f>
        <v>0</v>
      </c>
    </row>
    <row r="1172" spans="1:18">
      <c r="A1172" s="15" t="str">
        <f t="shared" si="23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8" t="s">
        <v>75</v>
      </c>
      <c r="P1172" s="48">
        <f>HEX2DEC(RIGHT(Table132321275358[[#This Row],[h1]],8))</f>
        <v>0</v>
      </c>
      <c r="Q1172" s="48" t="s">
        <v>75</v>
      </c>
      <c r="R1172" s="48">
        <f>HEX2DEC(RIGHT(Table132321275358[[#This Row],[h2]],8))</f>
        <v>0</v>
      </c>
    </row>
    <row r="1173" spans="1:18">
      <c r="A1173" s="15" t="str">
        <f t="shared" si="23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8" t="s">
        <v>75</v>
      </c>
      <c r="P1173" s="48">
        <f>HEX2DEC(RIGHT(Table132321275358[[#This Row],[h1]],8))</f>
        <v>0</v>
      </c>
      <c r="Q1173" s="48" t="s">
        <v>75</v>
      </c>
      <c r="R1173" s="48">
        <f>HEX2DEC(RIGHT(Table132321275358[[#This Row],[h2]],8))</f>
        <v>0</v>
      </c>
    </row>
    <row r="1174" spans="1:18">
      <c r="A1174" s="15" t="str">
        <f t="shared" si="23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8" t="s">
        <v>75</v>
      </c>
      <c r="P1174" s="48">
        <f>HEX2DEC(RIGHT(Table132321275358[[#This Row],[h1]],8))</f>
        <v>0</v>
      </c>
      <c r="Q1174" s="48" t="s">
        <v>75</v>
      </c>
      <c r="R1174" s="48">
        <f>HEX2DEC(RIGHT(Table132321275358[[#This Row],[h2]],8))</f>
        <v>0</v>
      </c>
    </row>
    <row r="1175" spans="1:18">
      <c r="A1175" s="15" t="str">
        <f t="shared" si="23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8" t="s">
        <v>75</v>
      </c>
      <c r="P1175" s="48">
        <f>HEX2DEC(RIGHT(Table132321275358[[#This Row],[h1]],8))</f>
        <v>0</v>
      </c>
      <c r="Q1175" s="48" t="s">
        <v>75</v>
      </c>
      <c r="R1175" s="48">
        <f>HEX2DEC(RIGHT(Table132321275358[[#This Row],[h2]],8))</f>
        <v>0</v>
      </c>
    </row>
    <row r="1176" spans="1:18">
      <c r="A1176" s="15" t="str">
        <f t="shared" si="23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8" t="s">
        <v>75</v>
      </c>
      <c r="P1176" s="48">
        <f>HEX2DEC(RIGHT(Table132321275358[[#This Row],[h1]],8))</f>
        <v>0</v>
      </c>
      <c r="Q1176" s="48" t="s">
        <v>75</v>
      </c>
      <c r="R1176" s="48">
        <f>HEX2DEC(RIGHT(Table132321275358[[#This Row],[h2]],8))</f>
        <v>0</v>
      </c>
    </row>
    <row r="1177" spans="1:18">
      <c r="A1177" s="15" t="str">
        <f t="shared" si="23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8" t="s">
        <v>75</v>
      </c>
      <c r="P1177" s="48">
        <f>HEX2DEC(RIGHT(Table132321275358[[#This Row],[h1]],8))</f>
        <v>0</v>
      </c>
      <c r="Q1177" s="48" t="s">
        <v>75</v>
      </c>
      <c r="R1177" s="48">
        <f>HEX2DEC(RIGHT(Table132321275358[[#This Row],[h2]],8))</f>
        <v>0</v>
      </c>
    </row>
    <row r="1178" spans="1:18">
      <c r="A1178" s="15" t="str">
        <f t="shared" si="23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8" t="s">
        <v>75</v>
      </c>
      <c r="P1178" s="48">
        <f>HEX2DEC(RIGHT(Table132321275358[[#This Row],[h1]],8))</f>
        <v>0</v>
      </c>
      <c r="Q1178" s="48" t="s">
        <v>75</v>
      </c>
      <c r="R1178" s="48">
        <f>HEX2DEC(RIGHT(Table132321275358[[#This Row],[h2]],8))</f>
        <v>0</v>
      </c>
    </row>
    <row r="1179" spans="1:18">
      <c r="A1179" s="15" t="str">
        <f t="shared" si="23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8" t="s">
        <v>75</v>
      </c>
      <c r="P1179" s="48">
        <f>HEX2DEC(RIGHT(Table132321275358[[#This Row],[h1]],8))</f>
        <v>0</v>
      </c>
      <c r="Q1179" s="48" t="s">
        <v>75</v>
      </c>
      <c r="R1179" s="48">
        <f>HEX2DEC(RIGHT(Table132321275358[[#This Row],[h2]],8))</f>
        <v>0</v>
      </c>
    </row>
    <row r="1180" spans="1:18">
      <c r="A1180" s="15" t="str">
        <f t="shared" si="23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8" t="s">
        <v>75</v>
      </c>
      <c r="P1180" s="48">
        <f>HEX2DEC(RIGHT(Table132321275358[[#This Row],[h1]],8))</f>
        <v>0</v>
      </c>
      <c r="Q1180" s="48" t="s">
        <v>75</v>
      </c>
      <c r="R1180" s="48">
        <f>HEX2DEC(RIGHT(Table132321275358[[#This Row],[h2]],8))</f>
        <v>0</v>
      </c>
    </row>
    <row r="1181" spans="1:18">
      <c r="A1181" s="15" t="str">
        <f t="shared" si="23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8" t="s">
        <v>75</v>
      </c>
      <c r="P1181" s="48">
        <f>HEX2DEC(RIGHT(Table132321275358[[#This Row],[h1]],8))</f>
        <v>0</v>
      </c>
      <c r="Q1181" s="48" t="s">
        <v>75</v>
      </c>
      <c r="R1181" s="48">
        <f>HEX2DEC(RIGHT(Table132321275358[[#This Row],[h2]],8))</f>
        <v>0</v>
      </c>
    </row>
    <row r="1182" spans="1:18">
      <c r="A1182" s="15" t="str">
        <f t="shared" si="23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8" t="s">
        <v>75</v>
      </c>
      <c r="P1182" s="48">
        <f>HEX2DEC(RIGHT(Table132321275358[[#This Row],[h1]],8))</f>
        <v>0</v>
      </c>
      <c r="Q1182" s="48" t="s">
        <v>75</v>
      </c>
      <c r="R1182" s="48">
        <f>HEX2DEC(RIGHT(Table132321275358[[#This Row],[h2]],8))</f>
        <v>0</v>
      </c>
    </row>
    <row r="1183" spans="1:18">
      <c r="A1183" s="15" t="str">
        <f t="shared" si="23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8" t="s">
        <v>75</v>
      </c>
      <c r="P1183" s="48">
        <f>HEX2DEC(RIGHT(Table132321275358[[#This Row],[h1]],8))</f>
        <v>0</v>
      </c>
      <c r="Q1183" s="48" t="s">
        <v>75</v>
      </c>
      <c r="R1183" s="48">
        <f>HEX2DEC(RIGHT(Table132321275358[[#This Row],[h2]],8))</f>
        <v>0</v>
      </c>
    </row>
    <row r="1184" spans="1:18">
      <c r="A1184" s="15" t="str">
        <f t="shared" si="23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8" t="s">
        <v>75</v>
      </c>
      <c r="P1184" s="48">
        <f>HEX2DEC(RIGHT(Table132321275358[[#This Row],[h1]],8))</f>
        <v>0</v>
      </c>
      <c r="Q1184" s="48" t="s">
        <v>75</v>
      </c>
      <c r="R1184" s="48">
        <f>HEX2DEC(RIGHT(Table132321275358[[#This Row],[h2]],8))</f>
        <v>0</v>
      </c>
    </row>
    <row r="1185" spans="1:18">
      <c r="A1185" s="15" t="str">
        <f t="shared" si="23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8" t="s">
        <v>75</v>
      </c>
      <c r="P1185" s="48">
        <f>HEX2DEC(RIGHT(Table132321275358[[#This Row],[h1]],8))</f>
        <v>0</v>
      </c>
      <c r="Q1185" s="48" t="s">
        <v>75</v>
      </c>
      <c r="R1185" s="48">
        <f>HEX2DEC(RIGHT(Table132321275358[[#This Row],[h2]],8))</f>
        <v>0</v>
      </c>
    </row>
    <row r="1186" spans="1:18">
      <c r="A1186" s="15" t="str">
        <f t="shared" si="23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8" t="s">
        <v>75</v>
      </c>
      <c r="P1186" s="48">
        <f>HEX2DEC(RIGHT(Table132321275358[[#This Row],[h1]],8))</f>
        <v>0</v>
      </c>
      <c r="Q1186" s="48" t="s">
        <v>75</v>
      </c>
      <c r="R1186" s="48">
        <f>HEX2DEC(RIGHT(Table132321275358[[#This Row],[h2]],8))</f>
        <v>0</v>
      </c>
    </row>
    <row r="1187" spans="1:18">
      <c r="A1187" s="15" t="str">
        <f t="shared" si="23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8" t="s">
        <v>75</v>
      </c>
      <c r="P1187" s="48">
        <f>HEX2DEC(RIGHT(Table132321275358[[#This Row],[h1]],8))</f>
        <v>0</v>
      </c>
      <c r="Q1187" s="48" t="s">
        <v>75</v>
      </c>
      <c r="R1187" s="48">
        <f>HEX2DEC(RIGHT(Table132321275358[[#This Row],[h2]],8))</f>
        <v>0</v>
      </c>
    </row>
    <row r="1188" spans="1:18">
      <c r="A1188" s="15" t="str">
        <f t="shared" si="23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8" t="s">
        <v>75</v>
      </c>
      <c r="P1188" s="48">
        <f>HEX2DEC(RIGHT(Table132321275358[[#This Row],[h1]],8))</f>
        <v>0</v>
      </c>
      <c r="Q1188" s="48" t="s">
        <v>75</v>
      </c>
      <c r="R1188" s="48">
        <f>HEX2DEC(RIGHT(Table132321275358[[#This Row],[h2]],8))</f>
        <v>0</v>
      </c>
    </row>
    <row r="1189" spans="1:18">
      <c r="A1189" s="15" t="str">
        <f t="shared" si="23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8" t="s">
        <v>75</v>
      </c>
      <c r="P1189" s="48">
        <f>HEX2DEC(RIGHT(Table132321275358[[#This Row],[h1]],8))</f>
        <v>0</v>
      </c>
      <c r="Q1189" s="48" t="s">
        <v>75</v>
      </c>
      <c r="R1189" s="48">
        <f>HEX2DEC(RIGHT(Table132321275358[[#This Row],[h2]],8))</f>
        <v>0</v>
      </c>
    </row>
    <row r="1190" spans="1:18">
      <c r="A1190" s="15" t="str">
        <f t="shared" si="23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8" t="s">
        <v>75</v>
      </c>
      <c r="P1190" s="48">
        <f>HEX2DEC(RIGHT(Table132321275358[[#This Row],[h1]],8))</f>
        <v>0</v>
      </c>
      <c r="Q1190" s="48" t="s">
        <v>75</v>
      </c>
      <c r="R1190" s="48">
        <f>HEX2DEC(RIGHT(Table132321275358[[#This Row],[h2]],8))</f>
        <v>0</v>
      </c>
    </row>
    <row r="1191" spans="1:18">
      <c r="A1191" s="15" t="str">
        <f t="shared" si="23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8" t="s">
        <v>75</v>
      </c>
      <c r="P1191" s="48">
        <f>HEX2DEC(RIGHT(Table132321275358[[#This Row],[h1]],8))</f>
        <v>0</v>
      </c>
      <c r="Q1191" s="48" t="s">
        <v>75</v>
      </c>
      <c r="R1191" s="48">
        <f>HEX2DEC(RIGHT(Table132321275358[[#This Row],[h2]],8))</f>
        <v>0</v>
      </c>
    </row>
    <row r="1192" spans="1:18">
      <c r="A1192" s="15" t="str">
        <f t="shared" si="23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8" t="s">
        <v>75</v>
      </c>
      <c r="P1192" s="48">
        <f>HEX2DEC(RIGHT(Table132321275358[[#This Row],[h1]],8))</f>
        <v>0</v>
      </c>
      <c r="Q1192" s="48" t="s">
        <v>75</v>
      </c>
      <c r="R1192" s="48">
        <f>HEX2DEC(RIGHT(Table132321275358[[#This Row],[h2]],8))</f>
        <v>0</v>
      </c>
    </row>
    <row r="1193" spans="1:18">
      <c r="A1193" s="15" t="str">
        <f t="shared" si="23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8" t="s">
        <v>75</v>
      </c>
      <c r="P1193" s="48">
        <f>HEX2DEC(RIGHT(Table132321275358[[#This Row],[h1]],8))</f>
        <v>0</v>
      </c>
      <c r="Q1193" s="48" t="s">
        <v>75</v>
      </c>
      <c r="R1193" s="48">
        <f>HEX2DEC(RIGHT(Table132321275358[[#This Row],[h2]],8))</f>
        <v>0</v>
      </c>
    </row>
    <row r="1194" spans="1:18">
      <c r="A1194" s="15" t="str">
        <f t="shared" si="23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8" t="s">
        <v>75</v>
      </c>
      <c r="P1194" s="48">
        <f>HEX2DEC(RIGHT(Table132321275358[[#This Row],[h1]],8))</f>
        <v>0</v>
      </c>
      <c r="Q1194" s="48" t="s">
        <v>75</v>
      </c>
      <c r="R1194" s="48">
        <f>HEX2DEC(RIGHT(Table132321275358[[#This Row],[h2]],8))</f>
        <v>0</v>
      </c>
    </row>
    <row r="1195" spans="1:18">
      <c r="A1195" s="15" t="str">
        <f t="shared" si="23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8" t="s">
        <v>75</v>
      </c>
      <c r="P1195" s="48">
        <f>HEX2DEC(RIGHT(Table132321275358[[#This Row],[h1]],8))</f>
        <v>0</v>
      </c>
      <c r="Q1195" s="48" t="s">
        <v>75</v>
      </c>
      <c r="R1195" s="48">
        <f>HEX2DEC(RIGHT(Table132321275358[[#This Row],[h2]],8))</f>
        <v>0</v>
      </c>
    </row>
    <row r="1196" spans="1:18">
      <c r="A1196" s="15" t="str">
        <f t="shared" si="23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8" t="s">
        <v>75</v>
      </c>
      <c r="P1196" s="48">
        <f>HEX2DEC(RIGHT(Table132321275358[[#This Row],[h1]],8))</f>
        <v>0</v>
      </c>
      <c r="Q1196" s="48" t="s">
        <v>75</v>
      </c>
      <c r="R1196" s="48">
        <f>HEX2DEC(RIGHT(Table132321275358[[#This Row],[h2]],8))</f>
        <v>0</v>
      </c>
    </row>
    <row r="1197" spans="1:18">
      <c r="A1197" s="15" t="str">
        <f t="shared" si="23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8" t="s">
        <v>75</v>
      </c>
      <c r="P1197" s="48">
        <f>HEX2DEC(RIGHT(Table132321275358[[#This Row],[h1]],8))</f>
        <v>0</v>
      </c>
      <c r="Q1197" s="48" t="s">
        <v>75</v>
      </c>
      <c r="R1197" s="48">
        <f>HEX2DEC(RIGHT(Table132321275358[[#This Row],[h2]],8))</f>
        <v>0</v>
      </c>
    </row>
    <row r="1198" spans="1:18">
      <c r="A1198" s="15" t="str">
        <f t="shared" si="23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8" t="s">
        <v>75</v>
      </c>
      <c r="P1198" s="48">
        <f>HEX2DEC(RIGHT(Table132321275358[[#This Row],[h1]],8))</f>
        <v>0</v>
      </c>
      <c r="Q1198" s="48" t="s">
        <v>75</v>
      </c>
      <c r="R1198" s="48">
        <f>HEX2DEC(RIGHT(Table132321275358[[#This Row],[h2]],8))</f>
        <v>0</v>
      </c>
    </row>
    <row r="1199" spans="1:18">
      <c r="A1199" s="15" t="str">
        <f t="shared" si="23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8" t="s">
        <v>75</v>
      </c>
      <c r="P1199" s="48">
        <f>HEX2DEC(RIGHT(Table132321275358[[#This Row],[h1]],8))</f>
        <v>0</v>
      </c>
      <c r="Q1199" s="48" t="s">
        <v>75</v>
      </c>
      <c r="R1199" s="48">
        <f>HEX2DEC(RIGHT(Table132321275358[[#This Row],[h2]],8))</f>
        <v>0</v>
      </c>
    </row>
    <row r="1200" spans="1:18">
      <c r="A1200" s="15" t="str">
        <f t="shared" si="23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8" t="s">
        <v>75</v>
      </c>
      <c r="P1200" s="48">
        <f>HEX2DEC(RIGHT(Table132321275358[[#This Row],[h1]],8))</f>
        <v>0</v>
      </c>
      <c r="Q1200" s="48" t="s">
        <v>75</v>
      </c>
      <c r="R1200" s="48">
        <f>HEX2DEC(RIGHT(Table132321275358[[#This Row],[h2]],8))</f>
        <v>0</v>
      </c>
    </row>
    <row r="1201" spans="1:18">
      <c r="A1201" s="15" t="str">
        <f t="shared" si="23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8" t="s">
        <v>75</v>
      </c>
      <c r="P1201" s="48">
        <f>HEX2DEC(RIGHT(Table132321275358[[#This Row],[h1]],8))</f>
        <v>0</v>
      </c>
      <c r="Q1201" s="48" t="s">
        <v>75</v>
      </c>
      <c r="R1201" s="48">
        <f>HEX2DEC(RIGHT(Table132321275358[[#This Row],[h2]],8))</f>
        <v>0</v>
      </c>
    </row>
    <row r="1202" spans="1:18">
      <c r="A1202" s="15" t="str">
        <f t="shared" si="23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8" t="s">
        <v>75</v>
      </c>
      <c r="P1202" s="48">
        <f>HEX2DEC(RIGHT(Table132321275358[[#This Row],[h1]],8))</f>
        <v>0</v>
      </c>
      <c r="Q1202" s="48" t="s">
        <v>75</v>
      </c>
      <c r="R1202" s="48">
        <f>HEX2DEC(RIGHT(Table132321275358[[#This Row],[h2]],8))</f>
        <v>0</v>
      </c>
    </row>
    <row r="1203" spans="1:18">
      <c r="A1203" s="15" t="str">
        <f t="shared" si="23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8" t="s">
        <v>75</v>
      </c>
      <c r="P1203" s="48">
        <f>HEX2DEC(RIGHT(Table132321275358[[#This Row],[h1]],8))</f>
        <v>0</v>
      </c>
      <c r="Q1203" s="48" t="s">
        <v>75</v>
      </c>
      <c r="R1203" s="48">
        <f>HEX2DEC(RIGHT(Table132321275358[[#This Row],[h2]],8))</f>
        <v>0</v>
      </c>
    </row>
    <row r="1204" spans="1:18">
      <c r="A1204" s="15" t="str">
        <f t="shared" si="23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8" t="s">
        <v>75</v>
      </c>
      <c r="P1204" s="48">
        <f>HEX2DEC(RIGHT(Table132321275358[[#This Row],[h1]],8))</f>
        <v>0</v>
      </c>
      <c r="Q1204" s="48" t="s">
        <v>75</v>
      </c>
      <c r="R1204" s="48">
        <f>HEX2DEC(RIGHT(Table132321275358[[#This Row],[h2]],8))</f>
        <v>0</v>
      </c>
    </row>
    <row r="1205" spans="1:18">
      <c r="A1205" s="15" t="str">
        <f t="shared" si="23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8" t="s">
        <v>75</v>
      </c>
      <c r="P1205" s="48">
        <f>HEX2DEC(RIGHT(Table132321275358[[#This Row],[h1]],8))</f>
        <v>0</v>
      </c>
      <c r="Q1205" s="48" t="s">
        <v>75</v>
      </c>
      <c r="R1205" s="48">
        <f>HEX2DEC(RIGHT(Table132321275358[[#This Row],[h2]],8))</f>
        <v>0</v>
      </c>
    </row>
    <row r="1206" spans="1:18">
      <c r="A1206" s="15" t="str">
        <f t="shared" si="23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8" t="s">
        <v>75</v>
      </c>
      <c r="P1206" s="48">
        <f>HEX2DEC(RIGHT(Table132321275358[[#This Row],[h1]],8))</f>
        <v>0</v>
      </c>
      <c r="Q1206" s="48" t="s">
        <v>75</v>
      </c>
      <c r="R1206" s="48">
        <f>HEX2DEC(RIGHT(Table132321275358[[#This Row],[h2]],8))</f>
        <v>0</v>
      </c>
    </row>
    <row r="1207" spans="1:18">
      <c r="A1207" s="15" t="str">
        <f t="shared" si="23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8" t="s">
        <v>75</v>
      </c>
      <c r="P1207" s="48">
        <f>HEX2DEC(RIGHT(Table132321275358[[#This Row],[h1]],8))</f>
        <v>0</v>
      </c>
      <c r="Q1207" s="48" t="s">
        <v>75</v>
      </c>
      <c r="R1207" s="48">
        <f>HEX2DEC(RIGHT(Table132321275358[[#This Row],[h2]],8))</f>
        <v>0</v>
      </c>
    </row>
    <row r="1208" spans="1:18">
      <c r="A1208" s="15" t="str">
        <f t="shared" si="23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8" t="s">
        <v>75</v>
      </c>
      <c r="P1208" s="48">
        <f>HEX2DEC(RIGHT(Table132321275358[[#This Row],[h1]],8))</f>
        <v>0</v>
      </c>
      <c r="Q1208" s="48" t="s">
        <v>75</v>
      </c>
      <c r="R1208" s="48">
        <f>HEX2DEC(RIGHT(Table132321275358[[#This Row],[h2]],8))</f>
        <v>0</v>
      </c>
    </row>
    <row r="1209" spans="1:18">
      <c r="A1209" s="15" t="str">
        <f t="shared" si="23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8" t="s">
        <v>75</v>
      </c>
      <c r="P1209" s="48">
        <f>HEX2DEC(RIGHT(Table132321275358[[#This Row],[h1]],8))</f>
        <v>0</v>
      </c>
      <c r="Q1209" s="48" t="s">
        <v>75</v>
      </c>
      <c r="R1209" s="48">
        <f>HEX2DEC(RIGHT(Table132321275358[[#This Row],[h2]],8))</f>
        <v>0</v>
      </c>
    </row>
    <row r="1210" spans="1:18">
      <c r="A1210" s="15" t="str">
        <f t="shared" si="23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8" t="s">
        <v>75</v>
      </c>
      <c r="P1210" s="48">
        <f>HEX2DEC(RIGHT(Table132321275358[[#This Row],[h1]],8))</f>
        <v>0</v>
      </c>
      <c r="Q1210" s="48" t="s">
        <v>75</v>
      </c>
      <c r="R1210" s="48">
        <f>HEX2DEC(RIGHT(Table132321275358[[#This Row],[h2]],8))</f>
        <v>0</v>
      </c>
    </row>
    <row r="1211" spans="1:18">
      <c r="A1211" s="15" t="str">
        <f t="shared" si="23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8" t="s">
        <v>75</v>
      </c>
      <c r="P1211" s="48">
        <f>HEX2DEC(RIGHT(Table132321275358[[#This Row],[h1]],8))</f>
        <v>0</v>
      </c>
      <c r="Q1211" s="48" t="s">
        <v>75</v>
      </c>
      <c r="R1211" s="48">
        <f>HEX2DEC(RIGHT(Table132321275358[[#This Row],[h2]],8))</f>
        <v>0</v>
      </c>
    </row>
    <row r="1212" spans="1:18">
      <c r="A1212" s="15" t="str">
        <f t="shared" si="23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8" t="s">
        <v>75</v>
      </c>
      <c r="P1212" s="48">
        <f>HEX2DEC(RIGHT(Table132321275358[[#This Row],[h1]],8))</f>
        <v>0</v>
      </c>
      <c r="Q1212" s="48" t="s">
        <v>75</v>
      </c>
      <c r="R1212" s="48">
        <f>HEX2DEC(RIGHT(Table132321275358[[#This Row],[h2]],8))</f>
        <v>0</v>
      </c>
    </row>
    <row r="1213" spans="1:18">
      <c r="A1213" s="15" t="str">
        <f t="shared" si="23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8" t="s">
        <v>75</v>
      </c>
      <c r="P1213" s="48">
        <f>HEX2DEC(RIGHT(Table132321275358[[#This Row],[h1]],8))</f>
        <v>0</v>
      </c>
      <c r="Q1213" s="48" t="s">
        <v>75</v>
      </c>
      <c r="R1213" s="48">
        <f>HEX2DEC(RIGHT(Table132321275358[[#This Row],[h2]],8))</f>
        <v>0</v>
      </c>
    </row>
    <row r="1214" spans="1:18">
      <c r="A1214" s="15" t="str">
        <f t="shared" si="23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8" t="s">
        <v>75</v>
      </c>
      <c r="P1214" s="48">
        <f>HEX2DEC(RIGHT(Table132321275358[[#This Row],[h1]],8))</f>
        <v>0</v>
      </c>
      <c r="Q1214" s="48" t="s">
        <v>75</v>
      </c>
      <c r="R1214" s="48">
        <f>HEX2DEC(RIGHT(Table132321275358[[#This Row],[h2]],8))</f>
        <v>0</v>
      </c>
    </row>
    <row r="1215" spans="1:18">
      <c r="A1215" s="15" t="str">
        <f t="shared" si="23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8" t="s">
        <v>75</v>
      </c>
      <c r="P1215" s="48">
        <f>HEX2DEC(RIGHT(Table132321275358[[#This Row],[h1]],8))</f>
        <v>0</v>
      </c>
      <c r="Q1215" s="48" t="s">
        <v>75</v>
      </c>
      <c r="R1215" s="48">
        <f>HEX2DEC(RIGHT(Table132321275358[[#This Row],[h2]],8))</f>
        <v>0</v>
      </c>
    </row>
    <row r="1216" spans="1:18">
      <c r="A1216" s="15" t="str">
        <f t="shared" si="23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8" t="s">
        <v>75</v>
      </c>
      <c r="P1216" s="48">
        <f>HEX2DEC(RIGHT(Table132321275358[[#This Row],[h1]],8))</f>
        <v>0</v>
      </c>
      <c r="Q1216" s="48" t="s">
        <v>75</v>
      </c>
      <c r="R1216" s="48">
        <f>HEX2DEC(RIGHT(Table132321275358[[#This Row],[h2]],8))</f>
        <v>0</v>
      </c>
    </row>
    <row r="1217" spans="1:18">
      <c r="A1217" s="15" t="str">
        <f t="shared" si="23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8" t="s">
        <v>75</v>
      </c>
      <c r="P1217" s="48">
        <f>HEX2DEC(RIGHT(Table132321275358[[#This Row],[h1]],8))</f>
        <v>0</v>
      </c>
      <c r="Q1217" s="48" t="s">
        <v>75</v>
      </c>
      <c r="R1217" s="48">
        <f>HEX2DEC(RIGHT(Table132321275358[[#This Row],[h2]],8))</f>
        <v>0</v>
      </c>
    </row>
    <row r="1218" spans="1:18">
      <c r="A1218" s="15" t="str">
        <f t="shared" si="23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8" t="s">
        <v>75</v>
      </c>
      <c r="P1218" s="48">
        <f>HEX2DEC(RIGHT(Table132321275358[[#This Row],[h1]],8))</f>
        <v>0</v>
      </c>
      <c r="Q1218" s="48" t="s">
        <v>75</v>
      </c>
      <c r="R1218" s="48">
        <f>HEX2DEC(RIGHT(Table132321275358[[#This Row],[h2]],8))</f>
        <v>0</v>
      </c>
    </row>
    <row r="1219" spans="1:18">
      <c r="A1219" s="15" t="str">
        <f t="shared" si="23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8" t="s">
        <v>75</v>
      </c>
      <c r="P1219" s="48">
        <f>HEX2DEC(RIGHT(Table132321275358[[#This Row],[h1]],8))</f>
        <v>0</v>
      </c>
      <c r="Q1219" s="48" t="s">
        <v>75</v>
      </c>
      <c r="R1219" s="48">
        <f>HEX2DEC(RIGHT(Table132321275358[[#This Row],[h2]],8))</f>
        <v>0</v>
      </c>
    </row>
    <row r="1220" spans="1:18">
      <c r="A1220" s="15" t="str">
        <f t="shared" si="23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8" t="s">
        <v>75</v>
      </c>
      <c r="P1220" s="48">
        <f>HEX2DEC(RIGHT(Table132321275358[[#This Row],[h1]],8))</f>
        <v>0</v>
      </c>
      <c r="Q1220" s="48" t="s">
        <v>75</v>
      </c>
      <c r="R1220" s="48">
        <f>HEX2DEC(RIGHT(Table132321275358[[#This Row],[h2]],8))</f>
        <v>0</v>
      </c>
    </row>
    <row r="1221" spans="1:18">
      <c r="A1221" s="15" t="str">
        <f t="shared" si="23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8" t="s">
        <v>75</v>
      </c>
      <c r="P1221" s="48">
        <f>HEX2DEC(RIGHT(Table132321275358[[#This Row],[h1]],8))</f>
        <v>0</v>
      </c>
      <c r="Q1221" s="48" t="s">
        <v>75</v>
      </c>
      <c r="R1221" s="48">
        <f>HEX2DEC(RIGHT(Table132321275358[[#This Row],[h2]],8))</f>
        <v>0</v>
      </c>
    </row>
    <row r="1222" spans="1:18">
      <c r="A1222" s="15" t="str">
        <f t="shared" si="23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8" t="s">
        <v>75</v>
      </c>
      <c r="P1222" s="48">
        <f>HEX2DEC(RIGHT(Table132321275358[[#This Row],[h1]],8))</f>
        <v>0</v>
      </c>
      <c r="Q1222" s="48" t="s">
        <v>75</v>
      </c>
      <c r="R1222" s="48">
        <f>HEX2DEC(RIGHT(Table132321275358[[#This Row],[h2]],8))</f>
        <v>0</v>
      </c>
    </row>
    <row r="1223" spans="1:18">
      <c r="A1223" s="15" t="str">
        <f t="shared" si="23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8" t="s">
        <v>75</v>
      </c>
      <c r="P1223" s="48">
        <f>HEX2DEC(RIGHT(Table132321275358[[#This Row],[h1]],8))</f>
        <v>0</v>
      </c>
      <c r="Q1223" s="48" t="s">
        <v>75</v>
      </c>
      <c r="R1223" s="48">
        <f>HEX2DEC(RIGHT(Table132321275358[[#This Row],[h2]],8))</f>
        <v>0</v>
      </c>
    </row>
    <row r="1224" spans="1:18">
      <c r="A1224" s="15" t="str">
        <f t="shared" si="23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8" t="s">
        <v>75</v>
      </c>
      <c r="P1224" s="48">
        <f>HEX2DEC(RIGHT(Table132321275358[[#This Row],[h1]],8))</f>
        <v>0</v>
      </c>
      <c r="Q1224" s="48" t="s">
        <v>75</v>
      </c>
      <c r="R1224" s="48">
        <f>HEX2DEC(RIGHT(Table132321275358[[#This Row],[h2]],8))</f>
        <v>0</v>
      </c>
    </row>
    <row r="1225" spans="1:18">
      <c r="A1225" s="15" t="str">
        <f t="shared" si="23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8" t="s">
        <v>75</v>
      </c>
      <c r="P1225" s="48">
        <f>HEX2DEC(RIGHT(Table132321275358[[#This Row],[h1]],8))</f>
        <v>0</v>
      </c>
      <c r="Q1225" s="48" t="s">
        <v>75</v>
      </c>
      <c r="R1225" s="48">
        <f>HEX2DEC(RIGHT(Table132321275358[[#This Row],[h2]],8))</f>
        <v>0</v>
      </c>
    </row>
    <row r="1226" spans="1:18">
      <c r="A1226" s="15" t="str">
        <f t="shared" si="23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8" t="s">
        <v>75</v>
      </c>
      <c r="P1226" s="48">
        <f>HEX2DEC(RIGHT(Table132321275358[[#This Row],[h1]],8))</f>
        <v>0</v>
      </c>
      <c r="Q1226" s="48" t="s">
        <v>75</v>
      </c>
      <c r="R1226" s="48">
        <f>HEX2DEC(RIGHT(Table132321275358[[#This Row],[h2]],8))</f>
        <v>0</v>
      </c>
    </row>
    <row r="1227" spans="1:18">
      <c r="A1227" s="15" t="str">
        <f t="shared" ref="A1227:A1290" si="24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8" t="s">
        <v>75</v>
      </c>
      <c r="P1227" s="48">
        <f>HEX2DEC(RIGHT(Table132321275358[[#This Row],[h1]],8))</f>
        <v>0</v>
      </c>
      <c r="Q1227" s="48" t="s">
        <v>75</v>
      </c>
      <c r="R1227" s="48">
        <f>HEX2DEC(RIGHT(Table132321275358[[#This Row],[h2]],8))</f>
        <v>0</v>
      </c>
    </row>
    <row r="1228" spans="1:18">
      <c r="A1228" s="15" t="str">
        <f t="shared" si="24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8" t="s">
        <v>75</v>
      </c>
      <c r="P1228" s="48">
        <f>HEX2DEC(RIGHT(Table132321275358[[#This Row],[h1]],8))</f>
        <v>0</v>
      </c>
      <c r="Q1228" s="48" t="s">
        <v>75</v>
      </c>
      <c r="R1228" s="48">
        <f>HEX2DEC(RIGHT(Table132321275358[[#This Row],[h2]],8))</f>
        <v>0</v>
      </c>
    </row>
    <row r="1229" spans="1:18">
      <c r="A1229" s="15" t="str">
        <f t="shared" si="24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8" t="s">
        <v>75</v>
      </c>
      <c r="P1229" s="48">
        <f>HEX2DEC(RIGHT(Table132321275358[[#This Row],[h1]],8))</f>
        <v>0</v>
      </c>
      <c r="Q1229" s="48" t="s">
        <v>75</v>
      </c>
      <c r="R1229" s="48">
        <f>HEX2DEC(RIGHT(Table132321275358[[#This Row],[h2]],8))</f>
        <v>0</v>
      </c>
    </row>
    <row r="1230" spans="1:18">
      <c r="A1230" s="15" t="str">
        <f t="shared" si="24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8" t="s">
        <v>75</v>
      </c>
      <c r="P1230" s="48">
        <f>HEX2DEC(RIGHT(Table132321275358[[#This Row],[h1]],8))</f>
        <v>0</v>
      </c>
      <c r="Q1230" s="48" t="s">
        <v>75</v>
      </c>
      <c r="R1230" s="48">
        <f>HEX2DEC(RIGHT(Table132321275358[[#This Row],[h2]],8))</f>
        <v>0</v>
      </c>
    </row>
    <row r="1231" spans="1:18">
      <c r="A1231" s="15" t="str">
        <f t="shared" si="24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8" t="s">
        <v>75</v>
      </c>
      <c r="P1231" s="48">
        <f>HEX2DEC(RIGHT(Table132321275358[[#This Row],[h1]],8))</f>
        <v>0</v>
      </c>
      <c r="Q1231" s="48" t="s">
        <v>75</v>
      </c>
      <c r="R1231" s="48">
        <f>HEX2DEC(RIGHT(Table132321275358[[#This Row],[h2]],8))</f>
        <v>0</v>
      </c>
    </row>
    <row r="1232" spans="1:18">
      <c r="A1232" s="15" t="str">
        <f t="shared" si="24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8" t="s">
        <v>75</v>
      </c>
      <c r="P1232" s="48">
        <f>HEX2DEC(RIGHT(Table132321275358[[#This Row],[h1]],8))</f>
        <v>0</v>
      </c>
      <c r="Q1232" s="48" t="s">
        <v>75</v>
      </c>
      <c r="R1232" s="48">
        <f>HEX2DEC(RIGHT(Table132321275358[[#This Row],[h2]],8))</f>
        <v>0</v>
      </c>
    </row>
    <row r="1233" spans="1:18">
      <c r="A1233" s="15" t="str">
        <f t="shared" si="24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8" t="s">
        <v>75</v>
      </c>
      <c r="P1233" s="48">
        <f>HEX2DEC(RIGHT(Table132321275358[[#This Row],[h1]],8))</f>
        <v>0</v>
      </c>
      <c r="Q1233" s="48" t="s">
        <v>75</v>
      </c>
      <c r="R1233" s="48">
        <f>HEX2DEC(RIGHT(Table132321275358[[#This Row],[h2]],8))</f>
        <v>0</v>
      </c>
    </row>
    <row r="1234" spans="1:18">
      <c r="A1234" s="15" t="str">
        <f t="shared" si="24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8" t="s">
        <v>75</v>
      </c>
      <c r="P1234" s="48">
        <f>HEX2DEC(RIGHT(Table132321275358[[#This Row],[h1]],8))</f>
        <v>0</v>
      </c>
      <c r="Q1234" s="48" t="s">
        <v>75</v>
      </c>
      <c r="R1234" s="48">
        <f>HEX2DEC(RIGHT(Table132321275358[[#This Row],[h2]],8))</f>
        <v>0</v>
      </c>
    </row>
    <row r="1235" spans="1:18">
      <c r="A1235" s="15" t="str">
        <f t="shared" si="24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8" t="s">
        <v>75</v>
      </c>
      <c r="P1235" s="48">
        <f>HEX2DEC(RIGHT(Table132321275358[[#This Row],[h1]],8))</f>
        <v>0</v>
      </c>
      <c r="Q1235" s="48" t="s">
        <v>75</v>
      </c>
      <c r="R1235" s="48">
        <f>HEX2DEC(RIGHT(Table132321275358[[#This Row],[h2]],8))</f>
        <v>0</v>
      </c>
    </row>
    <row r="1236" spans="1:18">
      <c r="A1236" s="15" t="str">
        <f t="shared" si="24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8" t="s">
        <v>75</v>
      </c>
      <c r="P1236" s="48">
        <f>HEX2DEC(RIGHT(Table132321275358[[#This Row],[h1]],8))</f>
        <v>0</v>
      </c>
      <c r="Q1236" s="48" t="s">
        <v>75</v>
      </c>
      <c r="R1236" s="48">
        <f>HEX2DEC(RIGHT(Table132321275358[[#This Row],[h2]],8))</f>
        <v>0</v>
      </c>
    </row>
    <row r="1237" spans="1:18">
      <c r="A1237" s="15" t="str">
        <f t="shared" si="24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8" t="s">
        <v>75</v>
      </c>
      <c r="P1237" s="48">
        <f>HEX2DEC(RIGHT(Table132321275358[[#This Row],[h1]],8))</f>
        <v>0</v>
      </c>
      <c r="Q1237" s="48" t="s">
        <v>75</v>
      </c>
      <c r="R1237" s="48">
        <f>HEX2DEC(RIGHT(Table132321275358[[#This Row],[h2]],8))</f>
        <v>0</v>
      </c>
    </row>
    <row r="1238" spans="1:18">
      <c r="A1238" s="15" t="str">
        <f t="shared" si="24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8" t="s">
        <v>75</v>
      </c>
      <c r="P1238" s="48">
        <f>HEX2DEC(RIGHT(Table132321275358[[#This Row],[h1]],8))</f>
        <v>0</v>
      </c>
      <c r="Q1238" s="48" t="s">
        <v>75</v>
      </c>
      <c r="R1238" s="48">
        <f>HEX2DEC(RIGHT(Table132321275358[[#This Row],[h2]],8))</f>
        <v>0</v>
      </c>
    </row>
    <row r="1239" spans="1:18">
      <c r="A1239" s="15" t="str">
        <f t="shared" si="24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8" t="s">
        <v>75</v>
      </c>
      <c r="P1239" s="48">
        <f>HEX2DEC(RIGHT(Table132321275358[[#This Row],[h1]],8))</f>
        <v>0</v>
      </c>
      <c r="Q1239" s="48" t="s">
        <v>75</v>
      </c>
      <c r="R1239" s="48">
        <f>HEX2DEC(RIGHT(Table132321275358[[#This Row],[h2]],8))</f>
        <v>0</v>
      </c>
    </row>
    <row r="1240" spans="1:18">
      <c r="A1240" s="15" t="str">
        <f t="shared" si="24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8" t="s">
        <v>75</v>
      </c>
      <c r="P1240" s="48">
        <f>HEX2DEC(RIGHT(Table132321275358[[#This Row],[h1]],8))</f>
        <v>0</v>
      </c>
      <c r="Q1240" s="48" t="s">
        <v>75</v>
      </c>
      <c r="R1240" s="48">
        <f>HEX2DEC(RIGHT(Table132321275358[[#This Row],[h2]],8))</f>
        <v>0</v>
      </c>
    </row>
    <row r="1241" spans="1:18">
      <c r="A1241" s="15" t="str">
        <f t="shared" si="24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8" t="s">
        <v>75</v>
      </c>
      <c r="P1241" s="48">
        <f>HEX2DEC(RIGHT(Table132321275358[[#This Row],[h1]],8))</f>
        <v>0</v>
      </c>
      <c r="Q1241" s="48" t="s">
        <v>75</v>
      </c>
      <c r="R1241" s="48">
        <f>HEX2DEC(RIGHT(Table132321275358[[#This Row],[h2]],8))</f>
        <v>0</v>
      </c>
    </row>
    <row r="1242" spans="1:18">
      <c r="A1242" s="15" t="str">
        <f t="shared" si="24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8" t="s">
        <v>75</v>
      </c>
      <c r="P1242" s="48">
        <f>HEX2DEC(RIGHT(Table132321275358[[#This Row],[h1]],8))</f>
        <v>0</v>
      </c>
      <c r="Q1242" s="48" t="s">
        <v>75</v>
      </c>
      <c r="R1242" s="48">
        <f>HEX2DEC(RIGHT(Table132321275358[[#This Row],[h2]],8))</f>
        <v>0</v>
      </c>
    </row>
    <row r="1243" spans="1:18">
      <c r="A1243" s="15" t="str">
        <f t="shared" si="24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8" t="s">
        <v>75</v>
      </c>
      <c r="P1243" s="48">
        <f>HEX2DEC(RIGHT(Table132321275358[[#This Row],[h1]],8))</f>
        <v>0</v>
      </c>
      <c r="Q1243" s="48" t="s">
        <v>75</v>
      </c>
      <c r="R1243" s="48">
        <f>HEX2DEC(RIGHT(Table132321275358[[#This Row],[h2]],8))</f>
        <v>0</v>
      </c>
    </row>
    <row r="1244" spans="1:18">
      <c r="A1244" s="15" t="str">
        <f t="shared" si="24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8" t="s">
        <v>75</v>
      </c>
      <c r="P1244" s="48">
        <f>HEX2DEC(RIGHT(Table132321275358[[#This Row],[h1]],8))</f>
        <v>0</v>
      </c>
      <c r="Q1244" s="48" t="s">
        <v>75</v>
      </c>
      <c r="R1244" s="48">
        <f>HEX2DEC(RIGHT(Table132321275358[[#This Row],[h2]],8))</f>
        <v>0</v>
      </c>
    </row>
    <row r="1245" spans="1:18">
      <c r="A1245" s="15" t="str">
        <f t="shared" si="24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8" t="s">
        <v>75</v>
      </c>
      <c r="P1245" s="48">
        <f>HEX2DEC(RIGHT(Table132321275358[[#This Row],[h1]],8))</f>
        <v>0</v>
      </c>
      <c r="Q1245" s="48" t="s">
        <v>75</v>
      </c>
      <c r="R1245" s="48">
        <f>HEX2DEC(RIGHT(Table132321275358[[#This Row],[h2]],8))</f>
        <v>0</v>
      </c>
    </row>
    <row r="1246" spans="1:18">
      <c r="A1246" s="15" t="str">
        <f t="shared" si="24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8" t="s">
        <v>75</v>
      </c>
      <c r="P1246" s="48">
        <f>HEX2DEC(RIGHT(Table132321275358[[#This Row],[h1]],8))</f>
        <v>0</v>
      </c>
      <c r="Q1246" s="48" t="s">
        <v>75</v>
      </c>
      <c r="R1246" s="48">
        <f>HEX2DEC(RIGHT(Table132321275358[[#This Row],[h2]],8))</f>
        <v>0</v>
      </c>
    </row>
    <row r="1247" spans="1:18">
      <c r="A1247" s="15" t="str">
        <f t="shared" si="24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8" t="s">
        <v>75</v>
      </c>
      <c r="P1247" s="48">
        <f>HEX2DEC(RIGHT(Table132321275358[[#This Row],[h1]],8))</f>
        <v>0</v>
      </c>
      <c r="Q1247" s="48" t="s">
        <v>75</v>
      </c>
      <c r="R1247" s="48">
        <f>HEX2DEC(RIGHT(Table132321275358[[#This Row],[h2]],8))</f>
        <v>0</v>
      </c>
    </row>
    <row r="1248" spans="1:18">
      <c r="A1248" s="15" t="str">
        <f t="shared" si="24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8" t="s">
        <v>75</v>
      </c>
      <c r="P1248" s="48">
        <f>HEX2DEC(RIGHT(Table132321275358[[#This Row],[h1]],8))</f>
        <v>0</v>
      </c>
      <c r="Q1248" s="48" t="s">
        <v>75</v>
      </c>
      <c r="R1248" s="48">
        <f>HEX2DEC(RIGHT(Table132321275358[[#This Row],[h2]],8))</f>
        <v>0</v>
      </c>
    </row>
    <row r="1249" spans="1:18">
      <c r="A1249" s="15" t="str">
        <f t="shared" si="24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8" t="s">
        <v>75</v>
      </c>
      <c r="P1249" s="48">
        <f>HEX2DEC(RIGHT(Table132321275358[[#This Row],[h1]],8))</f>
        <v>0</v>
      </c>
      <c r="Q1249" s="48" t="s">
        <v>75</v>
      </c>
      <c r="R1249" s="48">
        <f>HEX2DEC(RIGHT(Table132321275358[[#This Row],[h2]],8))</f>
        <v>0</v>
      </c>
    </row>
    <row r="1250" spans="1:18">
      <c r="A1250" s="15" t="str">
        <f t="shared" si="24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8" t="s">
        <v>75</v>
      </c>
      <c r="P1250" s="48">
        <f>HEX2DEC(RIGHT(Table132321275358[[#This Row],[h1]],8))</f>
        <v>0</v>
      </c>
      <c r="Q1250" s="48" t="s">
        <v>75</v>
      </c>
      <c r="R1250" s="48">
        <f>HEX2DEC(RIGHT(Table132321275358[[#This Row],[h2]],8))</f>
        <v>0</v>
      </c>
    </row>
    <row r="1251" spans="1:18">
      <c r="A1251" s="15" t="str">
        <f t="shared" si="24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8" t="s">
        <v>75</v>
      </c>
      <c r="P1251" s="48">
        <f>HEX2DEC(RIGHT(Table132321275358[[#This Row],[h1]],8))</f>
        <v>0</v>
      </c>
      <c r="Q1251" s="48" t="s">
        <v>75</v>
      </c>
      <c r="R1251" s="48">
        <f>HEX2DEC(RIGHT(Table132321275358[[#This Row],[h2]],8))</f>
        <v>0</v>
      </c>
    </row>
    <row r="1252" spans="1:18">
      <c r="A1252" s="15" t="str">
        <f t="shared" si="24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8" t="s">
        <v>75</v>
      </c>
      <c r="P1252" s="48">
        <f>HEX2DEC(RIGHT(Table132321275358[[#This Row],[h1]],8))</f>
        <v>0</v>
      </c>
      <c r="Q1252" s="48" t="s">
        <v>75</v>
      </c>
      <c r="R1252" s="48">
        <f>HEX2DEC(RIGHT(Table132321275358[[#This Row],[h2]],8))</f>
        <v>0</v>
      </c>
    </row>
    <row r="1253" spans="1:18">
      <c r="A1253" s="15" t="str">
        <f t="shared" si="24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8" t="s">
        <v>75</v>
      </c>
      <c r="P1253" s="48">
        <f>HEX2DEC(RIGHT(Table132321275358[[#This Row],[h1]],8))</f>
        <v>0</v>
      </c>
      <c r="Q1253" s="48" t="s">
        <v>75</v>
      </c>
      <c r="R1253" s="48">
        <f>HEX2DEC(RIGHT(Table132321275358[[#This Row],[h2]],8))</f>
        <v>0</v>
      </c>
    </row>
    <row r="1254" spans="1:18">
      <c r="A1254" s="15" t="str">
        <f t="shared" si="24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8" t="s">
        <v>75</v>
      </c>
      <c r="P1254" s="48">
        <f>HEX2DEC(RIGHT(Table132321275358[[#This Row],[h1]],8))</f>
        <v>0</v>
      </c>
      <c r="Q1254" s="48" t="s">
        <v>75</v>
      </c>
      <c r="R1254" s="48">
        <f>HEX2DEC(RIGHT(Table132321275358[[#This Row],[h2]],8))</f>
        <v>0</v>
      </c>
    </row>
    <row r="1255" spans="1:18">
      <c r="A1255" s="15" t="str">
        <f t="shared" si="24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8" t="s">
        <v>75</v>
      </c>
      <c r="P1255" s="48">
        <f>HEX2DEC(RIGHT(Table132321275358[[#This Row],[h1]],8))</f>
        <v>0</v>
      </c>
      <c r="Q1255" s="48" t="s">
        <v>75</v>
      </c>
      <c r="R1255" s="48">
        <f>HEX2DEC(RIGHT(Table132321275358[[#This Row],[h2]],8))</f>
        <v>0</v>
      </c>
    </row>
    <row r="1256" spans="1:18">
      <c r="A1256" s="15" t="str">
        <f t="shared" si="24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8" t="s">
        <v>75</v>
      </c>
      <c r="P1256" s="48">
        <f>HEX2DEC(RIGHT(Table132321275358[[#This Row],[h1]],8))</f>
        <v>0</v>
      </c>
      <c r="Q1256" s="48" t="s">
        <v>75</v>
      </c>
      <c r="R1256" s="48">
        <f>HEX2DEC(RIGHT(Table132321275358[[#This Row],[h2]],8))</f>
        <v>0</v>
      </c>
    </row>
    <row r="1257" spans="1:18">
      <c r="A1257" s="15" t="str">
        <f t="shared" si="24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8" t="s">
        <v>75</v>
      </c>
      <c r="P1257" s="48">
        <f>HEX2DEC(RIGHT(Table132321275358[[#This Row],[h1]],8))</f>
        <v>0</v>
      </c>
      <c r="Q1257" s="48" t="s">
        <v>75</v>
      </c>
      <c r="R1257" s="48">
        <f>HEX2DEC(RIGHT(Table132321275358[[#This Row],[h2]],8))</f>
        <v>0</v>
      </c>
    </row>
    <row r="1258" spans="1:18">
      <c r="A1258" s="15" t="str">
        <f t="shared" si="24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8" t="s">
        <v>75</v>
      </c>
      <c r="P1258" s="48">
        <f>HEX2DEC(RIGHT(Table132321275358[[#This Row],[h1]],8))</f>
        <v>0</v>
      </c>
      <c r="Q1258" s="48" t="s">
        <v>75</v>
      </c>
      <c r="R1258" s="48">
        <f>HEX2DEC(RIGHT(Table132321275358[[#This Row],[h2]],8))</f>
        <v>0</v>
      </c>
    </row>
    <row r="1259" spans="1:18">
      <c r="A1259" s="15" t="str">
        <f t="shared" si="24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8" t="s">
        <v>75</v>
      </c>
      <c r="P1259" s="48">
        <f>HEX2DEC(RIGHT(Table132321275358[[#This Row],[h1]],8))</f>
        <v>0</v>
      </c>
      <c r="Q1259" s="48" t="s">
        <v>75</v>
      </c>
      <c r="R1259" s="48">
        <f>HEX2DEC(RIGHT(Table132321275358[[#This Row],[h2]],8))</f>
        <v>0</v>
      </c>
    </row>
    <row r="1260" spans="1:18">
      <c r="A1260" s="15" t="str">
        <f t="shared" si="24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8" t="s">
        <v>75</v>
      </c>
      <c r="P1260" s="48">
        <f>HEX2DEC(RIGHT(Table132321275358[[#This Row],[h1]],8))</f>
        <v>0</v>
      </c>
      <c r="Q1260" s="48" t="s">
        <v>75</v>
      </c>
      <c r="R1260" s="48">
        <f>HEX2DEC(RIGHT(Table132321275358[[#This Row],[h2]],8))</f>
        <v>0</v>
      </c>
    </row>
    <row r="1261" spans="1:18">
      <c r="A1261" s="15" t="str">
        <f t="shared" si="24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8" t="s">
        <v>75</v>
      </c>
      <c r="P1261" s="48">
        <f>HEX2DEC(RIGHT(Table132321275358[[#This Row],[h1]],8))</f>
        <v>0</v>
      </c>
      <c r="Q1261" s="48" t="s">
        <v>75</v>
      </c>
      <c r="R1261" s="48">
        <f>HEX2DEC(RIGHT(Table132321275358[[#This Row],[h2]],8))</f>
        <v>0</v>
      </c>
    </row>
    <row r="1262" spans="1:18">
      <c r="A1262" s="15" t="str">
        <f t="shared" si="24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8" t="s">
        <v>75</v>
      </c>
      <c r="P1262" s="48">
        <f>HEX2DEC(RIGHT(Table132321275358[[#This Row],[h1]],8))</f>
        <v>0</v>
      </c>
      <c r="Q1262" s="48" t="s">
        <v>75</v>
      </c>
      <c r="R1262" s="48">
        <f>HEX2DEC(RIGHT(Table132321275358[[#This Row],[h2]],8))</f>
        <v>0</v>
      </c>
    </row>
    <row r="1263" spans="1:18">
      <c r="A1263" s="15" t="str">
        <f t="shared" si="24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8" t="s">
        <v>75</v>
      </c>
      <c r="P1263" s="48">
        <f>HEX2DEC(RIGHT(Table132321275358[[#This Row],[h1]],8))</f>
        <v>0</v>
      </c>
      <c r="Q1263" s="48" t="s">
        <v>75</v>
      </c>
      <c r="R1263" s="48">
        <f>HEX2DEC(RIGHT(Table132321275358[[#This Row],[h2]],8))</f>
        <v>0</v>
      </c>
    </row>
    <row r="1264" spans="1:18">
      <c r="A1264" s="15" t="str">
        <f t="shared" si="24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8" t="s">
        <v>75</v>
      </c>
      <c r="P1264" s="48">
        <f>HEX2DEC(RIGHT(Table132321275358[[#This Row],[h1]],8))</f>
        <v>0</v>
      </c>
      <c r="Q1264" s="48" t="s">
        <v>75</v>
      </c>
      <c r="R1264" s="48">
        <f>HEX2DEC(RIGHT(Table132321275358[[#This Row],[h2]],8))</f>
        <v>0</v>
      </c>
    </row>
    <row r="1265" spans="1:18">
      <c r="A1265" s="15" t="str">
        <f t="shared" si="24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8" t="s">
        <v>75</v>
      </c>
      <c r="P1265" s="48">
        <f>HEX2DEC(RIGHT(Table132321275358[[#This Row],[h1]],8))</f>
        <v>0</v>
      </c>
      <c r="Q1265" s="48" t="s">
        <v>75</v>
      </c>
      <c r="R1265" s="48">
        <f>HEX2DEC(RIGHT(Table132321275358[[#This Row],[h2]],8))</f>
        <v>0</v>
      </c>
    </row>
    <row r="1266" spans="1:18">
      <c r="A1266" s="15" t="str">
        <f t="shared" si="24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8" t="s">
        <v>75</v>
      </c>
      <c r="P1266" s="48">
        <f>HEX2DEC(RIGHT(Table132321275358[[#This Row],[h1]],8))</f>
        <v>0</v>
      </c>
      <c r="Q1266" s="48" t="s">
        <v>75</v>
      </c>
      <c r="R1266" s="48">
        <f>HEX2DEC(RIGHT(Table132321275358[[#This Row],[h2]],8))</f>
        <v>0</v>
      </c>
    </row>
    <row r="1267" spans="1:18">
      <c r="A1267" s="15" t="str">
        <f t="shared" si="24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8" t="s">
        <v>75</v>
      </c>
      <c r="P1267" s="48">
        <f>HEX2DEC(RIGHT(Table132321275358[[#This Row],[h1]],8))</f>
        <v>0</v>
      </c>
      <c r="Q1267" s="48" t="s">
        <v>75</v>
      </c>
      <c r="R1267" s="48">
        <f>HEX2DEC(RIGHT(Table132321275358[[#This Row],[h2]],8))</f>
        <v>0</v>
      </c>
    </row>
    <row r="1268" spans="1:18">
      <c r="A1268" s="15" t="str">
        <f t="shared" si="24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8" t="s">
        <v>75</v>
      </c>
      <c r="P1268" s="48">
        <f>HEX2DEC(RIGHT(Table132321275358[[#This Row],[h1]],8))</f>
        <v>0</v>
      </c>
      <c r="Q1268" s="48" t="s">
        <v>75</v>
      </c>
      <c r="R1268" s="48">
        <f>HEX2DEC(RIGHT(Table132321275358[[#This Row],[h2]],8))</f>
        <v>0</v>
      </c>
    </row>
    <row r="1269" spans="1:18">
      <c r="A1269" s="15" t="str">
        <f t="shared" si="24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8" t="s">
        <v>75</v>
      </c>
      <c r="P1269" s="48">
        <f>HEX2DEC(RIGHT(Table132321275358[[#This Row],[h1]],8))</f>
        <v>0</v>
      </c>
      <c r="Q1269" s="48" t="s">
        <v>75</v>
      </c>
      <c r="R1269" s="48">
        <f>HEX2DEC(RIGHT(Table132321275358[[#This Row],[h2]],8))</f>
        <v>0</v>
      </c>
    </row>
    <row r="1270" spans="1:18">
      <c r="A1270" s="15" t="str">
        <f t="shared" si="24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8" t="s">
        <v>75</v>
      </c>
      <c r="P1270" s="48">
        <f>HEX2DEC(RIGHT(Table132321275358[[#This Row],[h1]],8))</f>
        <v>0</v>
      </c>
      <c r="Q1270" s="48" t="s">
        <v>75</v>
      </c>
      <c r="R1270" s="48">
        <f>HEX2DEC(RIGHT(Table132321275358[[#This Row],[h2]],8))</f>
        <v>0</v>
      </c>
    </row>
    <row r="1271" spans="1:18">
      <c r="A1271" s="15" t="str">
        <f t="shared" si="24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8" t="s">
        <v>75</v>
      </c>
      <c r="P1271" s="48">
        <f>HEX2DEC(RIGHT(Table132321275358[[#This Row],[h1]],8))</f>
        <v>0</v>
      </c>
      <c r="Q1271" s="48" t="s">
        <v>75</v>
      </c>
      <c r="R1271" s="48">
        <f>HEX2DEC(RIGHT(Table132321275358[[#This Row],[h2]],8))</f>
        <v>0</v>
      </c>
    </row>
    <row r="1272" spans="1:18">
      <c r="A1272" s="15" t="str">
        <f t="shared" si="24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8" t="s">
        <v>75</v>
      </c>
      <c r="P1272" s="48">
        <f>HEX2DEC(RIGHT(Table132321275358[[#This Row],[h1]],8))</f>
        <v>0</v>
      </c>
      <c r="Q1272" s="48" t="s">
        <v>75</v>
      </c>
      <c r="R1272" s="48">
        <f>HEX2DEC(RIGHT(Table132321275358[[#This Row],[h2]],8))</f>
        <v>0</v>
      </c>
    </row>
    <row r="1273" spans="1:18">
      <c r="A1273" s="15" t="str">
        <f t="shared" si="24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8" t="s">
        <v>75</v>
      </c>
      <c r="P1273" s="48">
        <f>HEX2DEC(RIGHT(Table132321275358[[#This Row],[h1]],8))</f>
        <v>0</v>
      </c>
      <c r="Q1273" s="48" t="s">
        <v>75</v>
      </c>
      <c r="R1273" s="48">
        <f>HEX2DEC(RIGHT(Table132321275358[[#This Row],[h2]],8))</f>
        <v>0</v>
      </c>
    </row>
    <row r="1274" spans="1:18">
      <c r="A1274" s="15" t="str">
        <f t="shared" si="24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8" t="s">
        <v>75</v>
      </c>
      <c r="P1274" s="48">
        <f>HEX2DEC(RIGHT(Table132321275358[[#This Row],[h1]],8))</f>
        <v>0</v>
      </c>
      <c r="Q1274" s="48" t="s">
        <v>75</v>
      </c>
      <c r="R1274" s="48">
        <f>HEX2DEC(RIGHT(Table132321275358[[#This Row],[h2]],8))</f>
        <v>0</v>
      </c>
    </row>
    <row r="1275" spans="1:18">
      <c r="A1275" s="15" t="str">
        <f t="shared" si="24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8" t="s">
        <v>75</v>
      </c>
      <c r="P1275" s="48">
        <f>HEX2DEC(RIGHT(Table132321275358[[#This Row],[h1]],8))</f>
        <v>0</v>
      </c>
      <c r="Q1275" s="48" t="s">
        <v>75</v>
      </c>
      <c r="R1275" s="48">
        <f>HEX2DEC(RIGHT(Table132321275358[[#This Row],[h2]],8))</f>
        <v>0</v>
      </c>
    </row>
    <row r="1276" spans="1:18">
      <c r="A1276" s="15" t="str">
        <f t="shared" si="24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8" t="s">
        <v>75</v>
      </c>
      <c r="P1276" s="48">
        <f>HEX2DEC(RIGHT(Table132321275358[[#This Row],[h1]],8))</f>
        <v>0</v>
      </c>
      <c r="Q1276" s="48" t="s">
        <v>75</v>
      </c>
      <c r="R1276" s="48">
        <f>HEX2DEC(RIGHT(Table132321275358[[#This Row],[h2]],8))</f>
        <v>0</v>
      </c>
    </row>
    <row r="1277" spans="1:18">
      <c r="A1277" s="15" t="str">
        <f t="shared" si="24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8" t="s">
        <v>75</v>
      </c>
      <c r="P1277" s="48">
        <f>HEX2DEC(RIGHT(Table132321275358[[#This Row],[h1]],8))</f>
        <v>0</v>
      </c>
      <c r="Q1277" s="48" t="s">
        <v>75</v>
      </c>
      <c r="R1277" s="48">
        <f>HEX2DEC(RIGHT(Table132321275358[[#This Row],[h2]],8))</f>
        <v>0</v>
      </c>
    </row>
    <row r="1278" spans="1:18">
      <c r="A1278" s="15" t="str">
        <f t="shared" si="24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8" t="s">
        <v>75</v>
      </c>
      <c r="P1278" s="48">
        <f>HEX2DEC(RIGHT(Table132321275358[[#This Row],[h1]],8))</f>
        <v>0</v>
      </c>
      <c r="Q1278" s="48" t="s">
        <v>75</v>
      </c>
      <c r="R1278" s="48">
        <f>HEX2DEC(RIGHT(Table132321275358[[#This Row],[h2]],8))</f>
        <v>0</v>
      </c>
    </row>
    <row r="1279" spans="1:18">
      <c r="A1279" s="15" t="str">
        <f t="shared" si="24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8" t="s">
        <v>75</v>
      </c>
      <c r="P1279" s="48">
        <f>HEX2DEC(RIGHT(Table132321275358[[#This Row],[h1]],8))</f>
        <v>0</v>
      </c>
      <c r="Q1279" s="48" t="s">
        <v>75</v>
      </c>
      <c r="R1279" s="48">
        <f>HEX2DEC(RIGHT(Table132321275358[[#This Row],[h2]],8))</f>
        <v>0</v>
      </c>
    </row>
    <row r="1280" spans="1:18">
      <c r="A1280" s="15" t="str">
        <f t="shared" si="24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8" t="s">
        <v>75</v>
      </c>
      <c r="P1280" s="48">
        <f>HEX2DEC(RIGHT(Table132321275358[[#This Row],[h1]],8))</f>
        <v>0</v>
      </c>
      <c r="Q1280" s="48" t="s">
        <v>75</v>
      </c>
      <c r="R1280" s="48">
        <f>HEX2DEC(RIGHT(Table132321275358[[#This Row],[h2]],8))</f>
        <v>0</v>
      </c>
    </row>
    <row r="1281" spans="1:18">
      <c r="A1281" s="15" t="str">
        <f t="shared" si="24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8" t="s">
        <v>75</v>
      </c>
      <c r="P1281" s="48">
        <f>HEX2DEC(RIGHT(Table132321275358[[#This Row],[h1]],8))</f>
        <v>0</v>
      </c>
      <c r="Q1281" s="48" t="s">
        <v>75</v>
      </c>
      <c r="R1281" s="48">
        <f>HEX2DEC(RIGHT(Table132321275358[[#This Row],[h2]],8))</f>
        <v>0</v>
      </c>
    </row>
    <row r="1282" spans="1:18">
      <c r="A1282" s="15" t="str">
        <f t="shared" si="24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8" t="s">
        <v>75</v>
      </c>
      <c r="P1282" s="48">
        <f>HEX2DEC(RIGHT(Table132321275358[[#This Row],[h1]],8))</f>
        <v>0</v>
      </c>
      <c r="Q1282" s="48" t="s">
        <v>75</v>
      </c>
      <c r="R1282" s="48">
        <f>HEX2DEC(RIGHT(Table132321275358[[#This Row],[h2]],8))</f>
        <v>0</v>
      </c>
    </row>
    <row r="1283" spans="1:18">
      <c r="A1283" s="15" t="str">
        <f t="shared" si="24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8" t="s">
        <v>75</v>
      </c>
      <c r="P1283" s="48">
        <f>HEX2DEC(RIGHT(Table132321275358[[#This Row],[h1]],8))</f>
        <v>0</v>
      </c>
      <c r="Q1283" s="48" t="s">
        <v>75</v>
      </c>
      <c r="R1283" s="48">
        <f>HEX2DEC(RIGHT(Table132321275358[[#This Row],[h2]],8))</f>
        <v>0</v>
      </c>
    </row>
    <row r="1284" spans="1:18">
      <c r="A1284" s="15" t="str">
        <f t="shared" si="24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8" t="s">
        <v>75</v>
      </c>
      <c r="P1284" s="48">
        <f>HEX2DEC(RIGHT(Table132321275358[[#This Row],[h1]],8))</f>
        <v>0</v>
      </c>
      <c r="Q1284" s="48" t="s">
        <v>75</v>
      </c>
      <c r="R1284" s="48">
        <f>HEX2DEC(RIGHT(Table132321275358[[#This Row],[h2]],8))</f>
        <v>0</v>
      </c>
    </row>
    <row r="1285" spans="1:18">
      <c r="A1285" s="15" t="str">
        <f t="shared" si="24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8" t="s">
        <v>75</v>
      </c>
      <c r="P1285" s="48">
        <f>HEX2DEC(RIGHT(Table132321275358[[#This Row],[h1]],8))</f>
        <v>0</v>
      </c>
      <c r="Q1285" s="48" t="s">
        <v>75</v>
      </c>
      <c r="R1285" s="48">
        <f>HEX2DEC(RIGHT(Table132321275358[[#This Row],[h2]],8))</f>
        <v>0</v>
      </c>
    </row>
    <row r="1286" spans="1:18">
      <c r="A1286" s="15" t="str">
        <f t="shared" si="24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8" t="s">
        <v>75</v>
      </c>
      <c r="P1286" s="48">
        <f>HEX2DEC(RIGHT(Table132321275358[[#This Row],[h1]],8))</f>
        <v>0</v>
      </c>
      <c r="Q1286" s="48" t="s">
        <v>75</v>
      </c>
      <c r="R1286" s="48">
        <f>HEX2DEC(RIGHT(Table132321275358[[#This Row],[h2]],8))</f>
        <v>0</v>
      </c>
    </row>
    <row r="1287" spans="1:18">
      <c r="A1287" s="15" t="str">
        <f t="shared" si="24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8" t="s">
        <v>75</v>
      </c>
      <c r="P1287" s="48">
        <f>HEX2DEC(RIGHT(Table132321275358[[#This Row],[h1]],8))</f>
        <v>0</v>
      </c>
      <c r="Q1287" s="48" t="s">
        <v>75</v>
      </c>
      <c r="R1287" s="48">
        <f>HEX2DEC(RIGHT(Table132321275358[[#This Row],[h2]],8))</f>
        <v>0</v>
      </c>
    </row>
    <row r="1288" spans="1:18">
      <c r="A1288" s="15" t="str">
        <f t="shared" si="24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8" t="s">
        <v>75</v>
      </c>
      <c r="P1288" s="48">
        <f>HEX2DEC(RIGHT(Table132321275358[[#This Row],[h1]],8))</f>
        <v>0</v>
      </c>
      <c r="Q1288" s="48" t="s">
        <v>75</v>
      </c>
      <c r="R1288" s="48">
        <f>HEX2DEC(RIGHT(Table132321275358[[#This Row],[h2]],8))</f>
        <v>0</v>
      </c>
    </row>
    <row r="1289" spans="1:18">
      <c r="A1289" s="15" t="str">
        <f t="shared" si="24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8" t="s">
        <v>75</v>
      </c>
      <c r="P1289" s="48">
        <f>HEX2DEC(RIGHT(Table132321275358[[#This Row],[h1]],8))</f>
        <v>0</v>
      </c>
      <c r="Q1289" s="48" t="s">
        <v>75</v>
      </c>
      <c r="R1289" s="48">
        <f>HEX2DEC(RIGHT(Table132321275358[[#This Row],[h2]],8))</f>
        <v>0</v>
      </c>
    </row>
    <row r="1290" spans="1:18">
      <c r="A1290" s="15" t="str">
        <f t="shared" si="24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8" t="s">
        <v>75</v>
      </c>
      <c r="P1290" s="48">
        <f>HEX2DEC(RIGHT(Table132321275358[[#This Row],[h1]],8))</f>
        <v>0</v>
      </c>
      <c r="Q1290" s="48" t="s">
        <v>75</v>
      </c>
      <c r="R1290" s="48">
        <f>HEX2DEC(RIGHT(Table132321275358[[#This Row],[h2]],8))</f>
        <v>0</v>
      </c>
    </row>
    <row r="1291" spans="1:18">
      <c r="A1291" s="15" t="str">
        <f t="shared" ref="A1291:A1354" si="25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8" t="s">
        <v>75</v>
      </c>
      <c r="P1291" s="48">
        <f>HEX2DEC(RIGHT(Table132321275358[[#This Row],[h1]],8))</f>
        <v>0</v>
      </c>
      <c r="Q1291" s="48" t="s">
        <v>75</v>
      </c>
      <c r="R1291" s="48">
        <f>HEX2DEC(RIGHT(Table132321275358[[#This Row],[h2]],8))</f>
        <v>0</v>
      </c>
    </row>
    <row r="1292" spans="1:18">
      <c r="A1292" s="15" t="str">
        <f t="shared" si="25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8" t="s">
        <v>75</v>
      </c>
      <c r="P1292" s="48">
        <f>HEX2DEC(RIGHT(Table132321275358[[#This Row],[h1]],8))</f>
        <v>0</v>
      </c>
      <c r="Q1292" s="48" t="s">
        <v>75</v>
      </c>
      <c r="R1292" s="48">
        <f>HEX2DEC(RIGHT(Table132321275358[[#This Row],[h2]],8))</f>
        <v>0</v>
      </c>
    </row>
    <row r="1293" spans="1:18">
      <c r="A1293" s="15" t="str">
        <f t="shared" si="25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8" t="s">
        <v>75</v>
      </c>
      <c r="P1293" s="48">
        <f>HEX2DEC(RIGHT(Table132321275358[[#This Row],[h1]],8))</f>
        <v>0</v>
      </c>
      <c r="Q1293" s="48" t="s">
        <v>75</v>
      </c>
      <c r="R1293" s="48">
        <f>HEX2DEC(RIGHT(Table132321275358[[#This Row],[h2]],8))</f>
        <v>0</v>
      </c>
    </row>
    <row r="1294" spans="1:18">
      <c r="A1294" s="15" t="str">
        <f t="shared" si="25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8" t="s">
        <v>75</v>
      </c>
      <c r="P1294" s="48">
        <f>HEX2DEC(RIGHT(Table132321275358[[#This Row],[h1]],8))</f>
        <v>0</v>
      </c>
      <c r="Q1294" s="48" t="s">
        <v>75</v>
      </c>
      <c r="R1294" s="48">
        <f>HEX2DEC(RIGHT(Table132321275358[[#This Row],[h2]],8))</f>
        <v>0</v>
      </c>
    </row>
    <row r="1295" spans="1:18">
      <c r="A1295" s="15" t="str">
        <f t="shared" si="25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8" t="s">
        <v>75</v>
      </c>
      <c r="P1295" s="48">
        <f>HEX2DEC(RIGHT(Table132321275358[[#This Row],[h1]],8))</f>
        <v>0</v>
      </c>
      <c r="Q1295" s="48" t="s">
        <v>75</v>
      </c>
      <c r="R1295" s="48">
        <f>HEX2DEC(RIGHT(Table132321275358[[#This Row],[h2]],8))</f>
        <v>0</v>
      </c>
    </row>
    <row r="1296" spans="1:18">
      <c r="A1296" s="15" t="str">
        <f t="shared" si="25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8" t="s">
        <v>75</v>
      </c>
      <c r="P1296" s="48">
        <f>HEX2DEC(RIGHT(Table132321275358[[#This Row],[h1]],8))</f>
        <v>0</v>
      </c>
      <c r="Q1296" s="48" t="s">
        <v>75</v>
      </c>
      <c r="R1296" s="48">
        <f>HEX2DEC(RIGHT(Table132321275358[[#This Row],[h2]],8))</f>
        <v>0</v>
      </c>
    </row>
    <row r="1297" spans="1:18">
      <c r="A1297" s="15" t="str">
        <f t="shared" si="25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8" t="s">
        <v>75</v>
      </c>
      <c r="P1297" s="48">
        <f>HEX2DEC(RIGHT(Table132321275358[[#This Row],[h1]],8))</f>
        <v>0</v>
      </c>
      <c r="Q1297" s="48" t="s">
        <v>75</v>
      </c>
      <c r="R1297" s="48">
        <f>HEX2DEC(RIGHT(Table132321275358[[#This Row],[h2]],8))</f>
        <v>0</v>
      </c>
    </row>
    <row r="1298" spans="1:18">
      <c r="A1298" s="15" t="str">
        <f t="shared" si="25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8" t="s">
        <v>75</v>
      </c>
      <c r="P1298" s="48">
        <f>HEX2DEC(RIGHT(Table132321275358[[#This Row],[h1]],8))</f>
        <v>0</v>
      </c>
      <c r="Q1298" s="48" t="s">
        <v>75</v>
      </c>
      <c r="R1298" s="48">
        <f>HEX2DEC(RIGHT(Table132321275358[[#This Row],[h2]],8))</f>
        <v>0</v>
      </c>
    </row>
    <row r="1299" spans="1:18">
      <c r="A1299" s="15" t="str">
        <f t="shared" si="25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8" t="s">
        <v>75</v>
      </c>
      <c r="P1299" s="48">
        <f>HEX2DEC(RIGHT(Table132321275358[[#This Row],[h1]],8))</f>
        <v>0</v>
      </c>
      <c r="Q1299" s="48" t="s">
        <v>75</v>
      </c>
      <c r="R1299" s="48">
        <f>HEX2DEC(RIGHT(Table132321275358[[#This Row],[h2]],8))</f>
        <v>0</v>
      </c>
    </row>
    <row r="1300" spans="1:18">
      <c r="A1300" s="15" t="str">
        <f t="shared" si="25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8" t="s">
        <v>75</v>
      </c>
      <c r="P1300" s="48">
        <f>HEX2DEC(RIGHT(Table132321275358[[#This Row],[h1]],8))</f>
        <v>0</v>
      </c>
      <c r="Q1300" s="48" t="s">
        <v>75</v>
      </c>
      <c r="R1300" s="48">
        <f>HEX2DEC(RIGHT(Table132321275358[[#This Row],[h2]],8))</f>
        <v>0</v>
      </c>
    </row>
    <row r="1301" spans="1:18">
      <c r="A1301" s="15" t="str">
        <f t="shared" si="25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8" t="s">
        <v>75</v>
      </c>
      <c r="P1301" s="48">
        <f>HEX2DEC(RIGHT(Table132321275358[[#This Row],[h1]],8))</f>
        <v>0</v>
      </c>
      <c r="Q1301" s="48" t="s">
        <v>75</v>
      </c>
      <c r="R1301" s="48">
        <f>HEX2DEC(RIGHT(Table132321275358[[#This Row],[h2]],8))</f>
        <v>0</v>
      </c>
    </row>
    <row r="1302" spans="1:18">
      <c r="A1302" s="15" t="str">
        <f t="shared" si="25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8" t="s">
        <v>75</v>
      </c>
      <c r="P1302" s="48">
        <f>HEX2DEC(RIGHT(Table132321275358[[#This Row],[h1]],8))</f>
        <v>0</v>
      </c>
      <c r="Q1302" s="48" t="s">
        <v>75</v>
      </c>
      <c r="R1302" s="48">
        <f>HEX2DEC(RIGHT(Table132321275358[[#This Row],[h2]],8))</f>
        <v>0</v>
      </c>
    </row>
    <row r="1303" spans="1:18">
      <c r="A1303" s="15" t="str">
        <f t="shared" si="25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8" t="s">
        <v>75</v>
      </c>
      <c r="P1303" s="48">
        <f>HEX2DEC(RIGHT(Table132321275358[[#This Row],[h1]],8))</f>
        <v>0</v>
      </c>
      <c r="Q1303" s="48" t="s">
        <v>75</v>
      </c>
      <c r="R1303" s="48">
        <f>HEX2DEC(RIGHT(Table132321275358[[#This Row],[h2]],8))</f>
        <v>0</v>
      </c>
    </row>
    <row r="1304" spans="1:18">
      <c r="A1304" s="15" t="str">
        <f t="shared" si="25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8" t="s">
        <v>75</v>
      </c>
      <c r="P1304" s="48">
        <f>HEX2DEC(RIGHT(Table132321275358[[#This Row],[h1]],8))</f>
        <v>0</v>
      </c>
      <c r="Q1304" s="48" t="s">
        <v>75</v>
      </c>
      <c r="R1304" s="48">
        <f>HEX2DEC(RIGHT(Table132321275358[[#This Row],[h2]],8))</f>
        <v>0</v>
      </c>
    </row>
    <row r="1305" spans="1:18">
      <c r="A1305" s="15" t="str">
        <f t="shared" si="25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8" t="s">
        <v>75</v>
      </c>
      <c r="P1305" s="48">
        <f>HEX2DEC(RIGHT(Table132321275358[[#This Row],[h1]],8))</f>
        <v>0</v>
      </c>
      <c r="Q1305" s="48" t="s">
        <v>75</v>
      </c>
      <c r="R1305" s="48">
        <f>HEX2DEC(RIGHT(Table132321275358[[#This Row],[h2]],8))</f>
        <v>0</v>
      </c>
    </row>
    <row r="1306" spans="1:18">
      <c r="A1306" s="15" t="str">
        <f t="shared" si="25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8" t="s">
        <v>75</v>
      </c>
      <c r="P1306" s="48">
        <f>HEX2DEC(RIGHT(Table132321275358[[#This Row],[h1]],8))</f>
        <v>0</v>
      </c>
      <c r="Q1306" s="48" t="s">
        <v>75</v>
      </c>
      <c r="R1306" s="48">
        <f>HEX2DEC(RIGHT(Table132321275358[[#This Row],[h2]],8))</f>
        <v>0</v>
      </c>
    </row>
    <row r="1307" spans="1:18">
      <c r="A1307" s="15" t="str">
        <f t="shared" si="25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8" t="s">
        <v>75</v>
      </c>
      <c r="P1307" s="48">
        <f>HEX2DEC(RIGHT(Table132321275358[[#This Row],[h1]],8))</f>
        <v>0</v>
      </c>
      <c r="Q1307" s="48" t="s">
        <v>75</v>
      </c>
      <c r="R1307" s="48">
        <f>HEX2DEC(RIGHT(Table132321275358[[#This Row],[h2]],8))</f>
        <v>0</v>
      </c>
    </row>
    <row r="1308" spans="1:18">
      <c r="A1308" s="15" t="str">
        <f t="shared" si="25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8" t="s">
        <v>75</v>
      </c>
      <c r="P1308" s="48">
        <f>HEX2DEC(RIGHT(Table132321275358[[#This Row],[h1]],8))</f>
        <v>0</v>
      </c>
      <c r="Q1308" s="48" t="s">
        <v>75</v>
      </c>
      <c r="R1308" s="48">
        <f>HEX2DEC(RIGHT(Table132321275358[[#This Row],[h2]],8))</f>
        <v>0</v>
      </c>
    </row>
    <row r="1309" spans="1:18">
      <c r="A1309" s="15" t="str">
        <f t="shared" si="25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8" t="s">
        <v>75</v>
      </c>
      <c r="P1309" s="48">
        <f>HEX2DEC(RIGHT(Table132321275358[[#This Row],[h1]],8))</f>
        <v>0</v>
      </c>
      <c r="Q1309" s="48" t="s">
        <v>75</v>
      </c>
      <c r="R1309" s="48">
        <f>HEX2DEC(RIGHT(Table132321275358[[#This Row],[h2]],8))</f>
        <v>0</v>
      </c>
    </row>
    <row r="1310" spans="1:18">
      <c r="A1310" s="15" t="str">
        <f t="shared" si="25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8" t="s">
        <v>75</v>
      </c>
      <c r="P1310" s="48">
        <f>HEX2DEC(RIGHT(Table132321275358[[#This Row],[h1]],8))</f>
        <v>0</v>
      </c>
      <c r="Q1310" s="48" t="s">
        <v>75</v>
      </c>
      <c r="R1310" s="48">
        <f>HEX2DEC(RIGHT(Table132321275358[[#This Row],[h2]],8))</f>
        <v>0</v>
      </c>
    </row>
    <row r="1311" spans="1:18">
      <c r="A1311" s="15" t="str">
        <f t="shared" si="25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8" t="s">
        <v>75</v>
      </c>
      <c r="P1311" s="48">
        <f>HEX2DEC(RIGHT(Table132321275358[[#This Row],[h1]],8))</f>
        <v>0</v>
      </c>
      <c r="Q1311" s="48" t="s">
        <v>75</v>
      </c>
      <c r="R1311" s="48">
        <f>HEX2DEC(RIGHT(Table132321275358[[#This Row],[h2]],8))</f>
        <v>0</v>
      </c>
    </row>
    <row r="1312" spans="1:18">
      <c r="A1312" s="15" t="str">
        <f t="shared" si="25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8" t="s">
        <v>75</v>
      </c>
      <c r="P1312" s="48">
        <f>HEX2DEC(RIGHT(Table132321275358[[#This Row],[h1]],8))</f>
        <v>0</v>
      </c>
      <c r="Q1312" s="48" t="s">
        <v>75</v>
      </c>
      <c r="R1312" s="48">
        <f>HEX2DEC(RIGHT(Table132321275358[[#This Row],[h2]],8))</f>
        <v>0</v>
      </c>
    </row>
    <row r="1313" spans="1:18">
      <c r="A1313" s="15" t="str">
        <f t="shared" si="25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8" t="s">
        <v>75</v>
      </c>
      <c r="P1313" s="48">
        <f>HEX2DEC(RIGHT(Table132321275358[[#This Row],[h1]],8))</f>
        <v>0</v>
      </c>
      <c r="Q1313" s="48" t="s">
        <v>75</v>
      </c>
      <c r="R1313" s="48">
        <f>HEX2DEC(RIGHT(Table132321275358[[#This Row],[h2]],8))</f>
        <v>0</v>
      </c>
    </row>
    <row r="1314" spans="1:18">
      <c r="A1314" s="15" t="str">
        <f t="shared" si="25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8" t="s">
        <v>75</v>
      </c>
      <c r="P1314" s="48">
        <f>HEX2DEC(RIGHT(Table132321275358[[#This Row],[h1]],8))</f>
        <v>0</v>
      </c>
      <c r="Q1314" s="48" t="s">
        <v>75</v>
      </c>
      <c r="R1314" s="48">
        <f>HEX2DEC(RIGHT(Table132321275358[[#This Row],[h2]],8))</f>
        <v>0</v>
      </c>
    </row>
    <row r="1315" spans="1:18">
      <c r="A1315" s="15" t="str">
        <f t="shared" si="25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8" t="s">
        <v>75</v>
      </c>
      <c r="P1315" s="48">
        <f>HEX2DEC(RIGHT(Table132321275358[[#This Row],[h1]],8))</f>
        <v>0</v>
      </c>
      <c r="Q1315" s="48" t="s">
        <v>75</v>
      </c>
      <c r="R1315" s="48">
        <f>HEX2DEC(RIGHT(Table132321275358[[#This Row],[h2]],8))</f>
        <v>0</v>
      </c>
    </row>
    <row r="1316" spans="1:18">
      <c r="A1316" s="15" t="str">
        <f t="shared" si="25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8" t="s">
        <v>75</v>
      </c>
      <c r="P1316" s="48">
        <f>HEX2DEC(RIGHT(Table132321275358[[#This Row],[h1]],8))</f>
        <v>0</v>
      </c>
      <c r="Q1316" s="48" t="s">
        <v>75</v>
      </c>
      <c r="R1316" s="48">
        <f>HEX2DEC(RIGHT(Table132321275358[[#This Row],[h2]],8))</f>
        <v>0</v>
      </c>
    </row>
    <row r="1317" spans="1:18">
      <c r="A1317" s="15" t="str">
        <f t="shared" si="25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8" t="s">
        <v>75</v>
      </c>
      <c r="P1317" s="48">
        <f>HEX2DEC(RIGHT(Table132321275358[[#This Row],[h1]],8))</f>
        <v>0</v>
      </c>
      <c r="Q1317" s="48" t="s">
        <v>75</v>
      </c>
      <c r="R1317" s="48">
        <f>HEX2DEC(RIGHT(Table132321275358[[#This Row],[h2]],8))</f>
        <v>0</v>
      </c>
    </row>
    <row r="1318" spans="1:18">
      <c r="A1318" s="15" t="str">
        <f t="shared" si="25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8" t="s">
        <v>75</v>
      </c>
      <c r="P1318" s="48">
        <f>HEX2DEC(RIGHT(Table132321275358[[#This Row],[h1]],8))</f>
        <v>0</v>
      </c>
      <c r="Q1318" s="48" t="s">
        <v>75</v>
      </c>
      <c r="R1318" s="48">
        <f>HEX2DEC(RIGHT(Table132321275358[[#This Row],[h2]],8))</f>
        <v>0</v>
      </c>
    </row>
    <row r="1319" spans="1:18">
      <c r="A1319" s="15" t="str">
        <f t="shared" si="25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8" t="s">
        <v>75</v>
      </c>
      <c r="P1319" s="48">
        <f>HEX2DEC(RIGHT(Table132321275358[[#This Row],[h1]],8))</f>
        <v>0</v>
      </c>
      <c r="Q1319" s="48" t="s">
        <v>75</v>
      </c>
      <c r="R1319" s="48">
        <f>HEX2DEC(RIGHT(Table132321275358[[#This Row],[h2]],8))</f>
        <v>0</v>
      </c>
    </row>
    <row r="1320" spans="1:18">
      <c r="A1320" s="15" t="str">
        <f t="shared" si="25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8" t="s">
        <v>75</v>
      </c>
      <c r="P1320" s="48">
        <f>HEX2DEC(RIGHT(Table132321275358[[#This Row],[h1]],8))</f>
        <v>0</v>
      </c>
      <c r="Q1320" s="48" t="s">
        <v>75</v>
      </c>
      <c r="R1320" s="48">
        <f>HEX2DEC(RIGHT(Table132321275358[[#This Row],[h2]],8))</f>
        <v>0</v>
      </c>
    </row>
    <row r="1321" spans="1:18">
      <c r="A1321" s="15" t="str">
        <f t="shared" si="25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8" t="s">
        <v>75</v>
      </c>
      <c r="P1321" s="48">
        <f>HEX2DEC(RIGHT(Table132321275358[[#This Row],[h1]],8))</f>
        <v>0</v>
      </c>
      <c r="Q1321" s="48" t="s">
        <v>75</v>
      </c>
      <c r="R1321" s="48">
        <f>HEX2DEC(RIGHT(Table132321275358[[#This Row],[h2]],8))</f>
        <v>0</v>
      </c>
    </row>
    <row r="1322" spans="1:18">
      <c r="A1322" s="15" t="str">
        <f t="shared" si="25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8" t="s">
        <v>75</v>
      </c>
      <c r="P1322" s="48">
        <f>HEX2DEC(RIGHT(Table132321275358[[#This Row],[h1]],8))</f>
        <v>0</v>
      </c>
      <c r="Q1322" s="48" t="s">
        <v>75</v>
      </c>
      <c r="R1322" s="48">
        <f>HEX2DEC(RIGHT(Table132321275358[[#This Row],[h2]],8))</f>
        <v>0</v>
      </c>
    </row>
    <row r="1323" spans="1:18">
      <c r="A1323" s="15" t="str">
        <f t="shared" si="25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8" t="s">
        <v>75</v>
      </c>
      <c r="P1323" s="48">
        <f>HEX2DEC(RIGHT(Table132321275358[[#This Row],[h1]],8))</f>
        <v>0</v>
      </c>
      <c r="Q1323" s="48" t="s">
        <v>75</v>
      </c>
      <c r="R1323" s="48">
        <f>HEX2DEC(RIGHT(Table132321275358[[#This Row],[h2]],8))</f>
        <v>0</v>
      </c>
    </row>
    <row r="1324" spans="1:18">
      <c r="A1324" s="15" t="str">
        <f t="shared" si="25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8" t="s">
        <v>75</v>
      </c>
      <c r="P1324" s="48">
        <f>HEX2DEC(RIGHT(Table132321275358[[#This Row],[h1]],8))</f>
        <v>0</v>
      </c>
      <c r="Q1324" s="48" t="s">
        <v>75</v>
      </c>
      <c r="R1324" s="48">
        <f>HEX2DEC(RIGHT(Table132321275358[[#This Row],[h2]],8))</f>
        <v>0</v>
      </c>
    </row>
    <row r="1325" spans="1:18">
      <c r="A1325" s="15" t="str">
        <f t="shared" si="25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8" t="s">
        <v>75</v>
      </c>
      <c r="P1325" s="48">
        <f>HEX2DEC(RIGHT(Table132321275358[[#This Row],[h1]],8))</f>
        <v>0</v>
      </c>
      <c r="Q1325" s="48" t="s">
        <v>75</v>
      </c>
      <c r="R1325" s="48">
        <f>HEX2DEC(RIGHT(Table132321275358[[#This Row],[h2]],8))</f>
        <v>0</v>
      </c>
    </row>
    <row r="1326" spans="1:18">
      <c r="A1326" s="15" t="str">
        <f t="shared" si="25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8" t="s">
        <v>75</v>
      </c>
      <c r="P1326" s="48">
        <f>HEX2DEC(RIGHT(Table132321275358[[#This Row],[h1]],8))</f>
        <v>0</v>
      </c>
      <c r="Q1326" s="48" t="s">
        <v>75</v>
      </c>
      <c r="R1326" s="48">
        <f>HEX2DEC(RIGHT(Table132321275358[[#This Row],[h2]],8))</f>
        <v>0</v>
      </c>
    </row>
    <row r="1327" spans="1:18">
      <c r="A1327" s="15" t="str">
        <f t="shared" si="25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8" t="s">
        <v>75</v>
      </c>
      <c r="P1327" s="48">
        <f>HEX2DEC(RIGHT(Table132321275358[[#This Row],[h1]],8))</f>
        <v>0</v>
      </c>
      <c r="Q1327" s="48" t="s">
        <v>75</v>
      </c>
      <c r="R1327" s="48">
        <f>HEX2DEC(RIGHT(Table132321275358[[#This Row],[h2]],8))</f>
        <v>0</v>
      </c>
    </row>
    <row r="1328" spans="1:18">
      <c r="A1328" s="15" t="str">
        <f t="shared" si="25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8" t="s">
        <v>75</v>
      </c>
      <c r="P1328" s="48">
        <f>HEX2DEC(RIGHT(Table132321275358[[#This Row],[h1]],8))</f>
        <v>0</v>
      </c>
      <c r="Q1328" s="48" t="s">
        <v>75</v>
      </c>
      <c r="R1328" s="48">
        <f>HEX2DEC(RIGHT(Table132321275358[[#This Row],[h2]],8))</f>
        <v>0</v>
      </c>
    </row>
    <row r="1329" spans="1:18">
      <c r="A1329" s="15" t="str">
        <f t="shared" si="25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8" t="s">
        <v>75</v>
      </c>
      <c r="P1329" s="48">
        <f>HEX2DEC(RIGHT(Table132321275358[[#This Row],[h1]],8))</f>
        <v>0</v>
      </c>
      <c r="Q1329" s="48" t="s">
        <v>75</v>
      </c>
      <c r="R1329" s="48">
        <f>HEX2DEC(RIGHT(Table132321275358[[#This Row],[h2]],8))</f>
        <v>0</v>
      </c>
    </row>
    <row r="1330" spans="1:18">
      <c r="A1330" s="15" t="str">
        <f t="shared" si="25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8" t="s">
        <v>75</v>
      </c>
      <c r="P1330" s="48">
        <f>HEX2DEC(RIGHT(Table132321275358[[#This Row],[h1]],8))</f>
        <v>0</v>
      </c>
      <c r="Q1330" s="48" t="s">
        <v>75</v>
      </c>
      <c r="R1330" s="48">
        <f>HEX2DEC(RIGHT(Table132321275358[[#This Row],[h2]],8))</f>
        <v>0</v>
      </c>
    </row>
    <row r="1331" spans="1:18">
      <c r="A1331" s="15" t="str">
        <f t="shared" si="25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8" t="s">
        <v>75</v>
      </c>
      <c r="P1331" s="48">
        <f>HEX2DEC(RIGHT(Table132321275358[[#This Row],[h1]],8))</f>
        <v>0</v>
      </c>
      <c r="Q1331" s="48" t="s">
        <v>75</v>
      </c>
      <c r="R1331" s="48">
        <f>HEX2DEC(RIGHT(Table132321275358[[#This Row],[h2]],8))</f>
        <v>0</v>
      </c>
    </row>
    <row r="1332" spans="1:18">
      <c r="A1332" s="15" t="str">
        <f t="shared" si="25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8" t="s">
        <v>75</v>
      </c>
      <c r="P1332" s="48">
        <f>HEX2DEC(RIGHT(Table132321275358[[#This Row],[h1]],8))</f>
        <v>0</v>
      </c>
      <c r="Q1332" s="48" t="s">
        <v>75</v>
      </c>
      <c r="R1332" s="48">
        <f>HEX2DEC(RIGHT(Table132321275358[[#This Row],[h2]],8))</f>
        <v>0</v>
      </c>
    </row>
    <row r="1333" spans="1:18">
      <c r="A1333" s="15" t="str">
        <f t="shared" si="25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8" t="s">
        <v>75</v>
      </c>
      <c r="P1333" s="48">
        <f>HEX2DEC(RIGHT(Table132321275358[[#This Row],[h1]],8))</f>
        <v>0</v>
      </c>
      <c r="Q1333" s="48" t="s">
        <v>75</v>
      </c>
      <c r="R1333" s="48">
        <f>HEX2DEC(RIGHT(Table132321275358[[#This Row],[h2]],8))</f>
        <v>0</v>
      </c>
    </row>
    <row r="1334" spans="1:18">
      <c r="A1334" s="15" t="str">
        <f t="shared" si="25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8" t="s">
        <v>75</v>
      </c>
      <c r="P1334" s="48">
        <f>HEX2DEC(RIGHT(Table132321275358[[#This Row],[h1]],8))</f>
        <v>0</v>
      </c>
      <c r="Q1334" s="48" t="s">
        <v>75</v>
      </c>
      <c r="R1334" s="48">
        <f>HEX2DEC(RIGHT(Table132321275358[[#This Row],[h2]],8))</f>
        <v>0</v>
      </c>
    </row>
    <row r="1335" spans="1:18">
      <c r="A1335" s="15" t="str">
        <f t="shared" si="25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8" t="s">
        <v>75</v>
      </c>
      <c r="P1335" s="48">
        <f>HEX2DEC(RIGHT(Table132321275358[[#This Row],[h1]],8))</f>
        <v>0</v>
      </c>
      <c r="Q1335" s="48" t="s">
        <v>75</v>
      </c>
      <c r="R1335" s="48">
        <f>HEX2DEC(RIGHT(Table132321275358[[#This Row],[h2]],8))</f>
        <v>0</v>
      </c>
    </row>
    <row r="1336" spans="1:18">
      <c r="A1336" s="15" t="str">
        <f t="shared" si="25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8" t="s">
        <v>75</v>
      </c>
      <c r="P1336" s="48">
        <f>HEX2DEC(RIGHT(Table132321275358[[#This Row],[h1]],8))</f>
        <v>0</v>
      </c>
      <c r="Q1336" s="48" t="s">
        <v>75</v>
      </c>
      <c r="R1336" s="48">
        <f>HEX2DEC(RIGHT(Table132321275358[[#This Row],[h2]],8))</f>
        <v>0</v>
      </c>
    </row>
    <row r="1337" spans="1:18">
      <c r="A1337" s="15" t="str">
        <f t="shared" si="25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8" t="s">
        <v>75</v>
      </c>
      <c r="P1337" s="48">
        <f>HEX2DEC(RIGHT(Table132321275358[[#This Row],[h1]],8))</f>
        <v>0</v>
      </c>
      <c r="Q1337" s="48" t="s">
        <v>75</v>
      </c>
      <c r="R1337" s="48">
        <f>HEX2DEC(RIGHT(Table132321275358[[#This Row],[h2]],8))</f>
        <v>0</v>
      </c>
    </row>
    <row r="1338" spans="1:18">
      <c r="A1338" s="15" t="str">
        <f t="shared" si="25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8" t="s">
        <v>75</v>
      </c>
      <c r="P1338" s="48">
        <f>HEX2DEC(RIGHT(Table132321275358[[#This Row],[h1]],8))</f>
        <v>0</v>
      </c>
      <c r="Q1338" s="48" t="s">
        <v>75</v>
      </c>
      <c r="R1338" s="48">
        <f>HEX2DEC(RIGHT(Table132321275358[[#This Row],[h2]],8))</f>
        <v>0</v>
      </c>
    </row>
    <row r="1339" spans="1:18">
      <c r="A1339" s="15" t="str">
        <f t="shared" si="25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8" t="s">
        <v>75</v>
      </c>
      <c r="P1339" s="48">
        <f>HEX2DEC(RIGHT(Table132321275358[[#This Row],[h1]],8))</f>
        <v>0</v>
      </c>
      <c r="Q1339" s="48" t="s">
        <v>75</v>
      </c>
      <c r="R1339" s="48">
        <f>HEX2DEC(RIGHT(Table132321275358[[#This Row],[h2]],8))</f>
        <v>0</v>
      </c>
    </row>
    <row r="1340" spans="1:18">
      <c r="A1340" s="15" t="str">
        <f t="shared" si="25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8" t="s">
        <v>75</v>
      </c>
      <c r="P1340" s="48">
        <f>HEX2DEC(RIGHT(Table132321275358[[#This Row],[h1]],8))</f>
        <v>0</v>
      </c>
      <c r="Q1340" s="48" t="s">
        <v>75</v>
      </c>
      <c r="R1340" s="48">
        <f>HEX2DEC(RIGHT(Table132321275358[[#This Row],[h2]],8))</f>
        <v>0</v>
      </c>
    </row>
    <row r="1341" spans="1:18">
      <c r="A1341" s="15" t="str">
        <f t="shared" si="25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8" t="s">
        <v>75</v>
      </c>
      <c r="P1341" s="48">
        <f>HEX2DEC(RIGHT(Table132321275358[[#This Row],[h1]],8))</f>
        <v>0</v>
      </c>
      <c r="Q1341" s="48" t="s">
        <v>75</v>
      </c>
      <c r="R1341" s="48">
        <f>HEX2DEC(RIGHT(Table132321275358[[#This Row],[h2]],8))</f>
        <v>0</v>
      </c>
    </row>
    <row r="1342" spans="1:18">
      <c r="A1342" s="15" t="str">
        <f t="shared" si="25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8" t="s">
        <v>75</v>
      </c>
      <c r="P1342" s="48">
        <f>HEX2DEC(RIGHT(Table132321275358[[#This Row],[h1]],8))</f>
        <v>0</v>
      </c>
      <c r="Q1342" s="48" t="s">
        <v>75</v>
      </c>
      <c r="R1342" s="48">
        <f>HEX2DEC(RIGHT(Table132321275358[[#This Row],[h2]],8))</f>
        <v>0</v>
      </c>
    </row>
    <row r="1343" spans="1:18">
      <c r="A1343" s="15" t="str">
        <f t="shared" si="25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8" t="s">
        <v>75</v>
      </c>
      <c r="P1343" s="48">
        <f>HEX2DEC(RIGHT(Table132321275358[[#This Row],[h1]],8))</f>
        <v>0</v>
      </c>
      <c r="Q1343" s="48" t="s">
        <v>75</v>
      </c>
      <c r="R1343" s="48">
        <f>HEX2DEC(RIGHT(Table132321275358[[#This Row],[h2]],8))</f>
        <v>0</v>
      </c>
    </row>
    <row r="1344" spans="1:18">
      <c r="A1344" s="15" t="str">
        <f t="shared" si="25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8" t="s">
        <v>75</v>
      </c>
      <c r="P1344" s="48">
        <f>HEX2DEC(RIGHT(Table132321275358[[#This Row],[h1]],8))</f>
        <v>0</v>
      </c>
      <c r="Q1344" s="48" t="s">
        <v>75</v>
      </c>
      <c r="R1344" s="48">
        <f>HEX2DEC(RIGHT(Table132321275358[[#This Row],[h2]],8))</f>
        <v>0</v>
      </c>
    </row>
    <row r="1345" spans="1:18">
      <c r="A1345" s="15" t="str">
        <f t="shared" si="25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8" t="s">
        <v>75</v>
      </c>
      <c r="P1345" s="48">
        <f>HEX2DEC(RIGHT(Table132321275358[[#This Row],[h1]],8))</f>
        <v>0</v>
      </c>
      <c r="Q1345" s="48" t="s">
        <v>75</v>
      </c>
      <c r="R1345" s="48">
        <f>HEX2DEC(RIGHT(Table132321275358[[#This Row],[h2]],8))</f>
        <v>0</v>
      </c>
    </row>
    <row r="1346" spans="1:18">
      <c r="A1346" s="15" t="str">
        <f t="shared" si="25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8" t="s">
        <v>75</v>
      </c>
      <c r="P1346" s="48">
        <f>HEX2DEC(RIGHT(Table132321275358[[#This Row],[h1]],8))</f>
        <v>0</v>
      </c>
      <c r="Q1346" s="48" t="s">
        <v>75</v>
      </c>
      <c r="R1346" s="48">
        <f>HEX2DEC(RIGHT(Table132321275358[[#This Row],[h2]],8))</f>
        <v>0</v>
      </c>
    </row>
    <row r="1347" spans="1:18">
      <c r="A1347" s="15" t="str">
        <f t="shared" si="25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8" t="s">
        <v>75</v>
      </c>
      <c r="P1347" s="48">
        <f>HEX2DEC(RIGHT(Table132321275358[[#This Row],[h1]],8))</f>
        <v>0</v>
      </c>
      <c r="Q1347" s="48" t="s">
        <v>75</v>
      </c>
      <c r="R1347" s="48">
        <f>HEX2DEC(RIGHT(Table132321275358[[#This Row],[h2]],8))</f>
        <v>0</v>
      </c>
    </row>
    <row r="1348" spans="1:18">
      <c r="A1348" s="15" t="str">
        <f t="shared" si="25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8" t="s">
        <v>75</v>
      </c>
      <c r="P1348" s="48">
        <f>HEX2DEC(RIGHT(Table132321275358[[#This Row],[h1]],8))</f>
        <v>0</v>
      </c>
      <c r="Q1348" s="48" t="s">
        <v>75</v>
      </c>
      <c r="R1348" s="48">
        <f>HEX2DEC(RIGHT(Table132321275358[[#This Row],[h2]],8))</f>
        <v>0</v>
      </c>
    </row>
    <row r="1349" spans="1:18">
      <c r="A1349" s="15" t="str">
        <f t="shared" si="25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8" t="s">
        <v>75</v>
      </c>
      <c r="P1349" s="48">
        <f>HEX2DEC(RIGHT(Table132321275358[[#This Row],[h1]],8))</f>
        <v>0</v>
      </c>
      <c r="Q1349" s="48" t="s">
        <v>75</v>
      </c>
      <c r="R1349" s="48">
        <f>HEX2DEC(RIGHT(Table132321275358[[#This Row],[h2]],8))</f>
        <v>0</v>
      </c>
    </row>
    <row r="1350" spans="1:18">
      <c r="A1350" s="15" t="str">
        <f t="shared" si="25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8" t="s">
        <v>75</v>
      </c>
      <c r="P1350" s="48">
        <f>HEX2DEC(RIGHT(Table132321275358[[#This Row],[h1]],8))</f>
        <v>0</v>
      </c>
      <c r="Q1350" s="48" t="s">
        <v>75</v>
      </c>
      <c r="R1350" s="48">
        <f>HEX2DEC(RIGHT(Table132321275358[[#This Row],[h2]],8))</f>
        <v>0</v>
      </c>
    </row>
    <row r="1351" spans="1:18">
      <c r="A1351" s="15" t="str">
        <f t="shared" si="25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8" t="s">
        <v>75</v>
      </c>
      <c r="P1351" s="48">
        <f>HEX2DEC(RIGHT(Table132321275358[[#This Row],[h1]],8))</f>
        <v>0</v>
      </c>
      <c r="Q1351" s="48" t="s">
        <v>75</v>
      </c>
      <c r="R1351" s="48">
        <f>HEX2DEC(RIGHT(Table132321275358[[#This Row],[h2]],8))</f>
        <v>0</v>
      </c>
    </row>
    <row r="1352" spans="1:18">
      <c r="A1352" s="15" t="str">
        <f t="shared" si="25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8" t="s">
        <v>75</v>
      </c>
      <c r="P1352" s="48">
        <f>HEX2DEC(RIGHT(Table132321275358[[#This Row],[h1]],8))</f>
        <v>0</v>
      </c>
      <c r="Q1352" s="48" t="s">
        <v>75</v>
      </c>
      <c r="R1352" s="48">
        <f>HEX2DEC(RIGHT(Table132321275358[[#This Row],[h2]],8))</f>
        <v>0</v>
      </c>
    </row>
    <row r="1353" spans="1:18">
      <c r="A1353" s="15" t="str">
        <f t="shared" si="25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8" t="s">
        <v>75</v>
      </c>
      <c r="P1353" s="48">
        <f>HEX2DEC(RIGHT(Table132321275358[[#This Row],[h1]],8))</f>
        <v>0</v>
      </c>
      <c r="Q1353" s="48" t="s">
        <v>75</v>
      </c>
      <c r="R1353" s="48">
        <f>HEX2DEC(RIGHT(Table132321275358[[#This Row],[h2]],8))</f>
        <v>0</v>
      </c>
    </row>
    <row r="1354" spans="1:18">
      <c r="A1354" s="15" t="str">
        <f t="shared" si="25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8" t="s">
        <v>75</v>
      </c>
      <c r="P1354" s="48">
        <f>HEX2DEC(RIGHT(Table132321275358[[#This Row],[h1]],8))</f>
        <v>0</v>
      </c>
      <c r="Q1354" s="48" t="s">
        <v>75</v>
      </c>
      <c r="R1354" s="48">
        <f>HEX2DEC(RIGHT(Table132321275358[[#This Row],[h2]],8))</f>
        <v>0</v>
      </c>
    </row>
    <row r="1355" spans="1:18">
      <c r="A1355" s="15" t="str">
        <f t="shared" ref="A1355:A1418" si="26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8" t="s">
        <v>75</v>
      </c>
      <c r="P1355" s="48">
        <f>HEX2DEC(RIGHT(Table132321275358[[#This Row],[h1]],8))</f>
        <v>0</v>
      </c>
      <c r="Q1355" s="48" t="s">
        <v>75</v>
      </c>
      <c r="R1355" s="48">
        <f>HEX2DEC(RIGHT(Table132321275358[[#This Row],[h2]],8))</f>
        <v>0</v>
      </c>
    </row>
    <row r="1356" spans="1:18">
      <c r="A1356" s="15" t="str">
        <f t="shared" si="26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8" t="s">
        <v>75</v>
      </c>
      <c r="P1356" s="48">
        <f>HEX2DEC(RIGHT(Table132321275358[[#This Row],[h1]],8))</f>
        <v>0</v>
      </c>
      <c r="Q1356" s="48" t="s">
        <v>75</v>
      </c>
      <c r="R1356" s="48">
        <f>HEX2DEC(RIGHT(Table132321275358[[#This Row],[h2]],8))</f>
        <v>0</v>
      </c>
    </row>
    <row r="1357" spans="1:18">
      <c r="A1357" s="15" t="str">
        <f t="shared" si="26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8" t="s">
        <v>75</v>
      </c>
      <c r="P1357" s="48">
        <f>HEX2DEC(RIGHT(Table132321275358[[#This Row],[h1]],8))</f>
        <v>0</v>
      </c>
      <c r="Q1357" s="48" t="s">
        <v>75</v>
      </c>
      <c r="R1357" s="48">
        <f>HEX2DEC(RIGHT(Table132321275358[[#This Row],[h2]],8))</f>
        <v>0</v>
      </c>
    </row>
    <row r="1358" spans="1:18">
      <c r="A1358" s="15" t="str">
        <f t="shared" si="26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8" t="s">
        <v>75</v>
      </c>
      <c r="P1358" s="48">
        <f>HEX2DEC(RIGHT(Table132321275358[[#This Row],[h1]],8))</f>
        <v>0</v>
      </c>
      <c r="Q1358" s="48" t="s">
        <v>75</v>
      </c>
      <c r="R1358" s="48">
        <f>HEX2DEC(RIGHT(Table132321275358[[#This Row],[h2]],8))</f>
        <v>0</v>
      </c>
    </row>
    <row r="1359" spans="1:18">
      <c r="A1359" s="15" t="str">
        <f t="shared" si="26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8" t="s">
        <v>75</v>
      </c>
      <c r="P1359" s="48">
        <f>HEX2DEC(RIGHT(Table132321275358[[#This Row],[h1]],8))</f>
        <v>0</v>
      </c>
      <c r="Q1359" s="48" t="s">
        <v>75</v>
      </c>
      <c r="R1359" s="48">
        <f>HEX2DEC(RIGHT(Table132321275358[[#This Row],[h2]],8))</f>
        <v>0</v>
      </c>
    </row>
    <row r="1360" spans="1:18">
      <c r="A1360" s="15" t="str">
        <f t="shared" si="26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8" t="s">
        <v>75</v>
      </c>
      <c r="P1360" s="48">
        <f>HEX2DEC(RIGHT(Table132321275358[[#This Row],[h1]],8))</f>
        <v>0</v>
      </c>
      <c r="Q1360" s="48" t="s">
        <v>75</v>
      </c>
      <c r="R1360" s="48">
        <f>HEX2DEC(RIGHT(Table132321275358[[#This Row],[h2]],8))</f>
        <v>0</v>
      </c>
    </row>
    <row r="1361" spans="1:18">
      <c r="A1361" s="15" t="str">
        <f t="shared" si="26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8" t="s">
        <v>75</v>
      </c>
      <c r="P1361" s="48">
        <f>HEX2DEC(RIGHT(Table132321275358[[#This Row],[h1]],8))</f>
        <v>0</v>
      </c>
      <c r="Q1361" s="48" t="s">
        <v>75</v>
      </c>
      <c r="R1361" s="48">
        <f>HEX2DEC(RIGHT(Table132321275358[[#This Row],[h2]],8))</f>
        <v>0</v>
      </c>
    </row>
    <row r="1362" spans="1:18">
      <c r="A1362" s="15" t="str">
        <f t="shared" si="26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8" t="s">
        <v>75</v>
      </c>
      <c r="P1362" s="48">
        <f>HEX2DEC(RIGHT(Table132321275358[[#This Row],[h1]],8))</f>
        <v>0</v>
      </c>
      <c r="Q1362" s="48" t="s">
        <v>75</v>
      </c>
      <c r="R1362" s="48">
        <f>HEX2DEC(RIGHT(Table132321275358[[#This Row],[h2]],8))</f>
        <v>0</v>
      </c>
    </row>
    <row r="1363" spans="1:18">
      <c r="A1363" s="15" t="str">
        <f t="shared" si="26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8" t="s">
        <v>75</v>
      </c>
      <c r="P1363" s="48">
        <f>HEX2DEC(RIGHT(Table132321275358[[#This Row],[h1]],8))</f>
        <v>0</v>
      </c>
      <c r="Q1363" s="48" t="s">
        <v>75</v>
      </c>
      <c r="R1363" s="48">
        <f>HEX2DEC(RIGHT(Table132321275358[[#This Row],[h2]],8))</f>
        <v>0</v>
      </c>
    </row>
    <row r="1364" spans="1:18">
      <c r="A1364" s="15" t="str">
        <f t="shared" si="26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8" t="s">
        <v>75</v>
      </c>
      <c r="P1364" s="48">
        <f>HEX2DEC(RIGHT(Table132321275358[[#This Row],[h1]],8))</f>
        <v>0</v>
      </c>
      <c r="Q1364" s="48" t="s">
        <v>75</v>
      </c>
      <c r="R1364" s="48">
        <f>HEX2DEC(RIGHT(Table132321275358[[#This Row],[h2]],8))</f>
        <v>0</v>
      </c>
    </row>
    <row r="1365" spans="1:18">
      <c r="A1365" s="15" t="str">
        <f t="shared" si="26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8" t="s">
        <v>75</v>
      </c>
      <c r="P1365" s="48">
        <f>HEX2DEC(RIGHT(Table132321275358[[#This Row],[h1]],8))</f>
        <v>0</v>
      </c>
      <c r="Q1365" s="48" t="s">
        <v>75</v>
      </c>
      <c r="R1365" s="48">
        <f>HEX2DEC(RIGHT(Table132321275358[[#This Row],[h2]],8))</f>
        <v>0</v>
      </c>
    </row>
    <row r="1366" spans="1:18">
      <c r="A1366" s="15" t="str">
        <f t="shared" si="26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8" t="s">
        <v>75</v>
      </c>
      <c r="P1366" s="48">
        <f>HEX2DEC(RIGHT(Table132321275358[[#This Row],[h1]],8))</f>
        <v>0</v>
      </c>
      <c r="Q1366" s="48" t="s">
        <v>75</v>
      </c>
      <c r="R1366" s="48">
        <f>HEX2DEC(RIGHT(Table132321275358[[#This Row],[h2]],8))</f>
        <v>0</v>
      </c>
    </row>
    <row r="1367" spans="1:18">
      <c r="A1367" s="15" t="str">
        <f t="shared" si="26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8" t="s">
        <v>75</v>
      </c>
      <c r="P1367" s="48">
        <f>HEX2DEC(RIGHT(Table132321275358[[#This Row],[h1]],8))</f>
        <v>0</v>
      </c>
      <c r="Q1367" s="48" t="s">
        <v>75</v>
      </c>
      <c r="R1367" s="48">
        <f>HEX2DEC(RIGHT(Table132321275358[[#This Row],[h2]],8))</f>
        <v>0</v>
      </c>
    </row>
    <row r="1368" spans="1:18">
      <c r="A1368" s="15" t="str">
        <f t="shared" si="26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8" t="s">
        <v>75</v>
      </c>
      <c r="P1368" s="48">
        <f>HEX2DEC(RIGHT(Table132321275358[[#This Row],[h1]],8))</f>
        <v>0</v>
      </c>
      <c r="Q1368" s="48" t="s">
        <v>75</v>
      </c>
      <c r="R1368" s="48">
        <f>HEX2DEC(RIGHT(Table132321275358[[#This Row],[h2]],8))</f>
        <v>0</v>
      </c>
    </row>
    <row r="1369" spans="1:18">
      <c r="A1369" s="15" t="str">
        <f t="shared" si="26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8" t="s">
        <v>75</v>
      </c>
      <c r="P1369" s="48">
        <f>HEX2DEC(RIGHT(Table132321275358[[#This Row],[h1]],8))</f>
        <v>0</v>
      </c>
      <c r="Q1369" s="48" t="s">
        <v>75</v>
      </c>
      <c r="R1369" s="48">
        <f>HEX2DEC(RIGHT(Table132321275358[[#This Row],[h2]],8))</f>
        <v>0</v>
      </c>
    </row>
    <row r="1370" spans="1:18">
      <c r="A1370" s="15" t="str">
        <f t="shared" si="26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8" t="s">
        <v>75</v>
      </c>
      <c r="P1370" s="48">
        <f>HEX2DEC(RIGHT(Table132321275358[[#This Row],[h1]],8))</f>
        <v>0</v>
      </c>
      <c r="Q1370" s="48" t="s">
        <v>75</v>
      </c>
      <c r="R1370" s="48">
        <f>HEX2DEC(RIGHT(Table132321275358[[#This Row],[h2]],8))</f>
        <v>0</v>
      </c>
    </row>
    <row r="1371" spans="1:18">
      <c r="A1371" s="15" t="str">
        <f t="shared" si="26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8" t="s">
        <v>75</v>
      </c>
      <c r="P1371" s="48">
        <f>HEX2DEC(RIGHT(Table132321275358[[#This Row],[h1]],8))</f>
        <v>0</v>
      </c>
      <c r="Q1371" s="48" t="s">
        <v>75</v>
      </c>
      <c r="R1371" s="48">
        <f>HEX2DEC(RIGHT(Table132321275358[[#This Row],[h2]],8))</f>
        <v>0</v>
      </c>
    </row>
    <row r="1372" spans="1:18">
      <c r="A1372" s="15" t="str">
        <f t="shared" si="26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8" t="s">
        <v>75</v>
      </c>
      <c r="P1372" s="48">
        <f>HEX2DEC(RIGHT(Table132321275358[[#This Row],[h1]],8))</f>
        <v>0</v>
      </c>
      <c r="Q1372" s="48" t="s">
        <v>75</v>
      </c>
      <c r="R1372" s="48">
        <f>HEX2DEC(RIGHT(Table132321275358[[#This Row],[h2]],8))</f>
        <v>0</v>
      </c>
    </row>
    <row r="1373" spans="1:18">
      <c r="A1373" s="15" t="str">
        <f t="shared" si="26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8" t="s">
        <v>75</v>
      </c>
      <c r="P1373" s="48">
        <f>HEX2DEC(RIGHT(Table132321275358[[#This Row],[h1]],8))</f>
        <v>0</v>
      </c>
      <c r="Q1373" s="48" t="s">
        <v>75</v>
      </c>
      <c r="R1373" s="48">
        <f>HEX2DEC(RIGHT(Table132321275358[[#This Row],[h2]],8))</f>
        <v>0</v>
      </c>
    </row>
    <row r="1374" spans="1:18">
      <c r="A1374" s="15" t="str">
        <f t="shared" si="26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8" t="s">
        <v>75</v>
      </c>
      <c r="P1374" s="48">
        <f>HEX2DEC(RIGHT(Table132321275358[[#This Row],[h1]],8))</f>
        <v>0</v>
      </c>
      <c r="Q1374" s="48" t="s">
        <v>75</v>
      </c>
      <c r="R1374" s="48">
        <f>HEX2DEC(RIGHT(Table132321275358[[#This Row],[h2]],8))</f>
        <v>0</v>
      </c>
    </row>
    <row r="1375" spans="1:18">
      <c r="A1375" s="15" t="str">
        <f t="shared" si="26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8" t="s">
        <v>75</v>
      </c>
      <c r="P1375" s="48">
        <f>HEX2DEC(RIGHT(Table132321275358[[#This Row],[h1]],8))</f>
        <v>0</v>
      </c>
      <c r="Q1375" s="48" t="s">
        <v>75</v>
      </c>
      <c r="R1375" s="48">
        <f>HEX2DEC(RIGHT(Table132321275358[[#This Row],[h2]],8))</f>
        <v>0</v>
      </c>
    </row>
    <row r="1376" spans="1:18">
      <c r="A1376" s="15" t="str">
        <f t="shared" si="26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8" t="s">
        <v>75</v>
      </c>
      <c r="P1376" s="48">
        <f>HEX2DEC(RIGHT(Table132321275358[[#This Row],[h1]],8))</f>
        <v>0</v>
      </c>
      <c r="Q1376" s="48" t="s">
        <v>75</v>
      </c>
      <c r="R1376" s="48">
        <f>HEX2DEC(RIGHT(Table132321275358[[#This Row],[h2]],8))</f>
        <v>0</v>
      </c>
    </row>
    <row r="1377" spans="1:18">
      <c r="A1377" s="15" t="str">
        <f t="shared" si="26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8" t="s">
        <v>75</v>
      </c>
      <c r="P1377" s="48">
        <f>HEX2DEC(RIGHT(Table132321275358[[#This Row],[h1]],8))</f>
        <v>0</v>
      </c>
      <c r="Q1377" s="48" t="s">
        <v>75</v>
      </c>
      <c r="R1377" s="48">
        <f>HEX2DEC(RIGHT(Table132321275358[[#This Row],[h2]],8))</f>
        <v>0</v>
      </c>
    </row>
    <row r="1378" spans="1:18">
      <c r="A1378" s="15" t="str">
        <f t="shared" si="26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8" t="s">
        <v>75</v>
      </c>
      <c r="P1378" s="48">
        <f>HEX2DEC(RIGHT(Table132321275358[[#This Row],[h1]],8))</f>
        <v>0</v>
      </c>
      <c r="Q1378" s="48" t="s">
        <v>75</v>
      </c>
      <c r="R1378" s="48">
        <f>HEX2DEC(RIGHT(Table132321275358[[#This Row],[h2]],8))</f>
        <v>0</v>
      </c>
    </row>
    <row r="1379" spans="1:18">
      <c r="A1379" s="15" t="str">
        <f t="shared" si="26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8" t="s">
        <v>75</v>
      </c>
      <c r="P1379" s="48">
        <f>HEX2DEC(RIGHT(Table132321275358[[#This Row],[h1]],8))</f>
        <v>0</v>
      </c>
      <c r="Q1379" s="48" t="s">
        <v>75</v>
      </c>
      <c r="R1379" s="48">
        <f>HEX2DEC(RIGHT(Table132321275358[[#This Row],[h2]],8))</f>
        <v>0</v>
      </c>
    </row>
    <row r="1380" spans="1:18">
      <c r="A1380" s="15" t="str">
        <f t="shared" si="26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8" t="s">
        <v>75</v>
      </c>
      <c r="P1380" s="48">
        <f>HEX2DEC(RIGHT(Table132321275358[[#This Row],[h1]],8))</f>
        <v>0</v>
      </c>
      <c r="Q1380" s="48" t="s">
        <v>75</v>
      </c>
      <c r="R1380" s="48">
        <f>HEX2DEC(RIGHT(Table132321275358[[#This Row],[h2]],8))</f>
        <v>0</v>
      </c>
    </row>
    <row r="1381" spans="1:18">
      <c r="A1381" s="15" t="str">
        <f t="shared" si="26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8" t="s">
        <v>75</v>
      </c>
      <c r="P1381" s="48">
        <f>HEX2DEC(RIGHT(Table132321275358[[#This Row],[h1]],8))</f>
        <v>0</v>
      </c>
      <c r="Q1381" s="48" t="s">
        <v>75</v>
      </c>
      <c r="R1381" s="48">
        <f>HEX2DEC(RIGHT(Table132321275358[[#This Row],[h2]],8))</f>
        <v>0</v>
      </c>
    </row>
    <row r="1382" spans="1:18">
      <c r="A1382" s="15" t="str">
        <f t="shared" si="26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8" t="s">
        <v>75</v>
      </c>
      <c r="P1382" s="48">
        <f>HEX2DEC(RIGHT(Table132321275358[[#This Row],[h1]],8))</f>
        <v>0</v>
      </c>
      <c r="Q1382" s="48" t="s">
        <v>75</v>
      </c>
      <c r="R1382" s="48">
        <f>HEX2DEC(RIGHT(Table132321275358[[#This Row],[h2]],8))</f>
        <v>0</v>
      </c>
    </row>
    <row r="1383" spans="1:18">
      <c r="A1383" s="15" t="str">
        <f t="shared" si="26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8" t="s">
        <v>75</v>
      </c>
      <c r="P1383" s="48">
        <f>HEX2DEC(RIGHT(Table132321275358[[#This Row],[h1]],8))</f>
        <v>0</v>
      </c>
      <c r="Q1383" s="48" t="s">
        <v>75</v>
      </c>
      <c r="R1383" s="48">
        <f>HEX2DEC(RIGHT(Table132321275358[[#This Row],[h2]],8))</f>
        <v>0</v>
      </c>
    </row>
    <row r="1384" spans="1:18">
      <c r="A1384" s="15" t="str">
        <f t="shared" si="26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8" t="s">
        <v>75</v>
      </c>
      <c r="P1384" s="48">
        <f>HEX2DEC(RIGHT(Table132321275358[[#This Row],[h1]],8))</f>
        <v>0</v>
      </c>
      <c r="Q1384" s="48" t="s">
        <v>75</v>
      </c>
      <c r="R1384" s="48">
        <f>HEX2DEC(RIGHT(Table132321275358[[#This Row],[h2]],8))</f>
        <v>0</v>
      </c>
    </row>
    <row r="1385" spans="1:18">
      <c r="A1385" s="15" t="str">
        <f t="shared" si="26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8" t="s">
        <v>75</v>
      </c>
      <c r="P1385" s="48">
        <f>HEX2DEC(RIGHT(Table132321275358[[#This Row],[h1]],8))</f>
        <v>0</v>
      </c>
      <c r="Q1385" s="48" t="s">
        <v>75</v>
      </c>
      <c r="R1385" s="48">
        <f>HEX2DEC(RIGHT(Table132321275358[[#This Row],[h2]],8))</f>
        <v>0</v>
      </c>
    </row>
    <row r="1386" spans="1:18">
      <c r="A1386" s="15" t="str">
        <f t="shared" si="26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8" t="s">
        <v>75</v>
      </c>
      <c r="P1386" s="48">
        <f>HEX2DEC(RIGHT(Table132321275358[[#This Row],[h1]],8))</f>
        <v>0</v>
      </c>
      <c r="Q1386" s="48" t="s">
        <v>75</v>
      </c>
      <c r="R1386" s="48">
        <f>HEX2DEC(RIGHT(Table132321275358[[#This Row],[h2]],8))</f>
        <v>0</v>
      </c>
    </row>
    <row r="1387" spans="1:18">
      <c r="A1387" s="15" t="str">
        <f t="shared" si="26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8" t="s">
        <v>75</v>
      </c>
      <c r="P1387" s="48">
        <f>HEX2DEC(RIGHT(Table132321275358[[#This Row],[h1]],8))</f>
        <v>0</v>
      </c>
      <c r="Q1387" s="48" t="s">
        <v>75</v>
      </c>
      <c r="R1387" s="48">
        <f>HEX2DEC(RIGHT(Table132321275358[[#This Row],[h2]],8))</f>
        <v>0</v>
      </c>
    </row>
    <row r="1388" spans="1:18">
      <c r="A1388" s="15" t="str">
        <f t="shared" si="26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8" t="s">
        <v>75</v>
      </c>
      <c r="P1388" s="48">
        <f>HEX2DEC(RIGHT(Table132321275358[[#This Row],[h1]],8))</f>
        <v>0</v>
      </c>
      <c r="Q1388" s="48" t="s">
        <v>75</v>
      </c>
      <c r="R1388" s="48">
        <f>HEX2DEC(RIGHT(Table132321275358[[#This Row],[h2]],8))</f>
        <v>0</v>
      </c>
    </row>
    <row r="1389" spans="1:18">
      <c r="A1389" s="15" t="str">
        <f t="shared" si="26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8" t="s">
        <v>75</v>
      </c>
      <c r="P1389" s="48">
        <f>HEX2DEC(RIGHT(Table132321275358[[#This Row],[h1]],8))</f>
        <v>0</v>
      </c>
      <c r="Q1389" s="48" t="s">
        <v>75</v>
      </c>
      <c r="R1389" s="48">
        <f>HEX2DEC(RIGHT(Table132321275358[[#This Row],[h2]],8))</f>
        <v>0</v>
      </c>
    </row>
    <row r="1390" spans="1:18">
      <c r="A1390" s="15" t="str">
        <f t="shared" si="26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8" t="s">
        <v>75</v>
      </c>
      <c r="P1390" s="48">
        <f>HEX2DEC(RIGHT(Table132321275358[[#This Row],[h1]],8))</f>
        <v>0</v>
      </c>
      <c r="Q1390" s="48" t="s">
        <v>75</v>
      </c>
      <c r="R1390" s="48">
        <f>HEX2DEC(RIGHT(Table132321275358[[#This Row],[h2]],8))</f>
        <v>0</v>
      </c>
    </row>
    <row r="1391" spans="1:18">
      <c r="A1391" s="15" t="str">
        <f t="shared" si="26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8" t="s">
        <v>75</v>
      </c>
      <c r="P1391" s="48">
        <f>HEX2DEC(RIGHT(Table132321275358[[#This Row],[h1]],8))</f>
        <v>0</v>
      </c>
      <c r="Q1391" s="48" t="s">
        <v>75</v>
      </c>
      <c r="R1391" s="48">
        <f>HEX2DEC(RIGHT(Table132321275358[[#This Row],[h2]],8))</f>
        <v>0</v>
      </c>
    </row>
    <row r="1392" spans="1:18">
      <c r="A1392" s="15" t="str">
        <f t="shared" si="26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8" t="s">
        <v>75</v>
      </c>
      <c r="P1392" s="48">
        <f>HEX2DEC(RIGHT(Table132321275358[[#This Row],[h1]],8))</f>
        <v>0</v>
      </c>
      <c r="Q1392" s="48" t="s">
        <v>75</v>
      </c>
      <c r="R1392" s="48">
        <f>HEX2DEC(RIGHT(Table132321275358[[#This Row],[h2]],8))</f>
        <v>0</v>
      </c>
    </row>
    <row r="1393" spans="1:18">
      <c r="A1393" s="15" t="str">
        <f t="shared" si="26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8" t="s">
        <v>75</v>
      </c>
      <c r="P1393" s="48">
        <f>HEX2DEC(RIGHT(Table132321275358[[#This Row],[h1]],8))</f>
        <v>0</v>
      </c>
      <c r="Q1393" s="48" t="s">
        <v>75</v>
      </c>
      <c r="R1393" s="48">
        <f>HEX2DEC(RIGHT(Table132321275358[[#This Row],[h2]],8))</f>
        <v>0</v>
      </c>
    </row>
    <row r="1394" spans="1:18">
      <c r="A1394" s="15" t="str">
        <f t="shared" si="26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8" t="s">
        <v>75</v>
      </c>
      <c r="P1394" s="48">
        <f>HEX2DEC(RIGHT(Table132321275358[[#This Row],[h1]],8))</f>
        <v>0</v>
      </c>
      <c r="Q1394" s="48" t="s">
        <v>75</v>
      </c>
      <c r="R1394" s="48">
        <f>HEX2DEC(RIGHT(Table132321275358[[#This Row],[h2]],8))</f>
        <v>0</v>
      </c>
    </row>
    <row r="1395" spans="1:18">
      <c r="A1395" s="15" t="str">
        <f t="shared" si="26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8" t="s">
        <v>75</v>
      </c>
      <c r="P1395" s="48">
        <f>HEX2DEC(RIGHT(Table132321275358[[#This Row],[h1]],8))</f>
        <v>0</v>
      </c>
      <c r="Q1395" s="48" t="s">
        <v>75</v>
      </c>
      <c r="R1395" s="48">
        <f>HEX2DEC(RIGHT(Table132321275358[[#This Row],[h2]],8))</f>
        <v>0</v>
      </c>
    </row>
    <row r="1396" spans="1:18">
      <c r="A1396" s="15" t="str">
        <f t="shared" si="26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8" t="s">
        <v>75</v>
      </c>
      <c r="P1396" s="48">
        <f>HEX2DEC(RIGHT(Table132321275358[[#This Row],[h1]],8))</f>
        <v>0</v>
      </c>
      <c r="Q1396" s="48" t="s">
        <v>75</v>
      </c>
      <c r="R1396" s="48">
        <f>HEX2DEC(RIGHT(Table132321275358[[#This Row],[h2]],8))</f>
        <v>0</v>
      </c>
    </row>
    <row r="1397" spans="1:18">
      <c r="A1397" s="15" t="str">
        <f t="shared" si="26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8" t="s">
        <v>75</v>
      </c>
      <c r="P1397" s="48">
        <f>HEX2DEC(RIGHT(Table132321275358[[#This Row],[h1]],8))</f>
        <v>0</v>
      </c>
      <c r="Q1397" s="48" t="s">
        <v>75</v>
      </c>
      <c r="R1397" s="48">
        <f>HEX2DEC(RIGHT(Table132321275358[[#This Row],[h2]],8))</f>
        <v>0</v>
      </c>
    </row>
    <row r="1398" spans="1:18">
      <c r="A1398" s="15" t="str">
        <f t="shared" si="26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8" t="s">
        <v>75</v>
      </c>
      <c r="P1398" s="48">
        <f>HEX2DEC(RIGHT(Table132321275358[[#This Row],[h1]],8))</f>
        <v>0</v>
      </c>
      <c r="Q1398" s="48" t="s">
        <v>75</v>
      </c>
      <c r="R1398" s="48">
        <f>HEX2DEC(RIGHT(Table132321275358[[#This Row],[h2]],8))</f>
        <v>0</v>
      </c>
    </row>
    <row r="1399" spans="1:18">
      <c r="A1399" s="15" t="str">
        <f t="shared" si="26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8" t="s">
        <v>75</v>
      </c>
      <c r="P1399" s="48">
        <f>HEX2DEC(RIGHT(Table132321275358[[#This Row],[h1]],8))</f>
        <v>0</v>
      </c>
      <c r="Q1399" s="48" t="s">
        <v>75</v>
      </c>
      <c r="R1399" s="48">
        <f>HEX2DEC(RIGHT(Table132321275358[[#This Row],[h2]],8))</f>
        <v>0</v>
      </c>
    </row>
    <row r="1400" spans="1:18">
      <c r="A1400" s="15" t="str">
        <f t="shared" si="26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8" t="s">
        <v>75</v>
      </c>
      <c r="P1400" s="48">
        <f>HEX2DEC(RIGHT(Table132321275358[[#This Row],[h1]],8))</f>
        <v>0</v>
      </c>
      <c r="Q1400" s="48" t="s">
        <v>75</v>
      </c>
      <c r="R1400" s="48">
        <f>HEX2DEC(RIGHT(Table132321275358[[#This Row],[h2]],8))</f>
        <v>0</v>
      </c>
    </row>
    <row r="1401" spans="1:18">
      <c r="A1401" s="15" t="str">
        <f t="shared" si="26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8" t="s">
        <v>75</v>
      </c>
      <c r="P1401" s="48">
        <f>HEX2DEC(RIGHT(Table132321275358[[#This Row],[h1]],8))</f>
        <v>0</v>
      </c>
      <c r="Q1401" s="48" t="s">
        <v>75</v>
      </c>
      <c r="R1401" s="48">
        <f>HEX2DEC(RIGHT(Table132321275358[[#This Row],[h2]],8))</f>
        <v>0</v>
      </c>
    </row>
    <row r="1402" spans="1:18">
      <c r="A1402" s="15" t="str">
        <f t="shared" si="26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8" t="s">
        <v>75</v>
      </c>
      <c r="P1402" s="48">
        <f>HEX2DEC(RIGHT(Table132321275358[[#This Row],[h1]],8))</f>
        <v>0</v>
      </c>
      <c r="Q1402" s="48" t="s">
        <v>75</v>
      </c>
      <c r="R1402" s="48">
        <f>HEX2DEC(RIGHT(Table132321275358[[#This Row],[h2]],8))</f>
        <v>0</v>
      </c>
    </row>
    <row r="1403" spans="1:18">
      <c r="A1403" s="15" t="str">
        <f t="shared" si="26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8" t="s">
        <v>75</v>
      </c>
      <c r="P1403" s="48">
        <f>HEX2DEC(RIGHT(Table132321275358[[#This Row],[h1]],8))</f>
        <v>0</v>
      </c>
      <c r="Q1403" s="48" t="s">
        <v>75</v>
      </c>
      <c r="R1403" s="48">
        <f>HEX2DEC(RIGHT(Table132321275358[[#This Row],[h2]],8))</f>
        <v>0</v>
      </c>
    </row>
    <row r="1404" spans="1:18">
      <c r="A1404" s="15" t="str">
        <f t="shared" si="26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8" t="s">
        <v>75</v>
      </c>
      <c r="P1404" s="48">
        <f>HEX2DEC(RIGHT(Table132321275358[[#This Row],[h1]],8))</f>
        <v>0</v>
      </c>
      <c r="Q1404" s="48" t="s">
        <v>75</v>
      </c>
      <c r="R1404" s="48">
        <f>HEX2DEC(RIGHT(Table132321275358[[#This Row],[h2]],8))</f>
        <v>0</v>
      </c>
    </row>
    <row r="1405" spans="1:18">
      <c r="A1405" s="15" t="str">
        <f t="shared" si="26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8" t="s">
        <v>75</v>
      </c>
      <c r="P1405" s="48">
        <f>HEX2DEC(RIGHT(Table132321275358[[#This Row],[h1]],8))</f>
        <v>0</v>
      </c>
      <c r="Q1405" s="48" t="s">
        <v>75</v>
      </c>
      <c r="R1405" s="48">
        <f>HEX2DEC(RIGHT(Table132321275358[[#This Row],[h2]],8))</f>
        <v>0</v>
      </c>
    </row>
    <row r="1406" spans="1:18">
      <c r="A1406" s="15" t="str">
        <f t="shared" si="26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8" t="s">
        <v>75</v>
      </c>
      <c r="P1406" s="48">
        <f>HEX2DEC(RIGHT(Table132321275358[[#This Row],[h1]],8))</f>
        <v>0</v>
      </c>
      <c r="Q1406" s="48" t="s">
        <v>75</v>
      </c>
      <c r="R1406" s="48">
        <f>HEX2DEC(RIGHT(Table132321275358[[#This Row],[h2]],8))</f>
        <v>0</v>
      </c>
    </row>
    <row r="1407" spans="1:18">
      <c r="A1407" s="15" t="str">
        <f t="shared" si="26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8" t="s">
        <v>75</v>
      </c>
      <c r="P1407" s="48">
        <f>HEX2DEC(RIGHT(Table132321275358[[#This Row],[h1]],8))</f>
        <v>0</v>
      </c>
      <c r="Q1407" s="48" t="s">
        <v>75</v>
      </c>
      <c r="R1407" s="48">
        <f>HEX2DEC(RIGHT(Table132321275358[[#This Row],[h2]],8))</f>
        <v>0</v>
      </c>
    </row>
    <row r="1408" spans="1:18">
      <c r="A1408" s="15" t="str">
        <f t="shared" si="26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8" t="s">
        <v>75</v>
      </c>
      <c r="P1408" s="48">
        <f>HEX2DEC(RIGHT(Table132321275358[[#This Row],[h1]],8))</f>
        <v>0</v>
      </c>
      <c r="Q1408" s="48" t="s">
        <v>75</v>
      </c>
      <c r="R1408" s="48">
        <f>HEX2DEC(RIGHT(Table132321275358[[#This Row],[h2]],8))</f>
        <v>0</v>
      </c>
    </row>
    <row r="1409" spans="1:18">
      <c r="A1409" s="15" t="str">
        <f t="shared" si="26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8" t="s">
        <v>75</v>
      </c>
      <c r="P1409" s="48">
        <f>HEX2DEC(RIGHT(Table132321275358[[#This Row],[h1]],8))</f>
        <v>0</v>
      </c>
      <c r="Q1409" s="48" t="s">
        <v>75</v>
      </c>
      <c r="R1409" s="48">
        <f>HEX2DEC(RIGHT(Table132321275358[[#This Row],[h2]],8))</f>
        <v>0</v>
      </c>
    </row>
    <row r="1410" spans="1:18">
      <c r="A1410" s="15" t="str">
        <f t="shared" si="26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8" t="s">
        <v>75</v>
      </c>
      <c r="P1410" s="48">
        <f>HEX2DEC(RIGHT(Table132321275358[[#This Row],[h1]],8))</f>
        <v>0</v>
      </c>
      <c r="Q1410" s="48" t="s">
        <v>75</v>
      </c>
      <c r="R1410" s="48">
        <f>HEX2DEC(RIGHT(Table132321275358[[#This Row],[h2]],8))</f>
        <v>0</v>
      </c>
    </row>
    <row r="1411" spans="1:18">
      <c r="A1411" s="15" t="str">
        <f t="shared" si="26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8" t="s">
        <v>75</v>
      </c>
      <c r="P1411" s="48">
        <f>HEX2DEC(RIGHT(Table132321275358[[#This Row],[h1]],8))</f>
        <v>0</v>
      </c>
      <c r="Q1411" s="48" t="s">
        <v>75</v>
      </c>
      <c r="R1411" s="48">
        <f>HEX2DEC(RIGHT(Table132321275358[[#This Row],[h2]],8))</f>
        <v>0</v>
      </c>
    </row>
    <row r="1412" spans="1:18">
      <c r="A1412" s="15" t="str">
        <f t="shared" si="26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8" t="s">
        <v>75</v>
      </c>
      <c r="P1412" s="48">
        <f>HEX2DEC(RIGHT(Table132321275358[[#This Row],[h1]],8))</f>
        <v>0</v>
      </c>
      <c r="Q1412" s="48" t="s">
        <v>75</v>
      </c>
      <c r="R1412" s="48">
        <f>HEX2DEC(RIGHT(Table132321275358[[#This Row],[h2]],8))</f>
        <v>0</v>
      </c>
    </row>
    <row r="1413" spans="1:18">
      <c r="A1413" s="15" t="str">
        <f t="shared" si="26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8" t="s">
        <v>75</v>
      </c>
      <c r="P1413" s="48">
        <f>HEX2DEC(RIGHT(Table132321275358[[#This Row],[h1]],8))</f>
        <v>0</v>
      </c>
      <c r="Q1413" s="48" t="s">
        <v>75</v>
      </c>
      <c r="R1413" s="48">
        <f>HEX2DEC(RIGHT(Table132321275358[[#This Row],[h2]],8))</f>
        <v>0</v>
      </c>
    </row>
    <row r="1414" spans="1:18">
      <c r="A1414" s="15" t="str">
        <f t="shared" si="26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8" t="s">
        <v>75</v>
      </c>
      <c r="P1414" s="48">
        <f>HEX2DEC(RIGHT(Table132321275358[[#This Row],[h1]],8))</f>
        <v>0</v>
      </c>
      <c r="Q1414" s="48" t="s">
        <v>75</v>
      </c>
      <c r="R1414" s="48">
        <f>HEX2DEC(RIGHT(Table132321275358[[#This Row],[h2]],8))</f>
        <v>0</v>
      </c>
    </row>
    <row r="1415" spans="1:18">
      <c r="A1415" s="15" t="str">
        <f t="shared" si="26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8" t="s">
        <v>75</v>
      </c>
      <c r="P1415" s="48">
        <f>HEX2DEC(RIGHT(Table132321275358[[#This Row],[h1]],8))</f>
        <v>0</v>
      </c>
      <c r="Q1415" s="48" t="s">
        <v>75</v>
      </c>
      <c r="R1415" s="48">
        <f>HEX2DEC(RIGHT(Table132321275358[[#This Row],[h2]],8))</f>
        <v>0</v>
      </c>
    </row>
    <row r="1416" spans="1:18">
      <c r="A1416" s="15" t="str">
        <f t="shared" si="26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8" t="s">
        <v>75</v>
      </c>
      <c r="P1416" s="48">
        <f>HEX2DEC(RIGHT(Table132321275358[[#This Row],[h1]],8))</f>
        <v>0</v>
      </c>
      <c r="Q1416" s="48" t="s">
        <v>75</v>
      </c>
      <c r="R1416" s="48">
        <f>HEX2DEC(RIGHT(Table132321275358[[#This Row],[h2]],8))</f>
        <v>0</v>
      </c>
    </row>
    <row r="1417" spans="1:18">
      <c r="A1417" s="15" t="str">
        <f t="shared" si="26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8" t="s">
        <v>75</v>
      </c>
      <c r="P1417" s="48">
        <f>HEX2DEC(RIGHT(Table132321275358[[#This Row],[h1]],8))</f>
        <v>0</v>
      </c>
      <c r="Q1417" s="48" t="s">
        <v>75</v>
      </c>
      <c r="R1417" s="48">
        <f>HEX2DEC(RIGHT(Table132321275358[[#This Row],[h2]],8))</f>
        <v>0</v>
      </c>
    </row>
    <row r="1418" spans="1:18">
      <c r="A1418" s="15" t="str">
        <f t="shared" si="26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8" t="s">
        <v>75</v>
      </c>
      <c r="P1418" s="48">
        <f>HEX2DEC(RIGHT(Table132321275358[[#This Row],[h1]],8))</f>
        <v>0</v>
      </c>
      <c r="Q1418" s="48" t="s">
        <v>75</v>
      </c>
      <c r="R1418" s="48">
        <f>HEX2DEC(RIGHT(Table132321275358[[#This Row],[h2]],8))</f>
        <v>0</v>
      </c>
    </row>
    <row r="1419" spans="1:18">
      <c r="A1419" s="15" t="str">
        <f t="shared" ref="A1419:A1482" si="27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8" t="s">
        <v>75</v>
      </c>
      <c r="P1419" s="48">
        <f>HEX2DEC(RIGHT(Table132321275358[[#This Row],[h1]],8))</f>
        <v>0</v>
      </c>
      <c r="Q1419" s="48" t="s">
        <v>75</v>
      </c>
      <c r="R1419" s="48">
        <f>HEX2DEC(RIGHT(Table132321275358[[#This Row],[h2]],8))</f>
        <v>0</v>
      </c>
    </row>
    <row r="1420" spans="1:18">
      <c r="A1420" s="15" t="str">
        <f t="shared" si="27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8" t="s">
        <v>75</v>
      </c>
      <c r="P1420" s="48">
        <f>HEX2DEC(RIGHT(Table132321275358[[#This Row],[h1]],8))</f>
        <v>0</v>
      </c>
      <c r="Q1420" s="48" t="s">
        <v>75</v>
      </c>
      <c r="R1420" s="48">
        <f>HEX2DEC(RIGHT(Table132321275358[[#This Row],[h2]],8))</f>
        <v>0</v>
      </c>
    </row>
    <row r="1421" spans="1:18">
      <c r="A1421" s="15" t="str">
        <f t="shared" si="27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8" t="s">
        <v>75</v>
      </c>
      <c r="P1421" s="48">
        <f>HEX2DEC(RIGHT(Table132321275358[[#This Row],[h1]],8))</f>
        <v>0</v>
      </c>
      <c r="Q1421" s="48" t="s">
        <v>75</v>
      </c>
      <c r="R1421" s="48">
        <f>HEX2DEC(RIGHT(Table132321275358[[#This Row],[h2]],8))</f>
        <v>0</v>
      </c>
    </row>
    <row r="1422" spans="1:18">
      <c r="A1422" s="15" t="str">
        <f t="shared" si="27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8" t="s">
        <v>75</v>
      </c>
      <c r="P1422" s="48">
        <f>HEX2DEC(RIGHT(Table132321275358[[#This Row],[h1]],8))</f>
        <v>0</v>
      </c>
      <c r="Q1422" s="48" t="s">
        <v>75</v>
      </c>
      <c r="R1422" s="48">
        <f>HEX2DEC(RIGHT(Table132321275358[[#This Row],[h2]],8))</f>
        <v>0</v>
      </c>
    </row>
    <row r="1423" spans="1:18">
      <c r="A1423" s="15" t="str">
        <f t="shared" si="27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8" t="s">
        <v>75</v>
      </c>
      <c r="P1423" s="48">
        <f>HEX2DEC(RIGHT(Table132321275358[[#This Row],[h1]],8))</f>
        <v>0</v>
      </c>
      <c r="Q1423" s="48" t="s">
        <v>75</v>
      </c>
      <c r="R1423" s="48">
        <f>HEX2DEC(RIGHT(Table132321275358[[#This Row],[h2]],8))</f>
        <v>0</v>
      </c>
    </row>
    <row r="1424" spans="1:18">
      <c r="A1424" s="15" t="str">
        <f t="shared" si="27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8" t="s">
        <v>75</v>
      </c>
      <c r="P1424" s="48">
        <f>HEX2DEC(RIGHT(Table132321275358[[#This Row],[h1]],8))</f>
        <v>0</v>
      </c>
      <c r="Q1424" s="48" t="s">
        <v>75</v>
      </c>
      <c r="R1424" s="48">
        <f>HEX2DEC(RIGHT(Table132321275358[[#This Row],[h2]],8))</f>
        <v>0</v>
      </c>
    </row>
    <row r="1425" spans="1:18">
      <c r="A1425" s="15" t="str">
        <f t="shared" si="27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8" t="s">
        <v>75</v>
      </c>
      <c r="P1425" s="48">
        <f>HEX2DEC(RIGHT(Table132321275358[[#This Row],[h1]],8))</f>
        <v>0</v>
      </c>
      <c r="Q1425" s="48" t="s">
        <v>75</v>
      </c>
      <c r="R1425" s="48">
        <f>HEX2DEC(RIGHT(Table132321275358[[#This Row],[h2]],8))</f>
        <v>0</v>
      </c>
    </row>
    <row r="1426" spans="1:18">
      <c r="A1426" s="15" t="str">
        <f t="shared" si="27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8" t="s">
        <v>75</v>
      </c>
      <c r="P1426" s="48">
        <f>HEX2DEC(RIGHT(Table132321275358[[#This Row],[h1]],8))</f>
        <v>0</v>
      </c>
      <c r="Q1426" s="48" t="s">
        <v>75</v>
      </c>
      <c r="R1426" s="48">
        <f>HEX2DEC(RIGHT(Table132321275358[[#This Row],[h2]],8))</f>
        <v>0</v>
      </c>
    </row>
    <row r="1427" spans="1:18">
      <c r="A1427" s="15" t="str">
        <f t="shared" si="27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8" t="s">
        <v>75</v>
      </c>
      <c r="P1427" s="48">
        <f>HEX2DEC(RIGHT(Table132321275358[[#This Row],[h1]],8))</f>
        <v>0</v>
      </c>
      <c r="Q1427" s="48" t="s">
        <v>75</v>
      </c>
      <c r="R1427" s="48">
        <f>HEX2DEC(RIGHT(Table132321275358[[#This Row],[h2]],8))</f>
        <v>0</v>
      </c>
    </row>
    <row r="1428" spans="1:18">
      <c r="A1428" s="15" t="str">
        <f t="shared" si="27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8" t="s">
        <v>75</v>
      </c>
      <c r="P1428" s="48">
        <f>HEX2DEC(RIGHT(Table132321275358[[#This Row],[h1]],8))</f>
        <v>0</v>
      </c>
      <c r="Q1428" s="48" t="s">
        <v>75</v>
      </c>
      <c r="R1428" s="48">
        <f>HEX2DEC(RIGHT(Table132321275358[[#This Row],[h2]],8))</f>
        <v>0</v>
      </c>
    </row>
    <row r="1429" spans="1:18">
      <c r="A1429" s="15" t="str">
        <f t="shared" si="27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8" t="s">
        <v>75</v>
      </c>
      <c r="P1429" s="48">
        <f>HEX2DEC(RIGHT(Table132321275358[[#This Row],[h1]],8))</f>
        <v>0</v>
      </c>
      <c r="Q1429" s="48" t="s">
        <v>75</v>
      </c>
      <c r="R1429" s="48">
        <f>HEX2DEC(RIGHT(Table132321275358[[#This Row],[h2]],8))</f>
        <v>0</v>
      </c>
    </row>
    <row r="1430" spans="1:18">
      <c r="A1430" s="15" t="str">
        <f t="shared" si="27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8" t="s">
        <v>75</v>
      </c>
      <c r="P1430" s="48">
        <f>HEX2DEC(RIGHT(Table132321275358[[#This Row],[h1]],8))</f>
        <v>0</v>
      </c>
      <c r="Q1430" s="48" t="s">
        <v>75</v>
      </c>
      <c r="R1430" s="48">
        <f>HEX2DEC(RIGHT(Table132321275358[[#This Row],[h2]],8))</f>
        <v>0</v>
      </c>
    </row>
    <row r="1431" spans="1:18">
      <c r="A1431" s="15" t="str">
        <f t="shared" si="27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8" t="s">
        <v>75</v>
      </c>
      <c r="P1431" s="48">
        <f>HEX2DEC(RIGHT(Table132321275358[[#This Row],[h1]],8))</f>
        <v>0</v>
      </c>
      <c r="Q1431" s="48" t="s">
        <v>75</v>
      </c>
      <c r="R1431" s="48">
        <f>HEX2DEC(RIGHT(Table132321275358[[#This Row],[h2]],8))</f>
        <v>0</v>
      </c>
    </row>
    <row r="1432" spans="1:18">
      <c r="A1432" s="15" t="str">
        <f t="shared" si="27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8" t="s">
        <v>75</v>
      </c>
      <c r="P1432" s="48">
        <f>HEX2DEC(RIGHT(Table132321275358[[#This Row],[h1]],8))</f>
        <v>0</v>
      </c>
      <c r="Q1432" s="48" t="s">
        <v>75</v>
      </c>
      <c r="R1432" s="48">
        <f>HEX2DEC(RIGHT(Table132321275358[[#This Row],[h2]],8))</f>
        <v>0</v>
      </c>
    </row>
    <row r="1433" spans="1:18">
      <c r="A1433" s="15" t="str">
        <f t="shared" si="27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8" t="s">
        <v>75</v>
      </c>
      <c r="P1433" s="48">
        <f>HEX2DEC(RIGHT(Table132321275358[[#This Row],[h1]],8))</f>
        <v>0</v>
      </c>
      <c r="Q1433" s="48" t="s">
        <v>75</v>
      </c>
      <c r="R1433" s="48">
        <f>HEX2DEC(RIGHT(Table132321275358[[#This Row],[h2]],8))</f>
        <v>0</v>
      </c>
    </row>
    <row r="1434" spans="1:18">
      <c r="A1434" s="15" t="str">
        <f t="shared" si="27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8" t="s">
        <v>75</v>
      </c>
      <c r="P1434" s="48">
        <f>HEX2DEC(RIGHT(Table132321275358[[#This Row],[h1]],8))</f>
        <v>0</v>
      </c>
      <c r="Q1434" s="48" t="s">
        <v>75</v>
      </c>
      <c r="R1434" s="48">
        <f>HEX2DEC(RIGHT(Table132321275358[[#This Row],[h2]],8))</f>
        <v>0</v>
      </c>
    </row>
    <row r="1435" spans="1:18">
      <c r="A1435" s="15" t="str">
        <f t="shared" si="27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8" t="s">
        <v>75</v>
      </c>
      <c r="P1435" s="48">
        <f>HEX2DEC(RIGHT(Table132321275358[[#This Row],[h1]],8))</f>
        <v>0</v>
      </c>
      <c r="Q1435" s="48" t="s">
        <v>75</v>
      </c>
      <c r="R1435" s="48">
        <f>HEX2DEC(RIGHT(Table132321275358[[#This Row],[h2]],8))</f>
        <v>0</v>
      </c>
    </row>
    <row r="1436" spans="1:18">
      <c r="A1436" s="15" t="str">
        <f t="shared" si="27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8" t="s">
        <v>75</v>
      </c>
      <c r="P1436" s="48">
        <f>HEX2DEC(RIGHT(Table132321275358[[#This Row],[h1]],8))</f>
        <v>0</v>
      </c>
      <c r="Q1436" s="48" t="s">
        <v>75</v>
      </c>
      <c r="R1436" s="48">
        <f>HEX2DEC(RIGHT(Table132321275358[[#This Row],[h2]],8))</f>
        <v>0</v>
      </c>
    </row>
    <row r="1437" spans="1:18">
      <c r="A1437" s="15" t="str">
        <f t="shared" si="27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8" t="s">
        <v>75</v>
      </c>
      <c r="P1437" s="48">
        <f>HEX2DEC(RIGHT(Table132321275358[[#This Row],[h1]],8))</f>
        <v>0</v>
      </c>
      <c r="Q1437" s="48" t="s">
        <v>75</v>
      </c>
      <c r="R1437" s="48">
        <f>HEX2DEC(RIGHT(Table132321275358[[#This Row],[h2]],8))</f>
        <v>0</v>
      </c>
    </row>
    <row r="1438" spans="1:18">
      <c r="A1438" s="15" t="str">
        <f t="shared" si="27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8" t="s">
        <v>75</v>
      </c>
      <c r="P1438" s="48">
        <f>HEX2DEC(RIGHT(Table132321275358[[#This Row],[h1]],8))</f>
        <v>0</v>
      </c>
      <c r="Q1438" s="48" t="s">
        <v>75</v>
      </c>
      <c r="R1438" s="48">
        <f>HEX2DEC(RIGHT(Table132321275358[[#This Row],[h2]],8))</f>
        <v>0</v>
      </c>
    </row>
    <row r="1439" spans="1:18">
      <c r="A1439" s="15" t="str">
        <f t="shared" si="27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8" t="s">
        <v>75</v>
      </c>
      <c r="P1439" s="48">
        <f>HEX2DEC(RIGHT(Table132321275358[[#This Row],[h1]],8))</f>
        <v>0</v>
      </c>
      <c r="Q1439" s="48" t="s">
        <v>75</v>
      </c>
      <c r="R1439" s="48">
        <f>HEX2DEC(RIGHT(Table132321275358[[#This Row],[h2]],8))</f>
        <v>0</v>
      </c>
    </row>
    <row r="1440" spans="1:18">
      <c r="A1440" s="15" t="str">
        <f t="shared" si="27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8" t="s">
        <v>75</v>
      </c>
      <c r="P1440" s="48">
        <f>HEX2DEC(RIGHT(Table132321275358[[#This Row],[h1]],8))</f>
        <v>0</v>
      </c>
      <c r="Q1440" s="48" t="s">
        <v>75</v>
      </c>
      <c r="R1440" s="48">
        <f>HEX2DEC(RIGHT(Table132321275358[[#This Row],[h2]],8))</f>
        <v>0</v>
      </c>
    </row>
    <row r="1441" spans="1:18">
      <c r="A1441" s="15" t="str">
        <f t="shared" si="27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8" t="s">
        <v>75</v>
      </c>
      <c r="P1441" s="48">
        <f>HEX2DEC(RIGHT(Table132321275358[[#This Row],[h1]],8))</f>
        <v>0</v>
      </c>
      <c r="Q1441" s="48" t="s">
        <v>75</v>
      </c>
      <c r="R1441" s="48">
        <f>HEX2DEC(RIGHT(Table132321275358[[#This Row],[h2]],8))</f>
        <v>0</v>
      </c>
    </row>
    <row r="1442" spans="1:18">
      <c r="A1442" s="15" t="str">
        <f t="shared" si="27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8" t="s">
        <v>75</v>
      </c>
      <c r="P1442" s="48">
        <f>HEX2DEC(RIGHT(Table132321275358[[#This Row],[h1]],8))</f>
        <v>0</v>
      </c>
      <c r="Q1442" s="48" t="s">
        <v>75</v>
      </c>
      <c r="R1442" s="48">
        <f>HEX2DEC(RIGHT(Table132321275358[[#This Row],[h2]],8))</f>
        <v>0</v>
      </c>
    </row>
    <row r="1443" spans="1:18">
      <c r="A1443" s="15" t="str">
        <f t="shared" si="27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8" t="s">
        <v>75</v>
      </c>
      <c r="P1443" s="48">
        <f>HEX2DEC(RIGHT(Table132321275358[[#This Row],[h1]],8))</f>
        <v>0</v>
      </c>
      <c r="Q1443" s="48" t="s">
        <v>75</v>
      </c>
      <c r="R1443" s="48">
        <f>HEX2DEC(RIGHT(Table132321275358[[#This Row],[h2]],8))</f>
        <v>0</v>
      </c>
    </row>
    <row r="1444" spans="1:18">
      <c r="A1444" s="15" t="str">
        <f t="shared" si="27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8" t="s">
        <v>75</v>
      </c>
      <c r="P1444" s="48">
        <f>HEX2DEC(RIGHT(Table132321275358[[#This Row],[h1]],8))</f>
        <v>0</v>
      </c>
      <c r="Q1444" s="48" t="s">
        <v>75</v>
      </c>
      <c r="R1444" s="48">
        <f>HEX2DEC(RIGHT(Table132321275358[[#This Row],[h2]],8))</f>
        <v>0</v>
      </c>
    </row>
    <row r="1445" spans="1:18">
      <c r="A1445" s="15" t="str">
        <f t="shared" si="27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8" t="s">
        <v>75</v>
      </c>
      <c r="P1445" s="48">
        <f>HEX2DEC(RIGHT(Table132321275358[[#This Row],[h1]],8))</f>
        <v>0</v>
      </c>
      <c r="Q1445" s="48" t="s">
        <v>75</v>
      </c>
      <c r="R1445" s="48">
        <f>HEX2DEC(RIGHT(Table132321275358[[#This Row],[h2]],8))</f>
        <v>0</v>
      </c>
    </row>
    <row r="1446" spans="1:18">
      <c r="A1446" s="15" t="str">
        <f t="shared" si="27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8" t="s">
        <v>75</v>
      </c>
      <c r="P1446" s="48">
        <f>HEX2DEC(RIGHT(Table132321275358[[#This Row],[h1]],8))</f>
        <v>0</v>
      </c>
      <c r="Q1446" s="48" t="s">
        <v>75</v>
      </c>
      <c r="R1446" s="48">
        <f>HEX2DEC(RIGHT(Table132321275358[[#This Row],[h2]],8))</f>
        <v>0</v>
      </c>
    </row>
    <row r="1447" spans="1:18">
      <c r="A1447" s="15" t="str">
        <f t="shared" si="27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8" t="s">
        <v>75</v>
      </c>
      <c r="P1447" s="48">
        <f>HEX2DEC(RIGHT(Table132321275358[[#This Row],[h1]],8))</f>
        <v>0</v>
      </c>
      <c r="Q1447" s="48" t="s">
        <v>75</v>
      </c>
      <c r="R1447" s="48">
        <f>HEX2DEC(RIGHT(Table132321275358[[#This Row],[h2]],8))</f>
        <v>0</v>
      </c>
    </row>
    <row r="1448" spans="1:18">
      <c r="A1448" s="15" t="str">
        <f t="shared" si="27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8" t="s">
        <v>75</v>
      </c>
      <c r="P1448" s="48">
        <f>HEX2DEC(RIGHT(Table132321275358[[#This Row],[h1]],8))</f>
        <v>0</v>
      </c>
      <c r="Q1448" s="48" t="s">
        <v>75</v>
      </c>
      <c r="R1448" s="48">
        <f>HEX2DEC(RIGHT(Table132321275358[[#This Row],[h2]],8))</f>
        <v>0</v>
      </c>
    </row>
    <row r="1449" spans="1:18">
      <c r="A1449" s="15" t="str">
        <f t="shared" si="27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8" t="s">
        <v>75</v>
      </c>
      <c r="P1449" s="48">
        <f>HEX2DEC(RIGHT(Table132321275358[[#This Row],[h1]],8))</f>
        <v>0</v>
      </c>
      <c r="Q1449" s="48" t="s">
        <v>75</v>
      </c>
      <c r="R1449" s="48">
        <f>HEX2DEC(RIGHT(Table132321275358[[#This Row],[h2]],8))</f>
        <v>0</v>
      </c>
    </row>
    <row r="1450" spans="1:18">
      <c r="A1450" s="15" t="str">
        <f t="shared" si="27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8" t="s">
        <v>75</v>
      </c>
      <c r="P1450" s="48">
        <f>HEX2DEC(RIGHT(Table132321275358[[#This Row],[h1]],8))</f>
        <v>0</v>
      </c>
      <c r="Q1450" s="48" t="s">
        <v>75</v>
      </c>
      <c r="R1450" s="48">
        <f>HEX2DEC(RIGHT(Table132321275358[[#This Row],[h2]],8))</f>
        <v>0</v>
      </c>
    </row>
    <row r="1451" spans="1:18">
      <c r="A1451" s="15" t="str">
        <f t="shared" si="27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8" t="s">
        <v>75</v>
      </c>
      <c r="P1451" s="48">
        <f>HEX2DEC(RIGHT(Table132321275358[[#This Row],[h1]],8))</f>
        <v>0</v>
      </c>
      <c r="Q1451" s="48" t="s">
        <v>75</v>
      </c>
      <c r="R1451" s="48">
        <f>HEX2DEC(RIGHT(Table132321275358[[#This Row],[h2]],8))</f>
        <v>0</v>
      </c>
    </row>
    <row r="1452" spans="1:18">
      <c r="A1452" s="15" t="str">
        <f t="shared" si="27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8" t="s">
        <v>75</v>
      </c>
      <c r="P1452" s="48">
        <f>HEX2DEC(RIGHT(Table132321275358[[#This Row],[h1]],8))</f>
        <v>0</v>
      </c>
      <c r="Q1452" s="48" t="s">
        <v>75</v>
      </c>
      <c r="R1452" s="48">
        <f>HEX2DEC(RIGHT(Table132321275358[[#This Row],[h2]],8))</f>
        <v>0</v>
      </c>
    </row>
    <row r="1453" spans="1:18">
      <c r="A1453" s="15" t="str">
        <f t="shared" si="27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8" t="s">
        <v>75</v>
      </c>
      <c r="P1453" s="48">
        <f>HEX2DEC(RIGHT(Table132321275358[[#This Row],[h1]],8))</f>
        <v>0</v>
      </c>
      <c r="Q1453" s="48" t="s">
        <v>75</v>
      </c>
      <c r="R1453" s="48">
        <f>HEX2DEC(RIGHT(Table132321275358[[#This Row],[h2]],8))</f>
        <v>0</v>
      </c>
    </row>
    <row r="1454" spans="1:18">
      <c r="A1454" s="15" t="str">
        <f t="shared" si="27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8" t="s">
        <v>75</v>
      </c>
      <c r="P1454" s="48">
        <f>HEX2DEC(RIGHT(Table132321275358[[#This Row],[h1]],8))</f>
        <v>0</v>
      </c>
      <c r="Q1454" s="48" t="s">
        <v>75</v>
      </c>
      <c r="R1454" s="48">
        <f>HEX2DEC(RIGHT(Table132321275358[[#This Row],[h2]],8))</f>
        <v>0</v>
      </c>
    </row>
    <row r="1455" spans="1:18">
      <c r="A1455" s="15" t="str">
        <f t="shared" si="27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8" t="s">
        <v>75</v>
      </c>
      <c r="P1455" s="48">
        <f>HEX2DEC(RIGHT(Table132321275358[[#This Row],[h1]],8))</f>
        <v>0</v>
      </c>
      <c r="Q1455" s="48" t="s">
        <v>75</v>
      </c>
      <c r="R1455" s="48">
        <f>HEX2DEC(RIGHT(Table132321275358[[#This Row],[h2]],8))</f>
        <v>0</v>
      </c>
    </row>
    <row r="1456" spans="1:18">
      <c r="A1456" s="15" t="str">
        <f t="shared" si="27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8" t="s">
        <v>75</v>
      </c>
      <c r="P1456" s="48">
        <f>HEX2DEC(RIGHT(Table132321275358[[#This Row],[h1]],8))</f>
        <v>0</v>
      </c>
      <c r="Q1456" s="48" t="s">
        <v>75</v>
      </c>
      <c r="R1456" s="48">
        <f>HEX2DEC(RIGHT(Table132321275358[[#This Row],[h2]],8))</f>
        <v>0</v>
      </c>
    </row>
    <row r="1457" spans="1:18">
      <c r="A1457" s="15" t="str">
        <f t="shared" si="27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8" t="s">
        <v>75</v>
      </c>
      <c r="P1457" s="48">
        <f>HEX2DEC(RIGHT(Table132321275358[[#This Row],[h1]],8))</f>
        <v>0</v>
      </c>
      <c r="Q1457" s="48" t="s">
        <v>75</v>
      </c>
      <c r="R1457" s="48">
        <f>HEX2DEC(RIGHT(Table132321275358[[#This Row],[h2]],8))</f>
        <v>0</v>
      </c>
    </row>
    <row r="1458" spans="1:18">
      <c r="A1458" s="15" t="str">
        <f t="shared" si="27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8" t="s">
        <v>75</v>
      </c>
      <c r="P1458" s="48">
        <f>HEX2DEC(RIGHT(Table132321275358[[#This Row],[h1]],8))</f>
        <v>0</v>
      </c>
      <c r="Q1458" s="48" t="s">
        <v>75</v>
      </c>
      <c r="R1458" s="48">
        <f>HEX2DEC(RIGHT(Table132321275358[[#This Row],[h2]],8))</f>
        <v>0</v>
      </c>
    </row>
    <row r="1459" spans="1:18">
      <c r="A1459" s="15" t="str">
        <f t="shared" si="27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8" t="s">
        <v>75</v>
      </c>
      <c r="P1459" s="48">
        <f>HEX2DEC(RIGHT(Table132321275358[[#This Row],[h1]],8))</f>
        <v>0</v>
      </c>
      <c r="Q1459" s="48" t="s">
        <v>75</v>
      </c>
      <c r="R1459" s="48">
        <f>HEX2DEC(RIGHT(Table132321275358[[#This Row],[h2]],8))</f>
        <v>0</v>
      </c>
    </row>
    <row r="1460" spans="1:18">
      <c r="A1460" s="15" t="str">
        <f t="shared" si="27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8" t="s">
        <v>75</v>
      </c>
      <c r="P1460" s="48">
        <f>HEX2DEC(RIGHT(Table132321275358[[#This Row],[h1]],8))</f>
        <v>0</v>
      </c>
      <c r="Q1460" s="48" t="s">
        <v>75</v>
      </c>
      <c r="R1460" s="48">
        <f>HEX2DEC(RIGHT(Table132321275358[[#This Row],[h2]],8))</f>
        <v>0</v>
      </c>
    </row>
    <row r="1461" spans="1:18">
      <c r="A1461" s="15" t="str">
        <f t="shared" si="27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8" t="s">
        <v>75</v>
      </c>
      <c r="P1461" s="48">
        <f>HEX2DEC(RIGHT(Table132321275358[[#This Row],[h1]],8))</f>
        <v>0</v>
      </c>
      <c r="Q1461" s="48" t="s">
        <v>75</v>
      </c>
      <c r="R1461" s="48">
        <f>HEX2DEC(RIGHT(Table132321275358[[#This Row],[h2]],8))</f>
        <v>0</v>
      </c>
    </row>
    <row r="1462" spans="1:18">
      <c r="A1462" s="15" t="str">
        <f t="shared" si="27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8" t="s">
        <v>75</v>
      </c>
      <c r="P1462" s="48">
        <f>HEX2DEC(RIGHT(Table132321275358[[#This Row],[h1]],8))</f>
        <v>0</v>
      </c>
      <c r="Q1462" s="48" t="s">
        <v>75</v>
      </c>
      <c r="R1462" s="48">
        <f>HEX2DEC(RIGHT(Table132321275358[[#This Row],[h2]],8))</f>
        <v>0</v>
      </c>
    </row>
    <row r="1463" spans="1:18">
      <c r="A1463" s="15" t="str">
        <f t="shared" si="27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8" t="s">
        <v>75</v>
      </c>
      <c r="P1463" s="48">
        <f>HEX2DEC(RIGHT(Table132321275358[[#This Row],[h1]],8))</f>
        <v>0</v>
      </c>
      <c r="Q1463" s="48" t="s">
        <v>75</v>
      </c>
      <c r="R1463" s="48">
        <f>HEX2DEC(RIGHT(Table132321275358[[#This Row],[h2]],8))</f>
        <v>0</v>
      </c>
    </row>
    <row r="1464" spans="1:18">
      <c r="A1464" s="15" t="str">
        <f t="shared" si="27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8" t="s">
        <v>75</v>
      </c>
      <c r="P1464" s="48">
        <f>HEX2DEC(RIGHT(Table132321275358[[#This Row],[h1]],8))</f>
        <v>0</v>
      </c>
      <c r="Q1464" s="48" t="s">
        <v>75</v>
      </c>
      <c r="R1464" s="48">
        <f>HEX2DEC(RIGHT(Table132321275358[[#This Row],[h2]],8))</f>
        <v>0</v>
      </c>
    </row>
    <row r="1465" spans="1:18">
      <c r="A1465" s="15" t="str">
        <f t="shared" si="27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8" t="s">
        <v>75</v>
      </c>
      <c r="P1465" s="48">
        <f>HEX2DEC(RIGHT(Table132321275358[[#This Row],[h1]],8))</f>
        <v>0</v>
      </c>
      <c r="Q1465" s="48" t="s">
        <v>75</v>
      </c>
      <c r="R1465" s="48">
        <f>HEX2DEC(RIGHT(Table132321275358[[#This Row],[h2]],8))</f>
        <v>0</v>
      </c>
    </row>
    <row r="1466" spans="1:18">
      <c r="A1466" s="15" t="str">
        <f t="shared" si="27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8" t="s">
        <v>75</v>
      </c>
      <c r="P1466" s="48">
        <f>HEX2DEC(RIGHT(Table132321275358[[#This Row],[h1]],8))</f>
        <v>0</v>
      </c>
      <c r="Q1466" s="48" t="s">
        <v>75</v>
      </c>
      <c r="R1466" s="48">
        <f>HEX2DEC(RIGHT(Table132321275358[[#This Row],[h2]],8))</f>
        <v>0</v>
      </c>
    </row>
    <row r="1467" spans="1:18">
      <c r="A1467" s="15" t="str">
        <f t="shared" si="27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8" t="s">
        <v>75</v>
      </c>
      <c r="P1467" s="48">
        <f>HEX2DEC(RIGHT(Table132321275358[[#This Row],[h1]],8))</f>
        <v>0</v>
      </c>
      <c r="Q1467" s="48" t="s">
        <v>75</v>
      </c>
      <c r="R1467" s="48">
        <f>HEX2DEC(RIGHT(Table132321275358[[#This Row],[h2]],8))</f>
        <v>0</v>
      </c>
    </row>
    <row r="1468" spans="1:18">
      <c r="A1468" s="15" t="str">
        <f t="shared" si="27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8" t="s">
        <v>75</v>
      </c>
      <c r="P1468" s="48">
        <f>HEX2DEC(RIGHT(Table132321275358[[#This Row],[h1]],8))</f>
        <v>0</v>
      </c>
      <c r="Q1468" s="48" t="s">
        <v>75</v>
      </c>
      <c r="R1468" s="48">
        <f>HEX2DEC(RIGHT(Table132321275358[[#This Row],[h2]],8))</f>
        <v>0</v>
      </c>
    </row>
    <row r="1469" spans="1:18">
      <c r="A1469" s="15" t="str">
        <f t="shared" si="27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8" t="s">
        <v>75</v>
      </c>
      <c r="P1469" s="48">
        <f>HEX2DEC(RIGHT(Table132321275358[[#This Row],[h1]],8))</f>
        <v>0</v>
      </c>
      <c r="Q1469" s="48" t="s">
        <v>75</v>
      </c>
      <c r="R1469" s="48">
        <f>HEX2DEC(RIGHT(Table132321275358[[#This Row],[h2]],8))</f>
        <v>0</v>
      </c>
    </row>
    <row r="1470" spans="1:18">
      <c r="A1470" s="15" t="str">
        <f t="shared" si="27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8" t="s">
        <v>75</v>
      </c>
      <c r="P1470" s="48">
        <f>HEX2DEC(RIGHT(Table132321275358[[#This Row],[h1]],8))</f>
        <v>0</v>
      </c>
      <c r="Q1470" s="48" t="s">
        <v>75</v>
      </c>
      <c r="R1470" s="48">
        <f>HEX2DEC(RIGHT(Table132321275358[[#This Row],[h2]],8))</f>
        <v>0</v>
      </c>
    </row>
    <row r="1471" spans="1:18">
      <c r="A1471" s="15" t="str">
        <f t="shared" si="27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8" t="s">
        <v>75</v>
      </c>
      <c r="P1471" s="48">
        <f>HEX2DEC(RIGHT(Table132321275358[[#This Row],[h1]],8))</f>
        <v>0</v>
      </c>
      <c r="Q1471" s="48" t="s">
        <v>75</v>
      </c>
      <c r="R1471" s="48">
        <f>HEX2DEC(RIGHT(Table132321275358[[#This Row],[h2]],8))</f>
        <v>0</v>
      </c>
    </row>
    <row r="1472" spans="1:18">
      <c r="A1472" s="15" t="str">
        <f t="shared" si="27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8" t="s">
        <v>75</v>
      </c>
      <c r="P1472" s="48">
        <f>HEX2DEC(RIGHT(Table132321275358[[#This Row],[h1]],8))</f>
        <v>0</v>
      </c>
      <c r="Q1472" s="48" t="s">
        <v>75</v>
      </c>
      <c r="R1472" s="48">
        <f>HEX2DEC(RIGHT(Table132321275358[[#This Row],[h2]],8))</f>
        <v>0</v>
      </c>
    </row>
    <row r="1473" spans="1:18">
      <c r="A1473" s="15" t="str">
        <f t="shared" si="27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8" t="s">
        <v>75</v>
      </c>
      <c r="P1473" s="48">
        <f>HEX2DEC(RIGHT(Table132321275358[[#This Row],[h1]],8))</f>
        <v>0</v>
      </c>
      <c r="Q1473" s="48" t="s">
        <v>75</v>
      </c>
      <c r="R1473" s="48">
        <f>HEX2DEC(RIGHT(Table132321275358[[#This Row],[h2]],8))</f>
        <v>0</v>
      </c>
    </row>
    <row r="1474" spans="1:18">
      <c r="A1474" s="15" t="str">
        <f t="shared" si="27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8" t="s">
        <v>75</v>
      </c>
      <c r="P1474" s="48">
        <f>HEX2DEC(RIGHT(Table132321275358[[#This Row],[h1]],8))</f>
        <v>0</v>
      </c>
      <c r="Q1474" s="48" t="s">
        <v>75</v>
      </c>
      <c r="R1474" s="48">
        <f>HEX2DEC(RIGHT(Table132321275358[[#This Row],[h2]],8))</f>
        <v>0</v>
      </c>
    </row>
    <row r="1475" spans="1:18">
      <c r="A1475" s="15" t="str">
        <f t="shared" si="27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8" t="s">
        <v>75</v>
      </c>
      <c r="P1475" s="48">
        <f>HEX2DEC(RIGHT(Table132321275358[[#This Row],[h1]],8))</f>
        <v>0</v>
      </c>
      <c r="Q1475" s="48" t="s">
        <v>75</v>
      </c>
      <c r="R1475" s="48">
        <f>HEX2DEC(RIGHT(Table132321275358[[#This Row],[h2]],8))</f>
        <v>0</v>
      </c>
    </row>
    <row r="1476" spans="1:18">
      <c r="A1476" s="15" t="str">
        <f t="shared" si="27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8" t="s">
        <v>75</v>
      </c>
      <c r="P1476" s="48">
        <f>HEX2DEC(RIGHT(Table132321275358[[#This Row],[h1]],8))</f>
        <v>0</v>
      </c>
      <c r="Q1476" s="48" t="s">
        <v>75</v>
      </c>
      <c r="R1476" s="48">
        <f>HEX2DEC(RIGHT(Table132321275358[[#This Row],[h2]],8))</f>
        <v>0</v>
      </c>
    </row>
    <row r="1477" spans="1:18">
      <c r="A1477" s="15" t="str">
        <f t="shared" si="27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8" t="s">
        <v>75</v>
      </c>
      <c r="P1477" s="48">
        <f>HEX2DEC(RIGHT(Table132321275358[[#This Row],[h1]],8))</f>
        <v>0</v>
      </c>
      <c r="Q1477" s="48" t="s">
        <v>75</v>
      </c>
      <c r="R1477" s="48">
        <f>HEX2DEC(RIGHT(Table132321275358[[#This Row],[h2]],8))</f>
        <v>0</v>
      </c>
    </row>
    <row r="1478" spans="1:18">
      <c r="A1478" s="15" t="str">
        <f t="shared" si="27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8" t="s">
        <v>75</v>
      </c>
      <c r="P1478" s="48">
        <f>HEX2DEC(RIGHT(Table132321275358[[#This Row],[h1]],8))</f>
        <v>0</v>
      </c>
      <c r="Q1478" s="48" t="s">
        <v>75</v>
      </c>
      <c r="R1478" s="48">
        <f>HEX2DEC(RIGHT(Table132321275358[[#This Row],[h2]],8))</f>
        <v>0</v>
      </c>
    </row>
    <row r="1479" spans="1:18">
      <c r="A1479" s="15" t="str">
        <f t="shared" si="27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8" t="s">
        <v>75</v>
      </c>
      <c r="P1479" s="48">
        <f>HEX2DEC(RIGHT(Table132321275358[[#This Row],[h1]],8))</f>
        <v>0</v>
      </c>
      <c r="Q1479" s="48" t="s">
        <v>75</v>
      </c>
      <c r="R1479" s="48">
        <f>HEX2DEC(RIGHT(Table132321275358[[#This Row],[h2]],8))</f>
        <v>0</v>
      </c>
    </row>
    <row r="1480" spans="1:18">
      <c r="A1480" s="15" t="str">
        <f t="shared" si="27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8" t="s">
        <v>75</v>
      </c>
      <c r="P1480" s="48">
        <f>HEX2DEC(RIGHT(Table132321275358[[#This Row],[h1]],8))</f>
        <v>0</v>
      </c>
      <c r="Q1480" s="48" t="s">
        <v>75</v>
      </c>
      <c r="R1480" s="48">
        <f>HEX2DEC(RIGHT(Table132321275358[[#This Row],[h2]],8))</f>
        <v>0</v>
      </c>
    </row>
    <row r="1481" spans="1:18">
      <c r="A1481" s="15" t="str">
        <f t="shared" si="27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8" t="s">
        <v>75</v>
      </c>
      <c r="P1481" s="48">
        <f>HEX2DEC(RIGHT(Table132321275358[[#This Row],[h1]],8))</f>
        <v>0</v>
      </c>
      <c r="Q1481" s="48" t="s">
        <v>75</v>
      </c>
      <c r="R1481" s="48">
        <f>HEX2DEC(RIGHT(Table132321275358[[#This Row],[h2]],8))</f>
        <v>0</v>
      </c>
    </row>
    <row r="1482" spans="1:18">
      <c r="A1482" s="15" t="str">
        <f t="shared" si="27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8" t="s">
        <v>75</v>
      </c>
      <c r="P1482" s="48">
        <f>HEX2DEC(RIGHT(Table132321275358[[#This Row],[h1]],8))</f>
        <v>0</v>
      </c>
      <c r="Q1482" s="48" t="s">
        <v>75</v>
      </c>
      <c r="R1482" s="48">
        <f>HEX2DEC(RIGHT(Table132321275358[[#This Row],[h2]],8))</f>
        <v>0</v>
      </c>
    </row>
    <row r="1483" spans="1:18">
      <c r="A1483" s="15" t="str">
        <f t="shared" ref="A1483:A1546" si="28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8" t="s">
        <v>75</v>
      </c>
      <c r="P1483" s="48">
        <f>HEX2DEC(RIGHT(Table132321275358[[#This Row],[h1]],8))</f>
        <v>0</v>
      </c>
      <c r="Q1483" s="48" t="s">
        <v>75</v>
      </c>
      <c r="R1483" s="48">
        <f>HEX2DEC(RIGHT(Table132321275358[[#This Row],[h2]],8))</f>
        <v>0</v>
      </c>
    </row>
    <row r="1484" spans="1:18">
      <c r="A1484" s="15" t="str">
        <f t="shared" si="28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8" t="s">
        <v>75</v>
      </c>
      <c r="P1484" s="48">
        <f>HEX2DEC(RIGHT(Table132321275358[[#This Row],[h1]],8))</f>
        <v>0</v>
      </c>
      <c r="Q1484" s="48" t="s">
        <v>75</v>
      </c>
      <c r="R1484" s="48">
        <f>HEX2DEC(RIGHT(Table132321275358[[#This Row],[h2]],8))</f>
        <v>0</v>
      </c>
    </row>
    <row r="1485" spans="1:18">
      <c r="A1485" s="15" t="str">
        <f t="shared" si="28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8" t="s">
        <v>75</v>
      </c>
      <c r="P1485" s="48">
        <f>HEX2DEC(RIGHT(Table132321275358[[#This Row],[h1]],8))</f>
        <v>0</v>
      </c>
      <c r="Q1485" s="48" t="s">
        <v>75</v>
      </c>
      <c r="R1485" s="48">
        <f>HEX2DEC(RIGHT(Table132321275358[[#This Row],[h2]],8))</f>
        <v>0</v>
      </c>
    </row>
    <row r="1486" spans="1:18">
      <c r="A1486" s="15" t="str">
        <f t="shared" si="28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8" t="s">
        <v>75</v>
      </c>
      <c r="P1486" s="48">
        <f>HEX2DEC(RIGHT(Table132321275358[[#This Row],[h1]],8))</f>
        <v>0</v>
      </c>
      <c r="Q1486" s="48" t="s">
        <v>75</v>
      </c>
      <c r="R1486" s="48">
        <f>HEX2DEC(RIGHT(Table132321275358[[#This Row],[h2]],8))</f>
        <v>0</v>
      </c>
    </row>
    <row r="1487" spans="1:18">
      <c r="A1487" s="15" t="str">
        <f t="shared" si="28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8" t="s">
        <v>75</v>
      </c>
      <c r="P1487" s="48">
        <f>HEX2DEC(RIGHT(Table132321275358[[#This Row],[h1]],8))</f>
        <v>0</v>
      </c>
      <c r="Q1487" s="48" t="s">
        <v>75</v>
      </c>
      <c r="R1487" s="48">
        <f>HEX2DEC(RIGHT(Table132321275358[[#This Row],[h2]],8))</f>
        <v>0</v>
      </c>
    </row>
    <row r="1488" spans="1:18">
      <c r="A1488" s="15" t="str">
        <f t="shared" si="28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8" t="s">
        <v>75</v>
      </c>
      <c r="P1488" s="48">
        <f>HEX2DEC(RIGHT(Table132321275358[[#This Row],[h1]],8))</f>
        <v>0</v>
      </c>
      <c r="Q1488" s="48" t="s">
        <v>75</v>
      </c>
      <c r="R1488" s="48">
        <f>HEX2DEC(RIGHT(Table132321275358[[#This Row],[h2]],8))</f>
        <v>0</v>
      </c>
    </row>
    <row r="1489" spans="1:18">
      <c r="A1489" s="15" t="str">
        <f t="shared" si="28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8" t="s">
        <v>75</v>
      </c>
      <c r="P1489" s="48">
        <f>HEX2DEC(RIGHT(Table132321275358[[#This Row],[h1]],8))</f>
        <v>0</v>
      </c>
      <c r="Q1489" s="48" t="s">
        <v>75</v>
      </c>
      <c r="R1489" s="48">
        <f>HEX2DEC(RIGHT(Table132321275358[[#This Row],[h2]],8))</f>
        <v>0</v>
      </c>
    </row>
    <row r="1490" spans="1:18">
      <c r="A1490" s="15" t="str">
        <f t="shared" si="28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8" t="s">
        <v>75</v>
      </c>
      <c r="P1490" s="48">
        <f>HEX2DEC(RIGHT(Table132321275358[[#This Row],[h1]],8))</f>
        <v>0</v>
      </c>
      <c r="Q1490" s="48" t="s">
        <v>75</v>
      </c>
      <c r="R1490" s="48">
        <f>HEX2DEC(RIGHT(Table132321275358[[#This Row],[h2]],8))</f>
        <v>0</v>
      </c>
    </row>
    <row r="1491" spans="1:18">
      <c r="A1491" s="15" t="str">
        <f t="shared" si="28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8" t="s">
        <v>75</v>
      </c>
      <c r="P1491" s="48">
        <f>HEX2DEC(RIGHT(Table132321275358[[#This Row],[h1]],8))</f>
        <v>0</v>
      </c>
      <c r="Q1491" s="48" t="s">
        <v>75</v>
      </c>
      <c r="R1491" s="48">
        <f>HEX2DEC(RIGHT(Table132321275358[[#This Row],[h2]],8))</f>
        <v>0</v>
      </c>
    </row>
    <row r="1492" spans="1:18">
      <c r="A1492" s="15" t="str">
        <f t="shared" si="28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8" t="s">
        <v>75</v>
      </c>
      <c r="P1492" s="48">
        <f>HEX2DEC(RIGHT(Table132321275358[[#This Row],[h1]],8))</f>
        <v>0</v>
      </c>
      <c r="Q1492" s="48" t="s">
        <v>75</v>
      </c>
      <c r="R1492" s="48">
        <f>HEX2DEC(RIGHT(Table132321275358[[#This Row],[h2]],8))</f>
        <v>0</v>
      </c>
    </row>
    <row r="1493" spans="1:18">
      <c r="A1493" s="15" t="str">
        <f t="shared" si="28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8" t="s">
        <v>75</v>
      </c>
      <c r="P1493" s="48">
        <f>HEX2DEC(RIGHT(Table132321275358[[#This Row],[h1]],8))</f>
        <v>0</v>
      </c>
      <c r="Q1493" s="48" t="s">
        <v>75</v>
      </c>
      <c r="R1493" s="48">
        <f>HEX2DEC(RIGHT(Table132321275358[[#This Row],[h2]],8))</f>
        <v>0</v>
      </c>
    </row>
    <row r="1494" spans="1:18">
      <c r="A1494" s="15" t="str">
        <f t="shared" si="28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8" t="s">
        <v>75</v>
      </c>
      <c r="P1494" s="48">
        <f>HEX2DEC(RIGHT(Table132321275358[[#This Row],[h1]],8))</f>
        <v>0</v>
      </c>
      <c r="Q1494" s="48" t="s">
        <v>75</v>
      </c>
      <c r="R1494" s="48">
        <f>HEX2DEC(RIGHT(Table132321275358[[#This Row],[h2]],8))</f>
        <v>0</v>
      </c>
    </row>
    <row r="1495" spans="1:18">
      <c r="A1495" s="15" t="str">
        <f t="shared" si="28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8" t="s">
        <v>75</v>
      </c>
      <c r="P1495" s="48">
        <f>HEX2DEC(RIGHT(Table132321275358[[#This Row],[h1]],8))</f>
        <v>0</v>
      </c>
      <c r="Q1495" s="48" t="s">
        <v>75</v>
      </c>
      <c r="R1495" s="48">
        <f>HEX2DEC(RIGHT(Table132321275358[[#This Row],[h2]],8))</f>
        <v>0</v>
      </c>
    </row>
    <row r="1496" spans="1:18">
      <c r="A1496" s="15" t="str">
        <f t="shared" si="28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8" t="s">
        <v>75</v>
      </c>
      <c r="P1496" s="48">
        <f>HEX2DEC(RIGHT(Table132321275358[[#This Row],[h1]],8))</f>
        <v>0</v>
      </c>
      <c r="Q1496" s="48" t="s">
        <v>75</v>
      </c>
      <c r="R1496" s="48">
        <f>HEX2DEC(RIGHT(Table132321275358[[#This Row],[h2]],8))</f>
        <v>0</v>
      </c>
    </row>
    <row r="1497" spans="1:18">
      <c r="A1497" s="15" t="str">
        <f t="shared" si="28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8" t="s">
        <v>75</v>
      </c>
      <c r="P1497" s="48">
        <f>HEX2DEC(RIGHT(Table132321275358[[#This Row],[h1]],8))</f>
        <v>0</v>
      </c>
      <c r="Q1497" s="48" t="s">
        <v>75</v>
      </c>
      <c r="R1497" s="48">
        <f>HEX2DEC(RIGHT(Table132321275358[[#This Row],[h2]],8))</f>
        <v>0</v>
      </c>
    </row>
    <row r="1498" spans="1:18">
      <c r="A1498" s="15" t="str">
        <f t="shared" si="28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8" t="s">
        <v>75</v>
      </c>
      <c r="P1498" s="48">
        <f>HEX2DEC(RIGHT(Table132321275358[[#This Row],[h1]],8))</f>
        <v>0</v>
      </c>
      <c r="Q1498" s="48" t="s">
        <v>75</v>
      </c>
      <c r="R1498" s="48">
        <f>HEX2DEC(RIGHT(Table132321275358[[#This Row],[h2]],8))</f>
        <v>0</v>
      </c>
    </row>
    <row r="1499" spans="1:18">
      <c r="A1499" s="15" t="str">
        <f t="shared" si="28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8" t="s">
        <v>75</v>
      </c>
      <c r="P1499" s="48">
        <f>HEX2DEC(RIGHT(Table132321275358[[#This Row],[h1]],8))</f>
        <v>0</v>
      </c>
      <c r="Q1499" s="48" t="s">
        <v>75</v>
      </c>
      <c r="R1499" s="48">
        <f>HEX2DEC(RIGHT(Table132321275358[[#This Row],[h2]],8))</f>
        <v>0</v>
      </c>
    </row>
    <row r="1500" spans="1:18">
      <c r="A1500" s="15" t="str">
        <f t="shared" si="28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8" t="s">
        <v>75</v>
      </c>
      <c r="P1500" s="48">
        <f>HEX2DEC(RIGHT(Table132321275358[[#This Row],[h1]],8))</f>
        <v>0</v>
      </c>
      <c r="Q1500" s="48" t="s">
        <v>75</v>
      </c>
      <c r="R1500" s="48">
        <f>HEX2DEC(RIGHT(Table132321275358[[#This Row],[h2]],8))</f>
        <v>0</v>
      </c>
    </row>
    <row r="1501" spans="1:18">
      <c r="A1501" s="15" t="str">
        <f t="shared" si="28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8" t="s">
        <v>75</v>
      </c>
      <c r="P1501" s="48">
        <f>HEX2DEC(RIGHT(Table132321275358[[#This Row],[h1]],8))</f>
        <v>0</v>
      </c>
      <c r="Q1501" s="48" t="s">
        <v>75</v>
      </c>
      <c r="R1501" s="48">
        <f>HEX2DEC(RIGHT(Table132321275358[[#This Row],[h2]],8))</f>
        <v>0</v>
      </c>
    </row>
    <row r="1502" spans="1:18">
      <c r="A1502" s="15" t="str">
        <f t="shared" si="28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8" t="s">
        <v>75</v>
      </c>
      <c r="P1502" s="48">
        <f>HEX2DEC(RIGHT(Table132321275358[[#This Row],[h1]],8))</f>
        <v>0</v>
      </c>
      <c r="Q1502" s="48" t="s">
        <v>75</v>
      </c>
      <c r="R1502" s="48">
        <f>HEX2DEC(RIGHT(Table132321275358[[#This Row],[h2]],8))</f>
        <v>0</v>
      </c>
    </row>
    <row r="1503" spans="1:18">
      <c r="A1503" s="15" t="str">
        <f t="shared" si="28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8" t="s">
        <v>75</v>
      </c>
      <c r="P1503" s="48">
        <f>HEX2DEC(RIGHT(Table132321275358[[#This Row],[h1]],8))</f>
        <v>0</v>
      </c>
      <c r="Q1503" s="48" t="s">
        <v>75</v>
      </c>
      <c r="R1503" s="48">
        <f>HEX2DEC(RIGHT(Table132321275358[[#This Row],[h2]],8))</f>
        <v>0</v>
      </c>
    </row>
    <row r="1504" spans="1:18">
      <c r="A1504" s="15" t="str">
        <f t="shared" si="28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8" t="s">
        <v>75</v>
      </c>
      <c r="P1504" s="48">
        <f>HEX2DEC(RIGHT(Table132321275358[[#This Row],[h1]],8))</f>
        <v>0</v>
      </c>
      <c r="Q1504" s="48" t="s">
        <v>75</v>
      </c>
      <c r="R1504" s="48">
        <f>HEX2DEC(RIGHT(Table132321275358[[#This Row],[h2]],8))</f>
        <v>0</v>
      </c>
    </row>
    <row r="1505" spans="1:18">
      <c r="A1505" s="15" t="str">
        <f t="shared" si="28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8" t="s">
        <v>75</v>
      </c>
      <c r="P1505" s="48">
        <f>HEX2DEC(RIGHT(Table132321275358[[#This Row],[h1]],8))</f>
        <v>0</v>
      </c>
      <c r="Q1505" s="48" t="s">
        <v>75</v>
      </c>
      <c r="R1505" s="48">
        <f>HEX2DEC(RIGHT(Table132321275358[[#This Row],[h2]],8))</f>
        <v>0</v>
      </c>
    </row>
    <row r="1506" spans="1:18">
      <c r="A1506" s="15" t="str">
        <f t="shared" si="28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8" t="s">
        <v>75</v>
      </c>
      <c r="P1506" s="48">
        <f>HEX2DEC(RIGHT(Table132321275358[[#This Row],[h1]],8))</f>
        <v>0</v>
      </c>
      <c r="Q1506" s="48" t="s">
        <v>75</v>
      </c>
      <c r="R1506" s="48">
        <f>HEX2DEC(RIGHT(Table132321275358[[#This Row],[h2]],8))</f>
        <v>0</v>
      </c>
    </row>
    <row r="1507" spans="1:18">
      <c r="A1507" s="15" t="str">
        <f t="shared" si="28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8" t="s">
        <v>75</v>
      </c>
      <c r="P1507" s="48">
        <f>HEX2DEC(RIGHT(Table132321275358[[#This Row],[h1]],8))</f>
        <v>0</v>
      </c>
      <c r="Q1507" s="48" t="s">
        <v>75</v>
      </c>
      <c r="R1507" s="48">
        <f>HEX2DEC(RIGHT(Table132321275358[[#This Row],[h2]],8))</f>
        <v>0</v>
      </c>
    </row>
    <row r="1508" spans="1:18">
      <c r="A1508" s="15" t="str">
        <f t="shared" si="28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8" t="s">
        <v>75</v>
      </c>
      <c r="P1508" s="48">
        <f>HEX2DEC(RIGHT(Table132321275358[[#This Row],[h1]],8))</f>
        <v>0</v>
      </c>
      <c r="Q1508" s="48" t="s">
        <v>75</v>
      </c>
      <c r="R1508" s="48">
        <f>HEX2DEC(RIGHT(Table132321275358[[#This Row],[h2]],8))</f>
        <v>0</v>
      </c>
    </row>
    <row r="1509" spans="1:18">
      <c r="A1509" s="15" t="str">
        <f t="shared" si="28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8" t="s">
        <v>75</v>
      </c>
      <c r="P1509" s="48">
        <f>HEX2DEC(RIGHT(Table132321275358[[#This Row],[h1]],8))</f>
        <v>0</v>
      </c>
      <c r="Q1509" s="48" t="s">
        <v>75</v>
      </c>
      <c r="R1509" s="48">
        <f>HEX2DEC(RIGHT(Table132321275358[[#This Row],[h2]],8))</f>
        <v>0</v>
      </c>
    </row>
    <row r="1510" spans="1:18">
      <c r="A1510" s="15" t="str">
        <f t="shared" si="28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8" t="s">
        <v>75</v>
      </c>
      <c r="P1510" s="48">
        <f>HEX2DEC(RIGHT(Table132321275358[[#This Row],[h1]],8))</f>
        <v>0</v>
      </c>
      <c r="Q1510" s="48" t="s">
        <v>75</v>
      </c>
      <c r="R1510" s="48">
        <f>HEX2DEC(RIGHT(Table132321275358[[#This Row],[h2]],8))</f>
        <v>0</v>
      </c>
    </row>
    <row r="1511" spans="1:18">
      <c r="A1511" s="15" t="str">
        <f t="shared" si="28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8" t="s">
        <v>75</v>
      </c>
      <c r="P1511" s="48">
        <f>HEX2DEC(RIGHT(Table132321275358[[#This Row],[h1]],8))</f>
        <v>0</v>
      </c>
      <c r="Q1511" s="48" t="s">
        <v>75</v>
      </c>
      <c r="R1511" s="48">
        <f>HEX2DEC(RIGHT(Table132321275358[[#This Row],[h2]],8))</f>
        <v>0</v>
      </c>
    </row>
    <row r="1512" spans="1:18">
      <c r="A1512" s="15" t="str">
        <f t="shared" si="28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8" t="s">
        <v>75</v>
      </c>
      <c r="P1512" s="48">
        <f>HEX2DEC(RIGHT(Table132321275358[[#This Row],[h1]],8))</f>
        <v>0</v>
      </c>
      <c r="Q1512" s="48" t="s">
        <v>75</v>
      </c>
      <c r="R1512" s="48">
        <f>HEX2DEC(RIGHT(Table132321275358[[#This Row],[h2]],8))</f>
        <v>0</v>
      </c>
    </row>
    <row r="1513" spans="1:18">
      <c r="A1513" s="15" t="str">
        <f t="shared" si="28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8" t="s">
        <v>75</v>
      </c>
      <c r="P1513" s="48">
        <f>HEX2DEC(RIGHT(Table132321275358[[#This Row],[h1]],8))</f>
        <v>0</v>
      </c>
      <c r="Q1513" s="48" t="s">
        <v>75</v>
      </c>
      <c r="R1513" s="48">
        <f>HEX2DEC(RIGHT(Table132321275358[[#This Row],[h2]],8))</f>
        <v>0</v>
      </c>
    </row>
    <row r="1514" spans="1:18">
      <c r="A1514" s="15" t="str">
        <f t="shared" si="28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8" t="s">
        <v>75</v>
      </c>
      <c r="P1514" s="48">
        <f>HEX2DEC(RIGHT(Table132321275358[[#This Row],[h1]],8))</f>
        <v>0</v>
      </c>
      <c r="Q1514" s="48" t="s">
        <v>75</v>
      </c>
      <c r="R1514" s="48">
        <f>HEX2DEC(RIGHT(Table132321275358[[#This Row],[h2]],8))</f>
        <v>0</v>
      </c>
    </row>
    <row r="1515" spans="1:18">
      <c r="A1515" s="15" t="str">
        <f t="shared" si="28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8" t="s">
        <v>75</v>
      </c>
      <c r="P1515" s="48">
        <f>HEX2DEC(RIGHT(Table132321275358[[#This Row],[h1]],8))</f>
        <v>0</v>
      </c>
      <c r="Q1515" s="48" t="s">
        <v>75</v>
      </c>
      <c r="R1515" s="48">
        <f>HEX2DEC(RIGHT(Table132321275358[[#This Row],[h2]],8))</f>
        <v>0</v>
      </c>
    </row>
    <row r="1516" spans="1:18">
      <c r="A1516" s="15" t="str">
        <f t="shared" si="28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8" t="s">
        <v>75</v>
      </c>
      <c r="P1516" s="48">
        <f>HEX2DEC(RIGHT(Table132321275358[[#This Row],[h1]],8))</f>
        <v>0</v>
      </c>
      <c r="Q1516" s="48" t="s">
        <v>75</v>
      </c>
      <c r="R1516" s="48">
        <f>HEX2DEC(RIGHT(Table132321275358[[#This Row],[h2]],8))</f>
        <v>0</v>
      </c>
    </row>
    <row r="1517" spans="1:18">
      <c r="A1517" s="15" t="str">
        <f t="shared" si="28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8" t="s">
        <v>75</v>
      </c>
      <c r="P1517" s="48">
        <f>HEX2DEC(RIGHT(Table132321275358[[#This Row],[h1]],8))</f>
        <v>0</v>
      </c>
      <c r="Q1517" s="48" t="s">
        <v>75</v>
      </c>
      <c r="R1517" s="48">
        <f>HEX2DEC(RIGHT(Table132321275358[[#This Row],[h2]],8))</f>
        <v>0</v>
      </c>
    </row>
    <row r="1518" spans="1:18">
      <c r="A1518" s="15" t="str">
        <f t="shared" si="28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8" t="s">
        <v>75</v>
      </c>
      <c r="P1518" s="48">
        <f>HEX2DEC(RIGHT(Table132321275358[[#This Row],[h1]],8))</f>
        <v>0</v>
      </c>
      <c r="Q1518" s="48" t="s">
        <v>75</v>
      </c>
      <c r="R1518" s="48">
        <f>HEX2DEC(RIGHT(Table132321275358[[#This Row],[h2]],8))</f>
        <v>0</v>
      </c>
    </row>
    <row r="1519" spans="1:18">
      <c r="A1519" s="15" t="str">
        <f t="shared" si="28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8" t="s">
        <v>75</v>
      </c>
      <c r="P1519" s="48">
        <f>HEX2DEC(RIGHT(Table132321275358[[#This Row],[h1]],8))</f>
        <v>0</v>
      </c>
      <c r="Q1519" s="48" t="s">
        <v>75</v>
      </c>
      <c r="R1519" s="48">
        <f>HEX2DEC(RIGHT(Table132321275358[[#This Row],[h2]],8))</f>
        <v>0</v>
      </c>
    </row>
    <row r="1520" spans="1:18">
      <c r="A1520" s="15" t="str">
        <f t="shared" si="28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8" t="s">
        <v>75</v>
      </c>
      <c r="P1520" s="48">
        <f>HEX2DEC(RIGHT(Table132321275358[[#This Row],[h1]],8))</f>
        <v>0</v>
      </c>
      <c r="Q1520" s="48" t="s">
        <v>75</v>
      </c>
      <c r="R1520" s="48">
        <f>HEX2DEC(RIGHT(Table132321275358[[#This Row],[h2]],8))</f>
        <v>0</v>
      </c>
    </row>
    <row r="1521" spans="1:18">
      <c r="A1521" s="15" t="str">
        <f t="shared" si="28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8" t="s">
        <v>75</v>
      </c>
      <c r="P1521" s="48">
        <f>HEX2DEC(RIGHT(Table132321275358[[#This Row],[h1]],8))</f>
        <v>0</v>
      </c>
      <c r="Q1521" s="48" t="s">
        <v>75</v>
      </c>
      <c r="R1521" s="48">
        <f>HEX2DEC(RIGHT(Table132321275358[[#This Row],[h2]],8))</f>
        <v>0</v>
      </c>
    </row>
    <row r="1522" spans="1:18">
      <c r="A1522" s="15" t="str">
        <f t="shared" si="28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8" t="s">
        <v>75</v>
      </c>
      <c r="P1522" s="48">
        <f>HEX2DEC(RIGHT(Table132321275358[[#This Row],[h1]],8))</f>
        <v>0</v>
      </c>
      <c r="Q1522" s="48" t="s">
        <v>75</v>
      </c>
      <c r="R1522" s="48">
        <f>HEX2DEC(RIGHT(Table132321275358[[#This Row],[h2]],8))</f>
        <v>0</v>
      </c>
    </row>
    <row r="1523" spans="1:18">
      <c r="A1523" s="15" t="str">
        <f t="shared" si="28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8" t="s">
        <v>75</v>
      </c>
      <c r="P1523" s="48">
        <f>HEX2DEC(RIGHT(Table132321275358[[#This Row],[h1]],8))</f>
        <v>0</v>
      </c>
      <c r="Q1523" s="48" t="s">
        <v>75</v>
      </c>
      <c r="R1523" s="48">
        <f>HEX2DEC(RIGHT(Table132321275358[[#This Row],[h2]],8))</f>
        <v>0</v>
      </c>
    </row>
    <row r="1524" spans="1:18">
      <c r="A1524" s="15" t="str">
        <f t="shared" si="28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8" t="s">
        <v>75</v>
      </c>
      <c r="P1524" s="48">
        <f>HEX2DEC(RIGHT(Table132321275358[[#This Row],[h1]],8))</f>
        <v>0</v>
      </c>
      <c r="Q1524" s="48" t="s">
        <v>75</v>
      </c>
      <c r="R1524" s="48">
        <f>HEX2DEC(RIGHT(Table132321275358[[#This Row],[h2]],8))</f>
        <v>0</v>
      </c>
    </row>
    <row r="1525" spans="1:18">
      <c r="A1525" s="15" t="str">
        <f t="shared" si="28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8" t="s">
        <v>75</v>
      </c>
      <c r="P1525" s="48">
        <f>HEX2DEC(RIGHT(Table132321275358[[#This Row],[h1]],8))</f>
        <v>0</v>
      </c>
      <c r="Q1525" s="48" t="s">
        <v>75</v>
      </c>
      <c r="R1525" s="48">
        <f>HEX2DEC(RIGHT(Table132321275358[[#This Row],[h2]],8))</f>
        <v>0</v>
      </c>
    </row>
    <row r="1526" spans="1:18">
      <c r="A1526" s="15" t="str">
        <f t="shared" si="28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8" t="s">
        <v>75</v>
      </c>
      <c r="P1526" s="48">
        <f>HEX2DEC(RIGHT(Table132321275358[[#This Row],[h1]],8))</f>
        <v>0</v>
      </c>
      <c r="Q1526" s="48" t="s">
        <v>75</v>
      </c>
      <c r="R1526" s="48">
        <f>HEX2DEC(RIGHT(Table132321275358[[#This Row],[h2]],8))</f>
        <v>0</v>
      </c>
    </row>
    <row r="1527" spans="1:18">
      <c r="A1527" s="15" t="str">
        <f t="shared" si="28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8" t="s">
        <v>75</v>
      </c>
      <c r="P1527" s="48">
        <f>HEX2DEC(RIGHT(Table132321275358[[#This Row],[h1]],8))</f>
        <v>0</v>
      </c>
      <c r="Q1527" s="48" t="s">
        <v>75</v>
      </c>
      <c r="R1527" s="48">
        <f>HEX2DEC(RIGHT(Table132321275358[[#This Row],[h2]],8))</f>
        <v>0</v>
      </c>
    </row>
    <row r="1528" spans="1:18">
      <c r="A1528" s="15" t="str">
        <f t="shared" si="28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8" t="s">
        <v>75</v>
      </c>
      <c r="P1528" s="48">
        <f>HEX2DEC(RIGHT(Table132321275358[[#This Row],[h1]],8))</f>
        <v>0</v>
      </c>
      <c r="Q1528" s="48" t="s">
        <v>75</v>
      </c>
      <c r="R1528" s="48">
        <f>HEX2DEC(RIGHT(Table132321275358[[#This Row],[h2]],8))</f>
        <v>0</v>
      </c>
    </row>
    <row r="1529" spans="1:18">
      <c r="A1529" s="15" t="str">
        <f t="shared" si="28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8" t="s">
        <v>75</v>
      </c>
      <c r="P1529" s="48">
        <f>HEX2DEC(RIGHT(Table132321275358[[#This Row],[h1]],8))</f>
        <v>0</v>
      </c>
      <c r="Q1529" s="48" t="s">
        <v>75</v>
      </c>
      <c r="R1529" s="48">
        <f>HEX2DEC(RIGHT(Table132321275358[[#This Row],[h2]],8))</f>
        <v>0</v>
      </c>
    </row>
    <row r="1530" spans="1:18">
      <c r="A1530" s="15" t="str">
        <f t="shared" si="28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8" t="s">
        <v>75</v>
      </c>
      <c r="P1530" s="48">
        <f>HEX2DEC(RIGHT(Table132321275358[[#This Row],[h1]],8))</f>
        <v>0</v>
      </c>
      <c r="Q1530" s="48" t="s">
        <v>75</v>
      </c>
      <c r="R1530" s="48">
        <f>HEX2DEC(RIGHT(Table132321275358[[#This Row],[h2]],8))</f>
        <v>0</v>
      </c>
    </row>
    <row r="1531" spans="1:18">
      <c r="A1531" s="15" t="str">
        <f t="shared" si="28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8" t="s">
        <v>75</v>
      </c>
      <c r="P1531" s="48">
        <f>HEX2DEC(RIGHT(Table132321275358[[#This Row],[h1]],8))</f>
        <v>0</v>
      </c>
      <c r="Q1531" s="48" t="s">
        <v>75</v>
      </c>
      <c r="R1531" s="48">
        <f>HEX2DEC(RIGHT(Table132321275358[[#This Row],[h2]],8))</f>
        <v>0</v>
      </c>
    </row>
    <row r="1532" spans="1:18">
      <c r="A1532" s="15" t="str">
        <f t="shared" si="28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8" t="s">
        <v>75</v>
      </c>
      <c r="P1532" s="48">
        <f>HEX2DEC(RIGHT(Table132321275358[[#This Row],[h1]],8))</f>
        <v>0</v>
      </c>
      <c r="Q1532" s="48" t="s">
        <v>75</v>
      </c>
      <c r="R1532" s="48">
        <f>HEX2DEC(RIGHT(Table132321275358[[#This Row],[h2]],8))</f>
        <v>0</v>
      </c>
    </row>
    <row r="1533" spans="1:18">
      <c r="A1533" s="15" t="str">
        <f t="shared" si="28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8" t="s">
        <v>75</v>
      </c>
      <c r="P1533" s="48">
        <f>HEX2DEC(RIGHT(Table132321275358[[#This Row],[h1]],8))</f>
        <v>0</v>
      </c>
      <c r="Q1533" s="48" t="s">
        <v>75</v>
      </c>
      <c r="R1533" s="48">
        <f>HEX2DEC(RIGHT(Table132321275358[[#This Row],[h2]],8))</f>
        <v>0</v>
      </c>
    </row>
    <row r="1534" spans="1:18">
      <c r="A1534" s="15" t="str">
        <f t="shared" si="28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8" t="s">
        <v>75</v>
      </c>
      <c r="P1534" s="48">
        <f>HEX2DEC(RIGHT(Table132321275358[[#This Row],[h1]],8))</f>
        <v>0</v>
      </c>
      <c r="Q1534" s="48" t="s">
        <v>75</v>
      </c>
      <c r="R1534" s="48">
        <f>HEX2DEC(RIGHT(Table132321275358[[#This Row],[h2]],8))</f>
        <v>0</v>
      </c>
    </row>
    <row r="1535" spans="1:18">
      <c r="A1535" s="15" t="str">
        <f t="shared" si="28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8" t="s">
        <v>75</v>
      </c>
      <c r="P1535" s="48">
        <f>HEX2DEC(RIGHT(Table132321275358[[#This Row],[h1]],8))</f>
        <v>0</v>
      </c>
      <c r="Q1535" s="48" t="s">
        <v>75</v>
      </c>
      <c r="R1535" s="48">
        <f>HEX2DEC(RIGHT(Table132321275358[[#This Row],[h2]],8))</f>
        <v>0</v>
      </c>
    </row>
    <row r="1536" spans="1:18">
      <c r="A1536" s="15" t="str">
        <f t="shared" si="28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8" t="s">
        <v>75</v>
      </c>
      <c r="P1536" s="48">
        <f>HEX2DEC(RIGHT(Table132321275358[[#This Row],[h1]],8))</f>
        <v>0</v>
      </c>
      <c r="Q1536" s="48" t="s">
        <v>75</v>
      </c>
      <c r="R1536" s="48">
        <f>HEX2DEC(RIGHT(Table132321275358[[#This Row],[h2]],8))</f>
        <v>0</v>
      </c>
    </row>
    <row r="1537" spans="1:18">
      <c r="A1537" s="15" t="str">
        <f t="shared" si="28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8" t="s">
        <v>75</v>
      </c>
      <c r="P1537" s="48">
        <f>HEX2DEC(RIGHT(Table132321275358[[#This Row],[h1]],8))</f>
        <v>0</v>
      </c>
      <c r="Q1537" s="48" t="s">
        <v>75</v>
      </c>
      <c r="R1537" s="48">
        <f>HEX2DEC(RIGHT(Table132321275358[[#This Row],[h2]],8))</f>
        <v>0</v>
      </c>
    </row>
    <row r="1538" spans="1:18">
      <c r="A1538" s="15" t="str">
        <f t="shared" si="28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8" t="s">
        <v>75</v>
      </c>
      <c r="P1538" s="48">
        <f>HEX2DEC(RIGHT(Table132321275358[[#This Row],[h1]],8))</f>
        <v>0</v>
      </c>
      <c r="Q1538" s="48" t="s">
        <v>75</v>
      </c>
      <c r="R1538" s="48">
        <f>HEX2DEC(RIGHT(Table132321275358[[#This Row],[h2]],8))</f>
        <v>0</v>
      </c>
    </row>
    <row r="1539" spans="1:18">
      <c r="A1539" s="15" t="str">
        <f t="shared" si="28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8" t="s">
        <v>75</v>
      </c>
      <c r="P1539" s="48">
        <f>HEX2DEC(RIGHT(Table132321275358[[#This Row],[h1]],8))</f>
        <v>0</v>
      </c>
      <c r="Q1539" s="48" t="s">
        <v>75</v>
      </c>
      <c r="R1539" s="48">
        <f>HEX2DEC(RIGHT(Table132321275358[[#This Row],[h2]],8))</f>
        <v>0</v>
      </c>
    </row>
    <row r="1540" spans="1:18">
      <c r="A1540" s="15" t="str">
        <f t="shared" si="28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8" t="s">
        <v>75</v>
      </c>
      <c r="P1540" s="48">
        <f>HEX2DEC(RIGHT(Table132321275358[[#This Row],[h1]],8))</f>
        <v>0</v>
      </c>
      <c r="Q1540" s="48" t="s">
        <v>75</v>
      </c>
      <c r="R1540" s="48">
        <f>HEX2DEC(RIGHT(Table132321275358[[#This Row],[h2]],8))</f>
        <v>0</v>
      </c>
    </row>
    <row r="1541" spans="1:18">
      <c r="A1541" s="15" t="str">
        <f t="shared" si="28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8" t="s">
        <v>75</v>
      </c>
      <c r="P1541" s="48">
        <f>HEX2DEC(RIGHT(Table132321275358[[#This Row],[h1]],8))</f>
        <v>0</v>
      </c>
      <c r="Q1541" s="48" t="s">
        <v>75</v>
      </c>
      <c r="R1541" s="48">
        <f>HEX2DEC(RIGHT(Table132321275358[[#This Row],[h2]],8))</f>
        <v>0</v>
      </c>
    </row>
    <row r="1542" spans="1:18">
      <c r="A1542" s="15" t="str">
        <f t="shared" si="28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8" t="s">
        <v>75</v>
      </c>
      <c r="P1542" s="48">
        <f>HEX2DEC(RIGHT(Table132321275358[[#This Row],[h1]],8))</f>
        <v>0</v>
      </c>
      <c r="Q1542" s="48" t="s">
        <v>75</v>
      </c>
      <c r="R1542" s="48">
        <f>HEX2DEC(RIGHT(Table132321275358[[#This Row],[h2]],8))</f>
        <v>0</v>
      </c>
    </row>
    <row r="1543" spans="1:18">
      <c r="A1543" s="15" t="str">
        <f t="shared" si="28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8" t="s">
        <v>75</v>
      </c>
      <c r="P1543" s="48">
        <f>HEX2DEC(RIGHT(Table132321275358[[#This Row],[h1]],8))</f>
        <v>0</v>
      </c>
      <c r="Q1543" s="48" t="s">
        <v>75</v>
      </c>
      <c r="R1543" s="48">
        <f>HEX2DEC(RIGHT(Table132321275358[[#This Row],[h2]],8))</f>
        <v>0</v>
      </c>
    </row>
    <row r="1544" spans="1:18">
      <c r="A1544" s="15" t="str">
        <f t="shared" si="28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8" t="s">
        <v>75</v>
      </c>
      <c r="P1544" s="48">
        <f>HEX2DEC(RIGHT(Table132321275358[[#This Row],[h1]],8))</f>
        <v>0</v>
      </c>
      <c r="Q1544" s="48" t="s">
        <v>75</v>
      </c>
      <c r="R1544" s="48">
        <f>HEX2DEC(RIGHT(Table132321275358[[#This Row],[h2]],8))</f>
        <v>0</v>
      </c>
    </row>
    <row r="1545" spans="1:18">
      <c r="A1545" s="15" t="str">
        <f t="shared" si="28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8" t="s">
        <v>75</v>
      </c>
      <c r="P1545" s="48">
        <f>HEX2DEC(RIGHT(Table132321275358[[#This Row],[h1]],8))</f>
        <v>0</v>
      </c>
      <c r="Q1545" s="48" t="s">
        <v>75</v>
      </c>
      <c r="R1545" s="48">
        <f>HEX2DEC(RIGHT(Table132321275358[[#This Row],[h2]],8))</f>
        <v>0</v>
      </c>
    </row>
    <row r="1546" spans="1:18">
      <c r="A1546" s="15" t="str">
        <f t="shared" si="28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8" t="s">
        <v>75</v>
      </c>
      <c r="P1546" s="48">
        <f>HEX2DEC(RIGHT(Table132321275358[[#This Row],[h1]],8))</f>
        <v>0</v>
      </c>
      <c r="Q1546" s="48" t="s">
        <v>75</v>
      </c>
      <c r="R1546" s="48">
        <f>HEX2DEC(RIGHT(Table132321275358[[#This Row],[h2]],8))</f>
        <v>0</v>
      </c>
    </row>
    <row r="1547" spans="1:18">
      <c r="A1547" s="15" t="str">
        <f t="shared" ref="A1547:A1610" si="29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8" t="s">
        <v>75</v>
      </c>
      <c r="P1547" s="48">
        <f>HEX2DEC(RIGHT(Table132321275358[[#This Row],[h1]],8))</f>
        <v>0</v>
      </c>
      <c r="Q1547" s="48" t="s">
        <v>75</v>
      </c>
      <c r="R1547" s="48">
        <f>HEX2DEC(RIGHT(Table132321275358[[#This Row],[h2]],8))</f>
        <v>0</v>
      </c>
    </row>
    <row r="1548" spans="1:18">
      <c r="A1548" s="15" t="str">
        <f t="shared" si="29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8" t="s">
        <v>75</v>
      </c>
      <c r="P1548" s="48">
        <f>HEX2DEC(RIGHT(Table132321275358[[#This Row],[h1]],8))</f>
        <v>0</v>
      </c>
      <c r="Q1548" s="48" t="s">
        <v>75</v>
      </c>
      <c r="R1548" s="48">
        <f>HEX2DEC(RIGHT(Table132321275358[[#This Row],[h2]],8))</f>
        <v>0</v>
      </c>
    </row>
    <row r="1549" spans="1:18">
      <c r="A1549" s="15" t="str">
        <f t="shared" si="29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8" t="s">
        <v>75</v>
      </c>
      <c r="P1549" s="48">
        <f>HEX2DEC(RIGHT(Table132321275358[[#This Row],[h1]],8))</f>
        <v>0</v>
      </c>
      <c r="Q1549" s="48" t="s">
        <v>75</v>
      </c>
      <c r="R1549" s="48">
        <f>HEX2DEC(RIGHT(Table132321275358[[#This Row],[h2]],8))</f>
        <v>0</v>
      </c>
    </row>
    <row r="1550" spans="1:18">
      <c r="A1550" s="15" t="str">
        <f t="shared" si="29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8" t="s">
        <v>75</v>
      </c>
      <c r="P1550" s="48">
        <f>HEX2DEC(RIGHT(Table132321275358[[#This Row],[h1]],8))</f>
        <v>0</v>
      </c>
      <c r="Q1550" s="48" t="s">
        <v>75</v>
      </c>
      <c r="R1550" s="48">
        <f>HEX2DEC(RIGHT(Table132321275358[[#This Row],[h2]],8))</f>
        <v>0</v>
      </c>
    </row>
    <row r="1551" spans="1:18">
      <c r="A1551" s="15" t="str">
        <f t="shared" si="29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8" t="s">
        <v>75</v>
      </c>
      <c r="P1551" s="48">
        <f>HEX2DEC(RIGHT(Table132321275358[[#This Row],[h1]],8))</f>
        <v>0</v>
      </c>
      <c r="Q1551" s="48" t="s">
        <v>75</v>
      </c>
      <c r="R1551" s="48">
        <f>HEX2DEC(RIGHT(Table132321275358[[#This Row],[h2]],8))</f>
        <v>0</v>
      </c>
    </row>
    <row r="1552" spans="1:18">
      <c r="A1552" s="15" t="str">
        <f t="shared" si="29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8" t="s">
        <v>75</v>
      </c>
      <c r="P1552" s="48">
        <f>HEX2DEC(RIGHT(Table132321275358[[#This Row],[h1]],8))</f>
        <v>0</v>
      </c>
      <c r="Q1552" s="48" t="s">
        <v>75</v>
      </c>
      <c r="R1552" s="48">
        <f>HEX2DEC(RIGHT(Table132321275358[[#This Row],[h2]],8))</f>
        <v>0</v>
      </c>
    </row>
    <row r="1553" spans="1:18">
      <c r="A1553" s="15" t="str">
        <f t="shared" si="29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8" t="s">
        <v>75</v>
      </c>
      <c r="P1553" s="48">
        <f>HEX2DEC(RIGHT(Table132321275358[[#This Row],[h1]],8))</f>
        <v>0</v>
      </c>
      <c r="Q1553" s="48" t="s">
        <v>75</v>
      </c>
      <c r="R1553" s="48">
        <f>HEX2DEC(RIGHT(Table132321275358[[#This Row],[h2]],8))</f>
        <v>0</v>
      </c>
    </row>
    <row r="1554" spans="1:18">
      <c r="A1554" s="15" t="str">
        <f t="shared" si="29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8" t="s">
        <v>75</v>
      </c>
      <c r="P1554" s="48">
        <f>HEX2DEC(RIGHT(Table132321275358[[#This Row],[h1]],8))</f>
        <v>0</v>
      </c>
      <c r="Q1554" s="48" t="s">
        <v>75</v>
      </c>
      <c r="R1554" s="48">
        <f>HEX2DEC(RIGHT(Table132321275358[[#This Row],[h2]],8))</f>
        <v>0</v>
      </c>
    </row>
    <row r="1555" spans="1:18">
      <c r="A1555" s="15" t="str">
        <f t="shared" si="29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8" t="s">
        <v>75</v>
      </c>
      <c r="P1555" s="48">
        <f>HEX2DEC(RIGHT(Table132321275358[[#This Row],[h1]],8))</f>
        <v>0</v>
      </c>
      <c r="Q1555" s="48" t="s">
        <v>75</v>
      </c>
      <c r="R1555" s="48">
        <f>HEX2DEC(RIGHT(Table132321275358[[#This Row],[h2]],8))</f>
        <v>0</v>
      </c>
    </row>
    <row r="1556" spans="1:18">
      <c r="A1556" s="15" t="str">
        <f t="shared" si="29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8" t="s">
        <v>75</v>
      </c>
      <c r="P1556" s="48">
        <f>HEX2DEC(RIGHT(Table132321275358[[#This Row],[h1]],8))</f>
        <v>0</v>
      </c>
      <c r="Q1556" s="48" t="s">
        <v>75</v>
      </c>
      <c r="R1556" s="48">
        <f>HEX2DEC(RIGHT(Table132321275358[[#This Row],[h2]],8))</f>
        <v>0</v>
      </c>
    </row>
    <row r="1557" spans="1:18">
      <c r="A1557" s="15" t="str">
        <f t="shared" si="29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8" t="s">
        <v>75</v>
      </c>
      <c r="P1557" s="48">
        <f>HEX2DEC(RIGHT(Table132321275358[[#This Row],[h1]],8))</f>
        <v>0</v>
      </c>
      <c r="Q1557" s="48" t="s">
        <v>75</v>
      </c>
      <c r="R1557" s="48">
        <f>HEX2DEC(RIGHT(Table132321275358[[#This Row],[h2]],8))</f>
        <v>0</v>
      </c>
    </row>
    <row r="1558" spans="1:18">
      <c r="A1558" s="15" t="str">
        <f t="shared" si="29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8" t="s">
        <v>75</v>
      </c>
      <c r="P1558" s="48">
        <f>HEX2DEC(RIGHT(Table132321275358[[#This Row],[h1]],8))</f>
        <v>0</v>
      </c>
      <c r="Q1558" s="48" t="s">
        <v>75</v>
      </c>
      <c r="R1558" s="48">
        <f>HEX2DEC(RIGHT(Table132321275358[[#This Row],[h2]],8))</f>
        <v>0</v>
      </c>
    </row>
    <row r="1559" spans="1:18">
      <c r="A1559" s="15" t="str">
        <f t="shared" si="29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8" t="s">
        <v>75</v>
      </c>
      <c r="P1559" s="48">
        <f>HEX2DEC(RIGHT(Table132321275358[[#This Row],[h1]],8))</f>
        <v>0</v>
      </c>
      <c r="Q1559" s="48" t="s">
        <v>75</v>
      </c>
      <c r="R1559" s="48">
        <f>HEX2DEC(RIGHT(Table132321275358[[#This Row],[h2]],8))</f>
        <v>0</v>
      </c>
    </row>
    <row r="1560" spans="1:18">
      <c r="A1560" s="15" t="str">
        <f t="shared" si="29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8" t="s">
        <v>75</v>
      </c>
      <c r="P1560" s="48">
        <f>HEX2DEC(RIGHT(Table132321275358[[#This Row],[h1]],8))</f>
        <v>0</v>
      </c>
      <c r="Q1560" s="48" t="s">
        <v>75</v>
      </c>
      <c r="R1560" s="48">
        <f>HEX2DEC(RIGHT(Table132321275358[[#This Row],[h2]],8))</f>
        <v>0</v>
      </c>
    </row>
    <row r="1561" spans="1:18">
      <c r="A1561" s="15" t="str">
        <f t="shared" si="29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8" t="s">
        <v>75</v>
      </c>
      <c r="P1561" s="48">
        <f>HEX2DEC(RIGHT(Table132321275358[[#This Row],[h1]],8))</f>
        <v>0</v>
      </c>
      <c r="Q1561" s="48" t="s">
        <v>75</v>
      </c>
      <c r="R1561" s="48">
        <f>HEX2DEC(RIGHT(Table132321275358[[#This Row],[h2]],8))</f>
        <v>0</v>
      </c>
    </row>
    <row r="1562" spans="1:18">
      <c r="A1562" s="15" t="str">
        <f t="shared" si="29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8" t="s">
        <v>75</v>
      </c>
      <c r="P1562" s="48">
        <f>HEX2DEC(RIGHT(Table132321275358[[#This Row],[h1]],8))</f>
        <v>0</v>
      </c>
      <c r="Q1562" s="48" t="s">
        <v>75</v>
      </c>
      <c r="R1562" s="48">
        <f>HEX2DEC(RIGHT(Table132321275358[[#This Row],[h2]],8))</f>
        <v>0</v>
      </c>
    </row>
    <row r="1563" spans="1:18">
      <c r="A1563" s="15" t="str">
        <f t="shared" si="29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8" t="s">
        <v>75</v>
      </c>
      <c r="P1563" s="48">
        <f>HEX2DEC(RIGHT(Table132321275358[[#This Row],[h1]],8))</f>
        <v>0</v>
      </c>
      <c r="Q1563" s="48" t="s">
        <v>75</v>
      </c>
      <c r="R1563" s="48">
        <f>HEX2DEC(RIGHT(Table132321275358[[#This Row],[h2]],8))</f>
        <v>0</v>
      </c>
    </row>
    <row r="1564" spans="1:18">
      <c r="A1564" s="15" t="str">
        <f t="shared" si="29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8" t="s">
        <v>75</v>
      </c>
      <c r="P1564" s="48">
        <f>HEX2DEC(RIGHT(Table132321275358[[#This Row],[h1]],8))</f>
        <v>0</v>
      </c>
      <c r="Q1564" s="48" t="s">
        <v>75</v>
      </c>
      <c r="R1564" s="48">
        <f>HEX2DEC(RIGHT(Table132321275358[[#This Row],[h2]],8))</f>
        <v>0</v>
      </c>
    </row>
    <row r="1565" spans="1:18">
      <c r="A1565" s="15" t="str">
        <f t="shared" si="29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8" t="s">
        <v>75</v>
      </c>
      <c r="P1565" s="48">
        <f>HEX2DEC(RIGHT(Table132321275358[[#This Row],[h1]],8))</f>
        <v>0</v>
      </c>
      <c r="Q1565" s="48" t="s">
        <v>75</v>
      </c>
      <c r="R1565" s="48">
        <f>HEX2DEC(RIGHT(Table132321275358[[#This Row],[h2]],8))</f>
        <v>0</v>
      </c>
    </row>
    <row r="1566" spans="1:18">
      <c r="A1566" s="15" t="str">
        <f t="shared" si="29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8" t="s">
        <v>75</v>
      </c>
      <c r="P1566" s="48">
        <f>HEX2DEC(RIGHT(Table132321275358[[#This Row],[h1]],8))</f>
        <v>0</v>
      </c>
      <c r="Q1566" s="48" t="s">
        <v>75</v>
      </c>
      <c r="R1566" s="48">
        <f>HEX2DEC(RIGHT(Table132321275358[[#This Row],[h2]],8))</f>
        <v>0</v>
      </c>
    </row>
    <row r="1567" spans="1:18">
      <c r="A1567" s="15" t="str">
        <f t="shared" si="29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8" t="s">
        <v>75</v>
      </c>
      <c r="P1567" s="48">
        <f>HEX2DEC(RIGHT(Table132321275358[[#This Row],[h1]],8))</f>
        <v>0</v>
      </c>
      <c r="Q1567" s="48" t="s">
        <v>75</v>
      </c>
      <c r="R1567" s="48">
        <f>HEX2DEC(RIGHT(Table132321275358[[#This Row],[h2]],8))</f>
        <v>0</v>
      </c>
    </row>
    <row r="1568" spans="1:18">
      <c r="A1568" s="15" t="str">
        <f t="shared" si="29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8" t="s">
        <v>75</v>
      </c>
      <c r="P1568" s="48">
        <f>HEX2DEC(RIGHT(Table132321275358[[#This Row],[h1]],8))</f>
        <v>0</v>
      </c>
      <c r="Q1568" s="48" t="s">
        <v>75</v>
      </c>
      <c r="R1568" s="48">
        <f>HEX2DEC(RIGHT(Table132321275358[[#This Row],[h2]],8))</f>
        <v>0</v>
      </c>
    </row>
    <row r="1569" spans="1:18">
      <c r="A1569" s="15" t="str">
        <f t="shared" si="29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8" t="s">
        <v>75</v>
      </c>
      <c r="P1569" s="48">
        <f>HEX2DEC(RIGHT(Table132321275358[[#This Row],[h1]],8))</f>
        <v>0</v>
      </c>
      <c r="Q1569" s="48" t="s">
        <v>75</v>
      </c>
      <c r="R1569" s="48">
        <f>HEX2DEC(RIGHT(Table132321275358[[#This Row],[h2]],8))</f>
        <v>0</v>
      </c>
    </row>
    <row r="1570" spans="1:18">
      <c r="A1570" s="15" t="str">
        <f t="shared" si="29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8" t="s">
        <v>75</v>
      </c>
      <c r="P1570" s="48">
        <f>HEX2DEC(RIGHT(Table132321275358[[#This Row],[h1]],8))</f>
        <v>0</v>
      </c>
      <c r="Q1570" s="48" t="s">
        <v>75</v>
      </c>
      <c r="R1570" s="48">
        <f>HEX2DEC(RIGHT(Table132321275358[[#This Row],[h2]],8))</f>
        <v>0</v>
      </c>
    </row>
    <row r="1571" spans="1:18">
      <c r="A1571" s="15" t="str">
        <f t="shared" si="29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8" t="s">
        <v>75</v>
      </c>
      <c r="P1571" s="48">
        <f>HEX2DEC(RIGHT(Table132321275358[[#This Row],[h1]],8))</f>
        <v>0</v>
      </c>
      <c r="Q1571" s="48" t="s">
        <v>75</v>
      </c>
      <c r="R1571" s="48">
        <f>HEX2DEC(RIGHT(Table132321275358[[#This Row],[h2]],8))</f>
        <v>0</v>
      </c>
    </row>
    <row r="1572" spans="1:18">
      <c r="A1572" s="15" t="str">
        <f t="shared" si="29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8" t="s">
        <v>75</v>
      </c>
      <c r="P1572" s="48">
        <f>HEX2DEC(RIGHT(Table132321275358[[#This Row],[h1]],8))</f>
        <v>0</v>
      </c>
      <c r="Q1572" s="48" t="s">
        <v>75</v>
      </c>
      <c r="R1572" s="48">
        <f>HEX2DEC(RIGHT(Table132321275358[[#This Row],[h2]],8))</f>
        <v>0</v>
      </c>
    </row>
    <row r="1573" spans="1:18">
      <c r="A1573" s="15" t="str">
        <f t="shared" si="29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8" t="s">
        <v>75</v>
      </c>
      <c r="P1573" s="48">
        <f>HEX2DEC(RIGHT(Table132321275358[[#This Row],[h1]],8))</f>
        <v>0</v>
      </c>
      <c r="Q1573" s="48" t="s">
        <v>75</v>
      </c>
      <c r="R1573" s="48">
        <f>HEX2DEC(RIGHT(Table132321275358[[#This Row],[h2]],8))</f>
        <v>0</v>
      </c>
    </row>
    <row r="1574" spans="1:18">
      <c r="A1574" s="15" t="str">
        <f t="shared" si="29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8" t="s">
        <v>75</v>
      </c>
      <c r="P1574" s="48">
        <f>HEX2DEC(RIGHT(Table132321275358[[#This Row],[h1]],8))</f>
        <v>0</v>
      </c>
      <c r="Q1574" s="48" t="s">
        <v>75</v>
      </c>
      <c r="R1574" s="48">
        <f>HEX2DEC(RIGHT(Table132321275358[[#This Row],[h2]],8))</f>
        <v>0</v>
      </c>
    </row>
    <row r="1575" spans="1:18">
      <c r="A1575" s="15" t="str">
        <f t="shared" si="29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8" t="s">
        <v>75</v>
      </c>
      <c r="P1575" s="48">
        <f>HEX2DEC(RIGHT(Table132321275358[[#This Row],[h1]],8))</f>
        <v>0</v>
      </c>
      <c r="Q1575" s="48" t="s">
        <v>75</v>
      </c>
      <c r="R1575" s="48">
        <f>HEX2DEC(RIGHT(Table132321275358[[#This Row],[h2]],8))</f>
        <v>0</v>
      </c>
    </row>
    <row r="1576" spans="1:18">
      <c r="A1576" s="15" t="str">
        <f t="shared" si="29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8" t="s">
        <v>75</v>
      </c>
      <c r="P1576" s="48">
        <f>HEX2DEC(RIGHT(Table132321275358[[#This Row],[h1]],8))</f>
        <v>0</v>
      </c>
      <c r="Q1576" s="48" t="s">
        <v>75</v>
      </c>
      <c r="R1576" s="48">
        <f>HEX2DEC(RIGHT(Table132321275358[[#This Row],[h2]],8))</f>
        <v>0</v>
      </c>
    </row>
    <row r="1577" spans="1:18">
      <c r="A1577" s="15" t="str">
        <f t="shared" si="29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8" t="s">
        <v>75</v>
      </c>
      <c r="P1577" s="48">
        <f>HEX2DEC(RIGHT(Table132321275358[[#This Row],[h1]],8))</f>
        <v>0</v>
      </c>
      <c r="Q1577" s="48" t="s">
        <v>75</v>
      </c>
      <c r="R1577" s="48">
        <f>HEX2DEC(RIGHT(Table132321275358[[#This Row],[h2]],8))</f>
        <v>0</v>
      </c>
    </row>
    <row r="1578" spans="1:18">
      <c r="A1578" s="15" t="str">
        <f t="shared" si="29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8" t="s">
        <v>75</v>
      </c>
      <c r="P1578" s="48">
        <f>HEX2DEC(RIGHT(Table132321275358[[#This Row],[h1]],8))</f>
        <v>0</v>
      </c>
      <c r="Q1578" s="48" t="s">
        <v>75</v>
      </c>
      <c r="R1578" s="48">
        <f>HEX2DEC(RIGHT(Table132321275358[[#This Row],[h2]],8))</f>
        <v>0</v>
      </c>
    </row>
    <row r="1579" spans="1:18">
      <c r="A1579" s="15" t="str">
        <f t="shared" si="29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8" t="s">
        <v>75</v>
      </c>
      <c r="P1579" s="48">
        <f>HEX2DEC(RIGHT(Table132321275358[[#This Row],[h1]],8))</f>
        <v>0</v>
      </c>
      <c r="Q1579" s="48" t="s">
        <v>75</v>
      </c>
      <c r="R1579" s="48">
        <f>HEX2DEC(RIGHT(Table132321275358[[#This Row],[h2]],8))</f>
        <v>0</v>
      </c>
    </row>
    <row r="1580" spans="1:18">
      <c r="A1580" s="15" t="str">
        <f t="shared" si="29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8" t="s">
        <v>75</v>
      </c>
      <c r="P1580" s="48">
        <f>HEX2DEC(RIGHT(Table132321275358[[#This Row],[h1]],8))</f>
        <v>0</v>
      </c>
      <c r="Q1580" s="48" t="s">
        <v>75</v>
      </c>
      <c r="R1580" s="48">
        <f>HEX2DEC(RIGHT(Table132321275358[[#This Row],[h2]],8))</f>
        <v>0</v>
      </c>
    </row>
    <row r="1581" spans="1:18">
      <c r="A1581" s="15" t="str">
        <f t="shared" si="29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8" t="s">
        <v>75</v>
      </c>
      <c r="P1581" s="48">
        <f>HEX2DEC(RIGHT(Table132321275358[[#This Row],[h1]],8))</f>
        <v>0</v>
      </c>
      <c r="Q1581" s="48" t="s">
        <v>75</v>
      </c>
      <c r="R1581" s="48">
        <f>HEX2DEC(RIGHT(Table132321275358[[#This Row],[h2]],8))</f>
        <v>0</v>
      </c>
    </row>
    <row r="1582" spans="1:18">
      <c r="A1582" s="15" t="str">
        <f t="shared" si="29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8" t="s">
        <v>75</v>
      </c>
      <c r="P1582" s="48">
        <f>HEX2DEC(RIGHT(Table132321275358[[#This Row],[h1]],8))</f>
        <v>0</v>
      </c>
      <c r="Q1582" s="48" t="s">
        <v>75</v>
      </c>
      <c r="R1582" s="48">
        <f>HEX2DEC(RIGHT(Table132321275358[[#This Row],[h2]],8))</f>
        <v>0</v>
      </c>
    </row>
    <row r="1583" spans="1:18">
      <c r="A1583" s="15" t="str">
        <f t="shared" si="29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8" t="s">
        <v>75</v>
      </c>
      <c r="P1583" s="48">
        <f>HEX2DEC(RIGHT(Table132321275358[[#This Row],[h1]],8))</f>
        <v>0</v>
      </c>
      <c r="Q1583" s="48" t="s">
        <v>75</v>
      </c>
      <c r="R1583" s="48">
        <f>HEX2DEC(RIGHT(Table132321275358[[#This Row],[h2]],8))</f>
        <v>0</v>
      </c>
    </row>
    <row r="1584" spans="1:18">
      <c r="A1584" s="15" t="str">
        <f t="shared" si="29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8" t="s">
        <v>75</v>
      </c>
      <c r="P1584" s="48">
        <f>HEX2DEC(RIGHT(Table132321275358[[#This Row],[h1]],8))</f>
        <v>0</v>
      </c>
      <c r="Q1584" s="48" t="s">
        <v>75</v>
      </c>
      <c r="R1584" s="48">
        <f>HEX2DEC(RIGHT(Table132321275358[[#This Row],[h2]],8))</f>
        <v>0</v>
      </c>
    </row>
    <row r="1585" spans="1:18">
      <c r="A1585" s="15" t="str">
        <f t="shared" si="29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8" t="s">
        <v>75</v>
      </c>
      <c r="P1585" s="48">
        <f>HEX2DEC(RIGHT(Table132321275358[[#This Row],[h1]],8))</f>
        <v>0</v>
      </c>
      <c r="Q1585" s="48" t="s">
        <v>75</v>
      </c>
      <c r="R1585" s="48">
        <f>HEX2DEC(RIGHT(Table132321275358[[#This Row],[h2]],8))</f>
        <v>0</v>
      </c>
    </row>
    <row r="1586" spans="1:18">
      <c r="A1586" s="15" t="str">
        <f t="shared" si="29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8" t="s">
        <v>75</v>
      </c>
      <c r="P1586" s="48">
        <f>HEX2DEC(RIGHT(Table132321275358[[#This Row],[h1]],8))</f>
        <v>0</v>
      </c>
      <c r="Q1586" s="48" t="s">
        <v>75</v>
      </c>
      <c r="R1586" s="48">
        <f>HEX2DEC(RIGHT(Table132321275358[[#This Row],[h2]],8))</f>
        <v>0</v>
      </c>
    </row>
    <row r="1587" spans="1:18">
      <c r="A1587" s="15" t="str">
        <f t="shared" si="29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8" t="s">
        <v>75</v>
      </c>
      <c r="P1587" s="48">
        <f>HEX2DEC(RIGHT(Table132321275358[[#This Row],[h1]],8))</f>
        <v>0</v>
      </c>
      <c r="Q1587" s="48" t="s">
        <v>75</v>
      </c>
      <c r="R1587" s="48">
        <f>HEX2DEC(RIGHT(Table132321275358[[#This Row],[h2]],8))</f>
        <v>0</v>
      </c>
    </row>
    <row r="1588" spans="1:18">
      <c r="A1588" s="15" t="str">
        <f t="shared" si="29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8" t="s">
        <v>75</v>
      </c>
      <c r="P1588" s="48">
        <f>HEX2DEC(RIGHT(Table132321275358[[#This Row],[h1]],8))</f>
        <v>0</v>
      </c>
      <c r="Q1588" s="48" t="s">
        <v>75</v>
      </c>
      <c r="R1588" s="48">
        <f>HEX2DEC(RIGHT(Table132321275358[[#This Row],[h2]],8))</f>
        <v>0</v>
      </c>
    </row>
    <row r="1589" spans="1:18">
      <c r="A1589" s="15" t="str">
        <f t="shared" si="29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8" t="s">
        <v>75</v>
      </c>
      <c r="P1589" s="48">
        <f>HEX2DEC(RIGHT(Table132321275358[[#This Row],[h1]],8))</f>
        <v>0</v>
      </c>
      <c r="Q1589" s="48" t="s">
        <v>75</v>
      </c>
      <c r="R1589" s="48">
        <f>HEX2DEC(RIGHT(Table132321275358[[#This Row],[h2]],8))</f>
        <v>0</v>
      </c>
    </row>
    <row r="1590" spans="1:18">
      <c r="A1590" s="15" t="str">
        <f t="shared" si="29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8" t="s">
        <v>75</v>
      </c>
      <c r="P1590" s="48">
        <f>HEX2DEC(RIGHT(Table132321275358[[#This Row],[h1]],8))</f>
        <v>0</v>
      </c>
      <c r="Q1590" s="48" t="s">
        <v>75</v>
      </c>
      <c r="R1590" s="48">
        <f>HEX2DEC(RIGHT(Table132321275358[[#This Row],[h2]],8))</f>
        <v>0</v>
      </c>
    </row>
    <row r="1591" spans="1:18">
      <c r="A1591" s="15" t="str">
        <f t="shared" si="29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8" t="s">
        <v>75</v>
      </c>
      <c r="P1591" s="48">
        <f>HEX2DEC(RIGHT(Table132321275358[[#This Row],[h1]],8))</f>
        <v>0</v>
      </c>
      <c r="Q1591" s="48" t="s">
        <v>75</v>
      </c>
      <c r="R1591" s="48">
        <f>HEX2DEC(RIGHT(Table132321275358[[#This Row],[h2]],8))</f>
        <v>0</v>
      </c>
    </row>
    <row r="1592" spans="1:18">
      <c r="A1592" s="15" t="str">
        <f t="shared" si="29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8" t="s">
        <v>75</v>
      </c>
      <c r="P1592" s="48">
        <f>HEX2DEC(RIGHT(Table132321275358[[#This Row],[h1]],8))</f>
        <v>0</v>
      </c>
      <c r="Q1592" s="48" t="s">
        <v>75</v>
      </c>
      <c r="R1592" s="48">
        <f>HEX2DEC(RIGHT(Table132321275358[[#This Row],[h2]],8))</f>
        <v>0</v>
      </c>
    </row>
    <row r="1593" spans="1:18">
      <c r="A1593" s="15" t="str">
        <f t="shared" si="29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8" t="s">
        <v>75</v>
      </c>
      <c r="P1593" s="48">
        <f>HEX2DEC(RIGHT(Table132321275358[[#This Row],[h1]],8))</f>
        <v>0</v>
      </c>
      <c r="Q1593" s="48" t="s">
        <v>75</v>
      </c>
      <c r="R1593" s="48">
        <f>HEX2DEC(RIGHT(Table132321275358[[#This Row],[h2]],8))</f>
        <v>0</v>
      </c>
    </row>
    <row r="1594" spans="1:18">
      <c r="A1594" s="15" t="str">
        <f t="shared" si="29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8" t="s">
        <v>75</v>
      </c>
      <c r="P1594" s="48">
        <f>HEX2DEC(RIGHT(Table132321275358[[#This Row],[h1]],8))</f>
        <v>0</v>
      </c>
      <c r="Q1594" s="48" t="s">
        <v>75</v>
      </c>
      <c r="R1594" s="48">
        <f>HEX2DEC(RIGHT(Table132321275358[[#This Row],[h2]],8))</f>
        <v>0</v>
      </c>
    </row>
    <row r="1595" spans="1:18">
      <c r="A1595" s="15" t="str">
        <f t="shared" si="29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8" t="s">
        <v>75</v>
      </c>
      <c r="P1595" s="48">
        <f>HEX2DEC(RIGHT(Table132321275358[[#This Row],[h1]],8))</f>
        <v>0</v>
      </c>
      <c r="Q1595" s="48" t="s">
        <v>75</v>
      </c>
      <c r="R1595" s="48">
        <f>HEX2DEC(RIGHT(Table132321275358[[#This Row],[h2]],8))</f>
        <v>0</v>
      </c>
    </row>
    <row r="1596" spans="1:18">
      <c r="A1596" s="15" t="str">
        <f t="shared" si="29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8" t="s">
        <v>75</v>
      </c>
      <c r="P1596" s="48">
        <f>HEX2DEC(RIGHT(Table132321275358[[#This Row],[h1]],8))</f>
        <v>0</v>
      </c>
      <c r="Q1596" s="48" t="s">
        <v>75</v>
      </c>
      <c r="R1596" s="48">
        <f>HEX2DEC(RIGHT(Table132321275358[[#This Row],[h2]],8))</f>
        <v>0</v>
      </c>
    </row>
    <row r="1597" spans="1:18">
      <c r="A1597" s="15" t="str">
        <f t="shared" si="29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8" t="s">
        <v>75</v>
      </c>
      <c r="P1597" s="48">
        <f>HEX2DEC(RIGHT(Table132321275358[[#This Row],[h1]],8))</f>
        <v>0</v>
      </c>
      <c r="Q1597" s="48" t="s">
        <v>75</v>
      </c>
      <c r="R1597" s="48">
        <f>HEX2DEC(RIGHT(Table132321275358[[#This Row],[h2]],8))</f>
        <v>0</v>
      </c>
    </row>
    <row r="1598" spans="1:18">
      <c r="A1598" s="15" t="str">
        <f t="shared" si="29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8" t="s">
        <v>75</v>
      </c>
      <c r="P1598" s="48">
        <f>HEX2DEC(RIGHT(Table132321275358[[#This Row],[h1]],8))</f>
        <v>0</v>
      </c>
      <c r="Q1598" s="48" t="s">
        <v>75</v>
      </c>
      <c r="R1598" s="48">
        <f>HEX2DEC(RIGHT(Table132321275358[[#This Row],[h2]],8))</f>
        <v>0</v>
      </c>
    </row>
    <row r="1599" spans="1:18">
      <c r="A1599" s="15" t="str">
        <f t="shared" si="29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8" t="s">
        <v>75</v>
      </c>
      <c r="P1599" s="48">
        <f>HEX2DEC(RIGHT(Table132321275358[[#This Row],[h1]],8))</f>
        <v>0</v>
      </c>
      <c r="Q1599" s="48" t="s">
        <v>75</v>
      </c>
      <c r="R1599" s="48">
        <f>HEX2DEC(RIGHT(Table132321275358[[#This Row],[h2]],8))</f>
        <v>0</v>
      </c>
    </row>
    <row r="1600" spans="1:18">
      <c r="A1600" s="15" t="str">
        <f t="shared" si="29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8" t="s">
        <v>75</v>
      </c>
      <c r="P1600" s="48">
        <f>HEX2DEC(RIGHT(Table132321275358[[#This Row],[h1]],8))</f>
        <v>0</v>
      </c>
      <c r="Q1600" s="48" t="s">
        <v>75</v>
      </c>
      <c r="R1600" s="48">
        <f>HEX2DEC(RIGHT(Table132321275358[[#This Row],[h2]],8))</f>
        <v>0</v>
      </c>
    </row>
    <row r="1601" spans="1:18">
      <c r="A1601" s="15" t="str">
        <f t="shared" si="29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8" t="s">
        <v>75</v>
      </c>
      <c r="P1601" s="48">
        <f>HEX2DEC(RIGHT(Table132321275358[[#This Row],[h1]],8))</f>
        <v>0</v>
      </c>
      <c r="Q1601" s="48" t="s">
        <v>75</v>
      </c>
      <c r="R1601" s="48">
        <f>HEX2DEC(RIGHT(Table132321275358[[#This Row],[h2]],8))</f>
        <v>0</v>
      </c>
    </row>
    <row r="1602" spans="1:18">
      <c r="A1602" s="15" t="str">
        <f t="shared" si="29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8" t="s">
        <v>75</v>
      </c>
      <c r="P1602" s="48">
        <f>HEX2DEC(RIGHT(Table132321275358[[#This Row],[h1]],8))</f>
        <v>0</v>
      </c>
      <c r="Q1602" s="48" t="s">
        <v>75</v>
      </c>
      <c r="R1602" s="48">
        <f>HEX2DEC(RIGHT(Table132321275358[[#This Row],[h2]],8))</f>
        <v>0</v>
      </c>
    </row>
    <row r="1603" spans="1:18">
      <c r="A1603" s="15" t="str">
        <f t="shared" si="29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8" t="s">
        <v>75</v>
      </c>
      <c r="P1603" s="48">
        <f>HEX2DEC(RIGHT(Table132321275358[[#This Row],[h1]],8))</f>
        <v>0</v>
      </c>
      <c r="Q1603" s="48" t="s">
        <v>75</v>
      </c>
      <c r="R1603" s="48">
        <f>HEX2DEC(RIGHT(Table132321275358[[#This Row],[h2]],8))</f>
        <v>0</v>
      </c>
    </row>
    <row r="1604" spans="1:18">
      <c r="A1604" s="15" t="str">
        <f t="shared" si="29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8" t="s">
        <v>75</v>
      </c>
      <c r="P1604" s="48">
        <f>HEX2DEC(RIGHT(Table132321275358[[#This Row],[h1]],8))</f>
        <v>0</v>
      </c>
      <c r="Q1604" s="48" t="s">
        <v>75</v>
      </c>
      <c r="R1604" s="48">
        <f>HEX2DEC(RIGHT(Table132321275358[[#This Row],[h2]],8))</f>
        <v>0</v>
      </c>
    </row>
    <row r="1605" spans="1:18">
      <c r="A1605" s="15" t="str">
        <f t="shared" si="29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8" t="s">
        <v>75</v>
      </c>
      <c r="P1605" s="48">
        <f>HEX2DEC(RIGHT(Table132321275358[[#This Row],[h1]],8))</f>
        <v>0</v>
      </c>
      <c r="Q1605" s="48" t="s">
        <v>75</v>
      </c>
      <c r="R1605" s="48">
        <f>HEX2DEC(RIGHT(Table132321275358[[#This Row],[h2]],8))</f>
        <v>0</v>
      </c>
    </row>
    <row r="1606" spans="1:18">
      <c r="A1606" s="15" t="str">
        <f t="shared" si="29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8" t="s">
        <v>75</v>
      </c>
      <c r="P1606" s="48">
        <f>HEX2DEC(RIGHT(Table132321275358[[#This Row],[h1]],8))</f>
        <v>0</v>
      </c>
      <c r="Q1606" s="48" t="s">
        <v>75</v>
      </c>
      <c r="R1606" s="48">
        <f>HEX2DEC(RIGHT(Table132321275358[[#This Row],[h2]],8))</f>
        <v>0</v>
      </c>
    </row>
    <row r="1607" spans="1:18">
      <c r="A1607" s="15" t="str">
        <f t="shared" si="29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8" t="s">
        <v>75</v>
      </c>
      <c r="P1607" s="48">
        <f>HEX2DEC(RIGHT(Table132321275358[[#This Row],[h1]],8))</f>
        <v>0</v>
      </c>
      <c r="Q1607" s="48" t="s">
        <v>75</v>
      </c>
      <c r="R1607" s="48">
        <f>HEX2DEC(RIGHT(Table132321275358[[#This Row],[h2]],8))</f>
        <v>0</v>
      </c>
    </row>
    <row r="1608" spans="1:18">
      <c r="A1608" s="15" t="str">
        <f t="shared" si="29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8" t="s">
        <v>75</v>
      </c>
      <c r="P1608" s="48">
        <f>HEX2DEC(RIGHT(Table132321275358[[#This Row],[h1]],8))</f>
        <v>0</v>
      </c>
      <c r="Q1608" s="48" t="s">
        <v>75</v>
      </c>
      <c r="R1608" s="48">
        <f>HEX2DEC(RIGHT(Table132321275358[[#This Row],[h2]],8))</f>
        <v>0</v>
      </c>
    </row>
    <row r="1609" spans="1:18">
      <c r="A1609" s="15" t="str">
        <f t="shared" si="29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8" t="s">
        <v>75</v>
      </c>
      <c r="P1609" s="48">
        <f>HEX2DEC(RIGHT(Table132321275358[[#This Row],[h1]],8))</f>
        <v>0</v>
      </c>
      <c r="Q1609" s="48" t="s">
        <v>75</v>
      </c>
      <c r="R1609" s="48">
        <f>HEX2DEC(RIGHT(Table132321275358[[#This Row],[h2]],8))</f>
        <v>0</v>
      </c>
    </row>
    <row r="1610" spans="1:18">
      <c r="A1610" s="15" t="str">
        <f t="shared" si="29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8" t="s">
        <v>75</v>
      </c>
      <c r="P1610" s="48">
        <f>HEX2DEC(RIGHT(Table132321275358[[#This Row],[h1]],8))</f>
        <v>0</v>
      </c>
      <c r="Q1610" s="48" t="s">
        <v>75</v>
      </c>
      <c r="R1610" s="48">
        <f>HEX2DEC(RIGHT(Table132321275358[[#This Row],[h2]],8))</f>
        <v>0</v>
      </c>
    </row>
    <row r="1611" spans="1:18">
      <c r="A1611" s="15" t="str">
        <f t="shared" ref="A1611:A1674" si="30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8" t="s">
        <v>75</v>
      </c>
      <c r="P1611" s="48">
        <f>HEX2DEC(RIGHT(Table132321275358[[#This Row],[h1]],8))</f>
        <v>0</v>
      </c>
      <c r="Q1611" s="48" t="s">
        <v>75</v>
      </c>
      <c r="R1611" s="48">
        <f>HEX2DEC(RIGHT(Table132321275358[[#This Row],[h2]],8))</f>
        <v>0</v>
      </c>
    </row>
    <row r="1612" spans="1:18">
      <c r="A1612" s="15" t="str">
        <f t="shared" si="30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8" t="s">
        <v>75</v>
      </c>
      <c r="P1612" s="48">
        <f>HEX2DEC(RIGHT(Table132321275358[[#This Row],[h1]],8))</f>
        <v>0</v>
      </c>
      <c r="Q1612" s="48" t="s">
        <v>75</v>
      </c>
      <c r="R1612" s="48">
        <f>HEX2DEC(RIGHT(Table132321275358[[#This Row],[h2]],8))</f>
        <v>0</v>
      </c>
    </row>
    <row r="1613" spans="1:18">
      <c r="A1613" s="15" t="str">
        <f t="shared" si="30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8" t="s">
        <v>75</v>
      </c>
      <c r="P1613" s="48">
        <f>HEX2DEC(RIGHT(Table132321275358[[#This Row],[h1]],8))</f>
        <v>0</v>
      </c>
      <c r="Q1613" s="48" t="s">
        <v>75</v>
      </c>
      <c r="R1613" s="48">
        <f>HEX2DEC(RIGHT(Table132321275358[[#This Row],[h2]],8))</f>
        <v>0</v>
      </c>
    </row>
    <row r="1614" spans="1:18">
      <c r="A1614" s="15" t="str">
        <f t="shared" si="30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8" t="s">
        <v>75</v>
      </c>
      <c r="P1614" s="48">
        <f>HEX2DEC(RIGHT(Table132321275358[[#This Row],[h1]],8))</f>
        <v>0</v>
      </c>
      <c r="Q1614" s="48" t="s">
        <v>75</v>
      </c>
      <c r="R1614" s="48">
        <f>HEX2DEC(RIGHT(Table132321275358[[#This Row],[h2]],8))</f>
        <v>0</v>
      </c>
    </row>
    <row r="1615" spans="1:18">
      <c r="A1615" s="15" t="str">
        <f t="shared" si="30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8" t="s">
        <v>75</v>
      </c>
      <c r="P1615" s="48">
        <f>HEX2DEC(RIGHT(Table132321275358[[#This Row],[h1]],8))</f>
        <v>0</v>
      </c>
      <c r="Q1615" s="48" t="s">
        <v>75</v>
      </c>
      <c r="R1615" s="48">
        <f>HEX2DEC(RIGHT(Table132321275358[[#This Row],[h2]],8))</f>
        <v>0</v>
      </c>
    </row>
    <row r="1616" spans="1:18">
      <c r="A1616" s="15" t="str">
        <f t="shared" si="30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8" t="s">
        <v>75</v>
      </c>
      <c r="P1616" s="48">
        <f>HEX2DEC(RIGHT(Table132321275358[[#This Row],[h1]],8))</f>
        <v>0</v>
      </c>
      <c r="Q1616" s="48" t="s">
        <v>75</v>
      </c>
      <c r="R1616" s="48">
        <f>HEX2DEC(RIGHT(Table132321275358[[#This Row],[h2]],8))</f>
        <v>0</v>
      </c>
    </row>
    <row r="1617" spans="1:18">
      <c r="A1617" s="15" t="str">
        <f t="shared" si="30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8" t="s">
        <v>75</v>
      </c>
      <c r="P1617" s="48">
        <f>HEX2DEC(RIGHT(Table132321275358[[#This Row],[h1]],8))</f>
        <v>0</v>
      </c>
      <c r="Q1617" s="48" t="s">
        <v>75</v>
      </c>
      <c r="R1617" s="48">
        <f>HEX2DEC(RIGHT(Table132321275358[[#This Row],[h2]],8))</f>
        <v>0</v>
      </c>
    </row>
    <row r="1618" spans="1:18">
      <c r="A1618" s="15" t="str">
        <f t="shared" si="30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8" t="s">
        <v>75</v>
      </c>
      <c r="P1618" s="48">
        <f>HEX2DEC(RIGHT(Table132321275358[[#This Row],[h1]],8))</f>
        <v>0</v>
      </c>
      <c r="Q1618" s="48" t="s">
        <v>75</v>
      </c>
      <c r="R1618" s="48">
        <f>HEX2DEC(RIGHT(Table132321275358[[#This Row],[h2]],8))</f>
        <v>0</v>
      </c>
    </row>
    <row r="1619" spans="1:18">
      <c r="A1619" s="15" t="str">
        <f t="shared" si="30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8" t="s">
        <v>75</v>
      </c>
      <c r="P1619" s="48">
        <f>HEX2DEC(RIGHT(Table132321275358[[#This Row],[h1]],8))</f>
        <v>0</v>
      </c>
      <c r="Q1619" s="48" t="s">
        <v>75</v>
      </c>
      <c r="R1619" s="48">
        <f>HEX2DEC(RIGHT(Table132321275358[[#This Row],[h2]],8))</f>
        <v>0</v>
      </c>
    </row>
    <row r="1620" spans="1:18">
      <c r="A1620" s="15" t="str">
        <f t="shared" si="30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8" t="s">
        <v>75</v>
      </c>
      <c r="P1620" s="48">
        <f>HEX2DEC(RIGHT(Table132321275358[[#This Row],[h1]],8))</f>
        <v>0</v>
      </c>
      <c r="Q1620" s="48" t="s">
        <v>75</v>
      </c>
      <c r="R1620" s="48">
        <f>HEX2DEC(RIGHT(Table132321275358[[#This Row],[h2]],8))</f>
        <v>0</v>
      </c>
    </row>
    <row r="1621" spans="1:18">
      <c r="A1621" s="15" t="str">
        <f t="shared" si="30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8" t="s">
        <v>75</v>
      </c>
      <c r="P1621" s="48">
        <f>HEX2DEC(RIGHT(Table132321275358[[#This Row],[h1]],8))</f>
        <v>0</v>
      </c>
      <c r="Q1621" s="48" t="s">
        <v>75</v>
      </c>
      <c r="R1621" s="48">
        <f>HEX2DEC(RIGHT(Table132321275358[[#This Row],[h2]],8))</f>
        <v>0</v>
      </c>
    </row>
    <row r="1622" spans="1:18">
      <c r="A1622" s="15" t="str">
        <f t="shared" si="30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8" t="s">
        <v>75</v>
      </c>
      <c r="P1622" s="48">
        <f>HEX2DEC(RIGHT(Table132321275358[[#This Row],[h1]],8))</f>
        <v>0</v>
      </c>
      <c r="Q1622" s="48" t="s">
        <v>75</v>
      </c>
      <c r="R1622" s="48">
        <f>HEX2DEC(RIGHT(Table132321275358[[#This Row],[h2]],8))</f>
        <v>0</v>
      </c>
    </row>
    <row r="1623" spans="1:18">
      <c r="A1623" s="15" t="str">
        <f t="shared" si="30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8" t="s">
        <v>75</v>
      </c>
      <c r="P1623" s="48">
        <f>HEX2DEC(RIGHT(Table132321275358[[#This Row],[h1]],8))</f>
        <v>0</v>
      </c>
      <c r="Q1623" s="48" t="s">
        <v>75</v>
      </c>
      <c r="R1623" s="48">
        <f>HEX2DEC(RIGHT(Table132321275358[[#This Row],[h2]],8))</f>
        <v>0</v>
      </c>
    </row>
    <row r="1624" spans="1:18">
      <c r="A1624" s="15" t="str">
        <f t="shared" si="30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8" t="s">
        <v>75</v>
      </c>
      <c r="P1624" s="48">
        <f>HEX2DEC(RIGHT(Table132321275358[[#This Row],[h1]],8))</f>
        <v>0</v>
      </c>
      <c r="Q1624" s="48" t="s">
        <v>75</v>
      </c>
      <c r="R1624" s="48">
        <f>HEX2DEC(RIGHT(Table132321275358[[#This Row],[h2]],8))</f>
        <v>0</v>
      </c>
    </row>
    <row r="1625" spans="1:18">
      <c r="A1625" s="15" t="str">
        <f t="shared" si="30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8" t="s">
        <v>75</v>
      </c>
      <c r="P1625" s="48">
        <f>HEX2DEC(RIGHT(Table132321275358[[#This Row],[h1]],8))</f>
        <v>0</v>
      </c>
      <c r="Q1625" s="48" t="s">
        <v>75</v>
      </c>
      <c r="R1625" s="48">
        <f>HEX2DEC(RIGHT(Table132321275358[[#This Row],[h2]],8))</f>
        <v>0</v>
      </c>
    </row>
    <row r="1626" spans="1:18">
      <c r="A1626" s="15" t="str">
        <f t="shared" si="30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8" t="s">
        <v>75</v>
      </c>
      <c r="P1626" s="48">
        <f>HEX2DEC(RIGHT(Table132321275358[[#This Row],[h1]],8))</f>
        <v>0</v>
      </c>
      <c r="Q1626" s="48" t="s">
        <v>75</v>
      </c>
      <c r="R1626" s="48">
        <f>HEX2DEC(RIGHT(Table132321275358[[#This Row],[h2]],8))</f>
        <v>0</v>
      </c>
    </row>
    <row r="1627" spans="1:18">
      <c r="A1627" s="15" t="str">
        <f t="shared" si="30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8" t="s">
        <v>75</v>
      </c>
      <c r="P1627" s="48">
        <f>HEX2DEC(RIGHT(Table132321275358[[#This Row],[h1]],8))</f>
        <v>0</v>
      </c>
      <c r="Q1627" s="48" t="s">
        <v>75</v>
      </c>
      <c r="R1627" s="48">
        <f>HEX2DEC(RIGHT(Table132321275358[[#This Row],[h2]],8))</f>
        <v>0</v>
      </c>
    </row>
    <row r="1628" spans="1:18">
      <c r="A1628" s="15" t="str">
        <f t="shared" si="30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8" t="s">
        <v>75</v>
      </c>
      <c r="P1628" s="48">
        <f>HEX2DEC(RIGHT(Table132321275358[[#This Row],[h1]],8))</f>
        <v>0</v>
      </c>
      <c r="Q1628" s="48" t="s">
        <v>75</v>
      </c>
      <c r="R1628" s="48">
        <f>HEX2DEC(RIGHT(Table132321275358[[#This Row],[h2]],8))</f>
        <v>0</v>
      </c>
    </row>
    <row r="1629" spans="1:18">
      <c r="A1629" s="15" t="str">
        <f t="shared" si="30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8" t="s">
        <v>75</v>
      </c>
      <c r="P1629" s="48">
        <f>HEX2DEC(RIGHT(Table132321275358[[#This Row],[h1]],8))</f>
        <v>0</v>
      </c>
      <c r="Q1629" s="48" t="s">
        <v>75</v>
      </c>
      <c r="R1629" s="48">
        <f>HEX2DEC(RIGHT(Table132321275358[[#This Row],[h2]],8))</f>
        <v>0</v>
      </c>
    </row>
    <row r="1630" spans="1:18">
      <c r="A1630" s="15" t="str">
        <f t="shared" si="30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8" t="s">
        <v>75</v>
      </c>
      <c r="P1630" s="48">
        <f>HEX2DEC(RIGHT(Table132321275358[[#This Row],[h1]],8))</f>
        <v>0</v>
      </c>
      <c r="Q1630" s="48" t="s">
        <v>75</v>
      </c>
      <c r="R1630" s="48">
        <f>HEX2DEC(RIGHT(Table132321275358[[#This Row],[h2]],8))</f>
        <v>0</v>
      </c>
    </row>
    <row r="1631" spans="1:18">
      <c r="A1631" s="15" t="str">
        <f t="shared" si="30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8" t="s">
        <v>75</v>
      </c>
      <c r="P1631" s="48">
        <f>HEX2DEC(RIGHT(Table132321275358[[#This Row],[h1]],8))</f>
        <v>0</v>
      </c>
      <c r="Q1631" s="48" t="s">
        <v>75</v>
      </c>
      <c r="R1631" s="48">
        <f>HEX2DEC(RIGHT(Table132321275358[[#This Row],[h2]],8))</f>
        <v>0</v>
      </c>
    </row>
    <row r="1632" spans="1:18">
      <c r="A1632" s="15" t="str">
        <f t="shared" si="30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8" t="s">
        <v>75</v>
      </c>
      <c r="P1632" s="48">
        <f>HEX2DEC(RIGHT(Table132321275358[[#This Row],[h1]],8))</f>
        <v>0</v>
      </c>
      <c r="Q1632" s="48" t="s">
        <v>75</v>
      </c>
      <c r="R1632" s="48">
        <f>HEX2DEC(RIGHT(Table132321275358[[#This Row],[h2]],8))</f>
        <v>0</v>
      </c>
    </row>
    <row r="1633" spans="1:18">
      <c r="A1633" s="15" t="str">
        <f t="shared" si="30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8" t="s">
        <v>75</v>
      </c>
      <c r="P1633" s="48">
        <f>HEX2DEC(RIGHT(Table132321275358[[#This Row],[h1]],8))</f>
        <v>0</v>
      </c>
      <c r="Q1633" s="48" t="s">
        <v>75</v>
      </c>
      <c r="R1633" s="48">
        <f>HEX2DEC(RIGHT(Table132321275358[[#This Row],[h2]],8))</f>
        <v>0</v>
      </c>
    </row>
    <row r="1634" spans="1:18">
      <c r="A1634" s="15" t="str">
        <f t="shared" si="30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8" t="s">
        <v>75</v>
      </c>
      <c r="P1634" s="48">
        <f>HEX2DEC(RIGHT(Table132321275358[[#This Row],[h1]],8))</f>
        <v>0</v>
      </c>
      <c r="Q1634" s="48" t="s">
        <v>75</v>
      </c>
      <c r="R1634" s="48">
        <f>HEX2DEC(RIGHT(Table132321275358[[#This Row],[h2]],8))</f>
        <v>0</v>
      </c>
    </row>
    <row r="1635" spans="1:18">
      <c r="A1635" s="15" t="str">
        <f t="shared" si="30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8" t="s">
        <v>75</v>
      </c>
      <c r="P1635" s="48">
        <f>HEX2DEC(RIGHT(Table132321275358[[#This Row],[h1]],8))</f>
        <v>0</v>
      </c>
      <c r="Q1635" s="48" t="s">
        <v>75</v>
      </c>
      <c r="R1635" s="48">
        <f>HEX2DEC(RIGHT(Table132321275358[[#This Row],[h2]],8))</f>
        <v>0</v>
      </c>
    </row>
    <row r="1636" spans="1:18">
      <c r="A1636" s="15" t="str">
        <f t="shared" si="30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8" t="s">
        <v>75</v>
      </c>
      <c r="P1636" s="48">
        <f>HEX2DEC(RIGHT(Table132321275358[[#This Row],[h1]],8))</f>
        <v>0</v>
      </c>
      <c r="Q1636" s="48" t="s">
        <v>75</v>
      </c>
      <c r="R1636" s="48">
        <f>HEX2DEC(RIGHT(Table132321275358[[#This Row],[h2]],8))</f>
        <v>0</v>
      </c>
    </row>
    <row r="1637" spans="1:18">
      <c r="A1637" s="15" t="str">
        <f t="shared" si="30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8" t="s">
        <v>75</v>
      </c>
      <c r="P1637" s="48">
        <f>HEX2DEC(RIGHT(Table132321275358[[#This Row],[h1]],8))</f>
        <v>0</v>
      </c>
      <c r="Q1637" s="48" t="s">
        <v>75</v>
      </c>
      <c r="R1637" s="48">
        <f>HEX2DEC(RIGHT(Table132321275358[[#This Row],[h2]],8))</f>
        <v>0</v>
      </c>
    </row>
    <row r="1638" spans="1:18">
      <c r="A1638" s="15" t="str">
        <f t="shared" si="30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8" t="s">
        <v>75</v>
      </c>
      <c r="P1638" s="48">
        <f>HEX2DEC(RIGHT(Table132321275358[[#This Row],[h1]],8))</f>
        <v>0</v>
      </c>
      <c r="Q1638" s="48" t="s">
        <v>75</v>
      </c>
      <c r="R1638" s="48">
        <f>HEX2DEC(RIGHT(Table132321275358[[#This Row],[h2]],8))</f>
        <v>0</v>
      </c>
    </row>
    <row r="1639" spans="1:18">
      <c r="A1639" s="15" t="str">
        <f t="shared" si="30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8" t="s">
        <v>75</v>
      </c>
      <c r="P1639" s="48">
        <f>HEX2DEC(RIGHT(Table132321275358[[#This Row],[h1]],8))</f>
        <v>0</v>
      </c>
      <c r="Q1639" s="48" t="s">
        <v>75</v>
      </c>
      <c r="R1639" s="48">
        <f>HEX2DEC(RIGHT(Table132321275358[[#This Row],[h2]],8))</f>
        <v>0</v>
      </c>
    </row>
    <row r="1640" spans="1:18">
      <c r="A1640" s="15" t="str">
        <f t="shared" si="30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8" t="s">
        <v>75</v>
      </c>
      <c r="P1640" s="48">
        <f>HEX2DEC(RIGHT(Table132321275358[[#This Row],[h1]],8))</f>
        <v>0</v>
      </c>
      <c r="Q1640" s="48" t="s">
        <v>75</v>
      </c>
      <c r="R1640" s="48">
        <f>HEX2DEC(RIGHT(Table132321275358[[#This Row],[h2]],8))</f>
        <v>0</v>
      </c>
    </row>
    <row r="1641" spans="1:18">
      <c r="A1641" s="15" t="str">
        <f t="shared" si="30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8" t="s">
        <v>75</v>
      </c>
      <c r="P1641" s="48">
        <f>HEX2DEC(RIGHT(Table132321275358[[#This Row],[h1]],8))</f>
        <v>0</v>
      </c>
      <c r="Q1641" s="48" t="s">
        <v>75</v>
      </c>
      <c r="R1641" s="48">
        <f>HEX2DEC(RIGHT(Table132321275358[[#This Row],[h2]],8))</f>
        <v>0</v>
      </c>
    </row>
    <row r="1642" spans="1:18">
      <c r="A1642" s="15" t="str">
        <f t="shared" si="30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8" t="s">
        <v>75</v>
      </c>
      <c r="P1642" s="48">
        <f>HEX2DEC(RIGHT(Table132321275358[[#This Row],[h1]],8))</f>
        <v>0</v>
      </c>
      <c r="Q1642" s="48" t="s">
        <v>75</v>
      </c>
      <c r="R1642" s="48">
        <f>HEX2DEC(RIGHT(Table132321275358[[#This Row],[h2]],8))</f>
        <v>0</v>
      </c>
    </row>
    <row r="1643" spans="1:18">
      <c r="A1643" s="15" t="str">
        <f t="shared" si="30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8" t="s">
        <v>75</v>
      </c>
      <c r="P1643" s="48">
        <f>HEX2DEC(RIGHT(Table132321275358[[#This Row],[h1]],8))</f>
        <v>0</v>
      </c>
      <c r="Q1643" s="48" t="s">
        <v>75</v>
      </c>
      <c r="R1643" s="48">
        <f>HEX2DEC(RIGHT(Table132321275358[[#This Row],[h2]],8))</f>
        <v>0</v>
      </c>
    </row>
    <row r="1644" spans="1:18">
      <c r="A1644" s="15" t="str">
        <f t="shared" si="30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8" t="s">
        <v>75</v>
      </c>
      <c r="P1644" s="48">
        <f>HEX2DEC(RIGHT(Table132321275358[[#This Row],[h1]],8))</f>
        <v>0</v>
      </c>
      <c r="Q1644" s="48" t="s">
        <v>75</v>
      </c>
      <c r="R1644" s="48">
        <f>HEX2DEC(RIGHT(Table132321275358[[#This Row],[h2]],8))</f>
        <v>0</v>
      </c>
    </row>
    <row r="1645" spans="1:18">
      <c r="A1645" s="15" t="str">
        <f t="shared" si="30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8" t="s">
        <v>75</v>
      </c>
      <c r="P1645" s="48">
        <f>HEX2DEC(RIGHT(Table132321275358[[#This Row],[h1]],8))</f>
        <v>0</v>
      </c>
      <c r="Q1645" s="48" t="s">
        <v>75</v>
      </c>
      <c r="R1645" s="48">
        <f>HEX2DEC(RIGHT(Table132321275358[[#This Row],[h2]],8))</f>
        <v>0</v>
      </c>
    </row>
    <row r="1646" spans="1:18">
      <c r="A1646" s="15" t="str">
        <f t="shared" si="30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8" t="s">
        <v>75</v>
      </c>
      <c r="P1646" s="48">
        <f>HEX2DEC(RIGHT(Table132321275358[[#This Row],[h1]],8))</f>
        <v>0</v>
      </c>
      <c r="Q1646" s="48" t="s">
        <v>75</v>
      </c>
      <c r="R1646" s="48">
        <f>HEX2DEC(RIGHT(Table132321275358[[#This Row],[h2]],8))</f>
        <v>0</v>
      </c>
    </row>
    <row r="1647" spans="1:18">
      <c r="A1647" s="15" t="str">
        <f t="shared" si="30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8" t="s">
        <v>75</v>
      </c>
      <c r="P1647" s="48">
        <f>HEX2DEC(RIGHT(Table132321275358[[#This Row],[h1]],8))</f>
        <v>0</v>
      </c>
      <c r="Q1647" s="48" t="s">
        <v>75</v>
      </c>
      <c r="R1647" s="48">
        <f>HEX2DEC(RIGHT(Table132321275358[[#This Row],[h2]],8))</f>
        <v>0</v>
      </c>
    </row>
    <row r="1648" spans="1:18">
      <c r="A1648" s="15" t="str">
        <f t="shared" si="30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8" t="s">
        <v>75</v>
      </c>
      <c r="P1648" s="48">
        <f>HEX2DEC(RIGHT(Table132321275358[[#This Row],[h1]],8))</f>
        <v>0</v>
      </c>
      <c r="Q1648" s="48" t="s">
        <v>75</v>
      </c>
      <c r="R1648" s="48">
        <f>HEX2DEC(RIGHT(Table132321275358[[#This Row],[h2]],8))</f>
        <v>0</v>
      </c>
    </row>
    <row r="1649" spans="1:18">
      <c r="A1649" s="15" t="str">
        <f t="shared" si="30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8" t="s">
        <v>75</v>
      </c>
      <c r="P1649" s="48">
        <f>HEX2DEC(RIGHT(Table132321275358[[#This Row],[h1]],8))</f>
        <v>0</v>
      </c>
      <c r="Q1649" s="48" t="s">
        <v>75</v>
      </c>
      <c r="R1649" s="48">
        <f>HEX2DEC(RIGHT(Table132321275358[[#This Row],[h2]],8))</f>
        <v>0</v>
      </c>
    </row>
    <row r="1650" spans="1:18">
      <c r="A1650" s="15" t="str">
        <f t="shared" si="30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8" t="s">
        <v>75</v>
      </c>
      <c r="P1650" s="48">
        <f>HEX2DEC(RIGHT(Table132321275358[[#This Row],[h1]],8))</f>
        <v>0</v>
      </c>
      <c r="Q1650" s="48" t="s">
        <v>75</v>
      </c>
      <c r="R1650" s="48">
        <f>HEX2DEC(RIGHT(Table132321275358[[#This Row],[h2]],8))</f>
        <v>0</v>
      </c>
    </row>
    <row r="1651" spans="1:18">
      <c r="A1651" s="15" t="str">
        <f t="shared" si="30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8" t="s">
        <v>75</v>
      </c>
      <c r="P1651" s="48">
        <f>HEX2DEC(RIGHT(Table132321275358[[#This Row],[h1]],8))</f>
        <v>0</v>
      </c>
      <c r="Q1651" s="48" t="s">
        <v>75</v>
      </c>
      <c r="R1651" s="48">
        <f>HEX2DEC(RIGHT(Table132321275358[[#This Row],[h2]],8))</f>
        <v>0</v>
      </c>
    </row>
    <row r="1652" spans="1:18">
      <c r="A1652" s="15" t="str">
        <f t="shared" si="30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8" t="s">
        <v>75</v>
      </c>
      <c r="P1652" s="48">
        <f>HEX2DEC(RIGHT(Table132321275358[[#This Row],[h1]],8))</f>
        <v>0</v>
      </c>
      <c r="Q1652" s="48" t="s">
        <v>75</v>
      </c>
      <c r="R1652" s="48">
        <f>HEX2DEC(RIGHT(Table132321275358[[#This Row],[h2]],8))</f>
        <v>0</v>
      </c>
    </row>
    <row r="1653" spans="1:18">
      <c r="A1653" s="15" t="str">
        <f t="shared" si="30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8" t="s">
        <v>75</v>
      </c>
      <c r="P1653" s="48">
        <f>HEX2DEC(RIGHT(Table132321275358[[#This Row],[h1]],8))</f>
        <v>0</v>
      </c>
      <c r="Q1653" s="48" t="s">
        <v>75</v>
      </c>
      <c r="R1653" s="48">
        <f>HEX2DEC(RIGHT(Table132321275358[[#This Row],[h2]],8))</f>
        <v>0</v>
      </c>
    </row>
    <row r="1654" spans="1:18">
      <c r="A1654" s="15" t="str">
        <f t="shared" si="30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8" t="s">
        <v>75</v>
      </c>
      <c r="P1654" s="48">
        <f>HEX2DEC(RIGHT(Table132321275358[[#This Row],[h1]],8))</f>
        <v>0</v>
      </c>
      <c r="Q1654" s="48" t="s">
        <v>75</v>
      </c>
      <c r="R1654" s="48">
        <f>HEX2DEC(RIGHT(Table132321275358[[#This Row],[h2]],8))</f>
        <v>0</v>
      </c>
    </row>
    <row r="1655" spans="1:18">
      <c r="A1655" s="15" t="str">
        <f t="shared" si="30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8" t="s">
        <v>75</v>
      </c>
      <c r="P1655" s="48">
        <f>HEX2DEC(RIGHT(Table132321275358[[#This Row],[h1]],8))</f>
        <v>0</v>
      </c>
      <c r="Q1655" s="48" t="s">
        <v>75</v>
      </c>
      <c r="R1655" s="48">
        <f>HEX2DEC(RIGHT(Table132321275358[[#This Row],[h2]],8))</f>
        <v>0</v>
      </c>
    </row>
    <row r="1656" spans="1:18">
      <c r="A1656" s="15" t="str">
        <f t="shared" si="30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8" t="s">
        <v>75</v>
      </c>
      <c r="P1656" s="48">
        <f>HEX2DEC(RIGHT(Table132321275358[[#This Row],[h1]],8))</f>
        <v>0</v>
      </c>
      <c r="Q1656" s="48" t="s">
        <v>75</v>
      </c>
      <c r="R1656" s="48">
        <f>HEX2DEC(RIGHT(Table132321275358[[#This Row],[h2]],8))</f>
        <v>0</v>
      </c>
    </row>
    <row r="1657" spans="1:18">
      <c r="A1657" s="15" t="str">
        <f t="shared" si="30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8" t="s">
        <v>75</v>
      </c>
      <c r="P1657" s="48">
        <f>HEX2DEC(RIGHT(Table132321275358[[#This Row],[h1]],8))</f>
        <v>0</v>
      </c>
      <c r="Q1657" s="48" t="s">
        <v>75</v>
      </c>
      <c r="R1657" s="48">
        <f>HEX2DEC(RIGHT(Table132321275358[[#This Row],[h2]],8))</f>
        <v>0</v>
      </c>
    </row>
    <row r="1658" spans="1:18">
      <c r="A1658" s="15" t="str">
        <f t="shared" si="30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8" t="s">
        <v>75</v>
      </c>
      <c r="P1658" s="48">
        <f>HEX2DEC(RIGHT(Table132321275358[[#This Row],[h1]],8))</f>
        <v>0</v>
      </c>
      <c r="Q1658" s="48" t="s">
        <v>75</v>
      </c>
      <c r="R1658" s="48">
        <f>HEX2DEC(RIGHT(Table132321275358[[#This Row],[h2]],8))</f>
        <v>0</v>
      </c>
    </row>
    <row r="1659" spans="1:18">
      <c r="A1659" s="15" t="str">
        <f t="shared" si="30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8" t="s">
        <v>75</v>
      </c>
      <c r="P1659" s="48">
        <f>HEX2DEC(RIGHT(Table132321275358[[#This Row],[h1]],8))</f>
        <v>0</v>
      </c>
      <c r="Q1659" s="48" t="s">
        <v>75</v>
      </c>
      <c r="R1659" s="48">
        <f>HEX2DEC(RIGHT(Table132321275358[[#This Row],[h2]],8))</f>
        <v>0</v>
      </c>
    </row>
    <row r="1660" spans="1:18">
      <c r="A1660" s="15" t="str">
        <f t="shared" si="30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8" t="s">
        <v>75</v>
      </c>
      <c r="P1660" s="48">
        <f>HEX2DEC(RIGHT(Table132321275358[[#This Row],[h1]],8))</f>
        <v>0</v>
      </c>
      <c r="Q1660" s="48" t="s">
        <v>75</v>
      </c>
      <c r="R1660" s="48">
        <f>HEX2DEC(RIGHT(Table132321275358[[#This Row],[h2]],8))</f>
        <v>0</v>
      </c>
    </row>
    <row r="1661" spans="1:18">
      <c r="A1661" s="15" t="str">
        <f t="shared" si="30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8" t="s">
        <v>75</v>
      </c>
      <c r="P1661" s="48">
        <f>HEX2DEC(RIGHT(Table132321275358[[#This Row],[h1]],8))</f>
        <v>0</v>
      </c>
      <c r="Q1661" s="48" t="s">
        <v>75</v>
      </c>
      <c r="R1661" s="48">
        <f>HEX2DEC(RIGHT(Table132321275358[[#This Row],[h2]],8))</f>
        <v>0</v>
      </c>
    </row>
    <row r="1662" spans="1:18">
      <c r="A1662" s="15" t="str">
        <f t="shared" si="30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8" t="s">
        <v>75</v>
      </c>
      <c r="P1662" s="48">
        <f>HEX2DEC(RIGHT(Table132321275358[[#This Row],[h1]],8))</f>
        <v>0</v>
      </c>
      <c r="Q1662" s="48" t="s">
        <v>75</v>
      </c>
      <c r="R1662" s="48">
        <f>HEX2DEC(RIGHT(Table132321275358[[#This Row],[h2]],8))</f>
        <v>0</v>
      </c>
    </row>
    <row r="1663" spans="1:18">
      <c r="A1663" s="15" t="str">
        <f t="shared" si="30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8" t="s">
        <v>75</v>
      </c>
      <c r="P1663" s="48">
        <f>HEX2DEC(RIGHT(Table132321275358[[#This Row],[h1]],8))</f>
        <v>0</v>
      </c>
      <c r="Q1663" s="48" t="s">
        <v>75</v>
      </c>
      <c r="R1663" s="48">
        <f>HEX2DEC(RIGHT(Table132321275358[[#This Row],[h2]],8))</f>
        <v>0</v>
      </c>
    </row>
    <row r="1664" spans="1:18">
      <c r="A1664" s="15" t="str">
        <f t="shared" si="30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8" t="s">
        <v>75</v>
      </c>
      <c r="P1664" s="48">
        <f>HEX2DEC(RIGHT(Table132321275358[[#This Row],[h1]],8))</f>
        <v>0</v>
      </c>
      <c r="Q1664" s="48" t="s">
        <v>75</v>
      </c>
      <c r="R1664" s="48">
        <f>HEX2DEC(RIGHT(Table132321275358[[#This Row],[h2]],8))</f>
        <v>0</v>
      </c>
    </row>
    <row r="1665" spans="1:18">
      <c r="A1665" s="15" t="str">
        <f t="shared" si="30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8" t="s">
        <v>75</v>
      </c>
      <c r="P1665" s="48">
        <f>HEX2DEC(RIGHT(Table132321275358[[#This Row],[h1]],8))</f>
        <v>0</v>
      </c>
      <c r="Q1665" s="48" t="s">
        <v>75</v>
      </c>
      <c r="R1665" s="48">
        <f>HEX2DEC(RIGHT(Table132321275358[[#This Row],[h2]],8))</f>
        <v>0</v>
      </c>
    </row>
    <row r="1666" spans="1:18">
      <c r="A1666" s="15" t="str">
        <f t="shared" si="30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8" t="s">
        <v>75</v>
      </c>
      <c r="P1666" s="48">
        <f>HEX2DEC(RIGHT(Table132321275358[[#This Row],[h1]],8))</f>
        <v>0</v>
      </c>
      <c r="Q1666" s="48" t="s">
        <v>75</v>
      </c>
      <c r="R1666" s="48">
        <f>HEX2DEC(RIGHT(Table132321275358[[#This Row],[h2]],8))</f>
        <v>0</v>
      </c>
    </row>
    <row r="1667" spans="1:18">
      <c r="A1667" s="15" t="str">
        <f t="shared" si="30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8" t="s">
        <v>75</v>
      </c>
      <c r="P1667" s="48">
        <f>HEX2DEC(RIGHT(Table132321275358[[#This Row],[h1]],8))</f>
        <v>0</v>
      </c>
      <c r="Q1667" s="48" t="s">
        <v>75</v>
      </c>
      <c r="R1667" s="48">
        <f>HEX2DEC(RIGHT(Table132321275358[[#This Row],[h2]],8))</f>
        <v>0</v>
      </c>
    </row>
    <row r="1668" spans="1:18">
      <c r="A1668" s="15" t="str">
        <f t="shared" si="30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8" t="s">
        <v>75</v>
      </c>
      <c r="P1668" s="48">
        <f>HEX2DEC(RIGHT(Table132321275358[[#This Row],[h1]],8))</f>
        <v>0</v>
      </c>
      <c r="Q1668" s="48" t="s">
        <v>75</v>
      </c>
      <c r="R1668" s="48">
        <f>HEX2DEC(RIGHT(Table132321275358[[#This Row],[h2]],8))</f>
        <v>0</v>
      </c>
    </row>
    <row r="1669" spans="1:18">
      <c r="A1669" s="15" t="str">
        <f t="shared" si="30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8" t="s">
        <v>75</v>
      </c>
      <c r="P1669" s="48">
        <f>HEX2DEC(RIGHT(Table132321275358[[#This Row],[h1]],8))</f>
        <v>0</v>
      </c>
      <c r="Q1669" s="48" t="s">
        <v>75</v>
      </c>
      <c r="R1669" s="48">
        <f>HEX2DEC(RIGHT(Table132321275358[[#This Row],[h2]],8))</f>
        <v>0</v>
      </c>
    </row>
    <row r="1670" spans="1:18">
      <c r="A1670" s="15" t="str">
        <f t="shared" si="30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8" t="s">
        <v>75</v>
      </c>
      <c r="P1670" s="48">
        <f>HEX2DEC(RIGHT(Table132321275358[[#This Row],[h1]],8))</f>
        <v>0</v>
      </c>
      <c r="Q1670" s="48" t="s">
        <v>75</v>
      </c>
      <c r="R1670" s="48">
        <f>HEX2DEC(RIGHT(Table132321275358[[#This Row],[h2]],8))</f>
        <v>0</v>
      </c>
    </row>
    <row r="1671" spans="1:18">
      <c r="A1671" s="15" t="str">
        <f t="shared" si="30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8" t="s">
        <v>75</v>
      </c>
      <c r="P1671" s="48">
        <f>HEX2DEC(RIGHT(Table132321275358[[#This Row],[h1]],8))</f>
        <v>0</v>
      </c>
      <c r="Q1671" s="48" t="s">
        <v>75</v>
      </c>
      <c r="R1671" s="48">
        <f>HEX2DEC(RIGHT(Table132321275358[[#This Row],[h2]],8))</f>
        <v>0</v>
      </c>
    </row>
    <row r="1672" spans="1:18">
      <c r="A1672" s="15" t="str">
        <f t="shared" si="30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8" t="s">
        <v>75</v>
      </c>
      <c r="P1672" s="48">
        <f>HEX2DEC(RIGHT(Table132321275358[[#This Row],[h1]],8))</f>
        <v>0</v>
      </c>
      <c r="Q1672" s="48" t="s">
        <v>75</v>
      </c>
      <c r="R1672" s="48">
        <f>HEX2DEC(RIGHT(Table132321275358[[#This Row],[h2]],8))</f>
        <v>0</v>
      </c>
    </row>
    <row r="1673" spans="1:18">
      <c r="A1673" s="15" t="str">
        <f t="shared" si="30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8" t="s">
        <v>75</v>
      </c>
      <c r="P1673" s="48">
        <f>HEX2DEC(RIGHT(Table132321275358[[#This Row],[h1]],8))</f>
        <v>0</v>
      </c>
      <c r="Q1673" s="48" t="s">
        <v>75</v>
      </c>
      <c r="R1673" s="48">
        <f>HEX2DEC(RIGHT(Table132321275358[[#This Row],[h2]],8))</f>
        <v>0</v>
      </c>
    </row>
    <row r="1674" spans="1:18">
      <c r="A1674" s="15" t="str">
        <f t="shared" si="30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8" t="s">
        <v>75</v>
      </c>
      <c r="P1674" s="48">
        <f>HEX2DEC(RIGHT(Table132321275358[[#This Row],[h1]],8))</f>
        <v>0</v>
      </c>
      <c r="Q1674" s="48" t="s">
        <v>75</v>
      </c>
      <c r="R1674" s="48">
        <f>HEX2DEC(RIGHT(Table132321275358[[#This Row],[h2]],8))</f>
        <v>0</v>
      </c>
    </row>
    <row r="1675" spans="1:18">
      <c r="A1675" s="15" t="str">
        <f t="shared" ref="A1675:A1738" si="31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8" t="s">
        <v>75</v>
      </c>
      <c r="P1675" s="48">
        <f>HEX2DEC(RIGHT(Table132321275358[[#This Row],[h1]],8))</f>
        <v>0</v>
      </c>
      <c r="Q1675" s="48" t="s">
        <v>75</v>
      </c>
      <c r="R1675" s="48">
        <f>HEX2DEC(RIGHT(Table132321275358[[#This Row],[h2]],8))</f>
        <v>0</v>
      </c>
    </row>
    <row r="1676" spans="1:18">
      <c r="A1676" s="15" t="str">
        <f t="shared" si="31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8" t="s">
        <v>75</v>
      </c>
      <c r="P1676" s="48">
        <f>HEX2DEC(RIGHT(Table132321275358[[#This Row],[h1]],8))</f>
        <v>0</v>
      </c>
      <c r="Q1676" s="48" t="s">
        <v>75</v>
      </c>
      <c r="R1676" s="48">
        <f>HEX2DEC(RIGHT(Table132321275358[[#This Row],[h2]],8))</f>
        <v>0</v>
      </c>
    </row>
    <row r="1677" spans="1:18">
      <c r="A1677" s="15" t="str">
        <f t="shared" si="31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8" t="s">
        <v>75</v>
      </c>
      <c r="P1677" s="48">
        <f>HEX2DEC(RIGHT(Table132321275358[[#This Row],[h1]],8))</f>
        <v>0</v>
      </c>
      <c r="Q1677" s="48" t="s">
        <v>75</v>
      </c>
      <c r="R1677" s="48">
        <f>HEX2DEC(RIGHT(Table132321275358[[#This Row],[h2]],8))</f>
        <v>0</v>
      </c>
    </row>
    <row r="1678" spans="1:18">
      <c r="A1678" s="15" t="str">
        <f t="shared" si="31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8" t="s">
        <v>75</v>
      </c>
      <c r="P1678" s="48">
        <f>HEX2DEC(RIGHT(Table132321275358[[#This Row],[h1]],8))</f>
        <v>0</v>
      </c>
      <c r="Q1678" s="48" t="s">
        <v>75</v>
      </c>
      <c r="R1678" s="48">
        <f>HEX2DEC(RIGHT(Table132321275358[[#This Row],[h2]],8))</f>
        <v>0</v>
      </c>
    </row>
    <row r="1679" spans="1:18">
      <c r="A1679" s="15" t="str">
        <f t="shared" si="31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8" t="s">
        <v>75</v>
      </c>
      <c r="P1679" s="48">
        <f>HEX2DEC(RIGHT(Table132321275358[[#This Row],[h1]],8))</f>
        <v>0</v>
      </c>
      <c r="Q1679" s="48" t="s">
        <v>75</v>
      </c>
      <c r="R1679" s="48">
        <f>HEX2DEC(RIGHT(Table132321275358[[#This Row],[h2]],8))</f>
        <v>0</v>
      </c>
    </row>
    <row r="1680" spans="1:18">
      <c r="A1680" s="15" t="str">
        <f t="shared" si="31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8" t="s">
        <v>75</v>
      </c>
      <c r="P1680" s="48">
        <f>HEX2DEC(RIGHT(Table132321275358[[#This Row],[h1]],8))</f>
        <v>0</v>
      </c>
      <c r="Q1680" s="48" t="s">
        <v>75</v>
      </c>
      <c r="R1680" s="48">
        <f>HEX2DEC(RIGHT(Table132321275358[[#This Row],[h2]],8))</f>
        <v>0</v>
      </c>
    </row>
    <row r="1681" spans="1:18">
      <c r="A1681" s="15" t="str">
        <f t="shared" si="31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8" t="s">
        <v>75</v>
      </c>
      <c r="P1681" s="48">
        <f>HEX2DEC(RIGHT(Table132321275358[[#This Row],[h1]],8))</f>
        <v>0</v>
      </c>
      <c r="Q1681" s="48" t="s">
        <v>75</v>
      </c>
      <c r="R1681" s="48">
        <f>HEX2DEC(RIGHT(Table132321275358[[#This Row],[h2]],8))</f>
        <v>0</v>
      </c>
    </row>
    <row r="1682" spans="1:18">
      <c r="A1682" s="15" t="str">
        <f t="shared" si="31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8" t="s">
        <v>75</v>
      </c>
      <c r="P1682" s="48">
        <f>HEX2DEC(RIGHT(Table132321275358[[#This Row],[h1]],8))</f>
        <v>0</v>
      </c>
      <c r="Q1682" s="48" t="s">
        <v>75</v>
      </c>
      <c r="R1682" s="48">
        <f>HEX2DEC(RIGHT(Table132321275358[[#This Row],[h2]],8))</f>
        <v>0</v>
      </c>
    </row>
    <row r="1683" spans="1:18">
      <c r="A1683" s="15" t="str">
        <f t="shared" si="31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8" t="s">
        <v>75</v>
      </c>
      <c r="P1683" s="48">
        <f>HEX2DEC(RIGHT(Table132321275358[[#This Row],[h1]],8))</f>
        <v>0</v>
      </c>
      <c r="Q1683" s="48" t="s">
        <v>75</v>
      </c>
      <c r="R1683" s="48">
        <f>HEX2DEC(RIGHT(Table132321275358[[#This Row],[h2]],8))</f>
        <v>0</v>
      </c>
    </row>
    <row r="1684" spans="1:18">
      <c r="A1684" s="15" t="str">
        <f t="shared" si="31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8" t="s">
        <v>75</v>
      </c>
      <c r="P1684" s="48">
        <f>HEX2DEC(RIGHT(Table132321275358[[#This Row],[h1]],8))</f>
        <v>0</v>
      </c>
      <c r="Q1684" s="48" t="s">
        <v>75</v>
      </c>
      <c r="R1684" s="48">
        <f>HEX2DEC(RIGHT(Table132321275358[[#This Row],[h2]],8))</f>
        <v>0</v>
      </c>
    </row>
    <row r="1685" spans="1:18">
      <c r="A1685" s="15" t="str">
        <f t="shared" si="31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8" t="s">
        <v>75</v>
      </c>
      <c r="P1685" s="48">
        <f>HEX2DEC(RIGHT(Table132321275358[[#This Row],[h1]],8))</f>
        <v>0</v>
      </c>
      <c r="Q1685" s="48" t="s">
        <v>75</v>
      </c>
      <c r="R1685" s="48">
        <f>HEX2DEC(RIGHT(Table132321275358[[#This Row],[h2]],8))</f>
        <v>0</v>
      </c>
    </row>
    <row r="1686" spans="1:18">
      <c r="A1686" s="15" t="str">
        <f t="shared" si="31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8" t="s">
        <v>75</v>
      </c>
      <c r="P1686" s="48">
        <f>HEX2DEC(RIGHT(Table132321275358[[#This Row],[h1]],8))</f>
        <v>0</v>
      </c>
      <c r="Q1686" s="48" t="s">
        <v>75</v>
      </c>
      <c r="R1686" s="48">
        <f>HEX2DEC(RIGHT(Table132321275358[[#This Row],[h2]],8))</f>
        <v>0</v>
      </c>
    </row>
    <row r="1687" spans="1:18">
      <c r="A1687" s="15" t="str">
        <f t="shared" si="31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8" t="s">
        <v>75</v>
      </c>
      <c r="P1687" s="48">
        <f>HEX2DEC(RIGHT(Table132321275358[[#This Row],[h1]],8))</f>
        <v>0</v>
      </c>
      <c r="Q1687" s="48" t="s">
        <v>75</v>
      </c>
      <c r="R1687" s="48">
        <f>HEX2DEC(RIGHT(Table132321275358[[#This Row],[h2]],8))</f>
        <v>0</v>
      </c>
    </row>
    <row r="1688" spans="1:18">
      <c r="A1688" s="15" t="str">
        <f t="shared" si="31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8" t="s">
        <v>75</v>
      </c>
      <c r="P1688" s="48">
        <f>HEX2DEC(RIGHT(Table132321275358[[#This Row],[h1]],8))</f>
        <v>0</v>
      </c>
      <c r="Q1688" s="48" t="s">
        <v>75</v>
      </c>
      <c r="R1688" s="48">
        <f>HEX2DEC(RIGHT(Table132321275358[[#This Row],[h2]],8))</f>
        <v>0</v>
      </c>
    </row>
    <row r="1689" spans="1:18">
      <c r="A1689" s="15" t="str">
        <f t="shared" si="31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8" t="s">
        <v>75</v>
      </c>
      <c r="P1689" s="48">
        <f>HEX2DEC(RIGHT(Table132321275358[[#This Row],[h1]],8))</f>
        <v>0</v>
      </c>
      <c r="Q1689" s="48" t="s">
        <v>75</v>
      </c>
      <c r="R1689" s="48">
        <f>HEX2DEC(RIGHT(Table132321275358[[#This Row],[h2]],8))</f>
        <v>0</v>
      </c>
    </row>
    <row r="1690" spans="1:18">
      <c r="A1690" s="15" t="str">
        <f t="shared" si="31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8" t="s">
        <v>75</v>
      </c>
      <c r="P1690" s="48">
        <f>HEX2DEC(RIGHT(Table132321275358[[#This Row],[h1]],8))</f>
        <v>0</v>
      </c>
      <c r="Q1690" s="48" t="s">
        <v>75</v>
      </c>
      <c r="R1690" s="48">
        <f>HEX2DEC(RIGHT(Table132321275358[[#This Row],[h2]],8))</f>
        <v>0</v>
      </c>
    </row>
    <row r="1691" spans="1:18">
      <c r="A1691" s="15" t="str">
        <f t="shared" si="31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8" t="s">
        <v>75</v>
      </c>
      <c r="P1691" s="48">
        <f>HEX2DEC(RIGHT(Table132321275358[[#This Row],[h1]],8))</f>
        <v>0</v>
      </c>
      <c r="Q1691" s="48" t="s">
        <v>75</v>
      </c>
      <c r="R1691" s="48">
        <f>HEX2DEC(RIGHT(Table132321275358[[#This Row],[h2]],8))</f>
        <v>0</v>
      </c>
    </row>
    <row r="1692" spans="1:18">
      <c r="A1692" s="15" t="str">
        <f t="shared" si="31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8" t="s">
        <v>75</v>
      </c>
      <c r="P1692" s="48">
        <f>HEX2DEC(RIGHT(Table132321275358[[#This Row],[h1]],8))</f>
        <v>0</v>
      </c>
      <c r="Q1692" s="48" t="s">
        <v>75</v>
      </c>
      <c r="R1692" s="48">
        <f>HEX2DEC(RIGHT(Table132321275358[[#This Row],[h2]],8))</f>
        <v>0</v>
      </c>
    </row>
    <row r="1693" spans="1:18">
      <c r="A1693" s="15" t="str">
        <f t="shared" si="31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8" t="s">
        <v>75</v>
      </c>
      <c r="P1693" s="48">
        <f>HEX2DEC(RIGHT(Table132321275358[[#This Row],[h1]],8))</f>
        <v>0</v>
      </c>
      <c r="Q1693" s="48" t="s">
        <v>75</v>
      </c>
      <c r="R1693" s="48">
        <f>HEX2DEC(RIGHT(Table132321275358[[#This Row],[h2]],8))</f>
        <v>0</v>
      </c>
    </row>
    <row r="1694" spans="1:18">
      <c r="A1694" s="15" t="str">
        <f t="shared" si="31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8" t="s">
        <v>75</v>
      </c>
      <c r="P1694" s="48">
        <f>HEX2DEC(RIGHT(Table132321275358[[#This Row],[h1]],8))</f>
        <v>0</v>
      </c>
      <c r="Q1694" s="48" t="s">
        <v>75</v>
      </c>
      <c r="R1694" s="48">
        <f>HEX2DEC(RIGHT(Table132321275358[[#This Row],[h2]],8))</f>
        <v>0</v>
      </c>
    </row>
    <row r="1695" spans="1:18">
      <c r="A1695" s="15" t="str">
        <f t="shared" si="31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8" t="s">
        <v>75</v>
      </c>
      <c r="P1695" s="48">
        <f>HEX2DEC(RIGHT(Table132321275358[[#This Row],[h1]],8))</f>
        <v>0</v>
      </c>
      <c r="Q1695" s="48" t="s">
        <v>75</v>
      </c>
      <c r="R1695" s="48">
        <f>HEX2DEC(RIGHT(Table132321275358[[#This Row],[h2]],8))</f>
        <v>0</v>
      </c>
    </row>
    <row r="1696" spans="1:18">
      <c r="A1696" s="15" t="str">
        <f t="shared" si="31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8" t="s">
        <v>75</v>
      </c>
      <c r="P1696" s="48">
        <f>HEX2DEC(RIGHT(Table132321275358[[#This Row],[h1]],8))</f>
        <v>0</v>
      </c>
      <c r="Q1696" s="48" t="s">
        <v>75</v>
      </c>
      <c r="R1696" s="48">
        <f>HEX2DEC(RIGHT(Table132321275358[[#This Row],[h2]],8))</f>
        <v>0</v>
      </c>
    </row>
    <row r="1697" spans="1:18">
      <c r="A1697" s="15" t="str">
        <f t="shared" si="31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8" t="s">
        <v>75</v>
      </c>
      <c r="P1697" s="48">
        <f>HEX2DEC(RIGHT(Table132321275358[[#This Row],[h1]],8))</f>
        <v>0</v>
      </c>
      <c r="Q1697" s="48" t="s">
        <v>75</v>
      </c>
      <c r="R1697" s="48">
        <f>HEX2DEC(RIGHT(Table132321275358[[#This Row],[h2]],8))</f>
        <v>0</v>
      </c>
    </row>
    <row r="1698" spans="1:18">
      <c r="A1698" s="15" t="str">
        <f t="shared" si="31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8" t="s">
        <v>75</v>
      </c>
      <c r="P1698" s="48">
        <f>HEX2DEC(RIGHT(Table132321275358[[#This Row],[h1]],8))</f>
        <v>0</v>
      </c>
      <c r="Q1698" s="48" t="s">
        <v>75</v>
      </c>
      <c r="R1698" s="48">
        <f>HEX2DEC(RIGHT(Table132321275358[[#This Row],[h2]],8))</f>
        <v>0</v>
      </c>
    </row>
    <row r="1699" spans="1:18">
      <c r="A1699" s="15" t="str">
        <f t="shared" si="31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8" t="s">
        <v>75</v>
      </c>
      <c r="P1699" s="48">
        <f>HEX2DEC(RIGHT(Table132321275358[[#This Row],[h1]],8))</f>
        <v>0</v>
      </c>
      <c r="Q1699" s="48" t="s">
        <v>75</v>
      </c>
      <c r="R1699" s="48">
        <f>HEX2DEC(RIGHT(Table132321275358[[#This Row],[h2]],8))</f>
        <v>0</v>
      </c>
    </row>
    <row r="1700" spans="1:18">
      <c r="A1700" s="15" t="str">
        <f t="shared" si="31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8" t="s">
        <v>75</v>
      </c>
      <c r="P1700" s="48">
        <f>HEX2DEC(RIGHT(Table132321275358[[#This Row],[h1]],8))</f>
        <v>0</v>
      </c>
      <c r="Q1700" s="48" t="s">
        <v>75</v>
      </c>
      <c r="R1700" s="48">
        <f>HEX2DEC(RIGHT(Table132321275358[[#This Row],[h2]],8))</f>
        <v>0</v>
      </c>
    </row>
    <row r="1701" spans="1:18">
      <c r="A1701" s="15" t="str">
        <f t="shared" si="31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8" t="s">
        <v>75</v>
      </c>
      <c r="P1701" s="48">
        <f>HEX2DEC(RIGHT(Table132321275358[[#This Row],[h1]],8))</f>
        <v>0</v>
      </c>
      <c r="Q1701" s="48" t="s">
        <v>75</v>
      </c>
      <c r="R1701" s="48">
        <f>HEX2DEC(RIGHT(Table132321275358[[#This Row],[h2]],8))</f>
        <v>0</v>
      </c>
    </row>
    <row r="1702" spans="1:18">
      <c r="A1702" s="15" t="str">
        <f t="shared" si="31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8" t="s">
        <v>75</v>
      </c>
      <c r="P1702" s="48">
        <f>HEX2DEC(RIGHT(Table132321275358[[#This Row],[h1]],8))</f>
        <v>0</v>
      </c>
      <c r="Q1702" s="48" t="s">
        <v>75</v>
      </c>
      <c r="R1702" s="48">
        <f>HEX2DEC(RIGHT(Table132321275358[[#This Row],[h2]],8))</f>
        <v>0</v>
      </c>
    </row>
    <row r="1703" spans="1:18">
      <c r="A1703" s="15" t="str">
        <f t="shared" si="31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8" t="s">
        <v>75</v>
      </c>
      <c r="P1703" s="48">
        <f>HEX2DEC(RIGHT(Table132321275358[[#This Row],[h1]],8))</f>
        <v>0</v>
      </c>
      <c r="Q1703" s="48" t="s">
        <v>75</v>
      </c>
      <c r="R1703" s="48">
        <f>HEX2DEC(RIGHT(Table132321275358[[#This Row],[h2]],8))</f>
        <v>0</v>
      </c>
    </row>
    <row r="1704" spans="1:18">
      <c r="A1704" s="15" t="str">
        <f t="shared" si="31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8" t="s">
        <v>75</v>
      </c>
      <c r="P1704" s="48">
        <f>HEX2DEC(RIGHT(Table132321275358[[#This Row],[h1]],8))</f>
        <v>0</v>
      </c>
      <c r="Q1704" s="48" t="s">
        <v>75</v>
      </c>
      <c r="R1704" s="48">
        <f>HEX2DEC(RIGHT(Table132321275358[[#This Row],[h2]],8))</f>
        <v>0</v>
      </c>
    </row>
    <row r="1705" spans="1:18">
      <c r="A1705" s="15" t="str">
        <f t="shared" si="31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8" t="s">
        <v>75</v>
      </c>
      <c r="P1705" s="48">
        <f>HEX2DEC(RIGHT(Table132321275358[[#This Row],[h1]],8))</f>
        <v>0</v>
      </c>
      <c r="Q1705" s="48" t="s">
        <v>75</v>
      </c>
      <c r="R1705" s="48">
        <f>HEX2DEC(RIGHT(Table132321275358[[#This Row],[h2]],8))</f>
        <v>0</v>
      </c>
    </row>
    <row r="1706" spans="1:18">
      <c r="A1706" s="15" t="str">
        <f t="shared" si="31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8" t="s">
        <v>75</v>
      </c>
      <c r="P1706" s="48">
        <f>HEX2DEC(RIGHT(Table132321275358[[#This Row],[h1]],8))</f>
        <v>0</v>
      </c>
      <c r="Q1706" s="48" t="s">
        <v>75</v>
      </c>
      <c r="R1706" s="48">
        <f>HEX2DEC(RIGHT(Table132321275358[[#This Row],[h2]],8))</f>
        <v>0</v>
      </c>
    </row>
    <row r="1707" spans="1:18">
      <c r="A1707" s="15" t="str">
        <f t="shared" si="31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8" t="s">
        <v>75</v>
      </c>
      <c r="P1707" s="48">
        <f>HEX2DEC(RIGHT(Table132321275358[[#This Row],[h1]],8))</f>
        <v>0</v>
      </c>
      <c r="Q1707" s="48" t="s">
        <v>75</v>
      </c>
      <c r="R1707" s="48">
        <f>HEX2DEC(RIGHT(Table132321275358[[#This Row],[h2]],8))</f>
        <v>0</v>
      </c>
    </row>
    <row r="1708" spans="1:18">
      <c r="A1708" s="15" t="str">
        <f t="shared" si="31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8" t="s">
        <v>75</v>
      </c>
      <c r="P1708" s="48">
        <f>HEX2DEC(RIGHT(Table132321275358[[#This Row],[h1]],8))</f>
        <v>0</v>
      </c>
      <c r="Q1708" s="48" t="s">
        <v>75</v>
      </c>
      <c r="R1708" s="48">
        <f>HEX2DEC(RIGHT(Table132321275358[[#This Row],[h2]],8))</f>
        <v>0</v>
      </c>
    </row>
    <row r="1709" spans="1:18">
      <c r="A1709" s="15" t="str">
        <f t="shared" si="31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8" t="s">
        <v>75</v>
      </c>
      <c r="P1709" s="48">
        <f>HEX2DEC(RIGHT(Table132321275358[[#This Row],[h1]],8))</f>
        <v>0</v>
      </c>
      <c r="Q1709" s="48" t="s">
        <v>75</v>
      </c>
      <c r="R1709" s="48">
        <f>HEX2DEC(RIGHT(Table132321275358[[#This Row],[h2]],8))</f>
        <v>0</v>
      </c>
    </row>
    <row r="1710" spans="1:18">
      <c r="A1710" s="15" t="str">
        <f t="shared" si="31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8" t="s">
        <v>75</v>
      </c>
      <c r="P1710" s="48">
        <f>HEX2DEC(RIGHT(Table132321275358[[#This Row],[h1]],8))</f>
        <v>0</v>
      </c>
      <c r="Q1710" s="48" t="s">
        <v>75</v>
      </c>
      <c r="R1710" s="48">
        <f>HEX2DEC(RIGHT(Table132321275358[[#This Row],[h2]],8))</f>
        <v>0</v>
      </c>
    </row>
    <row r="1711" spans="1:18">
      <c r="A1711" s="15" t="str">
        <f t="shared" si="31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8" t="s">
        <v>75</v>
      </c>
      <c r="P1711" s="48">
        <f>HEX2DEC(RIGHT(Table132321275358[[#This Row],[h1]],8))</f>
        <v>0</v>
      </c>
      <c r="Q1711" s="48" t="s">
        <v>75</v>
      </c>
      <c r="R1711" s="48">
        <f>HEX2DEC(RIGHT(Table132321275358[[#This Row],[h2]],8))</f>
        <v>0</v>
      </c>
    </row>
    <row r="1712" spans="1:18">
      <c r="A1712" s="15" t="str">
        <f t="shared" si="31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8" t="s">
        <v>75</v>
      </c>
      <c r="P1712" s="48">
        <f>HEX2DEC(RIGHT(Table132321275358[[#This Row],[h1]],8))</f>
        <v>0</v>
      </c>
      <c r="Q1712" s="48" t="s">
        <v>75</v>
      </c>
      <c r="R1712" s="48">
        <f>HEX2DEC(RIGHT(Table132321275358[[#This Row],[h2]],8))</f>
        <v>0</v>
      </c>
    </row>
    <row r="1713" spans="1:18">
      <c r="A1713" s="15" t="str">
        <f t="shared" si="31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8" t="s">
        <v>75</v>
      </c>
      <c r="P1713" s="48">
        <f>HEX2DEC(RIGHT(Table132321275358[[#This Row],[h1]],8))</f>
        <v>0</v>
      </c>
      <c r="Q1713" s="48" t="s">
        <v>75</v>
      </c>
      <c r="R1713" s="48">
        <f>HEX2DEC(RIGHT(Table132321275358[[#This Row],[h2]],8))</f>
        <v>0</v>
      </c>
    </row>
    <row r="1714" spans="1:18">
      <c r="A1714" s="15" t="str">
        <f t="shared" si="31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8" t="s">
        <v>75</v>
      </c>
      <c r="P1714" s="48">
        <f>HEX2DEC(RIGHT(Table132321275358[[#This Row],[h1]],8))</f>
        <v>0</v>
      </c>
      <c r="Q1714" s="48" t="s">
        <v>75</v>
      </c>
      <c r="R1714" s="48">
        <f>HEX2DEC(RIGHT(Table132321275358[[#This Row],[h2]],8))</f>
        <v>0</v>
      </c>
    </row>
    <row r="1715" spans="1:18">
      <c r="A1715" s="15" t="str">
        <f t="shared" si="31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8" t="s">
        <v>75</v>
      </c>
      <c r="P1715" s="48">
        <f>HEX2DEC(RIGHT(Table132321275358[[#This Row],[h1]],8))</f>
        <v>0</v>
      </c>
      <c r="Q1715" s="48" t="s">
        <v>75</v>
      </c>
      <c r="R1715" s="48">
        <f>HEX2DEC(RIGHT(Table132321275358[[#This Row],[h2]],8))</f>
        <v>0</v>
      </c>
    </row>
    <row r="1716" spans="1:18">
      <c r="A1716" s="15" t="str">
        <f t="shared" si="31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8" t="s">
        <v>75</v>
      </c>
      <c r="P1716" s="48">
        <f>HEX2DEC(RIGHT(Table132321275358[[#This Row],[h1]],8))</f>
        <v>0</v>
      </c>
      <c r="Q1716" s="48" t="s">
        <v>75</v>
      </c>
      <c r="R1716" s="48">
        <f>HEX2DEC(RIGHT(Table132321275358[[#This Row],[h2]],8))</f>
        <v>0</v>
      </c>
    </row>
    <row r="1717" spans="1:18">
      <c r="A1717" s="15" t="str">
        <f t="shared" si="31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8" t="s">
        <v>75</v>
      </c>
      <c r="P1717" s="48">
        <f>HEX2DEC(RIGHT(Table132321275358[[#This Row],[h1]],8))</f>
        <v>0</v>
      </c>
      <c r="Q1717" s="48" t="s">
        <v>75</v>
      </c>
      <c r="R1717" s="48">
        <f>HEX2DEC(RIGHT(Table132321275358[[#This Row],[h2]],8))</f>
        <v>0</v>
      </c>
    </row>
    <row r="1718" spans="1:18">
      <c r="A1718" s="15" t="str">
        <f t="shared" si="31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8" t="s">
        <v>75</v>
      </c>
      <c r="P1718" s="48">
        <f>HEX2DEC(RIGHT(Table132321275358[[#This Row],[h1]],8))</f>
        <v>0</v>
      </c>
      <c r="Q1718" s="48" t="s">
        <v>75</v>
      </c>
      <c r="R1718" s="48">
        <f>HEX2DEC(RIGHT(Table132321275358[[#This Row],[h2]],8))</f>
        <v>0</v>
      </c>
    </row>
    <row r="1719" spans="1:18">
      <c r="A1719" s="15" t="str">
        <f t="shared" si="31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8" t="s">
        <v>75</v>
      </c>
      <c r="P1719" s="48">
        <f>HEX2DEC(RIGHT(Table132321275358[[#This Row],[h1]],8))</f>
        <v>0</v>
      </c>
      <c r="Q1719" s="48" t="s">
        <v>75</v>
      </c>
      <c r="R1719" s="48">
        <f>HEX2DEC(RIGHT(Table132321275358[[#This Row],[h2]],8))</f>
        <v>0</v>
      </c>
    </row>
    <row r="1720" spans="1:18">
      <c r="A1720" s="15" t="str">
        <f t="shared" si="31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8" t="s">
        <v>75</v>
      </c>
      <c r="P1720" s="48">
        <f>HEX2DEC(RIGHT(Table132321275358[[#This Row],[h1]],8))</f>
        <v>0</v>
      </c>
      <c r="Q1720" s="48" t="s">
        <v>75</v>
      </c>
      <c r="R1720" s="48">
        <f>HEX2DEC(RIGHT(Table132321275358[[#This Row],[h2]],8))</f>
        <v>0</v>
      </c>
    </row>
    <row r="1721" spans="1:18">
      <c r="A1721" s="15" t="str">
        <f t="shared" si="31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8" t="s">
        <v>75</v>
      </c>
      <c r="P1721" s="48">
        <f>HEX2DEC(RIGHT(Table132321275358[[#This Row],[h1]],8))</f>
        <v>0</v>
      </c>
      <c r="Q1721" s="48" t="s">
        <v>75</v>
      </c>
      <c r="R1721" s="48">
        <f>HEX2DEC(RIGHT(Table132321275358[[#This Row],[h2]],8))</f>
        <v>0</v>
      </c>
    </row>
    <row r="1722" spans="1:18">
      <c r="A1722" s="15" t="str">
        <f t="shared" si="31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8" t="s">
        <v>75</v>
      </c>
      <c r="P1722" s="48">
        <f>HEX2DEC(RIGHT(Table132321275358[[#This Row],[h1]],8))</f>
        <v>0</v>
      </c>
      <c r="Q1722" s="48" t="s">
        <v>75</v>
      </c>
      <c r="R1722" s="48">
        <f>HEX2DEC(RIGHT(Table132321275358[[#This Row],[h2]],8))</f>
        <v>0</v>
      </c>
    </row>
    <row r="1723" spans="1:18">
      <c r="A1723" s="15" t="str">
        <f t="shared" si="31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8" t="s">
        <v>75</v>
      </c>
      <c r="P1723" s="48">
        <f>HEX2DEC(RIGHT(Table132321275358[[#This Row],[h1]],8))</f>
        <v>0</v>
      </c>
      <c r="Q1723" s="48" t="s">
        <v>75</v>
      </c>
      <c r="R1723" s="48">
        <f>HEX2DEC(RIGHT(Table132321275358[[#This Row],[h2]],8))</f>
        <v>0</v>
      </c>
    </row>
    <row r="1724" spans="1:18">
      <c r="A1724" s="15" t="str">
        <f t="shared" si="31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8" t="s">
        <v>75</v>
      </c>
      <c r="P1724" s="48">
        <f>HEX2DEC(RIGHT(Table132321275358[[#This Row],[h1]],8))</f>
        <v>0</v>
      </c>
      <c r="Q1724" s="48" t="s">
        <v>75</v>
      </c>
      <c r="R1724" s="48">
        <f>HEX2DEC(RIGHT(Table132321275358[[#This Row],[h2]],8))</f>
        <v>0</v>
      </c>
    </row>
    <row r="1725" spans="1:18">
      <c r="A1725" s="15" t="str">
        <f t="shared" si="31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8" t="s">
        <v>75</v>
      </c>
      <c r="P1725" s="48">
        <f>HEX2DEC(RIGHT(Table132321275358[[#This Row],[h1]],8))</f>
        <v>0</v>
      </c>
      <c r="Q1725" s="48" t="s">
        <v>75</v>
      </c>
      <c r="R1725" s="48">
        <f>HEX2DEC(RIGHT(Table132321275358[[#This Row],[h2]],8))</f>
        <v>0</v>
      </c>
    </row>
    <row r="1726" spans="1:18">
      <c r="A1726" s="15" t="str">
        <f t="shared" si="31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8" t="s">
        <v>75</v>
      </c>
      <c r="P1726" s="48">
        <f>HEX2DEC(RIGHT(Table132321275358[[#This Row],[h1]],8))</f>
        <v>0</v>
      </c>
      <c r="Q1726" s="48" t="s">
        <v>75</v>
      </c>
      <c r="R1726" s="48">
        <f>HEX2DEC(RIGHT(Table132321275358[[#This Row],[h2]],8))</f>
        <v>0</v>
      </c>
    </row>
    <row r="1727" spans="1:18">
      <c r="A1727" s="15" t="str">
        <f t="shared" si="31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8" t="s">
        <v>75</v>
      </c>
      <c r="P1727" s="48">
        <f>HEX2DEC(RIGHT(Table132321275358[[#This Row],[h1]],8))</f>
        <v>0</v>
      </c>
      <c r="Q1727" s="48" t="s">
        <v>75</v>
      </c>
      <c r="R1727" s="48">
        <f>HEX2DEC(RIGHT(Table132321275358[[#This Row],[h2]],8))</f>
        <v>0</v>
      </c>
    </row>
    <row r="1728" spans="1:18">
      <c r="A1728" s="15" t="str">
        <f t="shared" si="31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8" t="s">
        <v>75</v>
      </c>
      <c r="P1728" s="48">
        <f>HEX2DEC(RIGHT(Table132321275358[[#This Row],[h1]],8))</f>
        <v>0</v>
      </c>
      <c r="Q1728" s="48" t="s">
        <v>75</v>
      </c>
      <c r="R1728" s="48">
        <f>HEX2DEC(RIGHT(Table132321275358[[#This Row],[h2]],8))</f>
        <v>0</v>
      </c>
    </row>
    <row r="1729" spans="1:18">
      <c r="A1729" s="15" t="str">
        <f t="shared" si="31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8" t="s">
        <v>75</v>
      </c>
      <c r="P1729" s="48">
        <f>HEX2DEC(RIGHT(Table132321275358[[#This Row],[h1]],8))</f>
        <v>0</v>
      </c>
      <c r="Q1729" s="48" t="s">
        <v>75</v>
      </c>
      <c r="R1729" s="48">
        <f>HEX2DEC(RIGHT(Table132321275358[[#This Row],[h2]],8))</f>
        <v>0</v>
      </c>
    </row>
    <row r="1730" spans="1:18">
      <c r="A1730" s="15" t="str">
        <f t="shared" si="31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8" t="s">
        <v>75</v>
      </c>
      <c r="P1730" s="48">
        <f>HEX2DEC(RIGHT(Table132321275358[[#This Row],[h1]],8))</f>
        <v>0</v>
      </c>
      <c r="Q1730" s="48" t="s">
        <v>75</v>
      </c>
      <c r="R1730" s="48">
        <f>HEX2DEC(RIGHT(Table132321275358[[#This Row],[h2]],8))</f>
        <v>0</v>
      </c>
    </row>
    <row r="1731" spans="1:18">
      <c r="A1731" s="15" t="str">
        <f t="shared" si="31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8" t="s">
        <v>75</v>
      </c>
      <c r="P1731" s="48">
        <f>HEX2DEC(RIGHT(Table132321275358[[#This Row],[h1]],8))</f>
        <v>0</v>
      </c>
      <c r="Q1731" s="48" t="s">
        <v>75</v>
      </c>
      <c r="R1731" s="48">
        <f>HEX2DEC(RIGHT(Table132321275358[[#This Row],[h2]],8))</f>
        <v>0</v>
      </c>
    </row>
    <row r="1732" spans="1:18">
      <c r="A1732" s="15" t="str">
        <f t="shared" si="31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8" t="s">
        <v>75</v>
      </c>
      <c r="P1732" s="48">
        <f>HEX2DEC(RIGHT(Table132321275358[[#This Row],[h1]],8))</f>
        <v>0</v>
      </c>
      <c r="Q1732" s="48" t="s">
        <v>75</v>
      </c>
      <c r="R1732" s="48">
        <f>HEX2DEC(RIGHT(Table132321275358[[#This Row],[h2]],8))</f>
        <v>0</v>
      </c>
    </row>
    <row r="1733" spans="1:18">
      <c r="A1733" s="15" t="str">
        <f t="shared" si="31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8" t="s">
        <v>75</v>
      </c>
      <c r="P1733" s="48">
        <f>HEX2DEC(RIGHT(Table132321275358[[#This Row],[h1]],8))</f>
        <v>0</v>
      </c>
      <c r="Q1733" s="48" t="s">
        <v>75</v>
      </c>
      <c r="R1733" s="48">
        <f>HEX2DEC(RIGHT(Table132321275358[[#This Row],[h2]],8))</f>
        <v>0</v>
      </c>
    </row>
    <row r="1734" spans="1:18">
      <c r="A1734" s="15" t="str">
        <f t="shared" si="31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8" t="s">
        <v>75</v>
      </c>
      <c r="P1734" s="48">
        <f>HEX2DEC(RIGHT(Table132321275358[[#This Row],[h1]],8))</f>
        <v>0</v>
      </c>
      <c r="Q1734" s="48" t="s">
        <v>75</v>
      </c>
      <c r="R1734" s="48">
        <f>HEX2DEC(RIGHT(Table132321275358[[#This Row],[h2]],8))</f>
        <v>0</v>
      </c>
    </row>
    <row r="1735" spans="1:18">
      <c r="A1735" s="15" t="str">
        <f t="shared" si="31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8" t="s">
        <v>75</v>
      </c>
      <c r="P1735" s="48">
        <f>HEX2DEC(RIGHT(Table132321275358[[#This Row],[h1]],8))</f>
        <v>0</v>
      </c>
      <c r="Q1735" s="48" t="s">
        <v>75</v>
      </c>
      <c r="R1735" s="48">
        <f>HEX2DEC(RIGHT(Table132321275358[[#This Row],[h2]],8))</f>
        <v>0</v>
      </c>
    </row>
    <row r="1736" spans="1:18">
      <c r="A1736" s="15" t="str">
        <f t="shared" si="31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8" t="s">
        <v>75</v>
      </c>
      <c r="P1736" s="48">
        <f>HEX2DEC(RIGHT(Table132321275358[[#This Row],[h1]],8))</f>
        <v>0</v>
      </c>
      <c r="Q1736" s="48" t="s">
        <v>75</v>
      </c>
      <c r="R1736" s="48">
        <f>HEX2DEC(RIGHT(Table132321275358[[#This Row],[h2]],8))</f>
        <v>0</v>
      </c>
    </row>
    <row r="1737" spans="1:18">
      <c r="A1737" s="15" t="str">
        <f t="shared" si="31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8" t="s">
        <v>75</v>
      </c>
      <c r="P1737" s="48">
        <f>HEX2DEC(RIGHT(Table132321275358[[#This Row],[h1]],8))</f>
        <v>0</v>
      </c>
      <c r="Q1737" s="48" t="s">
        <v>75</v>
      </c>
      <c r="R1737" s="48">
        <f>HEX2DEC(RIGHT(Table132321275358[[#This Row],[h2]],8))</f>
        <v>0</v>
      </c>
    </row>
    <row r="1738" spans="1:18">
      <c r="A1738" s="15" t="str">
        <f t="shared" si="31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8" t="s">
        <v>75</v>
      </c>
      <c r="P1738" s="48">
        <f>HEX2DEC(RIGHT(Table132321275358[[#This Row],[h1]],8))</f>
        <v>0</v>
      </c>
      <c r="Q1738" s="48" t="s">
        <v>75</v>
      </c>
      <c r="R1738" s="48">
        <f>HEX2DEC(RIGHT(Table132321275358[[#This Row],[h2]],8))</f>
        <v>0</v>
      </c>
    </row>
    <row r="1739" spans="1:18">
      <c r="A1739" s="15" t="str">
        <f t="shared" ref="A1739:A1802" si="32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8" t="s">
        <v>75</v>
      </c>
      <c r="P1739" s="48">
        <f>HEX2DEC(RIGHT(Table132321275358[[#This Row],[h1]],8))</f>
        <v>0</v>
      </c>
      <c r="Q1739" s="48" t="s">
        <v>75</v>
      </c>
      <c r="R1739" s="48">
        <f>HEX2DEC(RIGHT(Table132321275358[[#This Row],[h2]],8))</f>
        <v>0</v>
      </c>
    </row>
    <row r="1740" spans="1:18">
      <c r="A1740" s="15" t="str">
        <f t="shared" si="32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8" t="s">
        <v>75</v>
      </c>
      <c r="P1740" s="48">
        <f>HEX2DEC(RIGHT(Table132321275358[[#This Row],[h1]],8))</f>
        <v>0</v>
      </c>
      <c r="Q1740" s="48" t="s">
        <v>75</v>
      </c>
      <c r="R1740" s="48">
        <f>HEX2DEC(RIGHT(Table132321275358[[#This Row],[h2]],8))</f>
        <v>0</v>
      </c>
    </row>
    <row r="1741" spans="1:18">
      <c r="A1741" s="15" t="str">
        <f t="shared" si="32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8" t="s">
        <v>75</v>
      </c>
      <c r="P1741" s="48">
        <f>HEX2DEC(RIGHT(Table132321275358[[#This Row],[h1]],8))</f>
        <v>0</v>
      </c>
      <c r="Q1741" s="48" t="s">
        <v>75</v>
      </c>
      <c r="R1741" s="48">
        <f>HEX2DEC(RIGHT(Table132321275358[[#This Row],[h2]],8))</f>
        <v>0</v>
      </c>
    </row>
    <row r="1742" spans="1:18">
      <c r="A1742" s="15" t="str">
        <f t="shared" si="32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8" t="s">
        <v>75</v>
      </c>
      <c r="P1742" s="48">
        <f>HEX2DEC(RIGHT(Table132321275358[[#This Row],[h1]],8))</f>
        <v>0</v>
      </c>
      <c r="Q1742" s="48" t="s">
        <v>75</v>
      </c>
      <c r="R1742" s="48">
        <f>HEX2DEC(RIGHT(Table132321275358[[#This Row],[h2]],8))</f>
        <v>0</v>
      </c>
    </row>
    <row r="1743" spans="1:18">
      <c r="A1743" s="15" t="str">
        <f t="shared" si="32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8" t="s">
        <v>75</v>
      </c>
      <c r="P1743" s="48">
        <f>HEX2DEC(RIGHT(Table132321275358[[#This Row],[h1]],8))</f>
        <v>0</v>
      </c>
      <c r="Q1743" s="48" t="s">
        <v>75</v>
      </c>
      <c r="R1743" s="48">
        <f>HEX2DEC(RIGHT(Table132321275358[[#This Row],[h2]],8))</f>
        <v>0</v>
      </c>
    </row>
    <row r="1744" spans="1:18">
      <c r="A1744" s="15" t="str">
        <f t="shared" si="32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8" t="s">
        <v>75</v>
      </c>
      <c r="P1744" s="48">
        <f>HEX2DEC(RIGHT(Table132321275358[[#This Row],[h1]],8))</f>
        <v>0</v>
      </c>
      <c r="Q1744" s="48" t="s">
        <v>75</v>
      </c>
      <c r="R1744" s="48">
        <f>HEX2DEC(RIGHT(Table132321275358[[#This Row],[h2]],8))</f>
        <v>0</v>
      </c>
    </row>
    <row r="1745" spans="1:18">
      <c r="A1745" s="15" t="str">
        <f t="shared" si="32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8" t="s">
        <v>75</v>
      </c>
      <c r="P1745" s="48">
        <f>HEX2DEC(RIGHT(Table132321275358[[#This Row],[h1]],8))</f>
        <v>0</v>
      </c>
      <c r="Q1745" s="48" t="s">
        <v>75</v>
      </c>
      <c r="R1745" s="48">
        <f>HEX2DEC(RIGHT(Table132321275358[[#This Row],[h2]],8))</f>
        <v>0</v>
      </c>
    </row>
    <row r="1746" spans="1:18">
      <c r="A1746" s="15" t="str">
        <f t="shared" si="32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8" t="s">
        <v>75</v>
      </c>
      <c r="P1746" s="48">
        <f>HEX2DEC(RIGHT(Table132321275358[[#This Row],[h1]],8))</f>
        <v>0</v>
      </c>
      <c r="Q1746" s="48" t="s">
        <v>75</v>
      </c>
      <c r="R1746" s="48">
        <f>HEX2DEC(RIGHT(Table132321275358[[#This Row],[h2]],8))</f>
        <v>0</v>
      </c>
    </row>
    <row r="1747" spans="1:18">
      <c r="A1747" s="15" t="str">
        <f t="shared" si="32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8" t="s">
        <v>75</v>
      </c>
      <c r="P1747" s="48">
        <f>HEX2DEC(RIGHT(Table132321275358[[#This Row],[h1]],8))</f>
        <v>0</v>
      </c>
      <c r="Q1747" s="48" t="s">
        <v>75</v>
      </c>
      <c r="R1747" s="48">
        <f>HEX2DEC(RIGHT(Table132321275358[[#This Row],[h2]],8))</f>
        <v>0</v>
      </c>
    </row>
    <row r="1748" spans="1:18">
      <c r="A1748" s="15" t="str">
        <f t="shared" si="32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8" t="s">
        <v>75</v>
      </c>
      <c r="P1748" s="48">
        <f>HEX2DEC(RIGHT(Table132321275358[[#This Row],[h1]],8))</f>
        <v>0</v>
      </c>
      <c r="Q1748" s="48" t="s">
        <v>75</v>
      </c>
      <c r="R1748" s="48">
        <f>HEX2DEC(RIGHT(Table132321275358[[#This Row],[h2]],8))</f>
        <v>0</v>
      </c>
    </row>
    <row r="1749" spans="1:18">
      <c r="A1749" s="15" t="str">
        <f t="shared" si="32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8" t="s">
        <v>75</v>
      </c>
      <c r="P1749" s="48">
        <f>HEX2DEC(RIGHT(Table132321275358[[#This Row],[h1]],8))</f>
        <v>0</v>
      </c>
      <c r="Q1749" s="48" t="s">
        <v>75</v>
      </c>
      <c r="R1749" s="48">
        <f>HEX2DEC(RIGHT(Table132321275358[[#This Row],[h2]],8))</f>
        <v>0</v>
      </c>
    </row>
    <row r="1750" spans="1:18">
      <c r="A1750" s="15" t="str">
        <f t="shared" si="32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8" t="s">
        <v>75</v>
      </c>
      <c r="P1750" s="48">
        <f>HEX2DEC(RIGHT(Table132321275358[[#This Row],[h1]],8))</f>
        <v>0</v>
      </c>
      <c r="Q1750" s="48" t="s">
        <v>75</v>
      </c>
      <c r="R1750" s="48">
        <f>HEX2DEC(RIGHT(Table132321275358[[#This Row],[h2]],8))</f>
        <v>0</v>
      </c>
    </row>
    <row r="1751" spans="1:18">
      <c r="A1751" s="15" t="str">
        <f t="shared" si="32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8" t="s">
        <v>75</v>
      </c>
      <c r="P1751" s="48">
        <f>HEX2DEC(RIGHT(Table132321275358[[#This Row],[h1]],8))</f>
        <v>0</v>
      </c>
      <c r="Q1751" s="48" t="s">
        <v>75</v>
      </c>
      <c r="R1751" s="48">
        <f>HEX2DEC(RIGHT(Table132321275358[[#This Row],[h2]],8))</f>
        <v>0</v>
      </c>
    </row>
    <row r="1752" spans="1:18">
      <c r="A1752" s="15" t="str">
        <f t="shared" si="32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8" t="s">
        <v>75</v>
      </c>
      <c r="P1752" s="48">
        <f>HEX2DEC(RIGHT(Table132321275358[[#This Row],[h1]],8))</f>
        <v>0</v>
      </c>
      <c r="Q1752" s="48" t="s">
        <v>75</v>
      </c>
      <c r="R1752" s="48">
        <f>HEX2DEC(RIGHT(Table132321275358[[#This Row],[h2]],8))</f>
        <v>0</v>
      </c>
    </row>
    <row r="1753" spans="1:18">
      <c r="A1753" s="15" t="str">
        <f t="shared" si="32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8" t="s">
        <v>75</v>
      </c>
      <c r="P1753" s="48">
        <f>HEX2DEC(RIGHT(Table132321275358[[#This Row],[h1]],8))</f>
        <v>0</v>
      </c>
      <c r="Q1753" s="48" t="s">
        <v>75</v>
      </c>
      <c r="R1753" s="48">
        <f>HEX2DEC(RIGHT(Table132321275358[[#This Row],[h2]],8))</f>
        <v>0</v>
      </c>
    </row>
    <row r="1754" spans="1:18">
      <c r="A1754" s="15" t="str">
        <f t="shared" si="32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8" t="s">
        <v>75</v>
      </c>
      <c r="P1754" s="48">
        <f>HEX2DEC(RIGHT(Table132321275358[[#This Row],[h1]],8))</f>
        <v>0</v>
      </c>
      <c r="Q1754" s="48" t="s">
        <v>75</v>
      </c>
      <c r="R1754" s="48">
        <f>HEX2DEC(RIGHT(Table132321275358[[#This Row],[h2]],8))</f>
        <v>0</v>
      </c>
    </row>
    <row r="1755" spans="1:18">
      <c r="A1755" s="15" t="str">
        <f t="shared" si="32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8" t="s">
        <v>75</v>
      </c>
      <c r="P1755" s="48">
        <f>HEX2DEC(RIGHT(Table132321275358[[#This Row],[h1]],8))</f>
        <v>0</v>
      </c>
      <c r="Q1755" s="48" t="s">
        <v>75</v>
      </c>
      <c r="R1755" s="48">
        <f>HEX2DEC(RIGHT(Table132321275358[[#This Row],[h2]],8))</f>
        <v>0</v>
      </c>
    </row>
    <row r="1756" spans="1:18">
      <c r="A1756" s="15" t="str">
        <f t="shared" si="32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8" t="s">
        <v>75</v>
      </c>
      <c r="P1756" s="48">
        <f>HEX2DEC(RIGHT(Table132321275358[[#This Row],[h1]],8))</f>
        <v>0</v>
      </c>
      <c r="Q1756" s="48" t="s">
        <v>75</v>
      </c>
      <c r="R1756" s="48">
        <f>HEX2DEC(RIGHT(Table132321275358[[#This Row],[h2]],8))</f>
        <v>0</v>
      </c>
    </row>
    <row r="1757" spans="1:18">
      <c r="A1757" s="15" t="str">
        <f t="shared" si="32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8" t="s">
        <v>75</v>
      </c>
      <c r="P1757" s="48">
        <f>HEX2DEC(RIGHT(Table132321275358[[#This Row],[h1]],8))</f>
        <v>0</v>
      </c>
      <c r="Q1757" s="48" t="s">
        <v>75</v>
      </c>
      <c r="R1757" s="48">
        <f>HEX2DEC(RIGHT(Table132321275358[[#This Row],[h2]],8))</f>
        <v>0</v>
      </c>
    </row>
    <row r="1758" spans="1:18">
      <c r="A1758" s="15" t="str">
        <f t="shared" si="32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8" t="s">
        <v>75</v>
      </c>
      <c r="P1758" s="48">
        <f>HEX2DEC(RIGHT(Table132321275358[[#This Row],[h1]],8))</f>
        <v>0</v>
      </c>
      <c r="Q1758" s="48" t="s">
        <v>75</v>
      </c>
      <c r="R1758" s="48">
        <f>HEX2DEC(RIGHT(Table132321275358[[#This Row],[h2]],8))</f>
        <v>0</v>
      </c>
    </row>
    <row r="1759" spans="1:18">
      <c r="A1759" s="15" t="str">
        <f t="shared" si="32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8" t="s">
        <v>75</v>
      </c>
      <c r="P1759" s="48">
        <f>HEX2DEC(RIGHT(Table132321275358[[#This Row],[h1]],8))</f>
        <v>0</v>
      </c>
      <c r="Q1759" s="48" t="s">
        <v>75</v>
      </c>
      <c r="R1759" s="48">
        <f>HEX2DEC(RIGHT(Table132321275358[[#This Row],[h2]],8))</f>
        <v>0</v>
      </c>
    </row>
    <row r="1760" spans="1:18">
      <c r="A1760" s="15" t="str">
        <f t="shared" si="32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8" t="s">
        <v>75</v>
      </c>
      <c r="P1760" s="48">
        <f>HEX2DEC(RIGHT(Table132321275358[[#This Row],[h1]],8))</f>
        <v>0</v>
      </c>
      <c r="Q1760" s="48" t="s">
        <v>75</v>
      </c>
      <c r="R1760" s="48">
        <f>HEX2DEC(RIGHT(Table132321275358[[#This Row],[h2]],8))</f>
        <v>0</v>
      </c>
    </row>
    <row r="1761" spans="1:18">
      <c r="A1761" s="15" t="str">
        <f t="shared" si="32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8" t="s">
        <v>75</v>
      </c>
      <c r="P1761" s="48">
        <f>HEX2DEC(RIGHT(Table132321275358[[#This Row],[h1]],8))</f>
        <v>0</v>
      </c>
      <c r="Q1761" s="48" t="s">
        <v>75</v>
      </c>
      <c r="R1761" s="48">
        <f>HEX2DEC(RIGHT(Table132321275358[[#This Row],[h2]],8))</f>
        <v>0</v>
      </c>
    </row>
    <row r="1762" spans="1:18">
      <c r="A1762" s="15" t="str">
        <f t="shared" si="32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8" t="s">
        <v>75</v>
      </c>
      <c r="P1762" s="48">
        <f>HEX2DEC(RIGHT(Table132321275358[[#This Row],[h1]],8))</f>
        <v>0</v>
      </c>
      <c r="Q1762" s="48" t="s">
        <v>75</v>
      </c>
      <c r="R1762" s="48">
        <f>HEX2DEC(RIGHT(Table132321275358[[#This Row],[h2]],8))</f>
        <v>0</v>
      </c>
    </row>
    <row r="1763" spans="1:18">
      <c r="A1763" s="15" t="str">
        <f t="shared" si="32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8" t="s">
        <v>75</v>
      </c>
      <c r="P1763" s="48">
        <f>HEX2DEC(RIGHT(Table132321275358[[#This Row],[h1]],8))</f>
        <v>0</v>
      </c>
      <c r="Q1763" s="48" t="s">
        <v>75</v>
      </c>
      <c r="R1763" s="48">
        <f>HEX2DEC(RIGHT(Table132321275358[[#This Row],[h2]],8))</f>
        <v>0</v>
      </c>
    </row>
    <row r="1764" spans="1:18">
      <c r="A1764" s="15" t="str">
        <f t="shared" si="32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8" t="s">
        <v>75</v>
      </c>
      <c r="P1764" s="48">
        <f>HEX2DEC(RIGHT(Table132321275358[[#This Row],[h1]],8))</f>
        <v>0</v>
      </c>
      <c r="Q1764" s="48" t="s">
        <v>75</v>
      </c>
      <c r="R1764" s="48">
        <f>HEX2DEC(RIGHT(Table132321275358[[#This Row],[h2]],8))</f>
        <v>0</v>
      </c>
    </row>
    <row r="1765" spans="1:18">
      <c r="A1765" s="15" t="str">
        <f t="shared" si="32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8" t="s">
        <v>75</v>
      </c>
      <c r="P1765" s="48">
        <f>HEX2DEC(RIGHT(Table132321275358[[#This Row],[h1]],8))</f>
        <v>0</v>
      </c>
      <c r="Q1765" s="48" t="s">
        <v>75</v>
      </c>
      <c r="R1765" s="48">
        <f>HEX2DEC(RIGHT(Table132321275358[[#This Row],[h2]],8))</f>
        <v>0</v>
      </c>
    </row>
    <row r="1766" spans="1:18">
      <c r="A1766" s="15" t="str">
        <f t="shared" si="32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8" t="s">
        <v>75</v>
      </c>
      <c r="P1766" s="48">
        <f>HEX2DEC(RIGHT(Table132321275358[[#This Row],[h1]],8))</f>
        <v>0</v>
      </c>
      <c r="Q1766" s="48" t="s">
        <v>75</v>
      </c>
      <c r="R1766" s="48">
        <f>HEX2DEC(RIGHT(Table132321275358[[#This Row],[h2]],8))</f>
        <v>0</v>
      </c>
    </row>
    <row r="1767" spans="1:18">
      <c r="A1767" s="15" t="str">
        <f t="shared" si="32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8" t="s">
        <v>75</v>
      </c>
      <c r="P1767" s="48">
        <f>HEX2DEC(RIGHT(Table132321275358[[#This Row],[h1]],8))</f>
        <v>0</v>
      </c>
      <c r="Q1767" s="48" t="s">
        <v>75</v>
      </c>
      <c r="R1767" s="48">
        <f>HEX2DEC(RIGHT(Table132321275358[[#This Row],[h2]],8))</f>
        <v>0</v>
      </c>
    </row>
    <row r="1768" spans="1:18">
      <c r="A1768" s="15" t="str">
        <f t="shared" si="32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8" t="s">
        <v>75</v>
      </c>
      <c r="P1768" s="48">
        <f>HEX2DEC(RIGHT(Table132321275358[[#This Row],[h1]],8))</f>
        <v>0</v>
      </c>
      <c r="Q1768" s="48" t="s">
        <v>75</v>
      </c>
      <c r="R1768" s="48">
        <f>HEX2DEC(RIGHT(Table132321275358[[#This Row],[h2]],8))</f>
        <v>0</v>
      </c>
    </row>
    <row r="1769" spans="1:18">
      <c r="A1769" s="15" t="str">
        <f t="shared" si="32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8" t="s">
        <v>75</v>
      </c>
      <c r="P1769" s="48">
        <f>HEX2DEC(RIGHT(Table132321275358[[#This Row],[h1]],8))</f>
        <v>0</v>
      </c>
      <c r="Q1769" s="48" t="s">
        <v>75</v>
      </c>
      <c r="R1769" s="48">
        <f>HEX2DEC(RIGHT(Table132321275358[[#This Row],[h2]],8))</f>
        <v>0</v>
      </c>
    </row>
    <row r="1770" spans="1:18">
      <c r="A1770" s="15" t="str">
        <f t="shared" si="32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8" t="s">
        <v>75</v>
      </c>
      <c r="P1770" s="48">
        <f>HEX2DEC(RIGHT(Table132321275358[[#This Row],[h1]],8))</f>
        <v>0</v>
      </c>
      <c r="Q1770" s="48" t="s">
        <v>75</v>
      </c>
      <c r="R1770" s="48">
        <f>HEX2DEC(RIGHT(Table132321275358[[#This Row],[h2]],8))</f>
        <v>0</v>
      </c>
    </row>
    <row r="1771" spans="1:18">
      <c r="A1771" s="15" t="str">
        <f t="shared" si="32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8" t="s">
        <v>75</v>
      </c>
      <c r="P1771" s="48">
        <f>HEX2DEC(RIGHT(Table132321275358[[#This Row],[h1]],8))</f>
        <v>0</v>
      </c>
      <c r="Q1771" s="48" t="s">
        <v>75</v>
      </c>
      <c r="R1771" s="48">
        <f>HEX2DEC(RIGHT(Table132321275358[[#This Row],[h2]],8))</f>
        <v>0</v>
      </c>
    </row>
    <row r="1772" spans="1:18">
      <c r="A1772" s="15" t="str">
        <f t="shared" si="32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8" t="s">
        <v>75</v>
      </c>
      <c r="P1772" s="48">
        <f>HEX2DEC(RIGHT(Table132321275358[[#This Row],[h1]],8))</f>
        <v>0</v>
      </c>
      <c r="Q1772" s="48" t="s">
        <v>75</v>
      </c>
      <c r="R1772" s="48">
        <f>HEX2DEC(RIGHT(Table132321275358[[#This Row],[h2]],8))</f>
        <v>0</v>
      </c>
    </row>
    <row r="1773" spans="1:18">
      <c r="A1773" s="15" t="str">
        <f t="shared" si="32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8" t="s">
        <v>75</v>
      </c>
      <c r="P1773" s="48">
        <f>HEX2DEC(RIGHT(Table132321275358[[#This Row],[h1]],8))</f>
        <v>0</v>
      </c>
      <c r="Q1773" s="48" t="s">
        <v>75</v>
      </c>
      <c r="R1773" s="48">
        <f>HEX2DEC(RIGHT(Table132321275358[[#This Row],[h2]],8))</f>
        <v>0</v>
      </c>
    </row>
    <row r="1774" spans="1:18">
      <c r="A1774" s="15" t="str">
        <f t="shared" si="32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8" t="s">
        <v>75</v>
      </c>
      <c r="P1774" s="48">
        <f>HEX2DEC(RIGHT(Table132321275358[[#This Row],[h1]],8))</f>
        <v>0</v>
      </c>
      <c r="Q1774" s="48" t="s">
        <v>75</v>
      </c>
      <c r="R1774" s="48">
        <f>HEX2DEC(RIGHT(Table132321275358[[#This Row],[h2]],8))</f>
        <v>0</v>
      </c>
    </row>
    <row r="1775" spans="1:18">
      <c r="A1775" s="15" t="str">
        <f t="shared" si="32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8" t="s">
        <v>75</v>
      </c>
      <c r="P1775" s="48">
        <f>HEX2DEC(RIGHT(Table132321275358[[#This Row],[h1]],8))</f>
        <v>0</v>
      </c>
      <c r="Q1775" s="48" t="s">
        <v>75</v>
      </c>
      <c r="R1775" s="48">
        <f>HEX2DEC(RIGHT(Table132321275358[[#This Row],[h2]],8))</f>
        <v>0</v>
      </c>
    </row>
    <row r="1776" spans="1:18">
      <c r="A1776" s="15" t="str">
        <f t="shared" si="32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8" t="s">
        <v>75</v>
      </c>
      <c r="P1776" s="48">
        <f>HEX2DEC(RIGHT(Table132321275358[[#This Row],[h1]],8))</f>
        <v>0</v>
      </c>
      <c r="Q1776" s="48" t="s">
        <v>75</v>
      </c>
      <c r="R1776" s="48">
        <f>HEX2DEC(RIGHT(Table132321275358[[#This Row],[h2]],8))</f>
        <v>0</v>
      </c>
    </row>
    <row r="1777" spans="1:18">
      <c r="A1777" s="15" t="str">
        <f t="shared" si="32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8" t="s">
        <v>75</v>
      </c>
      <c r="P1777" s="48">
        <f>HEX2DEC(RIGHT(Table132321275358[[#This Row],[h1]],8))</f>
        <v>0</v>
      </c>
      <c r="Q1777" s="48" t="s">
        <v>75</v>
      </c>
      <c r="R1777" s="48">
        <f>HEX2DEC(RIGHT(Table132321275358[[#This Row],[h2]],8))</f>
        <v>0</v>
      </c>
    </row>
    <row r="1778" spans="1:18">
      <c r="A1778" s="15" t="str">
        <f t="shared" si="32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8" t="s">
        <v>75</v>
      </c>
      <c r="P1778" s="48">
        <f>HEX2DEC(RIGHT(Table132321275358[[#This Row],[h1]],8))</f>
        <v>0</v>
      </c>
      <c r="Q1778" s="48" t="s">
        <v>75</v>
      </c>
      <c r="R1778" s="48">
        <f>HEX2DEC(RIGHT(Table132321275358[[#This Row],[h2]],8))</f>
        <v>0</v>
      </c>
    </row>
    <row r="1779" spans="1:18">
      <c r="A1779" s="15" t="str">
        <f t="shared" si="32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8" t="s">
        <v>75</v>
      </c>
      <c r="P1779" s="48">
        <f>HEX2DEC(RIGHT(Table132321275358[[#This Row],[h1]],8))</f>
        <v>0</v>
      </c>
      <c r="Q1779" s="48" t="s">
        <v>75</v>
      </c>
      <c r="R1779" s="48">
        <f>HEX2DEC(RIGHT(Table132321275358[[#This Row],[h2]],8))</f>
        <v>0</v>
      </c>
    </row>
    <row r="1780" spans="1:18">
      <c r="A1780" s="15" t="str">
        <f t="shared" si="32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8" t="s">
        <v>75</v>
      </c>
      <c r="P1780" s="48">
        <f>HEX2DEC(RIGHT(Table132321275358[[#This Row],[h1]],8))</f>
        <v>0</v>
      </c>
      <c r="Q1780" s="48" t="s">
        <v>75</v>
      </c>
      <c r="R1780" s="48">
        <f>HEX2DEC(RIGHT(Table132321275358[[#This Row],[h2]],8))</f>
        <v>0</v>
      </c>
    </row>
    <row r="1781" spans="1:18">
      <c r="A1781" s="15" t="str">
        <f t="shared" si="32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8" t="s">
        <v>75</v>
      </c>
      <c r="P1781" s="48">
        <f>HEX2DEC(RIGHT(Table132321275358[[#This Row],[h1]],8))</f>
        <v>0</v>
      </c>
      <c r="Q1781" s="48" t="s">
        <v>75</v>
      </c>
      <c r="R1781" s="48">
        <f>HEX2DEC(RIGHT(Table132321275358[[#This Row],[h2]],8))</f>
        <v>0</v>
      </c>
    </row>
    <row r="1782" spans="1:18">
      <c r="A1782" s="15" t="str">
        <f t="shared" si="32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8" t="s">
        <v>75</v>
      </c>
      <c r="P1782" s="48">
        <f>HEX2DEC(RIGHT(Table132321275358[[#This Row],[h1]],8))</f>
        <v>0</v>
      </c>
      <c r="Q1782" s="48" t="s">
        <v>75</v>
      </c>
      <c r="R1782" s="48">
        <f>HEX2DEC(RIGHT(Table132321275358[[#This Row],[h2]],8))</f>
        <v>0</v>
      </c>
    </row>
    <row r="1783" spans="1:18">
      <c r="A1783" s="15" t="str">
        <f t="shared" si="32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8" t="s">
        <v>75</v>
      </c>
      <c r="P1783" s="48">
        <f>HEX2DEC(RIGHT(Table132321275358[[#This Row],[h1]],8))</f>
        <v>0</v>
      </c>
      <c r="Q1783" s="48" t="s">
        <v>75</v>
      </c>
      <c r="R1783" s="48">
        <f>HEX2DEC(RIGHT(Table132321275358[[#This Row],[h2]],8))</f>
        <v>0</v>
      </c>
    </row>
    <row r="1784" spans="1:18">
      <c r="A1784" s="15" t="str">
        <f t="shared" si="32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8" t="s">
        <v>75</v>
      </c>
      <c r="P1784" s="48">
        <f>HEX2DEC(RIGHT(Table132321275358[[#This Row],[h1]],8))</f>
        <v>0</v>
      </c>
      <c r="Q1784" s="48" t="s">
        <v>75</v>
      </c>
      <c r="R1784" s="48">
        <f>HEX2DEC(RIGHT(Table132321275358[[#This Row],[h2]],8))</f>
        <v>0</v>
      </c>
    </row>
    <row r="1785" spans="1:18">
      <c r="A1785" s="15" t="str">
        <f t="shared" si="32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8" t="s">
        <v>75</v>
      </c>
      <c r="P1785" s="48">
        <f>HEX2DEC(RIGHT(Table132321275358[[#This Row],[h1]],8))</f>
        <v>0</v>
      </c>
      <c r="Q1785" s="48" t="s">
        <v>75</v>
      </c>
      <c r="R1785" s="48">
        <f>HEX2DEC(RIGHT(Table132321275358[[#This Row],[h2]],8))</f>
        <v>0</v>
      </c>
    </row>
    <row r="1786" spans="1:18">
      <c r="A1786" s="15" t="str">
        <f t="shared" si="32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8" t="s">
        <v>75</v>
      </c>
      <c r="P1786" s="48">
        <f>HEX2DEC(RIGHT(Table132321275358[[#This Row],[h1]],8))</f>
        <v>0</v>
      </c>
      <c r="Q1786" s="48" t="s">
        <v>75</v>
      </c>
      <c r="R1786" s="48">
        <f>HEX2DEC(RIGHT(Table132321275358[[#This Row],[h2]],8))</f>
        <v>0</v>
      </c>
    </row>
    <row r="1787" spans="1:18">
      <c r="A1787" s="15" t="str">
        <f t="shared" si="32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8" t="s">
        <v>75</v>
      </c>
      <c r="P1787" s="48">
        <f>HEX2DEC(RIGHT(Table132321275358[[#This Row],[h1]],8))</f>
        <v>0</v>
      </c>
      <c r="Q1787" s="48" t="s">
        <v>75</v>
      </c>
      <c r="R1787" s="48">
        <f>HEX2DEC(RIGHT(Table132321275358[[#This Row],[h2]],8))</f>
        <v>0</v>
      </c>
    </row>
    <row r="1788" spans="1:18">
      <c r="A1788" s="15" t="str">
        <f t="shared" si="32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8" t="s">
        <v>75</v>
      </c>
      <c r="P1788" s="48">
        <f>HEX2DEC(RIGHT(Table132321275358[[#This Row],[h1]],8))</f>
        <v>0</v>
      </c>
      <c r="Q1788" s="48" t="s">
        <v>75</v>
      </c>
      <c r="R1788" s="48">
        <f>HEX2DEC(RIGHT(Table132321275358[[#This Row],[h2]],8))</f>
        <v>0</v>
      </c>
    </row>
    <row r="1789" spans="1:18">
      <c r="A1789" s="15" t="str">
        <f t="shared" si="32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8" t="s">
        <v>75</v>
      </c>
      <c r="P1789" s="48">
        <f>HEX2DEC(RIGHT(Table132321275358[[#This Row],[h1]],8))</f>
        <v>0</v>
      </c>
      <c r="Q1789" s="48" t="s">
        <v>75</v>
      </c>
      <c r="R1789" s="48">
        <f>HEX2DEC(RIGHT(Table132321275358[[#This Row],[h2]],8))</f>
        <v>0</v>
      </c>
    </row>
    <row r="1790" spans="1:18">
      <c r="A1790" s="15" t="str">
        <f t="shared" si="32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8" t="s">
        <v>75</v>
      </c>
      <c r="P1790" s="48">
        <f>HEX2DEC(RIGHT(Table132321275358[[#This Row],[h1]],8))</f>
        <v>0</v>
      </c>
      <c r="Q1790" s="48" t="s">
        <v>75</v>
      </c>
      <c r="R1790" s="48">
        <f>HEX2DEC(RIGHT(Table132321275358[[#This Row],[h2]],8))</f>
        <v>0</v>
      </c>
    </row>
    <row r="1791" spans="1:18">
      <c r="A1791" s="15" t="str">
        <f t="shared" si="32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8" t="s">
        <v>75</v>
      </c>
      <c r="P1791" s="48">
        <f>HEX2DEC(RIGHT(Table132321275358[[#This Row],[h1]],8))</f>
        <v>0</v>
      </c>
      <c r="Q1791" s="48" t="s">
        <v>75</v>
      </c>
      <c r="R1791" s="48">
        <f>HEX2DEC(RIGHT(Table132321275358[[#This Row],[h2]],8))</f>
        <v>0</v>
      </c>
    </row>
    <row r="1792" spans="1:18">
      <c r="A1792" s="15" t="str">
        <f t="shared" si="32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8" t="s">
        <v>75</v>
      </c>
      <c r="P1792" s="48">
        <f>HEX2DEC(RIGHT(Table132321275358[[#This Row],[h1]],8))</f>
        <v>0</v>
      </c>
      <c r="Q1792" s="48" t="s">
        <v>75</v>
      </c>
      <c r="R1792" s="48">
        <f>HEX2DEC(RIGHT(Table132321275358[[#This Row],[h2]],8))</f>
        <v>0</v>
      </c>
    </row>
    <row r="1793" spans="1:18">
      <c r="A1793" s="15" t="str">
        <f t="shared" si="32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8" t="s">
        <v>75</v>
      </c>
      <c r="P1793" s="48">
        <f>HEX2DEC(RIGHT(Table132321275358[[#This Row],[h1]],8))</f>
        <v>0</v>
      </c>
      <c r="Q1793" s="48" t="s">
        <v>75</v>
      </c>
      <c r="R1793" s="48">
        <f>HEX2DEC(RIGHT(Table132321275358[[#This Row],[h2]],8))</f>
        <v>0</v>
      </c>
    </row>
    <row r="1794" spans="1:18">
      <c r="A1794" s="15" t="str">
        <f t="shared" si="32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8" t="s">
        <v>75</v>
      </c>
      <c r="P1794" s="48">
        <f>HEX2DEC(RIGHT(Table132321275358[[#This Row],[h1]],8))</f>
        <v>0</v>
      </c>
      <c r="Q1794" s="48" t="s">
        <v>75</v>
      </c>
      <c r="R1794" s="48">
        <f>HEX2DEC(RIGHT(Table132321275358[[#This Row],[h2]],8))</f>
        <v>0</v>
      </c>
    </row>
    <row r="1795" spans="1:18">
      <c r="A1795" s="15" t="str">
        <f t="shared" si="32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8" t="s">
        <v>75</v>
      </c>
      <c r="P1795" s="48">
        <f>HEX2DEC(RIGHT(Table132321275358[[#This Row],[h1]],8))</f>
        <v>0</v>
      </c>
      <c r="Q1795" s="48" t="s">
        <v>75</v>
      </c>
      <c r="R1795" s="48">
        <f>HEX2DEC(RIGHT(Table132321275358[[#This Row],[h2]],8))</f>
        <v>0</v>
      </c>
    </row>
    <row r="1796" spans="1:18">
      <c r="A1796" s="15" t="str">
        <f t="shared" si="32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8" t="s">
        <v>75</v>
      </c>
      <c r="P1796" s="48">
        <f>HEX2DEC(RIGHT(Table132321275358[[#This Row],[h1]],8))</f>
        <v>0</v>
      </c>
      <c r="Q1796" s="48" t="s">
        <v>75</v>
      </c>
      <c r="R1796" s="48">
        <f>HEX2DEC(RIGHT(Table132321275358[[#This Row],[h2]],8))</f>
        <v>0</v>
      </c>
    </row>
    <row r="1797" spans="1:18">
      <c r="A1797" s="15" t="str">
        <f t="shared" si="32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8" t="s">
        <v>75</v>
      </c>
      <c r="P1797" s="48">
        <f>HEX2DEC(RIGHT(Table132321275358[[#This Row],[h1]],8))</f>
        <v>0</v>
      </c>
      <c r="Q1797" s="48" t="s">
        <v>75</v>
      </c>
      <c r="R1797" s="48">
        <f>HEX2DEC(RIGHT(Table132321275358[[#This Row],[h2]],8))</f>
        <v>0</v>
      </c>
    </row>
    <row r="1798" spans="1:18">
      <c r="A1798" s="15" t="str">
        <f t="shared" si="32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8" t="s">
        <v>75</v>
      </c>
      <c r="P1798" s="48">
        <f>HEX2DEC(RIGHT(Table132321275358[[#This Row],[h1]],8))</f>
        <v>0</v>
      </c>
      <c r="Q1798" s="48" t="s">
        <v>75</v>
      </c>
      <c r="R1798" s="48">
        <f>HEX2DEC(RIGHT(Table132321275358[[#This Row],[h2]],8))</f>
        <v>0</v>
      </c>
    </row>
    <row r="1799" spans="1:18">
      <c r="A1799" s="15" t="str">
        <f t="shared" si="32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8" t="s">
        <v>75</v>
      </c>
      <c r="P1799" s="48">
        <f>HEX2DEC(RIGHT(Table132321275358[[#This Row],[h1]],8))</f>
        <v>0</v>
      </c>
      <c r="Q1799" s="48" t="s">
        <v>75</v>
      </c>
      <c r="R1799" s="48">
        <f>HEX2DEC(RIGHT(Table132321275358[[#This Row],[h2]],8))</f>
        <v>0</v>
      </c>
    </row>
    <row r="1800" spans="1:18">
      <c r="A1800" s="15" t="str">
        <f t="shared" si="32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8" t="s">
        <v>75</v>
      </c>
      <c r="P1800" s="48">
        <f>HEX2DEC(RIGHT(Table132321275358[[#This Row],[h1]],8))</f>
        <v>0</v>
      </c>
      <c r="Q1800" s="48" t="s">
        <v>75</v>
      </c>
      <c r="R1800" s="48">
        <f>HEX2DEC(RIGHT(Table132321275358[[#This Row],[h2]],8))</f>
        <v>0</v>
      </c>
    </row>
    <row r="1801" spans="1:18">
      <c r="A1801" s="15" t="str">
        <f t="shared" si="32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8" t="s">
        <v>75</v>
      </c>
      <c r="P1801" s="48">
        <f>HEX2DEC(RIGHT(Table132321275358[[#This Row],[h1]],8))</f>
        <v>0</v>
      </c>
      <c r="Q1801" s="48" t="s">
        <v>75</v>
      </c>
      <c r="R1801" s="48">
        <f>HEX2DEC(RIGHT(Table132321275358[[#This Row],[h2]],8))</f>
        <v>0</v>
      </c>
    </row>
    <row r="1802" spans="1:18">
      <c r="A1802" s="15" t="str">
        <f t="shared" si="32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8" t="s">
        <v>75</v>
      </c>
      <c r="P1802" s="48">
        <f>HEX2DEC(RIGHT(Table132321275358[[#This Row],[h1]],8))</f>
        <v>0</v>
      </c>
      <c r="Q1802" s="48" t="s">
        <v>75</v>
      </c>
      <c r="R1802" s="48">
        <f>HEX2DEC(RIGHT(Table132321275358[[#This Row],[h2]],8))</f>
        <v>0</v>
      </c>
    </row>
    <row r="1803" spans="1:18">
      <c r="A1803" s="15" t="str">
        <f t="shared" ref="A1803:A1866" si="33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8" t="s">
        <v>75</v>
      </c>
      <c r="P1803" s="48">
        <f>HEX2DEC(RIGHT(Table132321275358[[#This Row],[h1]],8))</f>
        <v>0</v>
      </c>
      <c r="Q1803" s="48" t="s">
        <v>75</v>
      </c>
      <c r="R1803" s="48">
        <f>HEX2DEC(RIGHT(Table132321275358[[#This Row],[h2]],8))</f>
        <v>0</v>
      </c>
    </row>
    <row r="1804" spans="1:18">
      <c r="A1804" s="15" t="str">
        <f t="shared" si="33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8" t="s">
        <v>75</v>
      </c>
      <c r="P1804" s="48">
        <f>HEX2DEC(RIGHT(Table132321275358[[#This Row],[h1]],8))</f>
        <v>0</v>
      </c>
      <c r="Q1804" s="48" t="s">
        <v>75</v>
      </c>
      <c r="R1804" s="48">
        <f>HEX2DEC(RIGHT(Table132321275358[[#This Row],[h2]],8))</f>
        <v>0</v>
      </c>
    </row>
    <row r="1805" spans="1:18">
      <c r="A1805" s="15" t="str">
        <f t="shared" si="33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8" t="s">
        <v>75</v>
      </c>
      <c r="P1805" s="48">
        <f>HEX2DEC(RIGHT(Table132321275358[[#This Row],[h1]],8))</f>
        <v>0</v>
      </c>
      <c r="Q1805" s="48" t="s">
        <v>75</v>
      </c>
      <c r="R1805" s="48">
        <f>HEX2DEC(RIGHT(Table132321275358[[#This Row],[h2]],8))</f>
        <v>0</v>
      </c>
    </row>
    <row r="1806" spans="1:18">
      <c r="A1806" s="15" t="str">
        <f t="shared" si="33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8" t="s">
        <v>75</v>
      </c>
      <c r="P1806" s="48">
        <f>HEX2DEC(RIGHT(Table132321275358[[#This Row],[h1]],8))</f>
        <v>0</v>
      </c>
      <c r="Q1806" s="48" t="s">
        <v>75</v>
      </c>
      <c r="R1806" s="48">
        <f>HEX2DEC(RIGHT(Table132321275358[[#This Row],[h2]],8))</f>
        <v>0</v>
      </c>
    </row>
    <row r="1807" spans="1:18">
      <c r="A1807" s="15" t="str">
        <f t="shared" si="33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8" t="s">
        <v>75</v>
      </c>
      <c r="P1807" s="48">
        <f>HEX2DEC(RIGHT(Table132321275358[[#This Row],[h1]],8))</f>
        <v>0</v>
      </c>
      <c r="Q1807" s="48" t="s">
        <v>75</v>
      </c>
      <c r="R1807" s="48">
        <f>HEX2DEC(RIGHT(Table132321275358[[#This Row],[h2]],8))</f>
        <v>0</v>
      </c>
    </row>
    <row r="1808" spans="1:18">
      <c r="A1808" s="15" t="str">
        <f t="shared" si="33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8" t="s">
        <v>75</v>
      </c>
      <c r="P1808" s="48">
        <f>HEX2DEC(RIGHT(Table132321275358[[#This Row],[h1]],8))</f>
        <v>0</v>
      </c>
      <c r="Q1808" s="48" t="s">
        <v>75</v>
      </c>
      <c r="R1808" s="48">
        <f>HEX2DEC(RIGHT(Table132321275358[[#This Row],[h2]],8))</f>
        <v>0</v>
      </c>
    </row>
    <row r="1809" spans="1:18">
      <c r="A1809" s="15" t="str">
        <f t="shared" si="33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8" t="s">
        <v>75</v>
      </c>
      <c r="P1809" s="48">
        <f>HEX2DEC(RIGHT(Table132321275358[[#This Row],[h1]],8))</f>
        <v>0</v>
      </c>
      <c r="Q1809" s="48" t="s">
        <v>75</v>
      </c>
      <c r="R1809" s="48">
        <f>HEX2DEC(RIGHT(Table132321275358[[#This Row],[h2]],8))</f>
        <v>0</v>
      </c>
    </row>
    <row r="1810" spans="1:18">
      <c r="A1810" s="15" t="str">
        <f t="shared" si="33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8" t="s">
        <v>75</v>
      </c>
      <c r="P1810" s="48">
        <f>HEX2DEC(RIGHT(Table132321275358[[#This Row],[h1]],8))</f>
        <v>0</v>
      </c>
      <c r="Q1810" s="48" t="s">
        <v>75</v>
      </c>
      <c r="R1810" s="48">
        <f>HEX2DEC(RIGHT(Table132321275358[[#This Row],[h2]],8))</f>
        <v>0</v>
      </c>
    </row>
    <row r="1811" spans="1:18">
      <c r="A1811" s="15" t="str">
        <f t="shared" si="33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8" t="s">
        <v>75</v>
      </c>
      <c r="P1811" s="48">
        <f>HEX2DEC(RIGHT(Table132321275358[[#This Row],[h1]],8))</f>
        <v>0</v>
      </c>
      <c r="Q1811" s="48" t="s">
        <v>75</v>
      </c>
      <c r="R1811" s="48">
        <f>HEX2DEC(RIGHT(Table132321275358[[#This Row],[h2]],8))</f>
        <v>0</v>
      </c>
    </row>
    <row r="1812" spans="1:18">
      <c r="A1812" s="15" t="str">
        <f t="shared" si="33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8" t="s">
        <v>75</v>
      </c>
      <c r="P1812" s="48">
        <f>HEX2DEC(RIGHT(Table132321275358[[#This Row],[h1]],8))</f>
        <v>0</v>
      </c>
      <c r="Q1812" s="48" t="s">
        <v>75</v>
      </c>
      <c r="R1812" s="48">
        <f>HEX2DEC(RIGHT(Table132321275358[[#This Row],[h2]],8))</f>
        <v>0</v>
      </c>
    </row>
    <row r="1813" spans="1:18">
      <c r="A1813" s="15" t="str">
        <f t="shared" si="33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8" t="s">
        <v>75</v>
      </c>
      <c r="P1813" s="48">
        <f>HEX2DEC(RIGHT(Table132321275358[[#This Row],[h1]],8))</f>
        <v>0</v>
      </c>
      <c r="Q1813" s="48" t="s">
        <v>75</v>
      </c>
      <c r="R1813" s="48">
        <f>HEX2DEC(RIGHT(Table132321275358[[#This Row],[h2]],8))</f>
        <v>0</v>
      </c>
    </row>
    <row r="1814" spans="1:18">
      <c r="A1814" s="15" t="str">
        <f t="shared" si="33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8" t="s">
        <v>75</v>
      </c>
      <c r="P1814" s="48">
        <f>HEX2DEC(RIGHT(Table132321275358[[#This Row],[h1]],8))</f>
        <v>0</v>
      </c>
      <c r="Q1814" s="48" t="s">
        <v>75</v>
      </c>
      <c r="R1814" s="48">
        <f>HEX2DEC(RIGHT(Table132321275358[[#This Row],[h2]],8))</f>
        <v>0</v>
      </c>
    </row>
    <row r="1815" spans="1:18">
      <c r="A1815" s="15" t="str">
        <f t="shared" si="33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8" t="s">
        <v>75</v>
      </c>
      <c r="P1815" s="48">
        <f>HEX2DEC(RIGHT(Table132321275358[[#This Row],[h1]],8))</f>
        <v>0</v>
      </c>
      <c r="Q1815" s="48" t="s">
        <v>75</v>
      </c>
      <c r="R1815" s="48">
        <f>HEX2DEC(RIGHT(Table132321275358[[#This Row],[h2]],8))</f>
        <v>0</v>
      </c>
    </row>
    <row r="1816" spans="1:18">
      <c r="A1816" s="15" t="str">
        <f t="shared" si="33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8" t="s">
        <v>75</v>
      </c>
      <c r="P1816" s="48">
        <f>HEX2DEC(RIGHT(Table132321275358[[#This Row],[h1]],8))</f>
        <v>0</v>
      </c>
      <c r="Q1816" s="48" t="s">
        <v>75</v>
      </c>
      <c r="R1816" s="48">
        <f>HEX2DEC(RIGHT(Table132321275358[[#This Row],[h2]],8))</f>
        <v>0</v>
      </c>
    </row>
    <row r="1817" spans="1:18">
      <c r="A1817" s="15" t="str">
        <f t="shared" si="33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8" t="s">
        <v>75</v>
      </c>
      <c r="P1817" s="48">
        <f>HEX2DEC(RIGHT(Table132321275358[[#This Row],[h1]],8))</f>
        <v>0</v>
      </c>
      <c r="Q1817" s="48" t="s">
        <v>75</v>
      </c>
      <c r="R1817" s="48">
        <f>HEX2DEC(RIGHT(Table132321275358[[#This Row],[h2]],8))</f>
        <v>0</v>
      </c>
    </row>
    <row r="1818" spans="1:18">
      <c r="A1818" s="15" t="str">
        <f t="shared" si="33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8" t="s">
        <v>75</v>
      </c>
      <c r="P1818" s="48">
        <f>HEX2DEC(RIGHT(Table132321275358[[#This Row],[h1]],8))</f>
        <v>0</v>
      </c>
      <c r="Q1818" s="48" t="s">
        <v>75</v>
      </c>
      <c r="R1818" s="48">
        <f>HEX2DEC(RIGHT(Table132321275358[[#This Row],[h2]],8))</f>
        <v>0</v>
      </c>
    </row>
    <row r="1819" spans="1:18">
      <c r="A1819" s="15" t="str">
        <f t="shared" si="33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8" t="s">
        <v>75</v>
      </c>
      <c r="P1819" s="48">
        <f>HEX2DEC(RIGHT(Table132321275358[[#This Row],[h1]],8))</f>
        <v>0</v>
      </c>
      <c r="Q1819" s="48" t="s">
        <v>75</v>
      </c>
      <c r="R1819" s="48">
        <f>HEX2DEC(RIGHT(Table132321275358[[#This Row],[h2]],8))</f>
        <v>0</v>
      </c>
    </row>
    <row r="1820" spans="1:18">
      <c r="A1820" s="15" t="str">
        <f t="shared" si="33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8" t="s">
        <v>75</v>
      </c>
      <c r="P1820" s="48">
        <f>HEX2DEC(RIGHT(Table132321275358[[#This Row],[h1]],8))</f>
        <v>0</v>
      </c>
      <c r="Q1820" s="48" t="s">
        <v>75</v>
      </c>
      <c r="R1820" s="48">
        <f>HEX2DEC(RIGHT(Table132321275358[[#This Row],[h2]],8))</f>
        <v>0</v>
      </c>
    </row>
    <row r="1821" spans="1:18">
      <c r="A1821" s="15" t="str">
        <f t="shared" si="33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8" t="s">
        <v>75</v>
      </c>
      <c r="P1821" s="48">
        <f>HEX2DEC(RIGHT(Table132321275358[[#This Row],[h1]],8))</f>
        <v>0</v>
      </c>
      <c r="Q1821" s="48" t="s">
        <v>75</v>
      </c>
      <c r="R1821" s="48">
        <f>HEX2DEC(RIGHT(Table132321275358[[#This Row],[h2]],8))</f>
        <v>0</v>
      </c>
    </row>
    <row r="1822" spans="1:18">
      <c r="A1822" s="15" t="str">
        <f t="shared" si="33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8" t="s">
        <v>75</v>
      </c>
      <c r="P1822" s="48">
        <f>HEX2DEC(RIGHT(Table132321275358[[#This Row],[h1]],8))</f>
        <v>0</v>
      </c>
      <c r="Q1822" s="48" t="s">
        <v>75</v>
      </c>
      <c r="R1822" s="48">
        <f>HEX2DEC(RIGHT(Table132321275358[[#This Row],[h2]],8))</f>
        <v>0</v>
      </c>
    </row>
    <row r="1823" spans="1:18">
      <c r="A1823" s="15" t="str">
        <f t="shared" si="33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8" t="s">
        <v>75</v>
      </c>
      <c r="P1823" s="48">
        <f>HEX2DEC(RIGHT(Table132321275358[[#This Row],[h1]],8))</f>
        <v>0</v>
      </c>
      <c r="Q1823" s="48" t="s">
        <v>75</v>
      </c>
      <c r="R1823" s="48">
        <f>HEX2DEC(RIGHT(Table132321275358[[#This Row],[h2]],8))</f>
        <v>0</v>
      </c>
    </row>
    <row r="1824" spans="1:18">
      <c r="A1824" s="15" t="str">
        <f t="shared" si="33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8" t="s">
        <v>75</v>
      </c>
      <c r="P1824" s="48">
        <f>HEX2DEC(RIGHT(Table132321275358[[#This Row],[h1]],8))</f>
        <v>0</v>
      </c>
      <c r="Q1824" s="48" t="s">
        <v>75</v>
      </c>
      <c r="R1824" s="48">
        <f>HEX2DEC(RIGHT(Table132321275358[[#This Row],[h2]],8))</f>
        <v>0</v>
      </c>
    </row>
    <row r="1825" spans="1:18">
      <c r="A1825" s="15" t="str">
        <f t="shared" si="33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8" t="s">
        <v>75</v>
      </c>
      <c r="P1825" s="48">
        <f>HEX2DEC(RIGHT(Table132321275358[[#This Row],[h1]],8))</f>
        <v>0</v>
      </c>
      <c r="Q1825" s="48" t="s">
        <v>75</v>
      </c>
      <c r="R1825" s="48">
        <f>HEX2DEC(RIGHT(Table132321275358[[#This Row],[h2]],8))</f>
        <v>0</v>
      </c>
    </row>
    <row r="1826" spans="1:18">
      <c r="A1826" s="15" t="str">
        <f t="shared" si="33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8" t="s">
        <v>75</v>
      </c>
      <c r="P1826" s="48">
        <f>HEX2DEC(RIGHT(Table132321275358[[#This Row],[h1]],8))</f>
        <v>0</v>
      </c>
      <c r="Q1826" s="48" t="s">
        <v>75</v>
      </c>
      <c r="R1826" s="48">
        <f>HEX2DEC(RIGHT(Table132321275358[[#This Row],[h2]],8))</f>
        <v>0</v>
      </c>
    </row>
    <row r="1827" spans="1:18">
      <c r="A1827" s="15" t="str">
        <f t="shared" si="33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8" t="s">
        <v>75</v>
      </c>
      <c r="P1827" s="48">
        <f>HEX2DEC(RIGHT(Table132321275358[[#This Row],[h1]],8))</f>
        <v>0</v>
      </c>
      <c r="Q1827" s="48" t="s">
        <v>75</v>
      </c>
      <c r="R1827" s="48">
        <f>HEX2DEC(RIGHT(Table132321275358[[#This Row],[h2]],8))</f>
        <v>0</v>
      </c>
    </row>
    <row r="1828" spans="1:18">
      <c r="A1828" s="15" t="str">
        <f t="shared" si="33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8" t="s">
        <v>75</v>
      </c>
      <c r="P1828" s="48">
        <f>HEX2DEC(RIGHT(Table132321275358[[#This Row],[h1]],8))</f>
        <v>0</v>
      </c>
      <c r="Q1828" s="48" t="s">
        <v>75</v>
      </c>
      <c r="R1828" s="48">
        <f>HEX2DEC(RIGHT(Table132321275358[[#This Row],[h2]],8))</f>
        <v>0</v>
      </c>
    </row>
    <row r="1829" spans="1:18">
      <c r="A1829" s="15" t="str">
        <f t="shared" si="33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8" t="s">
        <v>75</v>
      </c>
      <c r="P1829" s="48">
        <f>HEX2DEC(RIGHT(Table132321275358[[#This Row],[h1]],8))</f>
        <v>0</v>
      </c>
      <c r="Q1829" s="48" t="s">
        <v>75</v>
      </c>
      <c r="R1829" s="48">
        <f>HEX2DEC(RIGHT(Table132321275358[[#This Row],[h2]],8))</f>
        <v>0</v>
      </c>
    </row>
    <row r="1830" spans="1:18">
      <c r="A1830" s="15" t="str">
        <f t="shared" si="33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8" t="s">
        <v>75</v>
      </c>
      <c r="P1830" s="48">
        <f>HEX2DEC(RIGHT(Table132321275358[[#This Row],[h1]],8))</f>
        <v>0</v>
      </c>
      <c r="Q1830" s="48" t="s">
        <v>75</v>
      </c>
      <c r="R1830" s="48">
        <f>HEX2DEC(RIGHT(Table132321275358[[#This Row],[h2]],8))</f>
        <v>0</v>
      </c>
    </row>
    <row r="1831" spans="1:18">
      <c r="A1831" s="15" t="str">
        <f t="shared" si="33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8" t="s">
        <v>75</v>
      </c>
      <c r="P1831" s="48">
        <f>HEX2DEC(RIGHT(Table132321275358[[#This Row],[h1]],8))</f>
        <v>0</v>
      </c>
      <c r="Q1831" s="48" t="s">
        <v>75</v>
      </c>
      <c r="R1831" s="48">
        <f>HEX2DEC(RIGHT(Table132321275358[[#This Row],[h2]],8))</f>
        <v>0</v>
      </c>
    </row>
    <row r="1832" spans="1:18">
      <c r="A1832" s="15" t="str">
        <f t="shared" si="33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8" t="s">
        <v>75</v>
      </c>
      <c r="P1832" s="48">
        <f>HEX2DEC(RIGHT(Table132321275358[[#This Row],[h1]],8))</f>
        <v>0</v>
      </c>
      <c r="Q1832" s="48" t="s">
        <v>75</v>
      </c>
      <c r="R1832" s="48">
        <f>HEX2DEC(RIGHT(Table132321275358[[#This Row],[h2]],8))</f>
        <v>0</v>
      </c>
    </row>
    <row r="1833" spans="1:18">
      <c r="A1833" s="15" t="str">
        <f t="shared" si="33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8" t="s">
        <v>75</v>
      </c>
      <c r="P1833" s="48">
        <f>HEX2DEC(RIGHT(Table132321275358[[#This Row],[h1]],8))</f>
        <v>0</v>
      </c>
      <c r="Q1833" s="48" t="s">
        <v>75</v>
      </c>
      <c r="R1833" s="48">
        <f>HEX2DEC(RIGHT(Table132321275358[[#This Row],[h2]],8))</f>
        <v>0</v>
      </c>
    </row>
    <row r="1834" spans="1:18">
      <c r="A1834" s="15" t="str">
        <f t="shared" si="33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8" t="s">
        <v>75</v>
      </c>
      <c r="P1834" s="48">
        <f>HEX2DEC(RIGHT(Table132321275358[[#This Row],[h1]],8))</f>
        <v>0</v>
      </c>
      <c r="Q1834" s="48" t="s">
        <v>75</v>
      </c>
      <c r="R1834" s="48">
        <f>HEX2DEC(RIGHT(Table132321275358[[#This Row],[h2]],8))</f>
        <v>0</v>
      </c>
    </row>
    <row r="1835" spans="1:18">
      <c r="A1835" s="15" t="str">
        <f t="shared" si="33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8" t="s">
        <v>75</v>
      </c>
      <c r="P1835" s="48">
        <f>HEX2DEC(RIGHT(Table132321275358[[#This Row],[h1]],8))</f>
        <v>0</v>
      </c>
      <c r="Q1835" s="48" t="s">
        <v>75</v>
      </c>
      <c r="R1835" s="48">
        <f>HEX2DEC(RIGHT(Table132321275358[[#This Row],[h2]],8))</f>
        <v>0</v>
      </c>
    </row>
    <row r="1836" spans="1:18">
      <c r="A1836" s="15" t="str">
        <f t="shared" si="33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8" t="s">
        <v>75</v>
      </c>
      <c r="P1836" s="48">
        <f>HEX2DEC(RIGHT(Table132321275358[[#This Row],[h1]],8))</f>
        <v>0</v>
      </c>
      <c r="Q1836" s="48" t="s">
        <v>75</v>
      </c>
      <c r="R1836" s="48">
        <f>HEX2DEC(RIGHT(Table132321275358[[#This Row],[h2]],8))</f>
        <v>0</v>
      </c>
    </row>
    <row r="1837" spans="1:18">
      <c r="A1837" s="15" t="str">
        <f t="shared" si="33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8" t="s">
        <v>75</v>
      </c>
      <c r="P1837" s="48">
        <f>HEX2DEC(RIGHT(Table132321275358[[#This Row],[h1]],8))</f>
        <v>0</v>
      </c>
      <c r="Q1837" s="48" t="s">
        <v>75</v>
      </c>
      <c r="R1837" s="48">
        <f>HEX2DEC(RIGHT(Table132321275358[[#This Row],[h2]],8))</f>
        <v>0</v>
      </c>
    </row>
    <row r="1838" spans="1:18">
      <c r="A1838" s="15" t="str">
        <f t="shared" si="33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8" t="s">
        <v>75</v>
      </c>
      <c r="P1838" s="48">
        <f>HEX2DEC(RIGHT(Table132321275358[[#This Row],[h1]],8))</f>
        <v>0</v>
      </c>
      <c r="Q1838" s="48" t="s">
        <v>75</v>
      </c>
      <c r="R1838" s="48">
        <f>HEX2DEC(RIGHT(Table132321275358[[#This Row],[h2]],8))</f>
        <v>0</v>
      </c>
    </row>
    <row r="1839" spans="1:18">
      <c r="A1839" s="15" t="str">
        <f t="shared" si="33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8" t="s">
        <v>75</v>
      </c>
      <c r="P1839" s="48">
        <f>HEX2DEC(RIGHT(Table132321275358[[#This Row],[h1]],8))</f>
        <v>0</v>
      </c>
      <c r="Q1839" s="48" t="s">
        <v>75</v>
      </c>
      <c r="R1839" s="48">
        <f>HEX2DEC(RIGHT(Table132321275358[[#This Row],[h2]],8))</f>
        <v>0</v>
      </c>
    </row>
    <row r="1840" spans="1:18">
      <c r="A1840" s="15" t="str">
        <f t="shared" si="33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8" t="s">
        <v>75</v>
      </c>
      <c r="P1840" s="48">
        <f>HEX2DEC(RIGHT(Table132321275358[[#This Row],[h1]],8))</f>
        <v>0</v>
      </c>
      <c r="Q1840" s="48" t="s">
        <v>75</v>
      </c>
      <c r="R1840" s="48">
        <f>HEX2DEC(RIGHT(Table132321275358[[#This Row],[h2]],8))</f>
        <v>0</v>
      </c>
    </row>
    <row r="1841" spans="1:18">
      <c r="A1841" s="15" t="str">
        <f t="shared" si="33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8" t="s">
        <v>75</v>
      </c>
      <c r="P1841" s="48">
        <f>HEX2DEC(RIGHT(Table132321275358[[#This Row],[h1]],8))</f>
        <v>0</v>
      </c>
      <c r="Q1841" s="48" t="s">
        <v>75</v>
      </c>
      <c r="R1841" s="48">
        <f>HEX2DEC(RIGHT(Table132321275358[[#This Row],[h2]],8))</f>
        <v>0</v>
      </c>
    </row>
    <row r="1842" spans="1:18">
      <c r="A1842" s="15" t="str">
        <f t="shared" si="33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8" t="s">
        <v>75</v>
      </c>
      <c r="P1842" s="48">
        <f>HEX2DEC(RIGHT(Table132321275358[[#This Row],[h1]],8))</f>
        <v>0</v>
      </c>
      <c r="Q1842" s="48" t="s">
        <v>75</v>
      </c>
      <c r="R1842" s="48">
        <f>HEX2DEC(RIGHT(Table132321275358[[#This Row],[h2]],8))</f>
        <v>0</v>
      </c>
    </row>
    <row r="1843" spans="1:18">
      <c r="A1843" s="15" t="str">
        <f t="shared" si="33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8" t="s">
        <v>75</v>
      </c>
      <c r="P1843" s="48">
        <f>HEX2DEC(RIGHT(Table132321275358[[#This Row],[h1]],8))</f>
        <v>0</v>
      </c>
      <c r="Q1843" s="48" t="s">
        <v>75</v>
      </c>
      <c r="R1843" s="48">
        <f>HEX2DEC(RIGHT(Table132321275358[[#This Row],[h2]],8))</f>
        <v>0</v>
      </c>
    </row>
    <row r="1844" spans="1:18">
      <c r="A1844" s="15" t="str">
        <f t="shared" si="33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8" t="s">
        <v>75</v>
      </c>
      <c r="P1844" s="48">
        <f>HEX2DEC(RIGHT(Table132321275358[[#This Row],[h1]],8))</f>
        <v>0</v>
      </c>
      <c r="Q1844" s="48" t="s">
        <v>75</v>
      </c>
      <c r="R1844" s="48">
        <f>HEX2DEC(RIGHT(Table132321275358[[#This Row],[h2]],8))</f>
        <v>0</v>
      </c>
    </row>
    <row r="1845" spans="1:18">
      <c r="A1845" s="15" t="str">
        <f t="shared" si="33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8" t="s">
        <v>75</v>
      </c>
      <c r="P1845" s="48">
        <f>HEX2DEC(RIGHT(Table132321275358[[#This Row],[h1]],8))</f>
        <v>0</v>
      </c>
      <c r="Q1845" s="48" t="s">
        <v>75</v>
      </c>
      <c r="R1845" s="48">
        <f>HEX2DEC(RIGHT(Table132321275358[[#This Row],[h2]],8))</f>
        <v>0</v>
      </c>
    </row>
    <row r="1846" spans="1:18">
      <c r="A1846" s="15" t="str">
        <f t="shared" si="33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8" t="s">
        <v>75</v>
      </c>
      <c r="P1846" s="48">
        <f>HEX2DEC(RIGHT(Table132321275358[[#This Row],[h1]],8))</f>
        <v>0</v>
      </c>
      <c r="Q1846" s="48" t="s">
        <v>75</v>
      </c>
      <c r="R1846" s="48">
        <f>HEX2DEC(RIGHT(Table132321275358[[#This Row],[h2]],8))</f>
        <v>0</v>
      </c>
    </row>
    <row r="1847" spans="1:18">
      <c r="A1847" s="15" t="str">
        <f t="shared" si="33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8" t="s">
        <v>75</v>
      </c>
      <c r="P1847" s="48">
        <f>HEX2DEC(RIGHT(Table132321275358[[#This Row],[h1]],8))</f>
        <v>0</v>
      </c>
      <c r="Q1847" s="48" t="s">
        <v>75</v>
      </c>
      <c r="R1847" s="48">
        <f>HEX2DEC(RIGHT(Table132321275358[[#This Row],[h2]],8))</f>
        <v>0</v>
      </c>
    </row>
    <row r="1848" spans="1:18">
      <c r="A1848" s="15" t="str">
        <f t="shared" si="33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8" t="s">
        <v>75</v>
      </c>
      <c r="P1848" s="48">
        <f>HEX2DEC(RIGHT(Table132321275358[[#This Row],[h1]],8))</f>
        <v>0</v>
      </c>
      <c r="Q1848" s="48" t="s">
        <v>75</v>
      </c>
      <c r="R1848" s="48">
        <f>HEX2DEC(RIGHT(Table132321275358[[#This Row],[h2]],8))</f>
        <v>0</v>
      </c>
    </row>
    <row r="1849" spans="1:18">
      <c r="A1849" s="15" t="str">
        <f t="shared" si="33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8" t="s">
        <v>75</v>
      </c>
      <c r="P1849" s="48">
        <f>HEX2DEC(RIGHT(Table132321275358[[#This Row],[h1]],8))</f>
        <v>0</v>
      </c>
      <c r="Q1849" s="48" t="s">
        <v>75</v>
      </c>
      <c r="R1849" s="48">
        <f>HEX2DEC(RIGHT(Table132321275358[[#This Row],[h2]],8))</f>
        <v>0</v>
      </c>
    </row>
    <row r="1850" spans="1:18">
      <c r="A1850" s="15" t="str">
        <f t="shared" si="33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8" t="s">
        <v>75</v>
      </c>
      <c r="P1850" s="48">
        <f>HEX2DEC(RIGHT(Table132321275358[[#This Row],[h1]],8))</f>
        <v>0</v>
      </c>
      <c r="Q1850" s="48" t="s">
        <v>75</v>
      </c>
      <c r="R1850" s="48">
        <f>HEX2DEC(RIGHT(Table132321275358[[#This Row],[h2]],8))</f>
        <v>0</v>
      </c>
    </row>
    <row r="1851" spans="1:18">
      <c r="A1851" s="15" t="str">
        <f t="shared" si="33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8" t="s">
        <v>75</v>
      </c>
      <c r="P1851" s="48">
        <f>HEX2DEC(RIGHT(Table132321275358[[#This Row],[h1]],8))</f>
        <v>0</v>
      </c>
      <c r="Q1851" s="48" t="s">
        <v>75</v>
      </c>
      <c r="R1851" s="48">
        <f>HEX2DEC(RIGHT(Table132321275358[[#This Row],[h2]],8))</f>
        <v>0</v>
      </c>
    </row>
    <row r="1852" spans="1:18">
      <c r="A1852" s="15" t="str">
        <f t="shared" si="33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8" t="s">
        <v>75</v>
      </c>
      <c r="P1852" s="48">
        <f>HEX2DEC(RIGHT(Table132321275358[[#This Row],[h1]],8))</f>
        <v>0</v>
      </c>
      <c r="Q1852" s="48" t="s">
        <v>75</v>
      </c>
      <c r="R1852" s="48">
        <f>HEX2DEC(RIGHT(Table132321275358[[#This Row],[h2]],8))</f>
        <v>0</v>
      </c>
    </row>
    <row r="1853" spans="1:18">
      <c r="A1853" s="15" t="str">
        <f t="shared" si="33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8" t="s">
        <v>75</v>
      </c>
      <c r="P1853" s="48">
        <f>HEX2DEC(RIGHT(Table132321275358[[#This Row],[h1]],8))</f>
        <v>0</v>
      </c>
      <c r="Q1853" s="48" t="s">
        <v>75</v>
      </c>
      <c r="R1853" s="48">
        <f>HEX2DEC(RIGHT(Table132321275358[[#This Row],[h2]],8))</f>
        <v>0</v>
      </c>
    </row>
    <row r="1854" spans="1:18">
      <c r="A1854" s="15" t="str">
        <f t="shared" si="33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8" t="s">
        <v>75</v>
      </c>
      <c r="P1854" s="48">
        <f>HEX2DEC(RIGHT(Table132321275358[[#This Row],[h1]],8))</f>
        <v>0</v>
      </c>
      <c r="Q1854" s="48" t="s">
        <v>75</v>
      </c>
      <c r="R1854" s="48">
        <f>HEX2DEC(RIGHT(Table132321275358[[#This Row],[h2]],8))</f>
        <v>0</v>
      </c>
    </row>
    <row r="1855" spans="1:18">
      <c r="A1855" s="15" t="str">
        <f t="shared" si="33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8" t="s">
        <v>75</v>
      </c>
      <c r="P1855" s="48">
        <f>HEX2DEC(RIGHT(Table132321275358[[#This Row],[h1]],8))</f>
        <v>0</v>
      </c>
      <c r="Q1855" s="48" t="s">
        <v>75</v>
      </c>
      <c r="R1855" s="48">
        <f>HEX2DEC(RIGHT(Table132321275358[[#This Row],[h2]],8))</f>
        <v>0</v>
      </c>
    </row>
    <row r="1856" spans="1:18">
      <c r="A1856" s="15" t="str">
        <f t="shared" si="33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8" t="s">
        <v>75</v>
      </c>
      <c r="P1856" s="48">
        <f>HEX2DEC(RIGHT(Table132321275358[[#This Row],[h1]],8))</f>
        <v>0</v>
      </c>
      <c r="Q1856" s="48" t="s">
        <v>75</v>
      </c>
      <c r="R1856" s="48">
        <f>HEX2DEC(RIGHT(Table132321275358[[#This Row],[h2]],8))</f>
        <v>0</v>
      </c>
    </row>
    <row r="1857" spans="1:18">
      <c r="A1857" s="15" t="str">
        <f t="shared" si="33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8" t="s">
        <v>75</v>
      </c>
      <c r="P1857" s="48">
        <f>HEX2DEC(RIGHT(Table132321275358[[#This Row],[h1]],8))</f>
        <v>0</v>
      </c>
      <c r="Q1857" s="48" t="s">
        <v>75</v>
      </c>
      <c r="R1857" s="48">
        <f>HEX2DEC(RIGHT(Table132321275358[[#This Row],[h2]],8))</f>
        <v>0</v>
      </c>
    </row>
    <row r="1858" spans="1:18">
      <c r="A1858" s="15" t="str">
        <f t="shared" si="33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8" t="s">
        <v>75</v>
      </c>
      <c r="P1858" s="48">
        <f>HEX2DEC(RIGHT(Table132321275358[[#This Row],[h1]],8))</f>
        <v>0</v>
      </c>
      <c r="Q1858" s="48" t="s">
        <v>75</v>
      </c>
      <c r="R1858" s="48">
        <f>HEX2DEC(RIGHT(Table132321275358[[#This Row],[h2]],8))</f>
        <v>0</v>
      </c>
    </row>
    <row r="1859" spans="1:18">
      <c r="A1859" s="15" t="str">
        <f t="shared" si="33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8" t="s">
        <v>75</v>
      </c>
      <c r="P1859" s="48">
        <f>HEX2DEC(RIGHT(Table132321275358[[#This Row],[h1]],8))</f>
        <v>0</v>
      </c>
      <c r="Q1859" s="48" t="s">
        <v>75</v>
      </c>
      <c r="R1859" s="48">
        <f>HEX2DEC(RIGHT(Table132321275358[[#This Row],[h2]],8))</f>
        <v>0</v>
      </c>
    </row>
    <row r="1860" spans="1:18">
      <c r="A1860" s="15" t="str">
        <f t="shared" si="33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8" t="s">
        <v>75</v>
      </c>
      <c r="P1860" s="48">
        <f>HEX2DEC(RIGHT(Table132321275358[[#This Row],[h1]],8))</f>
        <v>0</v>
      </c>
      <c r="Q1860" s="48" t="s">
        <v>75</v>
      </c>
      <c r="R1860" s="48">
        <f>HEX2DEC(RIGHT(Table132321275358[[#This Row],[h2]],8))</f>
        <v>0</v>
      </c>
    </row>
    <row r="1861" spans="1:18">
      <c r="A1861" s="15" t="str">
        <f t="shared" si="33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8" t="s">
        <v>75</v>
      </c>
      <c r="P1861" s="48">
        <f>HEX2DEC(RIGHT(Table132321275358[[#This Row],[h1]],8))</f>
        <v>0</v>
      </c>
      <c r="Q1861" s="48" t="s">
        <v>75</v>
      </c>
      <c r="R1861" s="48">
        <f>HEX2DEC(RIGHT(Table132321275358[[#This Row],[h2]],8))</f>
        <v>0</v>
      </c>
    </row>
    <row r="1862" spans="1:18">
      <c r="A1862" s="15" t="str">
        <f t="shared" si="33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8" t="s">
        <v>75</v>
      </c>
      <c r="P1862" s="48">
        <f>HEX2DEC(RIGHT(Table132321275358[[#This Row],[h1]],8))</f>
        <v>0</v>
      </c>
      <c r="Q1862" s="48" t="s">
        <v>75</v>
      </c>
      <c r="R1862" s="48">
        <f>HEX2DEC(RIGHT(Table132321275358[[#This Row],[h2]],8))</f>
        <v>0</v>
      </c>
    </row>
    <row r="1863" spans="1:18">
      <c r="A1863" s="15" t="str">
        <f t="shared" si="33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8" t="s">
        <v>75</v>
      </c>
      <c r="P1863" s="48">
        <f>HEX2DEC(RIGHT(Table132321275358[[#This Row],[h1]],8))</f>
        <v>0</v>
      </c>
      <c r="Q1863" s="48" t="s">
        <v>75</v>
      </c>
      <c r="R1863" s="48">
        <f>HEX2DEC(RIGHT(Table132321275358[[#This Row],[h2]],8))</f>
        <v>0</v>
      </c>
    </row>
    <row r="1864" spans="1:18">
      <c r="A1864" s="15" t="str">
        <f t="shared" si="33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8" t="s">
        <v>75</v>
      </c>
      <c r="P1864" s="48">
        <f>HEX2DEC(RIGHT(Table132321275358[[#This Row],[h1]],8))</f>
        <v>0</v>
      </c>
      <c r="Q1864" s="48" t="s">
        <v>75</v>
      </c>
      <c r="R1864" s="48">
        <f>HEX2DEC(RIGHT(Table132321275358[[#This Row],[h2]],8))</f>
        <v>0</v>
      </c>
    </row>
    <row r="1865" spans="1:18">
      <c r="A1865" s="15" t="str">
        <f t="shared" si="33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8" t="s">
        <v>75</v>
      </c>
      <c r="P1865" s="48">
        <f>HEX2DEC(RIGHT(Table132321275358[[#This Row],[h1]],8))</f>
        <v>0</v>
      </c>
      <c r="Q1865" s="48" t="s">
        <v>75</v>
      </c>
      <c r="R1865" s="48">
        <f>HEX2DEC(RIGHT(Table132321275358[[#This Row],[h2]],8))</f>
        <v>0</v>
      </c>
    </row>
    <row r="1866" spans="1:18">
      <c r="A1866" s="15" t="str">
        <f t="shared" si="33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8" t="s">
        <v>75</v>
      </c>
      <c r="P1866" s="48">
        <f>HEX2DEC(RIGHT(Table132321275358[[#This Row],[h1]],8))</f>
        <v>0</v>
      </c>
      <c r="Q1866" s="48" t="s">
        <v>75</v>
      </c>
      <c r="R1866" s="48">
        <f>HEX2DEC(RIGHT(Table132321275358[[#This Row],[h2]],8))</f>
        <v>0</v>
      </c>
    </row>
    <row r="1867" spans="1:18">
      <c r="A1867" s="15" t="str">
        <f t="shared" ref="A1867:A1930" si="34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8" t="s">
        <v>75</v>
      </c>
      <c r="P1867" s="48">
        <f>HEX2DEC(RIGHT(Table132321275358[[#This Row],[h1]],8))</f>
        <v>0</v>
      </c>
      <c r="Q1867" s="48" t="s">
        <v>75</v>
      </c>
      <c r="R1867" s="48">
        <f>HEX2DEC(RIGHT(Table132321275358[[#This Row],[h2]],8))</f>
        <v>0</v>
      </c>
    </row>
    <row r="1868" spans="1:18">
      <c r="A1868" s="15" t="str">
        <f t="shared" si="34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8" t="s">
        <v>75</v>
      </c>
      <c r="P1868" s="48">
        <f>HEX2DEC(RIGHT(Table132321275358[[#This Row],[h1]],8))</f>
        <v>0</v>
      </c>
      <c r="Q1868" s="48" t="s">
        <v>75</v>
      </c>
      <c r="R1868" s="48">
        <f>HEX2DEC(RIGHT(Table132321275358[[#This Row],[h2]],8))</f>
        <v>0</v>
      </c>
    </row>
    <row r="1869" spans="1:18">
      <c r="A1869" s="15" t="str">
        <f t="shared" si="34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8" t="s">
        <v>75</v>
      </c>
      <c r="P1869" s="48">
        <f>HEX2DEC(RIGHT(Table132321275358[[#This Row],[h1]],8))</f>
        <v>0</v>
      </c>
      <c r="Q1869" s="48" t="s">
        <v>75</v>
      </c>
      <c r="R1869" s="48">
        <f>HEX2DEC(RIGHT(Table132321275358[[#This Row],[h2]],8))</f>
        <v>0</v>
      </c>
    </row>
    <row r="1870" spans="1:18">
      <c r="A1870" s="15" t="str">
        <f t="shared" si="34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8" t="s">
        <v>75</v>
      </c>
      <c r="P1870" s="48">
        <f>HEX2DEC(RIGHT(Table132321275358[[#This Row],[h1]],8))</f>
        <v>0</v>
      </c>
      <c r="Q1870" s="48" t="s">
        <v>75</v>
      </c>
      <c r="R1870" s="48">
        <f>HEX2DEC(RIGHT(Table132321275358[[#This Row],[h2]],8))</f>
        <v>0</v>
      </c>
    </row>
    <row r="1871" spans="1:18">
      <c r="A1871" s="15" t="str">
        <f t="shared" si="34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8" t="s">
        <v>75</v>
      </c>
      <c r="P1871" s="48">
        <f>HEX2DEC(RIGHT(Table132321275358[[#This Row],[h1]],8))</f>
        <v>0</v>
      </c>
      <c r="Q1871" s="48" t="s">
        <v>75</v>
      </c>
      <c r="R1871" s="48">
        <f>HEX2DEC(RIGHT(Table132321275358[[#This Row],[h2]],8))</f>
        <v>0</v>
      </c>
    </row>
    <row r="1872" spans="1:18">
      <c r="A1872" s="15" t="str">
        <f t="shared" si="34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8" t="s">
        <v>75</v>
      </c>
      <c r="P1872" s="48">
        <f>HEX2DEC(RIGHT(Table132321275358[[#This Row],[h1]],8))</f>
        <v>0</v>
      </c>
      <c r="Q1872" s="48" t="s">
        <v>75</v>
      </c>
      <c r="R1872" s="48">
        <f>HEX2DEC(RIGHT(Table132321275358[[#This Row],[h2]],8))</f>
        <v>0</v>
      </c>
    </row>
    <row r="1873" spans="1:18">
      <c r="A1873" s="15" t="str">
        <f t="shared" si="34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8" t="s">
        <v>75</v>
      </c>
      <c r="P1873" s="48">
        <f>HEX2DEC(RIGHT(Table132321275358[[#This Row],[h1]],8))</f>
        <v>0</v>
      </c>
      <c r="Q1873" s="48" t="s">
        <v>75</v>
      </c>
      <c r="R1873" s="48">
        <f>HEX2DEC(RIGHT(Table132321275358[[#This Row],[h2]],8))</f>
        <v>0</v>
      </c>
    </row>
    <row r="1874" spans="1:18">
      <c r="A1874" s="15" t="str">
        <f t="shared" si="34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8" t="s">
        <v>75</v>
      </c>
      <c r="P1874" s="48">
        <f>HEX2DEC(RIGHT(Table132321275358[[#This Row],[h1]],8))</f>
        <v>0</v>
      </c>
      <c r="Q1874" s="48" t="s">
        <v>75</v>
      </c>
      <c r="R1874" s="48">
        <f>HEX2DEC(RIGHT(Table132321275358[[#This Row],[h2]],8))</f>
        <v>0</v>
      </c>
    </row>
    <row r="1875" spans="1:18">
      <c r="A1875" s="15" t="str">
        <f t="shared" si="34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8" t="s">
        <v>75</v>
      </c>
      <c r="P1875" s="48">
        <f>HEX2DEC(RIGHT(Table132321275358[[#This Row],[h1]],8))</f>
        <v>0</v>
      </c>
      <c r="Q1875" s="48" t="s">
        <v>75</v>
      </c>
      <c r="R1875" s="48">
        <f>HEX2DEC(RIGHT(Table132321275358[[#This Row],[h2]],8))</f>
        <v>0</v>
      </c>
    </row>
    <row r="1876" spans="1:18">
      <c r="A1876" s="15" t="str">
        <f t="shared" si="34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8" t="s">
        <v>75</v>
      </c>
      <c r="P1876" s="48">
        <f>HEX2DEC(RIGHT(Table132321275358[[#This Row],[h1]],8))</f>
        <v>0</v>
      </c>
      <c r="Q1876" s="48" t="s">
        <v>75</v>
      </c>
      <c r="R1876" s="48">
        <f>HEX2DEC(RIGHT(Table132321275358[[#This Row],[h2]],8))</f>
        <v>0</v>
      </c>
    </row>
    <row r="1877" spans="1:18">
      <c r="A1877" s="15" t="str">
        <f t="shared" si="34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8" t="s">
        <v>75</v>
      </c>
      <c r="P1877" s="48">
        <f>HEX2DEC(RIGHT(Table132321275358[[#This Row],[h1]],8))</f>
        <v>0</v>
      </c>
      <c r="Q1877" s="48" t="s">
        <v>75</v>
      </c>
      <c r="R1877" s="48">
        <f>HEX2DEC(RIGHT(Table132321275358[[#This Row],[h2]],8))</f>
        <v>0</v>
      </c>
    </row>
    <row r="1878" spans="1:18">
      <c r="A1878" s="15" t="str">
        <f t="shared" si="34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8" t="s">
        <v>75</v>
      </c>
      <c r="P1878" s="48">
        <f>HEX2DEC(RIGHT(Table132321275358[[#This Row],[h1]],8))</f>
        <v>0</v>
      </c>
      <c r="Q1878" s="48" t="s">
        <v>75</v>
      </c>
      <c r="R1878" s="48">
        <f>HEX2DEC(RIGHT(Table132321275358[[#This Row],[h2]],8))</f>
        <v>0</v>
      </c>
    </row>
    <row r="1879" spans="1:18">
      <c r="A1879" s="15" t="str">
        <f t="shared" si="34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8" t="s">
        <v>75</v>
      </c>
      <c r="P1879" s="48">
        <f>HEX2DEC(RIGHT(Table132321275358[[#This Row],[h1]],8))</f>
        <v>0</v>
      </c>
      <c r="Q1879" s="48" t="s">
        <v>75</v>
      </c>
      <c r="R1879" s="48">
        <f>HEX2DEC(RIGHT(Table132321275358[[#This Row],[h2]],8))</f>
        <v>0</v>
      </c>
    </row>
    <row r="1880" spans="1:18">
      <c r="A1880" s="15" t="str">
        <f t="shared" si="34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8" t="s">
        <v>75</v>
      </c>
      <c r="P1880" s="48">
        <f>HEX2DEC(RIGHT(Table132321275358[[#This Row],[h1]],8))</f>
        <v>0</v>
      </c>
      <c r="Q1880" s="48" t="s">
        <v>75</v>
      </c>
      <c r="R1880" s="48">
        <f>HEX2DEC(RIGHT(Table132321275358[[#This Row],[h2]],8))</f>
        <v>0</v>
      </c>
    </row>
    <row r="1881" spans="1:18">
      <c r="A1881" s="15" t="str">
        <f t="shared" si="34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8" t="s">
        <v>75</v>
      </c>
      <c r="P1881" s="48">
        <f>HEX2DEC(RIGHT(Table132321275358[[#This Row],[h1]],8))</f>
        <v>0</v>
      </c>
      <c r="Q1881" s="48" t="s">
        <v>75</v>
      </c>
      <c r="R1881" s="48">
        <f>HEX2DEC(RIGHT(Table132321275358[[#This Row],[h2]],8))</f>
        <v>0</v>
      </c>
    </row>
    <row r="1882" spans="1:18">
      <c r="A1882" s="15" t="str">
        <f t="shared" si="34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8" t="s">
        <v>75</v>
      </c>
      <c r="P1882" s="48">
        <f>HEX2DEC(RIGHT(Table132321275358[[#This Row],[h1]],8))</f>
        <v>0</v>
      </c>
      <c r="Q1882" s="48" t="s">
        <v>75</v>
      </c>
      <c r="R1882" s="48">
        <f>HEX2DEC(RIGHT(Table132321275358[[#This Row],[h2]],8))</f>
        <v>0</v>
      </c>
    </row>
    <row r="1883" spans="1:18">
      <c r="A1883" s="15" t="str">
        <f t="shared" si="34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8" t="s">
        <v>75</v>
      </c>
      <c r="P1883" s="48">
        <f>HEX2DEC(RIGHT(Table132321275358[[#This Row],[h1]],8))</f>
        <v>0</v>
      </c>
      <c r="Q1883" s="48" t="s">
        <v>75</v>
      </c>
      <c r="R1883" s="48">
        <f>HEX2DEC(RIGHT(Table132321275358[[#This Row],[h2]],8))</f>
        <v>0</v>
      </c>
    </row>
    <row r="1884" spans="1:18">
      <c r="A1884" s="15" t="str">
        <f t="shared" si="34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8" t="s">
        <v>75</v>
      </c>
      <c r="P1884" s="48">
        <f>HEX2DEC(RIGHT(Table132321275358[[#This Row],[h1]],8))</f>
        <v>0</v>
      </c>
      <c r="Q1884" s="48" t="s">
        <v>75</v>
      </c>
      <c r="R1884" s="48">
        <f>HEX2DEC(RIGHT(Table132321275358[[#This Row],[h2]],8))</f>
        <v>0</v>
      </c>
    </row>
    <row r="1885" spans="1:18">
      <c r="A1885" s="15" t="str">
        <f t="shared" si="34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8" t="s">
        <v>75</v>
      </c>
      <c r="P1885" s="48">
        <f>HEX2DEC(RIGHT(Table132321275358[[#This Row],[h1]],8))</f>
        <v>0</v>
      </c>
      <c r="Q1885" s="48" t="s">
        <v>75</v>
      </c>
      <c r="R1885" s="48">
        <f>HEX2DEC(RIGHT(Table132321275358[[#This Row],[h2]],8))</f>
        <v>0</v>
      </c>
    </row>
    <row r="1886" spans="1:18">
      <c r="A1886" s="15" t="str">
        <f t="shared" si="34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8" t="s">
        <v>75</v>
      </c>
      <c r="P1886" s="48">
        <f>HEX2DEC(RIGHT(Table132321275358[[#This Row],[h1]],8))</f>
        <v>0</v>
      </c>
      <c r="Q1886" s="48" t="s">
        <v>75</v>
      </c>
      <c r="R1886" s="48">
        <f>HEX2DEC(RIGHT(Table132321275358[[#This Row],[h2]],8))</f>
        <v>0</v>
      </c>
    </row>
    <row r="1887" spans="1:18">
      <c r="A1887" s="15" t="str">
        <f t="shared" si="34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8" t="s">
        <v>75</v>
      </c>
      <c r="P1887" s="48">
        <f>HEX2DEC(RIGHT(Table132321275358[[#This Row],[h1]],8))</f>
        <v>0</v>
      </c>
      <c r="Q1887" s="48" t="s">
        <v>75</v>
      </c>
      <c r="R1887" s="48">
        <f>HEX2DEC(RIGHT(Table132321275358[[#This Row],[h2]],8))</f>
        <v>0</v>
      </c>
    </row>
    <row r="1888" spans="1:18">
      <c r="A1888" s="15" t="str">
        <f t="shared" si="34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8" t="s">
        <v>75</v>
      </c>
      <c r="P1888" s="48">
        <f>HEX2DEC(RIGHT(Table132321275358[[#This Row],[h1]],8))</f>
        <v>0</v>
      </c>
      <c r="Q1888" s="48" t="s">
        <v>75</v>
      </c>
      <c r="R1888" s="48">
        <f>HEX2DEC(RIGHT(Table132321275358[[#This Row],[h2]],8))</f>
        <v>0</v>
      </c>
    </row>
    <row r="1889" spans="1:18">
      <c r="A1889" s="15" t="str">
        <f t="shared" si="34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8" t="s">
        <v>75</v>
      </c>
      <c r="P1889" s="48">
        <f>HEX2DEC(RIGHT(Table132321275358[[#This Row],[h1]],8))</f>
        <v>0</v>
      </c>
      <c r="Q1889" s="48" t="s">
        <v>75</v>
      </c>
      <c r="R1889" s="48">
        <f>HEX2DEC(RIGHT(Table132321275358[[#This Row],[h2]],8))</f>
        <v>0</v>
      </c>
    </row>
    <row r="1890" spans="1:18">
      <c r="A1890" s="15" t="str">
        <f t="shared" si="34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8" t="s">
        <v>75</v>
      </c>
      <c r="P1890" s="48">
        <f>HEX2DEC(RIGHT(Table132321275358[[#This Row],[h1]],8))</f>
        <v>0</v>
      </c>
      <c r="Q1890" s="48" t="s">
        <v>75</v>
      </c>
      <c r="R1890" s="48">
        <f>HEX2DEC(RIGHT(Table132321275358[[#This Row],[h2]],8))</f>
        <v>0</v>
      </c>
    </row>
    <row r="1891" spans="1:18">
      <c r="A1891" s="15" t="str">
        <f t="shared" si="34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8" t="s">
        <v>75</v>
      </c>
      <c r="P1891" s="48">
        <f>HEX2DEC(RIGHT(Table132321275358[[#This Row],[h1]],8))</f>
        <v>0</v>
      </c>
      <c r="Q1891" s="48" t="s">
        <v>75</v>
      </c>
      <c r="R1891" s="48">
        <f>HEX2DEC(RIGHT(Table132321275358[[#This Row],[h2]],8))</f>
        <v>0</v>
      </c>
    </row>
    <row r="1892" spans="1:18">
      <c r="A1892" s="15" t="str">
        <f t="shared" si="34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8" t="s">
        <v>75</v>
      </c>
      <c r="P1892" s="48">
        <f>HEX2DEC(RIGHT(Table132321275358[[#This Row],[h1]],8))</f>
        <v>0</v>
      </c>
      <c r="Q1892" s="48" t="s">
        <v>75</v>
      </c>
      <c r="R1892" s="48">
        <f>HEX2DEC(RIGHT(Table132321275358[[#This Row],[h2]],8))</f>
        <v>0</v>
      </c>
    </row>
    <row r="1893" spans="1:18">
      <c r="A1893" s="15" t="str">
        <f t="shared" si="34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8" t="s">
        <v>75</v>
      </c>
      <c r="P1893" s="48">
        <f>HEX2DEC(RIGHT(Table132321275358[[#This Row],[h1]],8))</f>
        <v>0</v>
      </c>
      <c r="Q1893" s="48" t="s">
        <v>75</v>
      </c>
      <c r="R1893" s="48">
        <f>HEX2DEC(RIGHT(Table132321275358[[#This Row],[h2]],8))</f>
        <v>0</v>
      </c>
    </row>
    <row r="1894" spans="1:18">
      <c r="A1894" s="15" t="str">
        <f t="shared" si="34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8" t="s">
        <v>75</v>
      </c>
      <c r="P1894" s="48">
        <f>HEX2DEC(RIGHT(Table132321275358[[#This Row],[h1]],8))</f>
        <v>0</v>
      </c>
      <c r="Q1894" s="48" t="s">
        <v>75</v>
      </c>
      <c r="R1894" s="48">
        <f>HEX2DEC(RIGHT(Table132321275358[[#This Row],[h2]],8))</f>
        <v>0</v>
      </c>
    </row>
    <row r="1895" spans="1:18">
      <c r="A1895" s="15" t="str">
        <f t="shared" si="34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8" t="s">
        <v>75</v>
      </c>
      <c r="P1895" s="48">
        <f>HEX2DEC(RIGHT(Table132321275358[[#This Row],[h1]],8))</f>
        <v>0</v>
      </c>
      <c r="Q1895" s="48" t="s">
        <v>75</v>
      </c>
      <c r="R1895" s="48">
        <f>HEX2DEC(RIGHT(Table132321275358[[#This Row],[h2]],8))</f>
        <v>0</v>
      </c>
    </row>
    <row r="1896" spans="1:18">
      <c r="A1896" s="15" t="str">
        <f t="shared" si="34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8" t="s">
        <v>75</v>
      </c>
      <c r="P1896" s="48">
        <f>HEX2DEC(RIGHT(Table132321275358[[#This Row],[h1]],8))</f>
        <v>0</v>
      </c>
      <c r="Q1896" s="48" t="s">
        <v>75</v>
      </c>
      <c r="R1896" s="48">
        <f>HEX2DEC(RIGHT(Table132321275358[[#This Row],[h2]],8))</f>
        <v>0</v>
      </c>
    </row>
    <row r="1897" spans="1:18">
      <c r="A1897" s="15" t="str">
        <f t="shared" si="34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8" t="s">
        <v>75</v>
      </c>
      <c r="P1897" s="48">
        <f>HEX2DEC(RIGHT(Table132321275358[[#This Row],[h1]],8))</f>
        <v>0</v>
      </c>
      <c r="Q1897" s="48" t="s">
        <v>75</v>
      </c>
      <c r="R1897" s="48">
        <f>HEX2DEC(RIGHT(Table132321275358[[#This Row],[h2]],8))</f>
        <v>0</v>
      </c>
    </row>
    <row r="1898" spans="1:18">
      <c r="A1898" s="15" t="str">
        <f t="shared" si="34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8" t="s">
        <v>75</v>
      </c>
      <c r="P1898" s="48">
        <f>HEX2DEC(RIGHT(Table132321275358[[#This Row],[h1]],8))</f>
        <v>0</v>
      </c>
      <c r="Q1898" s="48" t="s">
        <v>75</v>
      </c>
      <c r="R1898" s="48">
        <f>HEX2DEC(RIGHT(Table132321275358[[#This Row],[h2]],8))</f>
        <v>0</v>
      </c>
    </row>
    <row r="1899" spans="1:18">
      <c r="A1899" s="15" t="str">
        <f t="shared" si="34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8" t="s">
        <v>75</v>
      </c>
      <c r="P1899" s="48">
        <f>HEX2DEC(RIGHT(Table132321275358[[#This Row],[h1]],8))</f>
        <v>0</v>
      </c>
      <c r="Q1899" s="48" t="s">
        <v>75</v>
      </c>
      <c r="R1899" s="48">
        <f>HEX2DEC(RIGHT(Table132321275358[[#This Row],[h2]],8))</f>
        <v>0</v>
      </c>
    </row>
    <row r="1900" spans="1:18">
      <c r="A1900" s="15" t="str">
        <f t="shared" si="34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8" t="s">
        <v>75</v>
      </c>
      <c r="P1900" s="48">
        <f>HEX2DEC(RIGHT(Table132321275358[[#This Row],[h1]],8))</f>
        <v>0</v>
      </c>
      <c r="Q1900" s="48" t="s">
        <v>75</v>
      </c>
      <c r="R1900" s="48">
        <f>HEX2DEC(RIGHT(Table132321275358[[#This Row],[h2]],8))</f>
        <v>0</v>
      </c>
    </row>
    <row r="1901" spans="1:18">
      <c r="A1901" s="15" t="str">
        <f t="shared" si="34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8" t="s">
        <v>75</v>
      </c>
      <c r="P1901" s="48">
        <f>HEX2DEC(RIGHT(Table132321275358[[#This Row],[h1]],8))</f>
        <v>0</v>
      </c>
      <c r="Q1901" s="48" t="s">
        <v>75</v>
      </c>
      <c r="R1901" s="48">
        <f>HEX2DEC(RIGHT(Table132321275358[[#This Row],[h2]],8))</f>
        <v>0</v>
      </c>
    </row>
    <row r="1902" spans="1:18">
      <c r="A1902" s="15" t="str">
        <f t="shared" si="34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8" t="s">
        <v>75</v>
      </c>
      <c r="P1902" s="48">
        <f>HEX2DEC(RIGHT(Table132321275358[[#This Row],[h1]],8))</f>
        <v>0</v>
      </c>
      <c r="Q1902" s="48" t="s">
        <v>75</v>
      </c>
      <c r="R1902" s="48">
        <f>HEX2DEC(RIGHT(Table132321275358[[#This Row],[h2]],8))</f>
        <v>0</v>
      </c>
    </row>
    <row r="1903" spans="1:18">
      <c r="A1903" s="15" t="str">
        <f t="shared" si="34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8" t="s">
        <v>75</v>
      </c>
      <c r="P1903" s="48">
        <f>HEX2DEC(RIGHT(Table132321275358[[#This Row],[h1]],8))</f>
        <v>0</v>
      </c>
      <c r="Q1903" s="48" t="s">
        <v>75</v>
      </c>
      <c r="R1903" s="48">
        <f>HEX2DEC(RIGHT(Table132321275358[[#This Row],[h2]],8))</f>
        <v>0</v>
      </c>
    </row>
    <row r="1904" spans="1:18">
      <c r="A1904" s="15" t="str">
        <f t="shared" si="34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8" t="s">
        <v>75</v>
      </c>
      <c r="P1904" s="48">
        <f>HEX2DEC(RIGHT(Table132321275358[[#This Row],[h1]],8))</f>
        <v>0</v>
      </c>
      <c r="Q1904" s="48" t="s">
        <v>75</v>
      </c>
      <c r="R1904" s="48">
        <f>HEX2DEC(RIGHT(Table132321275358[[#This Row],[h2]],8))</f>
        <v>0</v>
      </c>
    </row>
    <row r="1905" spans="1:18">
      <c r="A1905" s="15" t="str">
        <f t="shared" si="34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8" t="s">
        <v>75</v>
      </c>
      <c r="P1905" s="48">
        <f>HEX2DEC(RIGHT(Table132321275358[[#This Row],[h1]],8))</f>
        <v>0</v>
      </c>
      <c r="Q1905" s="48" t="s">
        <v>75</v>
      </c>
      <c r="R1905" s="48">
        <f>HEX2DEC(RIGHT(Table132321275358[[#This Row],[h2]],8))</f>
        <v>0</v>
      </c>
    </row>
    <row r="1906" spans="1:18">
      <c r="A1906" s="15" t="str">
        <f t="shared" si="34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8" t="s">
        <v>75</v>
      </c>
      <c r="P1906" s="48">
        <f>HEX2DEC(RIGHT(Table132321275358[[#This Row],[h1]],8))</f>
        <v>0</v>
      </c>
      <c r="Q1906" s="48" t="s">
        <v>75</v>
      </c>
      <c r="R1906" s="48">
        <f>HEX2DEC(RIGHT(Table132321275358[[#This Row],[h2]],8))</f>
        <v>0</v>
      </c>
    </row>
    <row r="1907" spans="1:18">
      <c r="A1907" s="15" t="str">
        <f t="shared" si="34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8" t="s">
        <v>75</v>
      </c>
      <c r="P1907" s="48">
        <f>HEX2DEC(RIGHT(Table132321275358[[#This Row],[h1]],8))</f>
        <v>0</v>
      </c>
      <c r="Q1907" s="48" t="s">
        <v>75</v>
      </c>
      <c r="R1907" s="48">
        <f>HEX2DEC(RIGHT(Table132321275358[[#This Row],[h2]],8))</f>
        <v>0</v>
      </c>
    </row>
    <row r="1908" spans="1:18">
      <c r="A1908" s="15" t="str">
        <f t="shared" si="34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8" t="s">
        <v>75</v>
      </c>
      <c r="P1908" s="48">
        <f>HEX2DEC(RIGHT(Table132321275358[[#This Row],[h1]],8))</f>
        <v>0</v>
      </c>
      <c r="Q1908" s="48" t="s">
        <v>75</v>
      </c>
      <c r="R1908" s="48">
        <f>HEX2DEC(RIGHT(Table132321275358[[#This Row],[h2]],8))</f>
        <v>0</v>
      </c>
    </row>
    <row r="1909" spans="1:18">
      <c r="A1909" s="15" t="str">
        <f t="shared" si="34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8" t="s">
        <v>75</v>
      </c>
      <c r="P1909" s="48">
        <f>HEX2DEC(RIGHT(Table132321275358[[#This Row],[h1]],8))</f>
        <v>0</v>
      </c>
      <c r="Q1909" s="48" t="s">
        <v>75</v>
      </c>
      <c r="R1909" s="48">
        <f>HEX2DEC(RIGHT(Table132321275358[[#This Row],[h2]],8))</f>
        <v>0</v>
      </c>
    </row>
    <row r="1910" spans="1:18">
      <c r="A1910" s="15" t="str">
        <f t="shared" si="34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8" t="s">
        <v>75</v>
      </c>
      <c r="P1910" s="48">
        <f>HEX2DEC(RIGHT(Table132321275358[[#This Row],[h1]],8))</f>
        <v>0</v>
      </c>
      <c r="Q1910" s="48" t="s">
        <v>75</v>
      </c>
      <c r="R1910" s="48">
        <f>HEX2DEC(RIGHT(Table132321275358[[#This Row],[h2]],8))</f>
        <v>0</v>
      </c>
    </row>
    <row r="1911" spans="1:18">
      <c r="A1911" s="15" t="str">
        <f t="shared" si="34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8" t="s">
        <v>75</v>
      </c>
      <c r="P1911" s="48">
        <f>HEX2DEC(RIGHT(Table132321275358[[#This Row],[h1]],8))</f>
        <v>0</v>
      </c>
      <c r="Q1911" s="48" t="s">
        <v>75</v>
      </c>
      <c r="R1911" s="48">
        <f>HEX2DEC(RIGHT(Table132321275358[[#This Row],[h2]],8))</f>
        <v>0</v>
      </c>
    </row>
    <row r="1912" spans="1:18">
      <c r="A1912" s="15" t="str">
        <f t="shared" si="34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8" t="s">
        <v>75</v>
      </c>
      <c r="P1912" s="48">
        <f>HEX2DEC(RIGHT(Table132321275358[[#This Row],[h1]],8))</f>
        <v>0</v>
      </c>
      <c r="Q1912" s="48" t="s">
        <v>75</v>
      </c>
      <c r="R1912" s="48">
        <f>HEX2DEC(RIGHT(Table132321275358[[#This Row],[h2]],8))</f>
        <v>0</v>
      </c>
    </row>
    <row r="1913" spans="1:18">
      <c r="A1913" s="15" t="str">
        <f t="shared" si="34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8" t="s">
        <v>75</v>
      </c>
      <c r="P1913" s="48">
        <f>HEX2DEC(RIGHT(Table132321275358[[#This Row],[h1]],8))</f>
        <v>0</v>
      </c>
      <c r="Q1913" s="48" t="s">
        <v>75</v>
      </c>
      <c r="R1913" s="48">
        <f>HEX2DEC(RIGHT(Table132321275358[[#This Row],[h2]],8))</f>
        <v>0</v>
      </c>
    </row>
    <row r="1914" spans="1:18">
      <c r="A1914" s="15" t="str">
        <f t="shared" si="34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8" t="s">
        <v>75</v>
      </c>
      <c r="P1914" s="48">
        <f>HEX2DEC(RIGHT(Table132321275358[[#This Row],[h1]],8))</f>
        <v>0</v>
      </c>
      <c r="Q1914" s="48" t="s">
        <v>75</v>
      </c>
      <c r="R1914" s="48">
        <f>HEX2DEC(RIGHT(Table132321275358[[#This Row],[h2]],8))</f>
        <v>0</v>
      </c>
    </row>
    <row r="1915" spans="1:18">
      <c r="A1915" s="15" t="str">
        <f t="shared" si="34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8" t="s">
        <v>75</v>
      </c>
      <c r="P1915" s="48">
        <f>HEX2DEC(RIGHT(Table132321275358[[#This Row],[h1]],8))</f>
        <v>0</v>
      </c>
      <c r="Q1915" s="48" t="s">
        <v>75</v>
      </c>
      <c r="R1915" s="48">
        <f>HEX2DEC(RIGHT(Table132321275358[[#This Row],[h2]],8))</f>
        <v>0</v>
      </c>
    </row>
    <row r="1916" spans="1:18">
      <c r="A1916" s="15" t="str">
        <f t="shared" si="34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8" t="s">
        <v>75</v>
      </c>
      <c r="P1916" s="48">
        <f>HEX2DEC(RIGHT(Table132321275358[[#This Row],[h1]],8))</f>
        <v>0</v>
      </c>
      <c r="Q1916" s="48" t="s">
        <v>75</v>
      </c>
      <c r="R1916" s="48">
        <f>HEX2DEC(RIGHT(Table132321275358[[#This Row],[h2]],8))</f>
        <v>0</v>
      </c>
    </row>
    <row r="1917" spans="1:18">
      <c r="A1917" s="15" t="str">
        <f t="shared" si="34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8" t="s">
        <v>75</v>
      </c>
      <c r="P1917" s="48">
        <f>HEX2DEC(RIGHT(Table132321275358[[#This Row],[h1]],8))</f>
        <v>0</v>
      </c>
      <c r="Q1917" s="48" t="s">
        <v>75</v>
      </c>
      <c r="R1917" s="48">
        <f>HEX2DEC(RIGHT(Table132321275358[[#This Row],[h2]],8))</f>
        <v>0</v>
      </c>
    </row>
    <row r="1918" spans="1:18">
      <c r="A1918" s="15" t="str">
        <f t="shared" si="34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8" t="s">
        <v>75</v>
      </c>
      <c r="P1918" s="48">
        <f>HEX2DEC(RIGHT(Table132321275358[[#This Row],[h1]],8))</f>
        <v>0</v>
      </c>
      <c r="Q1918" s="48" t="s">
        <v>75</v>
      </c>
      <c r="R1918" s="48">
        <f>HEX2DEC(RIGHT(Table132321275358[[#This Row],[h2]],8))</f>
        <v>0</v>
      </c>
    </row>
    <row r="1919" spans="1:18">
      <c r="A1919" s="15" t="str">
        <f t="shared" si="34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8" t="s">
        <v>75</v>
      </c>
      <c r="P1919" s="48">
        <f>HEX2DEC(RIGHT(Table132321275358[[#This Row],[h1]],8))</f>
        <v>0</v>
      </c>
      <c r="Q1919" s="48" t="s">
        <v>75</v>
      </c>
      <c r="R1919" s="48">
        <f>HEX2DEC(RIGHT(Table132321275358[[#This Row],[h2]],8))</f>
        <v>0</v>
      </c>
    </row>
    <row r="1920" spans="1:18">
      <c r="A1920" s="15" t="str">
        <f t="shared" si="34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8" t="s">
        <v>75</v>
      </c>
      <c r="P1920" s="48">
        <f>HEX2DEC(RIGHT(Table132321275358[[#This Row],[h1]],8))</f>
        <v>0</v>
      </c>
      <c r="Q1920" s="48" t="s">
        <v>75</v>
      </c>
      <c r="R1920" s="48">
        <f>HEX2DEC(RIGHT(Table132321275358[[#This Row],[h2]],8))</f>
        <v>0</v>
      </c>
    </row>
    <row r="1921" spans="1:18">
      <c r="A1921" s="15" t="str">
        <f t="shared" si="34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8" t="s">
        <v>75</v>
      </c>
      <c r="P1921" s="48">
        <f>HEX2DEC(RIGHT(Table132321275358[[#This Row],[h1]],8))</f>
        <v>0</v>
      </c>
      <c r="Q1921" s="48" t="s">
        <v>75</v>
      </c>
      <c r="R1921" s="48">
        <f>HEX2DEC(RIGHT(Table132321275358[[#This Row],[h2]],8))</f>
        <v>0</v>
      </c>
    </row>
    <row r="1922" spans="1:18">
      <c r="A1922" s="15" t="str">
        <f t="shared" si="34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8" t="s">
        <v>75</v>
      </c>
      <c r="P1922" s="48">
        <f>HEX2DEC(RIGHT(Table132321275358[[#This Row],[h1]],8))</f>
        <v>0</v>
      </c>
      <c r="Q1922" s="48" t="s">
        <v>75</v>
      </c>
      <c r="R1922" s="48">
        <f>HEX2DEC(RIGHT(Table132321275358[[#This Row],[h2]],8))</f>
        <v>0</v>
      </c>
    </row>
    <row r="1923" spans="1:18">
      <c r="A1923" s="15" t="str">
        <f t="shared" si="34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8" t="s">
        <v>75</v>
      </c>
      <c r="P1923" s="48">
        <f>HEX2DEC(RIGHT(Table132321275358[[#This Row],[h1]],8))</f>
        <v>0</v>
      </c>
      <c r="Q1923" s="48" t="s">
        <v>75</v>
      </c>
      <c r="R1923" s="48">
        <f>HEX2DEC(RIGHT(Table132321275358[[#This Row],[h2]],8))</f>
        <v>0</v>
      </c>
    </row>
    <row r="1924" spans="1:18">
      <c r="A1924" s="15" t="str">
        <f t="shared" si="34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8" t="s">
        <v>75</v>
      </c>
      <c r="P1924" s="48">
        <f>HEX2DEC(RIGHT(Table132321275358[[#This Row],[h1]],8))</f>
        <v>0</v>
      </c>
      <c r="Q1924" s="48" t="s">
        <v>75</v>
      </c>
      <c r="R1924" s="48">
        <f>HEX2DEC(RIGHT(Table132321275358[[#This Row],[h2]],8))</f>
        <v>0</v>
      </c>
    </row>
    <row r="1925" spans="1:18">
      <c r="A1925" s="15" t="str">
        <f t="shared" si="34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8" t="s">
        <v>75</v>
      </c>
      <c r="P1925" s="48">
        <f>HEX2DEC(RIGHT(Table132321275358[[#This Row],[h1]],8))</f>
        <v>0</v>
      </c>
      <c r="Q1925" s="48" t="s">
        <v>75</v>
      </c>
      <c r="R1925" s="48">
        <f>HEX2DEC(RIGHT(Table132321275358[[#This Row],[h2]],8))</f>
        <v>0</v>
      </c>
    </row>
    <row r="1926" spans="1:18">
      <c r="A1926" s="15" t="str">
        <f t="shared" si="34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8" t="s">
        <v>75</v>
      </c>
      <c r="P1926" s="48">
        <f>HEX2DEC(RIGHT(Table132321275358[[#This Row],[h1]],8))</f>
        <v>0</v>
      </c>
      <c r="Q1926" s="48" t="s">
        <v>75</v>
      </c>
      <c r="R1926" s="48">
        <f>HEX2DEC(RIGHT(Table132321275358[[#This Row],[h2]],8))</f>
        <v>0</v>
      </c>
    </row>
    <row r="1927" spans="1:18">
      <c r="A1927" s="15" t="str">
        <f t="shared" si="34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8" t="s">
        <v>75</v>
      </c>
      <c r="P1927" s="48">
        <f>HEX2DEC(RIGHT(Table132321275358[[#This Row],[h1]],8))</f>
        <v>0</v>
      </c>
      <c r="Q1927" s="48" t="s">
        <v>75</v>
      </c>
      <c r="R1927" s="48">
        <f>HEX2DEC(RIGHT(Table132321275358[[#This Row],[h2]],8))</f>
        <v>0</v>
      </c>
    </row>
    <row r="1928" spans="1:18">
      <c r="A1928" s="15" t="str">
        <f t="shared" si="34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8" t="s">
        <v>75</v>
      </c>
      <c r="P1928" s="48">
        <f>HEX2DEC(RIGHT(Table132321275358[[#This Row],[h1]],8))</f>
        <v>0</v>
      </c>
      <c r="Q1928" s="48" t="s">
        <v>75</v>
      </c>
      <c r="R1928" s="48">
        <f>HEX2DEC(RIGHT(Table132321275358[[#This Row],[h2]],8))</f>
        <v>0</v>
      </c>
    </row>
    <row r="1929" spans="1:18">
      <c r="A1929" s="15" t="str">
        <f t="shared" si="34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8" t="s">
        <v>75</v>
      </c>
      <c r="P1929" s="48">
        <f>HEX2DEC(RIGHT(Table132321275358[[#This Row],[h1]],8))</f>
        <v>0</v>
      </c>
      <c r="Q1929" s="48" t="s">
        <v>75</v>
      </c>
      <c r="R1929" s="48">
        <f>HEX2DEC(RIGHT(Table132321275358[[#This Row],[h2]],8))</f>
        <v>0</v>
      </c>
    </row>
    <row r="1930" spans="1:18">
      <c r="A1930" s="15" t="str">
        <f t="shared" si="34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8" t="s">
        <v>75</v>
      </c>
      <c r="P1930" s="48">
        <f>HEX2DEC(RIGHT(Table132321275358[[#This Row],[h1]],8))</f>
        <v>0</v>
      </c>
      <c r="Q1930" s="48" t="s">
        <v>75</v>
      </c>
      <c r="R1930" s="48">
        <f>HEX2DEC(RIGHT(Table132321275358[[#This Row],[h2]],8))</f>
        <v>0</v>
      </c>
    </row>
    <row r="1931" spans="1:18">
      <c r="A1931" s="15" t="str">
        <f t="shared" ref="A1931:A1994" si="35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8" t="s">
        <v>75</v>
      </c>
      <c r="P1931" s="48">
        <f>HEX2DEC(RIGHT(Table132321275358[[#This Row],[h1]],8))</f>
        <v>0</v>
      </c>
      <c r="Q1931" s="48" t="s">
        <v>75</v>
      </c>
      <c r="R1931" s="48">
        <f>HEX2DEC(RIGHT(Table132321275358[[#This Row],[h2]],8))</f>
        <v>0</v>
      </c>
    </row>
    <row r="1932" spans="1:18">
      <c r="A1932" s="15" t="str">
        <f t="shared" si="35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8" t="s">
        <v>75</v>
      </c>
      <c r="P1932" s="48">
        <f>HEX2DEC(RIGHT(Table132321275358[[#This Row],[h1]],8))</f>
        <v>0</v>
      </c>
      <c r="Q1932" s="48" t="s">
        <v>75</v>
      </c>
      <c r="R1932" s="48">
        <f>HEX2DEC(RIGHT(Table132321275358[[#This Row],[h2]],8))</f>
        <v>0</v>
      </c>
    </row>
    <row r="1933" spans="1:18">
      <c r="A1933" s="15" t="str">
        <f t="shared" si="35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8" t="s">
        <v>75</v>
      </c>
      <c r="P1933" s="48">
        <f>HEX2DEC(RIGHT(Table132321275358[[#This Row],[h1]],8))</f>
        <v>0</v>
      </c>
      <c r="Q1933" s="48" t="s">
        <v>75</v>
      </c>
      <c r="R1933" s="48">
        <f>HEX2DEC(RIGHT(Table132321275358[[#This Row],[h2]],8))</f>
        <v>0</v>
      </c>
    </row>
    <row r="1934" spans="1:18">
      <c r="A1934" s="15" t="str">
        <f t="shared" si="35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8" t="s">
        <v>75</v>
      </c>
      <c r="P1934" s="48">
        <f>HEX2DEC(RIGHT(Table132321275358[[#This Row],[h1]],8))</f>
        <v>0</v>
      </c>
      <c r="Q1934" s="48" t="s">
        <v>75</v>
      </c>
      <c r="R1934" s="48">
        <f>HEX2DEC(RIGHT(Table132321275358[[#This Row],[h2]],8))</f>
        <v>0</v>
      </c>
    </row>
    <row r="1935" spans="1:18">
      <c r="A1935" s="15" t="str">
        <f t="shared" si="35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8" t="s">
        <v>75</v>
      </c>
      <c r="P1935" s="48">
        <f>HEX2DEC(RIGHT(Table132321275358[[#This Row],[h1]],8))</f>
        <v>0</v>
      </c>
      <c r="Q1935" s="48" t="s">
        <v>75</v>
      </c>
      <c r="R1935" s="48">
        <f>HEX2DEC(RIGHT(Table132321275358[[#This Row],[h2]],8))</f>
        <v>0</v>
      </c>
    </row>
    <row r="1936" spans="1:18">
      <c r="A1936" s="15" t="str">
        <f t="shared" si="35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8" t="s">
        <v>75</v>
      </c>
      <c r="P1936" s="48">
        <f>HEX2DEC(RIGHT(Table132321275358[[#This Row],[h1]],8))</f>
        <v>0</v>
      </c>
      <c r="Q1936" s="48" t="s">
        <v>75</v>
      </c>
      <c r="R1936" s="48">
        <f>HEX2DEC(RIGHT(Table132321275358[[#This Row],[h2]],8))</f>
        <v>0</v>
      </c>
    </row>
    <row r="1937" spans="1:18">
      <c r="A1937" s="15" t="str">
        <f t="shared" si="35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8" t="s">
        <v>75</v>
      </c>
      <c r="P1937" s="48">
        <f>HEX2DEC(RIGHT(Table132321275358[[#This Row],[h1]],8))</f>
        <v>0</v>
      </c>
      <c r="Q1937" s="48" t="s">
        <v>75</v>
      </c>
      <c r="R1937" s="48">
        <f>HEX2DEC(RIGHT(Table132321275358[[#This Row],[h2]],8))</f>
        <v>0</v>
      </c>
    </row>
    <row r="1938" spans="1:18">
      <c r="A1938" s="15" t="str">
        <f t="shared" si="35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8" t="s">
        <v>75</v>
      </c>
      <c r="P1938" s="48">
        <f>HEX2DEC(RIGHT(Table132321275358[[#This Row],[h1]],8))</f>
        <v>0</v>
      </c>
      <c r="Q1938" s="48" t="s">
        <v>75</v>
      </c>
      <c r="R1938" s="48">
        <f>HEX2DEC(RIGHT(Table132321275358[[#This Row],[h2]],8))</f>
        <v>0</v>
      </c>
    </row>
    <row r="1939" spans="1:18">
      <c r="A1939" s="15" t="str">
        <f t="shared" si="35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8" t="s">
        <v>75</v>
      </c>
      <c r="P1939" s="48">
        <f>HEX2DEC(RIGHT(Table132321275358[[#This Row],[h1]],8))</f>
        <v>0</v>
      </c>
      <c r="Q1939" s="48" t="s">
        <v>75</v>
      </c>
      <c r="R1939" s="48">
        <f>HEX2DEC(RIGHT(Table132321275358[[#This Row],[h2]],8))</f>
        <v>0</v>
      </c>
    </row>
    <row r="1940" spans="1:18">
      <c r="A1940" s="15" t="str">
        <f t="shared" si="35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8" t="s">
        <v>75</v>
      </c>
      <c r="P1940" s="48">
        <f>HEX2DEC(RIGHT(Table132321275358[[#This Row],[h1]],8))</f>
        <v>0</v>
      </c>
      <c r="Q1940" s="48" t="s">
        <v>75</v>
      </c>
      <c r="R1940" s="48">
        <f>HEX2DEC(RIGHT(Table132321275358[[#This Row],[h2]],8))</f>
        <v>0</v>
      </c>
    </row>
    <row r="1941" spans="1:18">
      <c r="A1941" s="15" t="str">
        <f t="shared" si="35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8" t="s">
        <v>75</v>
      </c>
      <c r="P1941" s="48">
        <f>HEX2DEC(RIGHT(Table132321275358[[#This Row],[h1]],8))</f>
        <v>0</v>
      </c>
      <c r="Q1941" s="48" t="s">
        <v>75</v>
      </c>
      <c r="R1941" s="48">
        <f>HEX2DEC(RIGHT(Table132321275358[[#This Row],[h2]],8))</f>
        <v>0</v>
      </c>
    </row>
    <row r="1942" spans="1:18">
      <c r="A1942" s="15" t="str">
        <f t="shared" si="35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8" t="s">
        <v>75</v>
      </c>
      <c r="P1942" s="48">
        <f>HEX2DEC(RIGHT(Table132321275358[[#This Row],[h1]],8))</f>
        <v>0</v>
      </c>
      <c r="Q1942" s="48" t="s">
        <v>75</v>
      </c>
      <c r="R1942" s="48">
        <f>HEX2DEC(RIGHT(Table132321275358[[#This Row],[h2]],8))</f>
        <v>0</v>
      </c>
    </row>
    <row r="1943" spans="1:18">
      <c r="A1943" s="15" t="str">
        <f t="shared" si="35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8" t="s">
        <v>75</v>
      </c>
      <c r="P1943" s="48">
        <f>HEX2DEC(RIGHT(Table132321275358[[#This Row],[h1]],8))</f>
        <v>0</v>
      </c>
      <c r="Q1943" s="48" t="s">
        <v>75</v>
      </c>
      <c r="R1943" s="48">
        <f>HEX2DEC(RIGHT(Table132321275358[[#This Row],[h2]],8))</f>
        <v>0</v>
      </c>
    </row>
    <row r="1944" spans="1:18">
      <c r="A1944" s="15" t="str">
        <f t="shared" si="35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8" t="s">
        <v>75</v>
      </c>
      <c r="P1944" s="48">
        <f>HEX2DEC(RIGHT(Table132321275358[[#This Row],[h1]],8))</f>
        <v>0</v>
      </c>
      <c r="Q1944" s="48" t="s">
        <v>75</v>
      </c>
      <c r="R1944" s="48">
        <f>HEX2DEC(RIGHT(Table132321275358[[#This Row],[h2]],8))</f>
        <v>0</v>
      </c>
    </row>
    <row r="1945" spans="1:18">
      <c r="A1945" s="15" t="str">
        <f t="shared" si="35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8" t="s">
        <v>75</v>
      </c>
      <c r="P1945" s="48">
        <f>HEX2DEC(RIGHT(Table132321275358[[#This Row],[h1]],8))</f>
        <v>0</v>
      </c>
      <c r="Q1945" s="48" t="s">
        <v>75</v>
      </c>
      <c r="R1945" s="48">
        <f>HEX2DEC(RIGHT(Table132321275358[[#This Row],[h2]],8))</f>
        <v>0</v>
      </c>
    </row>
    <row r="1946" spans="1:18">
      <c r="A1946" s="15" t="str">
        <f t="shared" si="35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8" t="s">
        <v>75</v>
      </c>
      <c r="P1946" s="48">
        <f>HEX2DEC(RIGHT(Table132321275358[[#This Row],[h1]],8))</f>
        <v>0</v>
      </c>
      <c r="Q1946" s="48" t="s">
        <v>75</v>
      </c>
      <c r="R1946" s="48">
        <f>HEX2DEC(RIGHT(Table132321275358[[#This Row],[h2]],8))</f>
        <v>0</v>
      </c>
    </row>
    <row r="1947" spans="1:18">
      <c r="A1947" s="15" t="str">
        <f t="shared" si="35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8" t="s">
        <v>75</v>
      </c>
      <c r="P1947" s="48">
        <f>HEX2DEC(RIGHT(Table132321275358[[#This Row],[h1]],8))</f>
        <v>0</v>
      </c>
      <c r="Q1947" s="48" t="s">
        <v>75</v>
      </c>
      <c r="R1947" s="48">
        <f>HEX2DEC(RIGHT(Table132321275358[[#This Row],[h2]],8))</f>
        <v>0</v>
      </c>
    </row>
    <row r="1948" spans="1:18">
      <c r="A1948" s="15" t="str">
        <f t="shared" si="35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8" t="s">
        <v>75</v>
      </c>
      <c r="P1948" s="48">
        <f>HEX2DEC(RIGHT(Table132321275358[[#This Row],[h1]],8))</f>
        <v>0</v>
      </c>
      <c r="Q1948" s="48" t="s">
        <v>75</v>
      </c>
      <c r="R1948" s="48">
        <f>HEX2DEC(RIGHT(Table132321275358[[#This Row],[h2]],8))</f>
        <v>0</v>
      </c>
    </row>
    <row r="1949" spans="1:18">
      <c r="A1949" s="15" t="str">
        <f t="shared" si="35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8" t="s">
        <v>75</v>
      </c>
      <c r="P1949" s="48">
        <f>HEX2DEC(RIGHT(Table132321275358[[#This Row],[h1]],8))</f>
        <v>0</v>
      </c>
      <c r="Q1949" s="48" t="s">
        <v>75</v>
      </c>
      <c r="R1949" s="48">
        <f>HEX2DEC(RIGHT(Table132321275358[[#This Row],[h2]],8))</f>
        <v>0</v>
      </c>
    </row>
    <row r="1950" spans="1:18">
      <c r="A1950" s="15" t="str">
        <f t="shared" si="35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8" t="s">
        <v>75</v>
      </c>
      <c r="P1950" s="48">
        <f>HEX2DEC(RIGHT(Table132321275358[[#This Row],[h1]],8))</f>
        <v>0</v>
      </c>
      <c r="Q1950" s="48" t="s">
        <v>75</v>
      </c>
      <c r="R1950" s="48">
        <f>HEX2DEC(RIGHT(Table132321275358[[#This Row],[h2]],8))</f>
        <v>0</v>
      </c>
    </row>
    <row r="1951" spans="1:18">
      <c r="A1951" s="15" t="str">
        <f t="shared" si="35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8" t="s">
        <v>75</v>
      </c>
      <c r="P1951" s="48">
        <f>HEX2DEC(RIGHT(Table132321275358[[#This Row],[h1]],8))</f>
        <v>0</v>
      </c>
      <c r="Q1951" s="48" t="s">
        <v>75</v>
      </c>
      <c r="R1951" s="48">
        <f>HEX2DEC(RIGHT(Table132321275358[[#This Row],[h2]],8))</f>
        <v>0</v>
      </c>
    </row>
    <row r="1952" spans="1:18">
      <c r="A1952" s="15" t="str">
        <f t="shared" si="35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8" t="s">
        <v>75</v>
      </c>
      <c r="P1952" s="48">
        <f>HEX2DEC(RIGHT(Table132321275358[[#This Row],[h1]],8))</f>
        <v>0</v>
      </c>
      <c r="Q1952" s="48" t="s">
        <v>75</v>
      </c>
      <c r="R1952" s="48">
        <f>HEX2DEC(RIGHT(Table132321275358[[#This Row],[h2]],8))</f>
        <v>0</v>
      </c>
    </row>
    <row r="1953" spans="1:18">
      <c r="A1953" s="15" t="str">
        <f t="shared" si="35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8" t="s">
        <v>75</v>
      </c>
      <c r="P1953" s="48">
        <f>HEX2DEC(RIGHT(Table132321275358[[#This Row],[h1]],8))</f>
        <v>0</v>
      </c>
      <c r="Q1953" s="48" t="s">
        <v>75</v>
      </c>
      <c r="R1953" s="48">
        <f>HEX2DEC(RIGHT(Table132321275358[[#This Row],[h2]],8))</f>
        <v>0</v>
      </c>
    </row>
    <row r="1954" spans="1:18">
      <c r="A1954" s="15" t="str">
        <f t="shared" si="35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8" t="s">
        <v>75</v>
      </c>
      <c r="P1954" s="48">
        <f>HEX2DEC(RIGHT(Table132321275358[[#This Row],[h1]],8))</f>
        <v>0</v>
      </c>
      <c r="Q1954" s="48" t="s">
        <v>75</v>
      </c>
      <c r="R1954" s="48">
        <f>HEX2DEC(RIGHT(Table132321275358[[#This Row],[h2]],8))</f>
        <v>0</v>
      </c>
    </row>
    <row r="1955" spans="1:18">
      <c r="A1955" s="15" t="str">
        <f t="shared" si="35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8" t="s">
        <v>75</v>
      </c>
      <c r="P1955" s="48">
        <f>HEX2DEC(RIGHT(Table132321275358[[#This Row],[h1]],8))</f>
        <v>0</v>
      </c>
      <c r="Q1955" s="48" t="s">
        <v>75</v>
      </c>
      <c r="R1955" s="48">
        <f>HEX2DEC(RIGHT(Table132321275358[[#This Row],[h2]],8))</f>
        <v>0</v>
      </c>
    </row>
    <row r="1956" spans="1:18">
      <c r="A1956" s="15" t="str">
        <f t="shared" si="35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8" t="s">
        <v>75</v>
      </c>
      <c r="P1956" s="48">
        <f>HEX2DEC(RIGHT(Table132321275358[[#This Row],[h1]],8))</f>
        <v>0</v>
      </c>
      <c r="Q1956" s="48" t="s">
        <v>75</v>
      </c>
      <c r="R1956" s="48">
        <f>HEX2DEC(RIGHT(Table132321275358[[#This Row],[h2]],8))</f>
        <v>0</v>
      </c>
    </row>
    <row r="1957" spans="1:18">
      <c r="A1957" s="15" t="str">
        <f t="shared" si="35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8" t="s">
        <v>75</v>
      </c>
      <c r="P1957" s="48">
        <f>HEX2DEC(RIGHT(Table132321275358[[#This Row],[h1]],8))</f>
        <v>0</v>
      </c>
      <c r="Q1957" s="48" t="s">
        <v>75</v>
      </c>
      <c r="R1957" s="48">
        <f>HEX2DEC(RIGHT(Table132321275358[[#This Row],[h2]],8))</f>
        <v>0</v>
      </c>
    </row>
    <row r="1958" spans="1:18">
      <c r="A1958" s="15" t="str">
        <f t="shared" si="35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8" t="s">
        <v>75</v>
      </c>
      <c r="P1958" s="48">
        <f>HEX2DEC(RIGHT(Table132321275358[[#This Row],[h1]],8))</f>
        <v>0</v>
      </c>
      <c r="Q1958" s="48" t="s">
        <v>75</v>
      </c>
      <c r="R1958" s="48">
        <f>HEX2DEC(RIGHT(Table132321275358[[#This Row],[h2]],8))</f>
        <v>0</v>
      </c>
    </row>
    <row r="1959" spans="1:18">
      <c r="A1959" s="15" t="str">
        <f t="shared" si="35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8" t="s">
        <v>75</v>
      </c>
      <c r="P1959" s="48">
        <f>HEX2DEC(RIGHT(Table132321275358[[#This Row],[h1]],8))</f>
        <v>0</v>
      </c>
      <c r="Q1959" s="48" t="s">
        <v>75</v>
      </c>
      <c r="R1959" s="48">
        <f>HEX2DEC(RIGHT(Table132321275358[[#This Row],[h2]],8))</f>
        <v>0</v>
      </c>
    </row>
    <row r="1960" spans="1:18">
      <c r="A1960" s="15" t="str">
        <f t="shared" si="35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8" t="s">
        <v>75</v>
      </c>
      <c r="P1960" s="48">
        <f>HEX2DEC(RIGHT(Table132321275358[[#This Row],[h1]],8))</f>
        <v>0</v>
      </c>
      <c r="Q1960" s="48" t="s">
        <v>75</v>
      </c>
      <c r="R1960" s="48">
        <f>HEX2DEC(RIGHT(Table132321275358[[#This Row],[h2]],8))</f>
        <v>0</v>
      </c>
    </row>
    <row r="1961" spans="1:18">
      <c r="A1961" s="15" t="str">
        <f t="shared" si="35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8" t="s">
        <v>75</v>
      </c>
      <c r="P1961" s="48">
        <f>HEX2DEC(RIGHT(Table132321275358[[#This Row],[h1]],8))</f>
        <v>0</v>
      </c>
      <c r="Q1961" s="48" t="s">
        <v>75</v>
      </c>
      <c r="R1961" s="48">
        <f>HEX2DEC(RIGHT(Table132321275358[[#This Row],[h2]],8))</f>
        <v>0</v>
      </c>
    </row>
    <row r="1962" spans="1:18">
      <c r="A1962" s="15" t="str">
        <f t="shared" si="35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8" t="s">
        <v>75</v>
      </c>
      <c r="P1962" s="48">
        <f>HEX2DEC(RIGHT(Table132321275358[[#This Row],[h1]],8))</f>
        <v>0</v>
      </c>
      <c r="Q1962" s="48" t="s">
        <v>75</v>
      </c>
      <c r="R1962" s="48">
        <f>HEX2DEC(RIGHT(Table132321275358[[#This Row],[h2]],8))</f>
        <v>0</v>
      </c>
    </row>
    <row r="1963" spans="1:18">
      <c r="A1963" s="15" t="str">
        <f t="shared" si="35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8" t="s">
        <v>75</v>
      </c>
      <c r="P1963" s="48">
        <f>HEX2DEC(RIGHT(Table132321275358[[#This Row],[h1]],8))</f>
        <v>0</v>
      </c>
      <c r="Q1963" s="48" t="s">
        <v>75</v>
      </c>
      <c r="R1963" s="48">
        <f>HEX2DEC(RIGHT(Table132321275358[[#This Row],[h2]],8))</f>
        <v>0</v>
      </c>
    </row>
    <row r="1964" spans="1:18">
      <c r="A1964" s="15" t="str">
        <f t="shared" si="35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8" t="s">
        <v>75</v>
      </c>
      <c r="P1964" s="48">
        <f>HEX2DEC(RIGHT(Table132321275358[[#This Row],[h1]],8))</f>
        <v>0</v>
      </c>
      <c r="Q1964" s="48" t="s">
        <v>75</v>
      </c>
      <c r="R1964" s="48">
        <f>HEX2DEC(RIGHT(Table132321275358[[#This Row],[h2]],8))</f>
        <v>0</v>
      </c>
    </row>
    <row r="1965" spans="1:18">
      <c r="A1965" s="15" t="str">
        <f t="shared" si="35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8" t="s">
        <v>75</v>
      </c>
      <c r="P1965" s="48">
        <f>HEX2DEC(RIGHT(Table132321275358[[#This Row],[h1]],8))</f>
        <v>0</v>
      </c>
      <c r="Q1965" s="48" t="s">
        <v>75</v>
      </c>
      <c r="R1965" s="48">
        <f>HEX2DEC(RIGHT(Table132321275358[[#This Row],[h2]],8))</f>
        <v>0</v>
      </c>
    </row>
    <row r="1966" spans="1:18">
      <c r="A1966" s="15" t="str">
        <f t="shared" si="35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8" t="s">
        <v>75</v>
      </c>
      <c r="P1966" s="48">
        <f>HEX2DEC(RIGHT(Table132321275358[[#This Row],[h1]],8))</f>
        <v>0</v>
      </c>
      <c r="Q1966" s="48" t="s">
        <v>75</v>
      </c>
      <c r="R1966" s="48">
        <f>HEX2DEC(RIGHT(Table132321275358[[#This Row],[h2]],8))</f>
        <v>0</v>
      </c>
    </row>
    <row r="1967" spans="1:18">
      <c r="A1967" s="15" t="str">
        <f t="shared" si="35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8" t="s">
        <v>75</v>
      </c>
      <c r="P1967" s="48">
        <f>HEX2DEC(RIGHT(Table132321275358[[#This Row],[h1]],8))</f>
        <v>0</v>
      </c>
      <c r="Q1967" s="48" t="s">
        <v>75</v>
      </c>
      <c r="R1967" s="48">
        <f>HEX2DEC(RIGHT(Table132321275358[[#This Row],[h2]],8))</f>
        <v>0</v>
      </c>
    </row>
    <row r="1968" spans="1:18">
      <c r="A1968" s="15" t="str">
        <f t="shared" si="35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8" t="s">
        <v>75</v>
      </c>
      <c r="P1968" s="48">
        <f>HEX2DEC(RIGHT(Table132321275358[[#This Row],[h1]],8))</f>
        <v>0</v>
      </c>
      <c r="Q1968" s="48" t="s">
        <v>75</v>
      </c>
      <c r="R1968" s="48">
        <f>HEX2DEC(RIGHT(Table132321275358[[#This Row],[h2]],8))</f>
        <v>0</v>
      </c>
    </row>
    <row r="1969" spans="1:18">
      <c r="A1969" s="15" t="str">
        <f t="shared" si="35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8" t="s">
        <v>75</v>
      </c>
      <c r="P1969" s="48">
        <f>HEX2DEC(RIGHT(Table132321275358[[#This Row],[h1]],8))</f>
        <v>0</v>
      </c>
      <c r="Q1969" s="48" t="s">
        <v>75</v>
      </c>
      <c r="R1969" s="48">
        <f>HEX2DEC(RIGHT(Table132321275358[[#This Row],[h2]],8))</f>
        <v>0</v>
      </c>
    </row>
    <row r="1970" spans="1:18">
      <c r="A1970" s="15" t="str">
        <f t="shared" si="35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8" t="s">
        <v>75</v>
      </c>
      <c r="P1970" s="48">
        <f>HEX2DEC(RIGHT(Table132321275358[[#This Row],[h1]],8))</f>
        <v>0</v>
      </c>
      <c r="Q1970" s="48" t="s">
        <v>75</v>
      </c>
      <c r="R1970" s="48">
        <f>HEX2DEC(RIGHT(Table132321275358[[#This Row],[h2]],8))</f>
        <v>0</v>
      </c>
    </row>
    <row r="1971" spans="1:18">
      <c r="A1971" s="15" t="str">
        <f t="shared" si="35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8" t="s">
        <v>75</v>
      </c>
      <c r="P1971" s="48">
        <f>HEX2DEC(RIGHT(Table132321275358[[#This Row],[h1]],8))</f>
        <v>0</v>
      </c>
      <c r="Q1971" s="48" t="s">
        <v>75</v>
      </c>
      <c r="R1971" s="48">
        <f>HEX2DEC(RIGHT(Table132321275358[[#This Row],[h2]],8))</f>
        <v>0</v>
      </c>
    </row>
    <row r="1972" spans="1:18">
      <c r="A1972" s="15" t="str">
        <f t="shared" si="35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8" t="s">
        <v>75</v>
      </c>
      <c r="P1972" s="48">
        <f>HEX2DEC(RIGHT(Table132321275358[[#This Row],[h1]],8))</f>
        <v>0</v>
      </c>
      <c r="Q1972" s="48" t="s">
        <v>75</v>
      </c>
      <c r="R1972" s="48">
        <f>HEX2DEC(RIGHT(Table132321275358[[#This Row],[h2]],8))</f>
        <v>0</v>
      </c>
    </row>
    <row r="1973" spans="1:18">
      <c r="A1973" s="15" t="str">
        <f t="shared" si="35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8" t="s">
        <v>75</v>
      </c>
      <c r="P1973" s="48">
        <f>HEX2DEC(RIGHT(Table132321275358[[#This Row],[h1]],8))</f>
        <v>0</v>
      </c>
      <c r="Q1973" s="48" t="s">
        <v>75</v>
      </c>
      <c r="R1973" s="48">
        <f>HEX2DEC(RIGHT(Table132321275358[[#This Row],[h2]],8))</f>
        <v>0</v>
      </c>
    </row>
    <row r="1974" spans="1:18">
      <c r="A1974" s="15" t="str">
        <f t="shared" si="35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8" t="s">
        <v>75</v>
      </c>
      <c r="P1974" s="48">
        <f>HEX2DEC(RIGHT(Table132321275358[[#This Row],[h1]],8))</f>
        <v>0</v>
      </c>
      <c r="Q1974" s="48" t="s">
        <v>75</v>
      </c>
      <c r="R1974" s="48">
        <f>HEX2DEC(RIGHT(Table132321275358[[#This Row],[h2]],8))</f>
        <v>0</v>
      </c>
    </row>
    <row r="1975" spans="1:18">
      <c r="A1975" s="15" t="str">
        <f t="shared" si="35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8" t="s">
        <v>75</v>
      </c>
      <c r="P1975" s="48">
        <f>HEX2DEC(RIGHT(Table132321275358[[#This Row],[h1]],8))</f>
        <v>0</v>
      </c>
      <c r="Q1975" s="48" t="s">
        <v>75</v>
      </c>
      <c r="R1975" s="48">
        <f>HEX2DEC(RIGHT(Table132321275358[[#This Row],[h2]],8))</f>
        <v>0</v>
      </c>
    </row>
    <row r="1976" spans="1:18">
      <c r="A1976" s="15" t="str">
        <f t="shared" si="35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8" t="s">
        <v>75</v>
      </c>
      <c r="P1976" s="48">
        <f>HEX2DEC(RIGHT(Table132321275358[[#This Row],[h1]],8))</f>
        <v>0</v>
      </c>
      <c r="Q1976" s="48" t="s">
        <v>75</v>
      </c>
      <c r="R1976" s="48">
        <f>HEX2DEC(RIGHT(Table132321275358[[#This Row],[h2]],8))</f>
        <v>0</v>
      </c>
    </row>
    <row r="1977" spans="1:18">
      <c r="A1977" s="15" t="str">
        <f t="shared" si="35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8" t="s">
        <v>75</v>
      </c>
      <c r="P1977" s="48">
        <f>HEX2DEC(RIGHT(Table132321275358[[#This Row],[h1]],8))</f>
        <v>0</v>
      </c>
      <c r="Q1977" s="48" t="s">
        <v>75</v>
      </c>
      <c r="R1977" s="48">
        <f>HEX2DEC(RIGHT(Table132321275358[[#This Row],[h2]],8))</f>
        <v>0</v>
      </c>
    </row>
    <row r="1978" spans="1:18">
      <c r="A1978" s="15" t="str">
        <f t="shared" si="35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8" t="s">
        <v>75</v>
      </c>
      <c r="P1978" s="48">
        <f>HEX2DEC(RIGHT(Table132321275358[[#This Row],[h1]],8))</f>
        <v>0</v>
      </c>
      <c r="Q1978" s="48" t="s">
        <v>75</v>
      </c>
      <c r="R1978" s="48">
        <f>HEX2DEC(RIGHT(Table132321275358[[#This Row],[h2]],8))</f>
        <v>0</v>
      </c>
    </row>
    <row r="1979" spans="1:18">
      <c r="A1979" s="15" t="str">
        <f t="shared" si="35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8" t="s">
        <v>75</v>
      </c>
      <c r="P1979" s="48">
        <f>HEX2DEC(RIGHT(Table132321275358[[#This Row],[h1]],8))</f>
        <v>0</v>
      </c>
      <c r="Q1979" s="48" t="s">
        <v>75</v>
      </c>
      <c r="R1979" s="48">
        <f>HEX2DEC(RIGHT(Table132321275358[[#This Row],[h2]],8))</f>
        <v>0</v>
      </c>
    </row>
    <row r="1980" spans="1:18">
      <c r="A1980" s="15" t="str">
        <f t="shared" si="35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8" t="s">
        <v>75</v>
      </c>
      <c r="P1980" s="48">
        <f>HEX2DEC(RIGHT(Table132321275358[[#This Row],[h1]],8))</f>
        <v>0</v>
      </c>
      <c r="Q1980" s="48" t="s">
        <v>75</v>
      </c>
      <c r="R1980" s="48">
        <f>HEX2DEC(RIGHT(Table132321275358[[#This Row],[h2]],8))</f>
        <v>0</v>
      </c>
    </row>
    <row r="1981" spans="1:18">
      <c r="A1981" s="15" t="str">
        <f t="shared" si="35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8" t="s">
        <v>75</v>
      </c>
      <c r="P1981" s="48">
        <f>HEX2DEC(RIGHT(Table132321275358[[#This Row],[h1]],8))</f>
        <v>0</v>
      </c>
      <c r="Q1981" s="48" t="s">
        <v>75</v>
      </c>
      <c r="R1981" s="48">
        <f>HEX2DEC(RIGHT(Table132321275358[[#This Row],[h2]],8))</f>
        <v>0</v>
      </c>
    </row>
    <row r="1982" spans="1:18">
      <c r="A1982" s="15" t="str">
        <f t="shared" si="35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8" t="s">
        <v>75</v>
      </c>
      <c r="P1982" s="48">
        <f>HEX2DEC(RIGHT(Table132321275358[[#This Row],[h1]],8))</f>
        <v>0</v>
      </c>
      <c r="Q1982" s="48" t="s">
        <v>75</v>
      </c>
      <c r="R1982" s="48">
        <f>HEX2DEC(RIGHT(Table132321275358[[#This Row],[h2]],8))</f>
        <v>0</v>
      </c>
    </row>
    <row r="1983" spans="1:18">
      <c r="A1983" s="15" t="str">
        <f t="shared" si="35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8" t="s">
        <v>75</v>
      </c>
      <c r="P1983" s="48">
        <f>HEX2DEC(RIGHT(Table132321275358[[#This Row],[h1]],8))</f>
        <v>0</v>
      </c>
      <c r="Q1983" s="48" t="s">
        <v>75</v>
      </c>
      <c r="R1983" s="48">
        <f>HEX2DEC(RIGHT(Table132321275358[[#This Row],[h2]],8))</f>
        <v>0</v>
      </c>
    </row>
    <row r="1984" spans="1:18">
      <c r="A1984" s="15" t="str">
        <f t="shared" si="35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8" t="s">
        <v>75</v>
      </c>
      <c r="P1984" s="48">
        <f>HEX2DEC(RIGHT(Table132321275358[[#This Row],[h1]],8))</f>
        <v>0</v>
      </c>
      <c r="Q1984" s="48" t="s">
        <v>75</v>
      </c>
      <c r="R1984" s="48">
        <f>HEX2DEC(RIGHT(Table132321275358[[#This Row],[h2]],8))</f>
        <v>0</v>
      </c>
    </row>
    <row r="1985" spans="1:18">
      <c r="A1985" s="15" t="str">
        <f t="shared" si="35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8" t="s">
        <v>75</v>
      </c>
      <c r="P1985" s="48">
        <f>HEX2DEC(RIGHT(Table132321275358[[#This Row],[h1]],8))</f>
        <v>0</v>
      </c>
      <c r="Q1985" s="48" t="s">
        <v>75</v>
      </c>
      <c r="R1985" s="48">
        <f>HEX2DEC(RIGHT(Table132321275358[[#This Row],[h2]],8))</f>
        <v>0</v>
      </c>
    </row>
    <row r="1986" spans="1:18">
      <c r="A1986" s="15" t="str">
        <f t="shared" si="35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8" t="s">
        <v>75</v>
      </c>
      <c r="P1986" s="48">
        <f>HEX2DEC(RIGHT(Table132321275358[[#This Row],[h1]],8))</f>
        <v>0</v>
      </c>
      <c r="Q1986" s="48" t="s">
        <v>75</v>
      </c>
      <c r="R1986" s="48">
        <f>HEX2DEC(RIGHT(Table132321275358[[#This Row],[h2]],8))</f>
        <v>0</v>
      </c>
    </row>
    <row r="1987" spans="1:18">
      <c r="A1987" s="15" t="str">
        <f t="shared" si="35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8" t="s">
        <v>75</v>
      </c>
      <c r="P1987" s="48">
        <f>HEX2DEC(RIGHT(Table132321275358[[#This Row],[h1]],8))</f>
        <v>0</v>
      </c>
      <c r="Q1987" s="48" t="s">
        <v>75</v>
      </c>
      <c r="R1987" s="48">
        <f>HEX2DEC(RIGHT(Table132321275358[[#This Row],[h2]],8))</f>
        <v>0</v>
      </c>
    </row>
    <row r="1988" spans="1:18">
      <c r="A1988" s="15" t="str">
        <f t="shared" si="35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8" t="s">
        <v>75</v>
      </c>
      <c r="P1988" s="48">
        <f>HEX2DEC(RIGHT(Table132321275358[[#This Row],[h1]],8))</f>
        <v>0</v>
      </c>
      <c r="Q1988" s="48" t="s">
        <v>75</v>
      </c>
      <c r="R1988" s="48">
        <f>HEX2DEC(RIGHT(Table132321275358[[#This Row],[h2]],8))</f>
        <v>0</v>
      </c>
    </row>
    <row r="1989" spans="1:18">
      <c r="A1989" s="15" t="str">
        <f t="shared" si="35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8" t="s">
        <v>75</v>
      </c>
      <c r="P1989" s="48">
        <f>HEX2DEC(RIGHT(Table132321275358[[#This Row],[h1]],8))</f>
        <v>0</v>
      </c>
      <c r="Q1989" s="48" t="s">
        <v>75</v>
      </c>
      <c r="R1989" s="48">
        <f>HEX2DEC(RIGHT(Table132321275358[[#This Row],[h2]],8))</f>
        <v>0</v>
      </c>
    </row>
    <row r="1990" spans="1:18">
      <c r="A1990" s="15" t="str">
        <f t="shared" si="35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8" t="s">
        <v>75</v>
      </c>
      <c r="P1990" s="48">
        <f>HEX2DEC(RIGHT(Table132321275358[[#This Row],[h1]],8))</f>
        <v>0</v>
      </c>
      <c r="Q1990" s="48" t="s">
        <v>75</v>
      </c>
      <c r="R1990" s="48">
        <f>HEX2DEC(RIGHT(Table132321275358[[#This Row],[h2]],8))</f>
        <v>0</v>
      </c>
    </row>
    <row r="1991" spans="1:18">
      <c r="A1991" s="15" t="str">
        <f t="shared" si="35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8" t="s">
        <v>75</v>
      </c>
      <c r="P1991" s="48">
        <f>HEX2DEC(RIGHT(Table132321275358[[#This Row],[h1]],8))</f>
        <v>0</v>
      </c>
      <c r="Q1991" s="48" t="s">
        <v>75</v>
      </c>
      <c r="R1991" s="48">
        <f>HEX2DEC(RIGHT(Table132321275358[[#This Row],[h2]],8))</f>
        <v>0</v>
      </c>
    </row>
    <row r="1992" spans="1:18">
      <c r="A1992" s="15" t="str">
        <f t="shared" si="35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8" t="s">
        <v>75</v>
      </c>
      <c r="P1992" s="48">
        <f>HEX2DEC(RIGHT(Table132321275358[[#This Row],[h1]],8))</f>
        <v>0</v>
      </c>
      <c r="Q1992" s="48" t="s">
        <v>75</v>
      </c>
      <c r="R1992" s="48">
        <f>HEX2DEC(RIGHT(Table132321275358[[#This Row],[h2]],8))</f>
        <v>0</v>
      </c>
    </row>
    <row r="1993" spans="1:18">
      <c r="A1993" s="15" t="str">
        <f t="shared" si="35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8" t="s">
        <v>75</v>
      </c>
      <c r="P1993" s="48">
        <f>HEX2DEC(RIGHT(Table132321275358[[#This Row],[h1]],8))</f>
        <v>0</v>
      </c>
      <c r="Q1993" s="48" t="s">
        <v>75</v>
      </c>
      <c r="R1993" s="48">
        <f>HEX2DEC(RIGHT(Table132321275358[[#This Row],[h2]],8))</f>
        <v>0</v>
      </c>
    </row>
    <row r="1994" spans="1:18">
      <c r="A1994" s="15" t="str">
        <f t="shared" si="35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8" t="s">
        <v>75</v>
      </c>
      <c r="P1994" s="48">
        <f>HEX2DEC(RIGHT(Table132321275358[[#This Row],[h1]],8))</f>
        <v>0</v>
      </c>
      <c r="Q1994" s="48" t="s">
        <v>75</v>
      </c>
      <c r="R1994" s="48">
        <f>HEX2DEC(RIGHT(Table132321275358[[#This Row],[h2]],8))</f>
        <v>0</v>
      </c>
    </row>
    <row r="1995" spans="1:18">
      <c r="A1995" s="15" t="str">
        <f t="shared" ref="A1995:A2057" si="36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8" t="s">
        <v>75</v>
      </c>
      <c r="P1995" s="48">
        <f>HEX2DEC(RIGHT(Table132321275358[[#This Row],[h1]],8))</f>
        <v>0</v>
      </c>
      <c r="Q1995" s="48" t="s">
        <v>75</v>
      </c>
      <c r="R1995" s="48">
        <f>HEX2DEC(RIGHT(Table132321275358[[#This Row],[h2]],8))</f>
        <v>0</v>
      </c>
    </row>
    <row r="1996" spans="1:18">
      <c r="A1996" s="15" t="str">
        <f t="shared" si="36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8" t="s">
        <v>75</v>
      </c>
      <c r="P1996" s="48">
        <f>HEX2DEC(RIGHT(Table132321275358[[#This Row],[h1]],8))</f>
        <v>0</v>
      </c>
      <c r="Q1996" s="48" t="s">
        <v>75</v>
      </c>
      <c r="R1996" s="48">
        <f>HEX2DEC(RIGHT(Table132321275358[[#This Row],[h2]],8))</f>
        <v>0</v>
      </c>
    </row>
    <row r="1997" spans="1:18">
      <c r="A1997" s="15" t="str">
        <f t="shared" si="36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8" t="s">
        <v>75</v>
      </c>
      <c r="P1997" s="48">
        <f>HEX2DEC(RIGHT(Table132321275358[[#This Row],[h1]],8))</f>
        <v>0</v>
      </c>
      <c r="Q1997" s="48" t="s">
        <v>75</v>
      </c>
      <c r="R1997" s="48">
        <f>HEX2DEC(RIGHT(Table132321275358[[#This Row],[h2]],8))</f>
        <v>0</v>
      </c>
    </row>
    <row r="1998" spans="1:18">
      <c r="A1998" s="15" t="str">
        <f t="shared" si="36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8" t="s">
        <v>75</v>
      </c>
      <c r="P1998" s="48">
        <f>HEX2DEC(RIGHT(Table132321275358[[#This Row],[h1]],8))</f>
        <v>0</v>
      </c>
      <c r="Q1998" s="48" t="s">
        <v>75</v>
      </c>
      <c r="R1998" s="48">
        <f>HEX2DEC(RIGHT(Table132321275358[[#This Row],[h2]],8))</f>
        <v>0</v>
      </c>
    </row>
    <row r="1999" spans="1:18">
      <c r="A1999" s="15" t="str">
        <f t="shared" si="36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8" t="s">
        <v>75</v>
      </c>
      <c r="P1999" s="48">
        <f>HEX2DEC(RIGHT(Table132321275358[[#This Row],[h1]],8))</f>
        <v>0</v>
      </c>
      <c r="Q1999" s="48" t="s">
        <v>75</v>
      </c>
      <c r="R1999" s="48">
        <f>HEX2DEC(RIGHT(Table132321275358[[#This Row],[h2]],8))</f>
        <v>0</v>
      </c>
    </row>
    <row r="2000" spans="1:18">
      <c r="A2000" s="15" t="str">
        <f t="shared" si="36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8" t="s">
        <v>75</v>
      </c>
      <c r="P2000" s="48">
        <f>HEX2DEC(RIGHT(Table132321275358[[#This Row],[h1]],8))</f>
        <v>0</v>
      </c>
      <c r="Q2000" s="48" t="s">
        <v>75</v>
      </c>
      <c r="R2000" s="48">
        <f>HEX2DEC(RIGHT(Table132321275358[[#This Row],[h2]],8))</f>
        <v>0</v>
      </c>
    </row>
    <row r="2001" spans="1:18">
      <c r="A2001" s="15" t="str">
        <f t="shared" si="36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8" t="s">
        <v>75</v>
      </c>
      <c r="P2001" s="48">
        <f>HEX2DEC(RIGHT(Table132321275358[[#This Row],[h1]],8))</f>
        <v>0</v>
      </c>
      <c r="Q2001" s="48" t="s">
        <v>75</v>
      </c>
      <c r="R2001" s="48">
        <f>HEX2DEC(RIGHT(Table132321275358[[#This Row],[h2]],8))</f>
        <v>0</v>
      </c>
    </row>
    <row r="2002" spans="1:18">
      <c r="A2002" s="15" t="str">
        <f t="shared" si="36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8" t="s">
        <v>75</v>
      </c>
      <c r="P2002" s="48">
        <f>HEX2DEC(RIGHT(Table132321275358[[#This Row],[h1]],8))</f>
        <v>0</v>
      </c>
      <c r="Q2002" s="48" t="s">
        <v>75</v>
      </c>
      <c r="R2002" s="48">
        <f>HEX2DEC(RIGHT(Table132321275358[[#This Row],[h2]],8))</f>
        <v>0</v>
      </c>
    </row>
    <row r="2003" spans="1:18">
      <c r="A2003" s="15" t="str">
        <f t="shared" si="36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8" t="s">
        <v>75</v>
      </c>
      <c r="P2003" s="48">
        <f>HEX2DEC(RIGHT(Table132321275358[[#This Row],[h1]],8))</f>
        <v>0</v>
      </c>
      <c r="Q2003" s="48" t="s">
        <v>75</v>
      </c>
      <c r="R2003" s="48">
        <f>HEX2DEC(RIGHT(Table132321275358[[#This Row],[h2]],8))</f>
        <v>0</v>
      </c>
    </row>
    <row r="2004" spans="1:18">
      <c r="A2004" s="15" t="str">
        <f t="shared" si="36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8" t="s">
        <v>75</v>
      </c>
      <c r="P2004" s="48">
        <f>HEX2DEC(RIGHT(Table132321275358[[#This Row],[h1]],8))</f>
        <v>0</v>
      </c>
      <c r="Q2004" s="48" t="s">
        <v>75</v>
      </c>
      <c r="R2004" s="48">
        <f>HEX2DEC(RIGHT(Table132321275358[[#This Row],[h2]],8))</f>
        <v>0</v>
      </c>
    </row>
    <row r="2005" spans="1:18">
      <c r="A2005" s="15" t="str">
        <f t="shared" si="36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8" t="s">
        <v>75</v>
      </c>
      <c r="P2005" s="48">
        <f>HEX2DEC(RIGHT(Table132321275358[[#This Row],[h1]],8))</f>
        <v>0</v>
      </c>
      <c r="Q2005" s="48" t="s">
        <v>75</v>
      </c>
      <c r="R2005" s="48">
        <f>HEX2DEC(RIGHT(Table132321275358[[#This Row],[h2]],8))</f>
        <v>0</v>
      </c>
    </row>
    <row r="2006" spans="1:18">
      <c r="A2006" s="15" t="str">
        <f t="shared" si="36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8" t="s">
        <v>75</v>
      </c>
      <c r="P2006" s="48">
        <f>HEX2DEC(RIGHT(Table132321275358[[#This Row],[h1]],8))</f>
        <v>0</v>
      </c>
      <c r="Q2006" s="48" t="s">
        <v>75</v>
      </c>
      <c r="R2006" s="48">
        <f>HEX2DEC(RIGHT(Table132321275358[[#This Row],[h2]],8))</f>
        <v>0</v>
      </c>
    </row>
    <row r="2007" spans="1:18">
      <c r="A2007" s="15" t="str">
        <f t="shared" si="36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8" t="s">
        <v>75</v>
      </c>
      <c r="P2007" s="48">
        <f>HEX2DEC(RIGHT(Table132321275358[[#This Row],[h1]],8))</f>
        <v>0</v>
      </c>
      <c r="Q2007" s="48" t="s">
        <v>75</v>
      </c>
      <c r="R2007" s="48">
        <f>HEX2DEC(RIGHT(Table132321275358[[#This Row],[h2]],8))</f>
        <v>0</v>
      </c>
    </row>
    <row r="2008" spans="1:18">
      <c r="A2008" s="15" t="str">
        <f t="shared" si="36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8" t="s">
        <v>75</v>
      </c>
      <c r="P2008" s="48">
        <f>HEX2DEC(RIGHT(Table132321275358[[#This Row],[h1]],8))</f>
        <v>0</v>
      </c>
      <c r="Q2008" s="48" t="s">
        <v>75</v>
      </c>
      <c r="R2008" s="48">
        <f>HEX2DEC(RIGHT(Table132321275358[[#This Row],[h2]],8))</f>
        <v>0</v>
      </c>
    </row>
    <row r="2009" spans="1:18">
      <c r="A2009" s="15" t="str">
        <f t="shared" si="36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8" t="s">
        <v>75</v>
      </c>
      <c r="P2009" s="48">
        <f>HEX2DEC(RIGHT(Table132321275358[[#This Row],[h1]],8))</f>
        <v>0</v>
      </c>
      <c r="Q2009" s="48" t="s">
        <v>75</v>
      </c>
      <c r="R2009" s="48">
        <f>HEX2DEC(RIGHT(Table132321275358[[#This Row],[h2]],8))</f>
        <v>0</v>
      </c>
    </row>
    <row r="2010" spans="1:18">
      <c r="A2010" s="15" t="str">
        <f t="shared" si="36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8" t="s">
        <v>75</v>
      </c>
      <c r="P2010" s="48">
        <f>HEX2DEC(RIGHT(Table132321275358[[#This Row],[h1]],8))</f>
        <v>0</v>
      </c>
      <c r="Q2010" s="48" t="s">
        <v>75</v>
      </c>
      <c r="R2010" s="48">
        <f>HEX2DEC(RIGHT(Table132321275358[[#This Row],[h2]],8))</f>
        <v>0</v>
      </c>
    </row>
    <row r="2011" spans="1:18">
      <c r="A2011" s="15" t="str">
        <f t="shared" si="36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8" t="s">
        <v>75</v>
      </c>
      <c r="P2011" s="48">
        <f>HEX2DEC(RIGHT(Table132321275358[[#This Row],[h1]],8))</f>
        <v>0</v>
      </c>
      <c r="Q2011" s="48" t="s">
        <v>75</v>
      </c>
      <c r="R2011" s="48">
        <f>HEX2DEC(RIGHT(Table132321275358[[#This Row],[h2]],8))</f>
        <v>0</v>
      </c>
    </row>
    <row r="2012" spans="1:18">
      <c r="A2012" s="15" t="str">
        <f t="shared" si="36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8" t="s">
        <v>75</v>
      </c>
      <c r="P2012" s="48">
        <f>HEX2DEC(RIGHT(Table132321275358[[#This Row],[h1]],8))</f>
        <v>0</v>
      </c>
      <c r="Q2012" s="48" t="s">
        <v>75</v>
      </c>
      <c r="R2012" s="48">
        <f>HEX2DEC(RIGHT(Table132321275358[[#This Row],[h2]],8))</f>
        <v>0</v>
      </c>
    </row>
    <row r="2013" spans="1:18">
      <c r="A2013" s="15" t="str">
        <f t="shared" si="36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8" t="s">
        <v>75</v>
      </c>
      <c r="P2013" s="48">
        <f>HEX2DEC(RIGHT(Table132321275358[[#This Row],[h1]],8))</f>
        <v>0</v>
      </c>
      <c r="Q2013" s="48" t="s">
        <v>75</v>
      </c>
      <c r="R2013" s="48">
        <f>HEX2DEC(RIGHT(Table132321275358[[#This Row],[h2]],8))</f>
        <v>0</v>
      </c>
    </row>
    <row r="2014" spans="1:18">
      <c r="A2014" s="15" t="str">
        <f t="shared" si="36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8" t="s">
        <v>75</v>
      </c>
      <c r="P2014" s="48">
        <f>HEX2DEC(RIGHT(Table132321275358[[#This Row],[h1]],8))</f>
        <v>0</v>
      </c>
      <c r="Q2014" s="48" t="s">
        <v>75</v>
      </c>
      <c r="R2014" s="48">
        <f>HEX2DEC(RIGHT(Table132321275358[[#This Row],[h2]],8))</f>
        <v>0</v>
      </c>
    </row>
    <row r="2015" spans="1:18">
      <c r="A2015" s="15" t="str">
        <f t="shared" si="36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8" t="s">
        <v>75</v>
      </c>
      <c r="P2015" s="48">
        <f>HEX2DEC(RIGHT(Table132321275358[[#This Row],[h1]],8))</f>
        <v>0</v>
      </c>
      <c r="Q2015" s="48" t="s">
        <v>75</v>
      </c>
      <c r="R2015" s="48">
        <f>HEX2DEC(RIGHT(Table132321275358[[#This Row],[h2]],8))</f>
        <v>0</v>
      </c>
    </row>
    <row r="2016" spans="1:18">
      <c r="A2016" s="15" t="str">
        <f t="shared" si="36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8" t="s">
        <v>75</v>
      </c>
      <c r="P2016" s="48">
        <f>HEX2DEC(RIGHT(Table132321275358[[#This Row],[h1]],8))</f>
        <v>0</v>
      </c>
      <c r="Q2016" s="48" t="s">
        <v>75</v>
      </c>
      <c r="R2016" s="48">
        <f>HEX2DEC(RIGHT(Table132321275358[[#This Row],[h2]],8))</f>
        <v>0</v>
      </c>
    </row>
    <row r="2017" spans="1:18">
      <c r="A2017" s="15" t="str">
        <f t="shared" si="36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8" t="s">
        <v>75</v>
      </c>
      <c r="P2017" s="48">
        <f>HEX2DEC(RIGHT(Table132321275358[[#This Row],[h1]],8))</f>
        <v>0</v>
      </c>
      <c r="Q2017" s="48" t="s">
        <v>75</v>
      </c>
      <c r="R2017" s="48">
        <f>HEX2DEC(RIGHT(Table132321275358[[#This Row],[h2]],8))</f>
        <v>0</v>
      </c>
    </row>
    <row r="2018" spans="1:18">
      <c r="A2018" s="15" t="str">
        <f t="shared" si="36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8" t="s">
        <v>75</v>
      </c>
      <c r="P2018" s="48">
        <f>HEX2DEC(RIGHT(Table132321275358[[#This Row],[h1]],8))</f>
        <v>0</v>
      </c>
      <c r="Q2018" s="48" t="s">
        <v>75</v>
      </c>
      <c r="R2018" s="48">
        <f>HEX2DEC(RIGHT(Table132321275358[[#This Row],[h2]],8))</f>
        <v>0</v>
      </c>
    </row>
    <row r="2019" spans="1:18">
      <c r="A2019" s="15" t="str">
        <f t="shared" si="36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8" t="s">
        <v>75</v>
      </c>
      <c r="P2019" s="48">
        <f>HEX2DEC(RIGHT(Table132321275358[[#This Row],[h1]],8))</f>
        <v>0</v>
      </c>
      <c r="Q2019" s="48" t="s">
        <v>75</v>
      </c>
      <c r="R2019" s="48">
        <f>HEX2DEC(RIGHT(Table132321275358[[#This Row],[h2]],8))</f>
        <v>0</v>
      </c>
    </row>
    <row r="2020" spans="1:18">
      <c r="A2020" s="15" t="str">
        <f t="shared" si="36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8" t="s">
        <v>75</v>
      </c>
      <c r="P2020" s="48">
        <f>HEX2DEC(RIGHT(Table132321275358[[#This Row],[h1]],8))</f>
        <v>0</v>
      </c>
      <c r="Q2020" s="48" t="s">
        <v>75</v>
      </c>
      <c r="R2020" s="48">
        <f>HEX2DEC(RIGHT(Table132321275358[[#This Row],[h2]],8))</f>
        <v>0</v>
      </c>
    </row>
    <row r="2021" spans="1:18">
      <c r="A2021" s="15" t="str">
        <f t="shared" si="36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8" t="s">
        <v>75</v>
      </c>
      <c r="P2021" s="48">
        <f>HEX2DEC(RIGHT(Table132321275358[[#This Row],[h1]],8))</f>
        <v>0</v>
      </c>
      <c r="Q2021" s="48" t="s">
        <v>75</v>
      </c>
      <c r="R2021" s="48">
        <f>HEX2DEC(RIGHT(Table132321275358[[#This Row],[h2]],8))</f>
        <v>0</v>
      </c>
    </row>
    <row r="2022" spans="1:18">
      <c r="A2022" s="15" t="str">
        <f t="shared" si="36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8" t="s">
        <v>75</v>
      </c>
      <c r="P2022" s="48">
        <f>HEX2DEC(RIGHT(Table132321275358[[#This Row],[h1]],8))</f>
        <v>0</v>
      </c>
      <c r="Q2022" s="48" t="s">
        <v>75</v>
      </c>
      <c r="R2022" s="48">
        <f>HEX2DEC(RIGHT(Table132321275358[[#This Row],[h2]],8))</f>
        <v>0</v>
      </c>
    </row>
    <row r="2023" spans="1:18">
      <c r="A2023" s="15" t="str">
        <f t="shared" si="36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8" t="s">
        <v>75</v>
      </c>
      <c r="P2023" s="48">
        <f>HEX2DEC(RIGHT(Table132321275358[[#This Row],[h1]],8))</f>
        <v>0</v>
      </c>
      <c r="Q2023" s="48" t="s">
        <v>75</v>
      </c>
      <c r="R2023" s="48">
        <f>HEX2DEC(RIGHT(Table132321275358[[#This Row],[h2]],8))</f>
        <v>0</v>
      </c>
    </row>
    <row r="2024" spans="1:18">
      <c r="A2024" s="15" t="str">
        <f t="shared" si="36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8" t="s">
        <v>75</v>
      </c>
      <c r="P2024" s="48">
        <f>HEX2DEC(RIGHT(Table132321275358[[#This Row],[h1]],8))</f>
        <v>0</v>
      </c>
      <c r="Q2024" s="48" t="s">
        <v>75</v>
      </c>
      <c r="R2024" s="48">
        <f>HEX2DEC(RIGHT(Table132321275358[[#This Row],[h2]],8))</f>
        <v>0</v>
      </c>
    </row>
    <row r="2025" spans="1:18">
      <c r="A2025" s="15" t="str">
        <f t="shared" si="36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8" t="s">
        <v>75</v>
      </c>
      <c r="P2025" s="48">
        <f>HEX2DEC(RIGHT(Table132321275358[[#This Row],[h1]],8))</f>
        <v>0</v>
      </c>
      <c r="Q2025" s="48" t="s">
        <v>75</v>
      </c>
      <c r="R2025" s="48">
        <f>HEX2DEC(RIGHT(Table132321275358[[#This Row],[h2]],8))</f>
        <v>0</v>
      </c>
    </row>
    <row r="2026" spans="1:18">
      <c r="A2026" s="15" t="str">
        <f t="shared" si="36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8" t="s">
        <v>75</v>
      </c>
      <c r="P2026" s="48">
        <f>HEX2DEC(RIGHT(Table132321275358[[#This Row],[h1]],8))</f>
        <v>0</v>
      </c>
      <c r="Q2026" s="48" t="s">
        <v>75</v>
      </c>
      <c r="R2026" s="48">
        <f>HEX2DEC(RIGHT(Table132321275358[[#This Row],[h2]],8))</f>
        <v>0</v>
      </c>
    </row>
    <row r="2027" spans="1:18">
      <c r="A2027" s="15" t="str">
        <f t="shared" si="36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8" t="s">
        <v>75</v>
      </c>
      <c r="P2027" s="48">
        <f>HEX2DEC(RIGHT(Table132321275358[[#This Row],[h1]],8))</f>
        <v>0</v>
      </c>
      <c r="Q2027" s="48" t="s">
        <v>75</v>
      </c>
      <c r="R2027" s="48">
        <f>HEX2DEC(RIGHT(Table132321275358[[#This Row],[h2]],8))</f>
        <v>0</v>
      </c>
    </row>
    <row r="2028" spans="1:18">
      <c r="A2028" s="15" t="str">
        <f t="shared" si="36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8" t="s">
        <v>75</v>
      </c>
      <c r="P2028" s="48">
        <f>HEX2DEC(RIGHT(Table132321275358[[#This Row],[h1]],8))</f>
        <v>0</v>
      </c>
      <c r="Q2028" s="48" t="s">
        <v>75</v>
      </c>
      <c r="R2028" s="48">
        <f>HEX2DEC(RIGHT(Table132321275358[[#This Row],[h2]],8))</f>
        <v>0</v>
      </c>
    </row>
    <row r="2029" spans="1:18">
      <c r="A2029" s="15" t="str">
        <f t="shared" si="36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8" t="s">
        <v>75</v>
      </c>
      <c r="P2029" s="48">
        <f>HEX2DEC(RIGHT(Table132321275358[[#This Row],[h1]],8))</f>
        <v>0</v>
      </c>
      <c r="Q2029" s="48" t="s">
        <v>75</v>
      </c>
      <c r="R2029" s="48">
        <f>HEX2DEC(RIGHT(Table132321275358[[#This Row],[h2]],8))</f>
        <v>0</v>
      </c>
    </row>
    <row r="2030" spans="1:18">
      <c r="A2030" s="15" t="str">
        <f t="shared" si="36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8" t="s">
        <v>75</v>
      </c>
      <c r="P2030" s="48">
        <f>HEX2DEC(RIGHT(Table132321275358[[#This Row],[h1]],8))</f>
        <v>0</v>
      </c>
      <c r="Q2030" s="48" t="s">
        <v>75</v>
      </c>
      <c r="R2030" s="48">
        <f>HEX2DEC(RIGHT(Table132321275358[[#This Row],[h2]],8))</f>
        <v>0</v>
      </c>
    </row>
    <row r="2031" spans="1:18">
      <c r="A2031" s="15" t="str">
        <f t="shared" si="36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8" t="s">
        <v>75</v>
      </c>
      <c r="P2031" s="48">
        <f>HEX2DEC(RIGHT(Table132321275358[[#This Row],[h1]],8))</f>
        <v>0</v>
      </c>
      <c r="Q2031" s="48" t="s">
        <v>75</v>
      </c>
      <c r="R2031" s="48">
        <f>HEX2DEC(RIGHT(Table132321275358[[#This Row],[h2]],8))</f>
        <v>0</v>
      </c>
    </row>
    <row r="2032" spans="1:18">
      <c r="A2032" s="15" t="str">
        <f t="shared" si="36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8" t="s">
        <v>75</v>
      </c>
      <c r="P2032" s="48">
        <f>HEX2DEC(RIGHT(Table132321275358[[#This Row],[h1]],8))</f>
        <v>0</v>
      </c>
      <c r="Q2032" s="48" t="s">
        <v>75</v>
      </c>
      <c r="R2032" s="48">
        <f>HEX2DEC(RIGHT(Table132321275358[[#This Row],[h2]],8))</f>
        <v>0</v>
      </c>
    </row>
    <row r="2033" spans="1:18">
      <c r="A2033" s="15" t="str">
        <f t="shared" si="36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8" t="s">
        <v>75</v>
      </c>
      <c r="P2033" s="48">
        <f>HEX2DEC(RIGHT(Table132321275358[[#This Row],[h1]],8))</f>
        <v>0</v>
      </c>
      <c r="Q2033" s="48" t="s">
        <v>75</v>
      </c>
      <c r="R2033" s="48">
        <f>HEX2DEC(RIGHT(Table132321275358[[#This Row],[h2]],8))</f>
        <v>0</v>
      </c>
    </row>
    <row r="2034" spans="1:18">
      <c r="A2034" s="15" t="str">
        <f t="shared" si="36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8" t="s">
        <v>75</v>
      </c>
      <c r="P2034" s="48">
        <f>HEX2DEC(RIGHT(Table132321275358[[#This Row],[h1]],8))</f>
        <v>0</v>
      </c>
      <c r="Q2034" s="48" t="s">
        <v>75</v>
      </c>
      <c r="R2034" s="48">
        <f>HEX2DEC(RIGHT(Table132321275358[[#This Row],[h2]],8))</f>
        <v>0</v>
      </c>
    </row>
    <row r="2035" spans="1:18">
      <c r="A2035" s="15" t="str">
        <f t="shared" si="36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8" t="s">
        <v>75</v>
      </c>
      <c r="P2035" s="48">
        <f>HEX2DEC(RIGHT(Table132321275358[[#This Row],[h1]],8))</f>
        <v>0</v>
      </c>
      <c r="Q2035" s="48" t="s">
        <v>75</v>
      </c>
      <c r="R2035" s="48">
        <f>HEX2DEC(RIGHT(Table132321275358[[#This Row],[h2]],8))</f>
        <v>0</v>
      </c>
    </row>
    <row r="2036" spans="1:18">
      <c r="A2036" s="15" t="str">
        <f t="shared" si="36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8" t="s">
        <v>75</v>
      </c>
      <c r="P2036" s="48">
        <f>HEX2DEC(RIGHT(Table132321275358[[#This Row],[h1]],8))</f>
        <v>0</v>
      </c>
      <c r="Q2036" s="48" t="s">
        <v>75</v>
      </c>
      <c r="R2036" s="48">
        <f>HEX2DEC(RIGHT(Table132321275358[[#This Row],[h2]],8))</f>
        <v>0</v>
      </c>
    </row>
    <row r="2037" spans="1:18">
      <c r="A2037" s="15" t="str">
        <f t="shared" si="36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8" t="s">
        <v>75</v>
      </c>
      <c r="P2037" s="48">
        <f>HEX2DEC(RIGHT(Table132321275358[[#This Row],[h1]],8))</f>
        <v>0</v>
      </c>
      <c r="Q2037" s="48" t="s">
        <v>75</v>
      </c>
      <c r="R2037" s="48">
        <f>HEX2DEC(RIGHT(Table132321275358[[#This Row],[h2]],8))</f>
        <v>0</v>
      </c>
    </row>
    <row r="2038" spans="1:18">
      <c r="A2038" s="15" t="str">
        <f t="shared" si="36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8" t="s">
        <v>75</v>
      </c>
      <c r="P2038" s="48">
        <f>HEX2DEC(RIGHT(Table132321275358[[#This Row],[h1]],8))</f>
        <v>0</v>
      </c>
      <c r="Q2038" s="48" t="s">
        <v>75</v>
      </c>
      <c r="R2038" s="48">
        <f>HEX2DEC(RIGHT(Table132321275358[[#This Row],[h2]],8))</f>
        <v>0</v>
      </c>
    </row>
    <row r="2039" spans="1:18">
      <c r="A2039" s="15" t="str">
        <f t="shared" si="36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8" t="s">
        <v>75</v>
      </c>
      <c r="P2039" s="48">
        <f>HEX2DEC(RIGHT(Table132321275358[[#This Row],[h1]],8))</f>
        <v>0</v>
      </c>
      <c r="Q2039" s="48" t="s">
        <v>75</v>
      </c>
      <c r="R2039" s="48">
        <f>HEX2DEC(RIGHT(Table132321275358[[#This Row],[h2]],8))</f>
        <v>0</v>
      </c>
    </row>
    <row r="2040" spans="1:18">
      <c r="A2040" s="15" t="str">
        <f t="shared" si="36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8" t="s">
        <v>75</v>
      </c>
      <c r="P2040" s="48">
        <f>HEX2DEC(RIGHT(Table132321275358[[#This Row],[h1]],8))</f>
        <v>0</v>
      </c>
      <c r="Q2040" s="48" t="s">
        <v>75</v>
      </c>
      <c r="R2040" s="48">
        <f>HEX2DEC(RIGHT(Table132321275358[[#This Row],[h2]],8))</f>
        <v>0</v>
      </c>
    </row>
    <row r="2041" spans="1:18">
      <c r="A2041" s="15" t="str">
        <f t="shared" si="36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8" t="s">
        <v>75</v>
      </c>
      <c r="P2041" s="48">
        <f>HEX2DEC(RIGHT(Table132321275358[[#This Row],[h1]],8))</f>
        <v>0</v>
      </c>
      <c r="Q2041" s="48" t="s">
        <v>75</v>
      </c>
      <c r="R2041" s="48">
        <f>HEX2DEC(RIGHT(Table132321275358[[#This Row],[h2]],8))</f>
        <v>0</v>
      </c>
    </row>
    <row r="2042" spans="1:18">
      <c r="A2042" s="15" t="str">
        <f t="shared" si="36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8" t="s">
        <v>26</v>
      </c>
      <c r="Q2042" s="48" t="s">
        <v>26</v>
      </c>
    </row>
    <row r="2043" spans="1:18">
      <c r="A2043" s="15" t="str">
        <f t="shared" si="36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6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6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6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6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6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6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6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6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6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6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6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6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6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6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48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67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>
          <x14:formula1>
            <xm:f>org!$B$48:$B$56</xm:f>
          </x14:formula1>
          <xm:sqref>G114:G145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2115"/>
  <sheetViews>
    <sheetView zoomScaleNormal="100" workbookViewId="0">
      <pane xSplit="3" ySplit="6" topLeftCell="D76" activePane="bottomRight" state="frozen"/>
      <selection pane="topRight" activeCell="C1" sqref="C1"/>
      <selection pane="bottomLeft" activeCell="A7" sqref="A7"/>
      <selection pane="bottomRight" activeCell="G88" sqref="G88"/>
    </sheetView>
  </sheetViews>
  <sheetFormatPr defaultColWidth="11.5" defaultRowHeight="12"/>
  <cols>
    <col min="1" max="1" width="8.5" style="15" bestFit="1" customWidth="1"/>
    <col min="2" max="2" width="16.09765625" style="15" bestFit="1" customWidth="1"/>
    <col min="3" max="3" width="5" style="48" bestFit="1" customWidth="1"/>
    <col min="4" max="4" width="25.69921875" style="15" bestFit="1" customWidth="1"/>
    <col min="5" max="5" width="11.19921875" style="15" bestFit="1" customWidth="1"/>
    <col min="6" max="6" width="11.59765625" style="15" bestFit="1" customWidth="1"/>
    <col min="7" max="7" width="24.8984375" style="15" bestFit="1" customWidth="1"/>
    <col min="8" max="8" width="1.5" style="15" bestFit="1" customWidth="1"/>
    <col min="9" max="9" width="13.09765625" style="23" bestFit="1" customWidth="1"/>
    <col min="10" max="10" width="16.09765625" style="23" bestFit="1" customWidth="1"/>
    <col min="11" max="11" width="1.69921875" style="15" bestFit="1" customWidth="1"/>
    <col min="12" max="12" width="13.09765625" style="23" bestFit="1" customWidth="1"/>
    <col min="13" max="13" width="16.09765625" style="23" bestFit="1" customWidth="1"/>
    <col min="14" max="14" width="3.19921875" style="48" hidden="1" customWidth="1"/>
    <col min="15" max="16" width="12.19921875" style="48" hidden="1" customWidth="1"/>
    <col min="17" max="18" width="14.09765625" style="48" hidden="1" customWidth="1"/>
    <col min="19" max="19" width="1.69921875" style="48" hidden="1" customWidth="1"/>
    <col min="20" max="20" width="11.59765625" style="15" hidden="1" customWidth="1"/>
    <col min="21" max="21" width="10.69921875" style="15" hidden="1" customWidth="1"/>
    <col min="22" max="22" width="9" style="15" hidden="1" customWidth="1"/>
    <col min="23" max="23" width="13.3984375" style="15" hidden="1" customWidth="1"/>
    <col min="24" max="24" width="13.69921875" style="15" customWidth="1"/>
    <col min="25" max="16384" width="11.5" style="15"/>
  </cols>
  <sheetData>
    <row r="1" spans="1:23" s="48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8" customFormat="1">
      <c r="A2" s="9" t="s">
        <v>30</v>
      </c>
      <c r="B2" s="10" t="s">
        <v>33</v>
      </c>
      <c r="D2" s="60" t="s">
        <v>28</v>
      </c>
      <c r="E2" s="60"/>
      <c r="F2" s="60"/>
      <c r="G2" s="60"/>
      <c r="I2" s="60" t="s">
        <v>68</v>
      </c>
      <c r="J2" s="60"/>
      <c r="K2" s="11"/>
      <c r="L2" s="60" t="s">
        <v>69</v>
      </c>
      <c r="M2" s="60"/>
      <c r="O2" s="60" t="s">
        <v>135</v>
      </c>
      <c r="P2" s="60"/>
      <c r="Q2" s="60"/>
      <c r="R2" s="60"/>
      <c r="T2" s="60" t="s">
        <v>29</v>
      </c>
      <c r="U2" s="60"/>
      <c r="V2" s="60"/>
      <c r="W2" s="60"/>
    </row>
    <row r="3" spans="1:23" s="48" customFormat="1">
      <c r="A3" s="12" t="s">
        <v>31</v>
      </c>
      <c r="C3" s="48" t="s">
        <v>22</v>
      </c>
      <c r="D3" s="48" t="s">
        <v>9</v>
      </c>
      <c r="E3" s="48" t="s">
        <v>10</v>
      </c>
      <c r="F3" s="48" t="s">
        <v>11</v>
      </c>
      <c r="G3" s="48" t="s">
        <v>83</v>
      </c>
      <c r="I3" s="48" t="s">
        <v>6</v>
      </c>
      <c r="J3" s="48" t="s">
        <v>7</v>
      </c>
      <c r="L3" s="48" t="s">
        <v>6</v>
      </c>
      <c r="M3" s="48" t="s">
        <v>7</v>
      </c>
      <c r="O3" s="48" t="s">
        <v>76</v>
      </c>
      <c r="P3" s="32" t="s">
        <v>77</v>
      </c>
      <c r="Q3" s="48" t="s">
        <v>78</v>
      </c>
      <c r="R3" s="48" t="s">
        <v>79</v>
      </c>
      <c r="T3" s="48" t="s">
        <v>5</v>
      </c>
      <c r="U3" s="48" t="s">
        <v>6</v>
      </c>
      <c r="V3" s="48" t="s">
        <v>8</v>
      </c>
      <c r="W3" s="48" t="s">
        <v>7</v>
      </c>
    </row>
    <row r="4" spans="1:23" s="48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8" customFormat="1">
      <c r="A5" s="12" t="s">
        <v>329</v>
      </c>
      <c r="B5" s="48" t="str">
        <f>A3&amp;"."&amp;A4&amp;"."&amp;A5&amp;A6&amp;"."</f>
        <v>SCL3.TS.EVR002.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8" customFormat="1">
      <c r="A6" s="12" t="s">
        <v>429</v>
      </c>
      <c r="B6" s="48" t="str">
        <f>A3&amp;":"&amp;A4&amp;":"&amp;A5&amp;A6&amp;":"</f>
        <v>SCL3:TS:EVR002: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48"/>
      <c r="I7" s="27" t="s">
        <v>250</v>
      </c>
      <c r="J7" s="28" t="s">
        <v>251</v>
      </c>
      <c r="K7" s="29"/>
      <c r="L7" s="27" t="s">
        <v>252</v>
      </c>
      <c r="M7" s="28" t="s">
        <v>253</v>
      </c>
      <c r="O7" s="18" t="s">
        <v>136</v>
      </c>
      <c r="P7" s="18"/>
      <c r="Q7" s="18" t="s">
        <v>137</v>
      </c>
    </row>
    <row r="8" spans="1:23">
      <c r="C8" s="38"/>
      <c r="G8" s="19"/>
      <c r="H8" s="48"/>
      <c r="I8" s="58">
        <v>32768</v>
      </c>
      <c r="J8" s="59">
        <v>10</v>
      </c>
      <c r="K8" s="14"/>
      <c r="L8" s="58">
        <v>32768</v>
      </c>
      <c r="M8" s="59">
        <v>10</v>
      </c>
      <c r="O8" s="18"/>
      <c r="P8" s="18"/>
      <c r="Q8" s="18"/>
      <c r="R8" s="18"/>
    </row>
    <row r="9" spans="1:23">
      <c r="C9" s="38"/>
      <c r="G9" s="19"/>
      <c r="H9" s="48"/>
      <c r="I9" s="58">
        <v>0</v>
      </c>
      <c r="J9" s="59">
        <v>10</v>
      </c>
      <c r="K9" s="14"/>
      <c r="L9" s="58">
        <v>0</v>
      </c>
      <c r="M9" s="59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8"/>
      <c r="I10" s="58">
        <v>0</v>
      </c>
      <c r="J10" s="58">
        <v>10</v>
      </c>
      <c r="K10" s="14"/>
      <c r="L10" s="58">
        <v>0</v>
      </c>
      <c r="M10" s="58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138</v>
      </c>
      <c r="G11" s="31">
        <v>500</v>
      </c>
      <c r="H11" s="48"/>
      <c r="I11" s="27">
        <v>5</v>
      </c>
      <c r="J11" s="27">
        <v>50000</v>
      </c>
      <c r="K11" s="48"/>
      <c r="L11" s="27">
        <v>31</v>
      </c>
      <c r="M11" s="27">
        <v>249999</v>
      </c>
      <c r="N11" s="48">
        <v>1</v>
      </c>
      <c r="O11" s="48" t="s">
        <v>332</v>
      </c>
      <c r="P11" s="48">
        <f>HEX2DEC(RIGHT(Table13232127535868[[#This Row],[h1]],8))</f>
        <v>65536</v>
      </c>
      <c r="Q11" s="48" t="s">
        <v>75</v>
      </c>
      <c r="R11" s="48">
        <f>HEX2DEC(RIGHT(Table13232127535868[[#This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48"/>
      <c r="I12" s="27">
        <v>1</v>
      </c>
      <c r="J12" s="27">
        <v>50000</v>
      </c>
      <c r="K12" s="48"/>
      <c r="L12" s="27">
        <v>32</v>
      </c>
      <c r="M12" s="27">
        <v>249999</v>
      </c>
      <c r="N12" s="48">
        <v>2</v>
      </c>
      <c r="O12" s="48" t="s">
        <v>333</v>
      </c>
      <c r="P12" s="48">
        <f>HEX2DEC(RIGHT(Table13232127535868[[#This Row],[h1]],8))</f>
        <v>196608</v>
      </c>
      <c r="Q12" s="48" t="s">
        <v>75</v>
      </c>
      <c r="R12" s="48">
        <f>HEX2DEC(RIGHT(Table13232127535868[[#This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48"/>
      <c r="I13" s="27">
        <v>2</v>
      </c>
      <c r="J13" s="27">
        <v>50000</v>
      </c>
      <c r="K13" s="48"/>
      <c r="L13" s="27">
        <v>33</v>
      </c>
      <c r="M13" s="27">
        <v>249999</v>
      </c>
      <c r="N13" s="48">
        <v>3</v>
      </c>
      <c r="O13" s="48" t="s">
        <v>334</v>
      </c>
      <c r="P13" s="48">
        <f>HEX2DEC(RIGHT(Table13232127535868[[#This Row],[h1]],8))</f>
        <v>458752</v>
      </c>
      <c r="Q13" s="48" t="s">
        <v>75</v>
      </c>
      <c r="R13" s="48">
        <f>HEX2DEC(RIGHT(Table13232127535868[[#This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9"/>
      <c r="H14" s="48"/>
      <c r="I14" s="27">
        <v>1</v>
      </c>
      <c r="J14" s="27">
        <v>50000</v>
      </c>
      <c r="K14" s="48"/>
      <c r="L14" s="27">
        <v>34</v>
      </c>
      <c r="M14" s="27">
        <v>249999</v>
      </c>
      <c r="N14" s="48">
        <v>4</v>
      </c>
      <c r="O14" s="48" t="s">
        <v>335</v>
      </c>
      <c r="P14" s="48">
        <f>HEX2DEC(RIGHT(Table13232127535868[[#This Row],[h1]],8))</f>
        <v>983040</v>
      </c>
      <c r="Q14" s="48" t="s">
        <v>75</v>
      </c>
      <c r="R14" s="48">
        <f>HEX2DEC(RIGHT(Table13232127535868[[#This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147</v>
      </c>
      <c r="G15" s="49">
        <v>0</v>
      </c>
      <c r="H15" s="48"/>
      <c r="I15" s="27">
        <v>3</v>
      </c>
      <c r="J15" s="27">
        <v>50000</v>
      </c>
      <c r="K15" s="48"/>
      <c r="L15" s="57" t="s">
        <v>67</v>
      </c>
      <c r="M15" s="57">
        <v>249999</v>
      </c>
      <c r="N15" s="48">
        <v>5</v>
      </c>
      <c r="O15" s="48" t="s">
        <v>407</v>
      </c>
      <c r="P15" s="48">
        <f>HEX2DEC(RIGHT(Table13232127535868[[#This Row],[h1]],8))</f>
        <v>2031616</v>
      </c>
      <c r="Q15" s="48" t="s">
        <v>75</v>
      </c>
      <c r="R15" s="48">
        <f>HEX2DEC(RIGHT(Table13232127535868[[#This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148</v>
      </c>
      <c r="G16" s="49">
        <v>0</v>
      </c>
      <c r="H16" s="48"/>
      <c r="I16" s="27">
        <v>1</v>
      </c>
      <c r="J16" s="27">
        <v>50000</v>
      </c>
      <c r="K16" s="48"/>
      <c r="L16" s="27"/>
      <c r="M16" s="27">
        <v>50000</v>
      </c>
      <c r="N16" s="48">
        <v>6</v>
      </c>
      <c r="O16" s="48" t="s">
        <v>75</v>
      </c>
      <c r="P16" s="48">
        <f>HEX2DEC(RIGHT(Table13232127535868[[#This Row],[h1]],8))</f>
        <v>0</v>
      </c>
      <c r="Q16" s="48" t="s">
        <v>75</v>
      </c>
      <c r="R16" s="48">
        <f>HEX2DEC(RIGHT(Table13232127535868[[#This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149</v>
      </c>
      <c r="G17" s="49">
        <v>0</v>
      </c>
      <c r="H17" s="48"/>
      <c r="I17" s="27">
        <v>2</v>
      </c>
      <c r="J17" s="27">
        <v>50000</v>
      </c>
      <c r="K17" s="48"/>
      <c r="L17" s="27"/>
      <c r="M17" s="27">
        <v>50000</v>
      </c>
      <c r="N17" s="48">
        <v>7</v>
      </c>
      <c r="O17" s="48" t="s">
        <v>75</v>
      </c>
      <c r="P17" s="48">
        <f>HEX2DEC(RIGHT(Table13232127535868[[#This Row],[h1]],8))</f>
        <v>0</v>
      </c>
      <c r="Q17" s="48" t="s">
        <v>75</v>
      </c>
      <c r="R17" s="48">
        <f>HEX2DEC(RIGHT(Table13232127535868[[#This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150</v>
      </c>
      <c r="G18" s="49">
        <v>0</v>
      </c>
      <c r="H18" s="48"/>
      <c r="I18" s="27">
        <v>1</v>
      </c>
      <c r="J18" s="27">
        <v>50000</v>
      </c>
      <c r="K18" s="48"/>
      <c r="L18" s="27"/>
      <c r="M18" s="27">
        <v>50000</v>
      </c>
      <c r="N18" s="48">
        <v>8</v>
      </c>
      <c r="O18" s="48" t="s">
        <v>75</v>
      </c>
      <c r="P18" s="48">
        <f>HEX2DEC(RIGHT(Table13232127535868[[#This Row],[h1]],8))</f>
        <v>0</v>
      </c>
      <c r="Q18" s="48" t="s">
        <v>75</v>
      </c>
      <c r="R18" s="48">
        <f>HEX2DEC(RIGHT(Table13232127535868[[#This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151</v>
      </c>
      <c r="G19" s="49">
        <v>0</v>
      </c>
      <c r="H19" s="48"/>
      <c r="I19" s="27">
        <v>3</v>
      </c>
      <c r="J19" s="27">
        <v>50000</v>
      </c>
      <c r="K19" s="48"/>
      <c r="L19" s="27"/>
      <c r="M19" s="27">
        <v>50000</v>
      </c>
      <c r="N19" s="48">
        <v>9</v>
      </c>
      <c r="O19" s="48" t="s">
        <v>75</v>
      </c>
      <c r="P19" s="48">
        <f>HEX2DEC(RIGHT(Table13232127535868[[#This Row],[h1]],8))</f>
        <v>0</v>
      </c>
      <c r="Q19" s="48" t="s">
        <v>75</v>
      </c>
      <c r="R19" s="48">
        <f>HEX2DEC(RIGHT(Table13232127535868[[#This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152</v>
      </c>
      <c r="G20" s="49">
        <v>0</v>
      </c>
      <c r="H20" s="48"/>
      <c r="I20" s="27">
        <v>1</v>
      </c>
      <c r="J20" s="27">
        <v>50000</v>
      </c>
      <c r="K20" s="48"/>
      <c r="L20" s="27"/>
      <c r="M20" s="27">
        <v>50000</v>
      </c>
      <c r="N20" s="48">
        <v>10</v>
      </c>
      <c r="O20" s="48" t="s">
        <v>75</v>
      </c>
      <c r="P20" s="48">
        <f>HEX2DEC(RIGHT(Table13232127535868[[#This Row],[h1]],8))</f>
        <v>0</v>
      </c>
      <c r="Q20" s="48" t="s">
        <v>75</v>
      </c>
      <c r="R20" s="48">
        <f>HEX2DEC(RIGHT(Table13232127535868[[#This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153</v>
      </c>
      <c r="G21" s="49">
        <v>0</v>
      </c>
      <c r="H21" s="48"/>
      <c r="I21" s="27">
        <v>2</v>
      </c>
      <c r="J21" s="27">
        <v>50000</v>
      </c>
      <c r="K21" s="48"/>
      <c r="L21" s="27"/>
      <c r="M21" s="27">
        <v>50000</v>
      </c>
      <c r="N21" s="48">
        <v>11</v>
      </c>
      <c r="O21" s="48" t="s">
        <v>75</v>
      </c>
      <c r="P21" s="48">
        <f>HEX2DEC(RIGHT(Table13232127535868[[#This Row],[h1]],8))</f>
        <v>0</v>
      </c>
      <c r="Q21" s="48" t="s">
        <v>75</v>
      </c>
      <c r="R21" s="48">
        <f>HEX2DEC(RIGHT(Table13232127535868[[#This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154</v>
      </c>
      <c r="G22" s="49">
        <v>0</v>
      </c>
      <c r="H22" s="48"/>
      <c r="I22" s="27">
        <v>1</v>
      </c>
      <c r="J22" s="27">
        <v>50000</v>
      </c>
      <c r="K22" s="48"/>
      <c r="L22" s="27"/>
      <c r="M22" s="27">
        <v>50000</v>
      </c>
      <c r="N22" s="48">
        <v>12</v>
      </c>
      <c r="O22" s="48" t="s">
        <v>75</v>
      </c>
      <c r="P22" s="48">
        <f>HEX2DEC(RIGHT(Table13232127535868[[#This Row],[h1]],8))</f>
        <v>0</v>
      </c>
      <c r="Q22" s="48" t="s">
        <v>75</v>
      </c>
      <c r="R22" s="48">
        <f>HEX2DEC(RIGHT(Table13232127535868[[#This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155</v>
      </c>
      <c r="G23" s="49">
        <v>0</v>
      </c>
      <c r="H23" s="48"/>
      <c r="I23" s="27">
        <v>4</v>
      </c>
      <c r="J23" s="27">
        <v>50000</v>
      </c>
      <c r="K23" s="48"/>
      <c r="L23" s="27"/>
      <c r="M23" s="27">
        <v>50000</v>
      </c>
      <c r="N23" s="48">
        <v>13</v>
      </c>
      <c r="O23" s="48" t="s">
        <v>75</v>
      </c>
      <c r="P23" s="48">
        <f>HEX2DEC(RIGHT(Table13232127535868[[#This Row],[h1]],8))</f>
        <v>0</v>
      </c>
      <c r="Q23" s="48" t="s">
        <v>75</v>
      </c>
      <c r="R23" s="48">
        <f>HEX2DEC(RIGHT(Table13232127535868[[#This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156</v>
      </c>
      <c r="G24" s="49">
        <v>0</v>
      </c>
      <c r="H24" s="48"/>
      <c r="I24" s="27">
        <v>1</v>
      </c>
      <c r="J24" s="27">
        <v>50000</v>
      </c>
      <c r="K24" s="48"/>
      <c r="L24" s="27"/>
      <c r="M24" s="27">
        <v>50000</v>
      </c>
      <c r="N24" s="48">
        <v>14</v>
      </c>
      <c r="O24" s="48" t="s">
        <v>75</v>
      </c>
      <c r="P24" s="48">
        <f>HEX2DEC(RIGHT(Table13232127535868[[#This Row],[h1]],8))</f>
        <v>0</v>
      </c>
      <c r="Q24" s="48" t="s">
        <v>75</v>
      </c>
      <c r="R24" s="48">
        <f>HEX2DEC(RIGHT(Table13232127535868[[#This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157</v>
      </c>
      <c r="G25" s="49">
        <v>0</v>
      </c>
      <c r="H25" s="48"/>
      <c r="I25" s="27">
        <v>2</v>
      </c>
      <c r="J25" s="27">
        <v>50000</v>
      </c>
      <c r="K25" s="48"/>
      <c r="L25" s="27"/>
      <c r="M25" s="27">
        <v>50000</v>
      </c>
      <c r="N25" s="48">
        <v>15</v>
      </c>
      <c r="O25" s="48" t="s">
        <v>75</v>
      </c>
      <c r="P25" s="48">
        <f>HEX2DEC(RIGHT(Table13232127535868[[#This Row],[h1]],8))</f>
        <v>0</v>
      </c>
      <c r="Q25" s="48" t="s">
        <v>75</v>
      </c>
      <c r="R25" s="48">
        <f>HEX2DEC(RIGHT(Table13232127535868[[#This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158</v>
      </c>
      <c r="G26" s="49">
        <v>0</v>
      </c>
      <c r="H26" s="48"/>
      <c r="I26" s="27">
        <v>1</v>
      </c>
      <c r="J26" s="27">
        <v>50000</v>
      </c>
      <c r="K26" s="48"/>
      <c r="L26" s="27"/>
      <c r="M26" s="27">
        <v>50000</v>
      </c>
      <c r="N26" s="48">
        <v>16</v>
      </c>
      <c r="O26" s="48" t="s">
        <v>75</v>
      </c>
      <c r="P26" s="48">
        <f>HEX2DEC(RIGHT(Table13232127535868[[#This Row],[h1]],8))</f>
        <v>0</v>
      </c>
      <c r="Q26" s="48" t="s">
        <v>75</v>
      </c>
      <c r="R26" s="48">
        <f>HEX2DEC(RIGHT(Table13232127535868[[#This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159</v>
      </c>
      <c r="G27" s="49">
        <v>0</v>
      </c>
      <c r="H27" s="48"/>
      <c r="I27" s="27">
        <v>3</v>
      </c>
      <c r="J27" s="27">
        <v>50000</v>
      </c>
      <c r="K27" s="48"/>
      <c r="L27" s="27"/>
      <c r="M27" s="27">
        <v>50000</v>
      </c>
      <c r="N27" s="48">
        <v>17</v>
      </c>
      <c r="O27" s="48" t="s">
        <v>75</v>
      </c>
      <c r="P27" s="48">
        <f>HEX2DEC(RIGHT(Table13232127535868[[#This Row],[h1]],8))</f>
        <v>0</v>
      </c>
      <c r="Q27" s="48" t="s">
        <v>75</v>
      </c>
      <c r="R27" s="48">
        <f>HEX2DEC(RIGHT(Table13232127535868[[#This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160</v>
      </c>
      <c r="G28" s="49">
        <v>0</v>
      </c>
      <c r="H28" s="48"/>
      <c r="I28" s="27">
        <v>1</v>
      </c>
      <c r="J28" s="27">
        <v>50000</v>
      </c>
      <c r="K28" s="48"/>
      <c r="L28" s="27"/>
      <c r="M28" s="27">
        <v>50000</v>
      </c>
      <c r="N28" s="48">
        <v>18</v>
      </c>
      <c r="O28" s="48" t="s">
        <v>75</v>
      </c>
      <c r="P28" s="48">
        <f>HEX2DEC(RIGHT(Table13232127535868[[#This Row],[h1]],8))</f>
        <v>0</v>
      </c>
      <c r="Q28" s="48" t="s">
        <v>75</v>
      </c>
      <c r="R28" s="48">
        <f>HEX2DEC(RIGHT(Table13232127535868[[#This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161</v>
      </c>
      <c r="G29" s="49">
        <v>0</v>
      </c>
      <c r="H29" s="48"/>
      <c r="I29" s="27">
        <v>2</v>
      </c>
      <c r="J29" s="27">
        <v>50000</v>
      </c>
      <c r="K29" s="48"/>
      <c r="L29" s="27"/>
      <c r="M29" s="27">
        <v>50000</v>
      </c>
      <c r="N29" s="48">
        <v>19</v>
      </c>
      <c r="O29" s="48" t="s">
        <v>75</v>
      </c>
      <c r="P29" s="48">
        <f>HEX2DEC(RIGHT(Table13232127535868[[#This Row],[h1]],8))</f>
        <v>0</v>
      </c>
      <c r="Q29" s="48" t="s">
        <v>75</v>
      </c>
      <c r="R29" s="48">
        <f>HEX2DEC(RIGHT(Table13232127535868[[#This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162</v>
      </c>
      <c r="G30" s="49">
        <v>0</v>
      </c>
      <c r="H30" s="48"/>
      <c r="I30" s="27">
        <v>1</v>
      </c>
      <c r="J30" s="27">
        <v>50000</v>
      </c>
      <c r="K30" s="48"/>
      <c r="L30" s="27"/>
      <c r="M30" s="27">
        <v>50000</v>
      </c>
      <c r="N30" s="48">
        <v>20</v>
      </c>
      <c r="O30" s="48" t="s">
        <v>75</v>
      </c>
      <c r="P30" s="48">
        <f>HEX2DEC(RIGHT(Table13232127535868[[#This Row],[h1]],8))</f>
        <v>0</v>
      </c>
      <c r="Q30" s="48" t="s">
        <v>75</v>
      </c>
      <c r="R30" s="48">
        <f>HEX2DEC(RIGHT(Table13232127535868[[#This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163</v>
      </c>
      <c r="G31" s="49">
        <v>0</v>
      </c>
      <c r="H31" s="48"/>
      <c r="I31" s="27">
        <v>3</v>
      </c>
      <c r="J31" s="27">
        <v>50000</v>
      </c>
      <c r="K31" s="48"/>
      <c r="L31" s="27"/>
      <c r="M31" s="27">
        <v>50000</v>
      </c>
      <c r="N31" s="48">
        <v>21</v>
      </c>
      <c r="O31" s="48" t="s">
        <v>75</v>
      </c>
      <c r="P31" s="48">
        <f>HEX2DEC(RIGHT(Table13232127535868[[#This Row],[h1]],8))</f>
        <v>0</v>
      </c>
      <c r="Q31" s="48" t="s">
        <v>75</v>
      </c>
      <c r="R31" s="48">
        <f>HEX2DEC(RIGHT(Table13232127535868[[#This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164</v>
      </c>
      <c r="G32" s="49">
        <v>0</v>
      </c>
      <c r="H32" s="48"/>
      <c r="I32" s="27">
        <v>1</v>
      </c>
      <c r="J32" s="27">
        <v>50000</v>
      </c>
      <c r="K32" s="48"/>
      <c r="L32" s="27"/>
      <c r="M32" s="27">
        <v>50000</v>
      </c>
      <c r="N32" s="48">
        <v>22</v>
      </c>
      <c r="O32" s="48" t="s">
        <v>75</v>
      </c>
      <c r="P32" s="48">
        <f>HEX2DEC(RIGHT(Table13232127535868[[#This Row],[h1]],8))</f>
        <v>0</v>
      </c>
      <c r="Q32" s="48" t="s">
        <v>75</v>
      </c>
      <c r="R32" s="48">
        <f>HEX2DEC(RIGHT(Table13232127535868[[#This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165</v>
      </c>
      <c r="G33" s="49">
        <v>0</v>
      </c>
      <c r="H33" s="48"/>
      <c r="I33" s="27">
        <v>2</v>
      </c>
      <c r="J33" s="27">
        <v>50000</v>
      </c>
      <c r="K33" s="48"/>
      <c r="L33" s="27"/>
      <c r="M33" s="27">
        <v>50000</v>
      </c>
      <c r="N33" s="48">
        <v>23</v>
      </c>
      <c r="O33" s="48" t="s">
        <v>75</v>
      </c>
      <c r="P33" s="48">
        <f>HEX2DEC(RIGHT(Table13232127535868[[#This Row],[h1]],8))</f>
        <v>0</v>
      </c>
      <c r="Q33" s="48" t="s">
        <v>75</v>
      </c>
      <c r="R33" s="48">
        <f>HEX2DEC(RIGHT(Table13232127535868[[#This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166</v>
      </c>
      <c r="G34" s="49">
        <v>0</v>
      </c>
      <c r="H34" s="48"/>
      <c r="I34" s="27">
        <v>1</v>
      </c>
      <c r="J34" s="27">
        <v>50000</v>
      </c>
      <c r="K34" s="48"/>
      <c r="L34" s="27"/>
      <c r="M34" s="27">
        <v>50000</v>
      </c>
      <c r="N34" s="48">
        <v>24</v>
      </c>
      <c r="O34" s="48" t="s">
        <v>75</v>
      </c>
      <c r="P34" s="48">
        <f>HEX2DEC(RIGHT(Table13232127535868[[#This Row],[h1]],8))</f>
        <v>0</v>
      </c>
      <c r="Q34" s="48" t="s">
        <v>75</v>
      </c>
      <c r="R34" s="48">
        <f>HEX2DEC(RIGHT(Table13232127535868[[#This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167</v>
      </c>
      <c r="G35" s="49">
        <v>0</v>
      </c>
      <c r="H35" s="48"/>
      <c r="I35" s="27">
        <v>4</v>
      </c>
      <c r="J35" s="27">
        <v>50000</v>
      </c>
      <c r="K35" s="48"/>
      <c r="L35" s="27"/>
      <c r="M35" s="27">
        <v>50000</v>
      </c>
      <c r="N35" s="48">
        <v>25</v>
      </c>
      <c r="O35" s="48" t="s">
        <v>75</v>
      </c>
      <c r="P35" s="48">
        <f>HEX2DEC(RIGHT(Table13232127535868[[#This Row],[h1]],8))</f>
        <v>0</v>
      </c>
      <c r="Q35" s="48" t="s">
        <v>75</v>
      </c>
      <c r="R35" s="48">
        <f>HEX2DEC(RIGHT(Table13232127535868[[#This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168</v>
      </c>
      <c r="G36" s="49">
        <v>0</v>
      </c>
      <c r="H36" s="48"/>
      <c r="I36" s="27">
        <v>1</v>
      </c>
      <c r="J36" s="27">
        <v>50000</v>
      </c>
      <c r="K36" s="48"/>
      <c r="L36" s="27"/>
      <c r="M36" s="27">
        <v>50000</v>
      </c>
      <c r="N36" s="48">
        <v>26</v>
      </c>
      <c r="O36" s="48" t="s">
        <v>75</v>
      </c>
      <c r="P36" s="48">
        <f>HEX2DEC(RIGHT(Table13232127535868[[#This Row],[h1]],8))</f>
        <v>0</v>
      </c>
      <c r="Q36" s="48" t="s">
        <v>75</v>
      </c>
      <c r="R36" s="48">
        <f>HEX2DEC(RIGHT(Table13232127535868[[#This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169</v>
      </c>
      <c r="G37" s="49">
        <v>0</v>
      </c>
      <c r="H37" s="48"/>
      <c r="I37" s="27">
        <v>2</v>
      </c>
      <c r="J37" s="27">
        <v>50000</v>
      </c>
      <c r="K37" s="48"/>
      <c r="L37" s="27"/>
      <c r="M37" s="27">
        <v>50000</v>
      </c>
      <c r="N37" s="48">
        <v>27</v>
      </c>
      <c r="O37" s="48" t="s">
        <v>75</v>
      </c>
      <c r="P37" s="48">
        <f>HEX2DEC(RIGHT(Table13232127535868[[#This Row],[h1]],8))</f>
        <v>0</v>
      </c>
      <c r="Q37" s="48" t="s">
        <v>75</v>
      </c>
      <c r="R37" s="48">
        <f>HEX2DEC(RIGHT(Table13232127535868[[#This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170</v>
      </c>
      <c r="G38" s="49">
        <v>0</v>
      </c>
      <c r="H38" s="48"/>
      <c r="I38" s="27">
        <v>1</v>
      </c>
      <c r="J38" s="27">
        <v>50000</v>
      </c>
      <c r="K38" s="48"/>
      <c r="L38" s="27"/>
      <c r="M38" s="27">
        <v>50000</v>
      </c>
      <c r="N38" s="48">
        <v>28</v>
      </c>
      <c r="O38" s="48" t="s">
        <v>75</v>
      </c>
      <c r="P38" s="48">
        <f>HEX2DEC(RIGHT(Table13232127535868[[#This Row],[h1]],8))</f>
        <v>0</v>
      </c>
      <c r="Q38" s="48" t="s">
        <v>75</v>
      </c>
      <c r="R38" s="48">
        <f>HEX2DEC(RIGHT(Table13232127535868[[#This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171</v>
      </c>
      <c r="G39" s="49">
        <v>0</v>
      </c>
      <c r="H39" s="48"/>
      <c r="I39" s="27">
        <v>3</v>
      </c>
      <c r="J39" s="27">
        <v>50000</v>
      </c>
      <c r="K39" s="48"/>
      <c r="L39" s="27"/>
      <c r="M39" s="27">
        <v>50000</v>
      </c>
      <c r="N39" s="48">
        <v>29</v>
      </c>
      <c r="O39" s="48" t="s">
        <v>75</v>
      </c>
      <c r="P39" s="48">
        <f>HEX2DEC(RIGHT(Table13232127535868[[#This Row],[h1]],8))</f>
        <v>0</v>
      </c>
      <c r="Q39" s="48" t="s">
        <v>75</v>
      </c>
      <c r="R39" s="48">
        <f>HEX2DEC(RIGHT(Table13232127535868[[#This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172</v>
      </c>
      <c r="G40" s="49">
        <v>0</v>
      </c>
      <c r="H40" s="48"/>
      <c r="I40" s="27">
        <v>1</v>
      </c>
      <c r="J40" s="27">
        <v>50000</v>
      </c>
      <c r="K40" s="48"/>
      <c r="L40" s="27"/>
      <c r="M40" s="27">
        <v>50000</v>
      </c>
      <c r="N40" s="48">
        <v>30</v>
      </c>
      <c r="O40" s="48" t="s">
        <v>75</v>
      </c>
      <c r="P40" s="48">
        <f>HEX2DEC(RIGHT(Table13232127535868[[#This Row],[h1]],8))</f>
        <v>0</v>
      </c>
      <c r="Q40" s="48" t="s">
        <v>75</v>
      </c>
      <c r="R40" s="48">
        <f>HEX2DEC(RIGHT(Table13232127535868[[#This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173</v>
      </c>
      <c r="G41" s="49">
        <v>0</v>
      </c>
      <c r="H41" s="48"/>
      <c r="I41" s="27">
        <v>2</v>
      </c>
      <c r="J41" s="27">
        <v>50000</v>
      </c>
      <c r="K41" s="48"/>
      <c r="L41" s="27"/>
      <c r="M41" s="27">
        <v>50000</v>
      </c>
      <c r="N41" s="48">
        <v>31</v>
      </c>
      <c r="O41" s="48" t="s">
        <v>75</v>
      </c>
      <c r="P41" s="48">
        <f>HEX2DEC(RIGHT(Table13232127535868[[#This Row],[h1]],8))</f>
        <v>0</v>
      </c>
      <c r="Q41" s="48" t="s">
        <v>75</v>
      </c>
      <c r="R41" s="48">
        <f>HEX2DEC(RIGHT(Table13232127535868[[#This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174</v>
      </c>
      <c r="G42" s="49">
        <v>0</v>
      </c>
      <c r="H42" s="48"/>
      <c r="I42" s="27">
        <v>1</v>
      </c>
      <c r="J42" s="27">
        <v>50000</v>
      </c>
      <c r="K42" s="48"/>
      <c r="L42" s="27"/>
      <c r="M42" s="27">
        <v>50000</v>
      </c>
      <c r="N42" s="48">
        <v>32</v>
      </c>
      <c r="O42" s="48" t="s">
        <v>75</v>
      </c>
      <c r="P42" s="48">
        <f>HEX2DEC(RIGHT(Table13232127535868[[#This Row],[h1]],8))</f>
        <v>0</v>
      </c>
      <c r="Q42" s="48" t="s">
        <v>75</v>
      </c>
      <c r="R42" s="48">
        <f>HEX2DEC(RIGHT(Table13232127535868[[#This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175</v>
      </c>
      <c r="G43" s="49">
        <v>0</v>
      </c>
      <c r="H43" s="48"/>
      <c r="I43" s="27">
        <v>3</v>
      </c>
      <c r="J43" s="27">
        <v>50000</v>
      </c>
      <c r="K43" s="48"/>
      <c r="L43" s="27"/>
      <c r="M43" s="27">
        <v>50000</v>
      </c>
      <c r="N43" s="48">
        <v>33</v>
      </c>
      <c r="O43" s="48" t="s">
        <v>75</v>
      </c>
      <c r="P43" s="48">
        <f>HEX2DEC(RIGHT(Table13232127535868[[#This Row],[h1]],8))</f>
        <v>0</v>
      </c>
      <c r="Q43" s="48" t="s">
        <v>75</v>
      </c>
      <c r="R43" s="48">
        <f>HEX2DEC(RIGHT(Table13232127535868[[#This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176</v>
      </c>
      <c r="G44" s="49">
        <v>0</v>
      </c>
      <c r="H44" s="48"/>
      <c r="I44" s="27">
        <v>1</v>
      </c>
      <c r="J44" s="27">
        <v>50000</v>
      </c>
      <c r="K44" s="48"/>
      <c r="L44" s="27"/>
      <c r="M44" s="27">
        <v>50000</v>
      </c>
      <c r="N44" s="48">
        <v>34</v>
      </c>
      <c r="O44" s="48" t="s">
        <v>75</v>
      </c>
      <c r="P44" s="48">
        <f>HEX2DEC(RIGHT(Table13232127535868[[#This Row],[h1]],8))</f>
        <v>0</v>
      </c>
      <c r="Q44" s="48" t="s">
        <v>75</v>
      </c>
      <c r="R44" s="48">
        <f>HEX2DEC(RIGHT(Table13232127535868[[#This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177</v>
      </c>
      <c r="G45" s="49">
        <v>0</v>
      </c>
      <c r="H45" s="48"/>
      <c r="I45" s="27">
        <v>2</v>
      </c>
      <c r="J45" s="27">
        <v>50000</v>
      </c>
      <c r="K45" s="48"/>
      <c r="L45" s="27"/>
      <c r="M45" s="27">
        <v>50000</v>
      </c>
      <c r="N45" s="48">
        <v>35</v>
      </c>
      <c r="O45" s="48" t="s">
        <v>75</v>
      </c>
      <c r="P45" s="48">
        <f>HEX2DEC(RIGHT(Table13232127535868[[#This Row],[h1]],8))</f>
        <v>0</v>
      </c>
      <c r="Q45" s="48" t="s">
        <v>75</v>
      </c>
      <c r="R45" s="48">
        <f>HEX2DEC(RIGHT(Table13232127535868[[#This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178</v>
      </c>
      <c r="G46" s="49">
        <v>0</v>
      </c>
      <c r="H46" s="48"/>
      <c r="I46" s="27">
        <v>1</v>
      </c>
      <c r="J46" s="27">
        <v>50000</v>
      </c>
      <c r="K46" s="48"/>
      <c r="L46" s="27"/>
      <c r="M46" s="27">
        <v>50000</v>
      </c>
      <c r="N46" s="48">
        <v>36</v>
      </c>
      <c r="O46" s="48" t="s">
        <v>75</v>
      </c>
      <c r="P46" s="48">
        <f>HEX2DEC(RIGHT(Table13232127535868[[#This Row],[h1]],8))</f>
        <v>0</v>
      </c>
      <c r="Q46" s="48" t="s">
        <v>75</v>
      </c>
      <c r="R46" s="48">
        <f>HEX2DEC(RIGHT(Table13232127535868[[#This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9"/>
      <c r="H47" s="48"/>
      <c r="I47" s="27">
        <v>4</v>
      </c>
      <c r="J47" s="27">
        <v>50000</v>
      </c>
      <c r="K47" s="48"/>
      <c r="L47" s="27"/>
      <c r="M47" s="27">
        <v>50000</v>
      </c>
      <c r="N47" s="48">
        <v>37</v>
      </c>
      <c r="O47" s="48" t="s">
        <v>75</v>
      </c>
      <c r="P47" s="48">
        <f>HEX2DEC(RIGHT(Table13232127535868[[#This Row],[h1]],8))</f>
        <v>0</v>
      </c>
      <c r="Q47" s="48" t="s">
        <v>75</v>
      </c>
      <c r="R47" s="48">
        <f>HEX2DEC(RIGHT(Table13232127535868[[#This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179</v>
      </c>
      <c r="G48" s="49">
        <v>0</v>
      </c>
      <c r="H48" s="48"/>
      <c r="I48" s="27">
        <v>1</v>
      </c>
      <c r="J48" s="27">
        <v>50000</v>
      </c>
      <c r="K48" s="48"/>
      <c r="L48" s="27"/>
      <c r="M48" s="27">
        <v>50000</v>
      </c>
      <c r="N48" s="48">
        <v>38</v>
      </c>
      <c r="O48" s="48" t="s">
        <v>75</v>
      </c>
      <c r="P48" s="48">
        <f>HEX2DEC(RIGHT(Table13232127535868[[#This Row],[h1]],8))</f>
        <v>0</v>
      </c>
      <c r="Q48" s="48" t="s">
        <v>75</v>
      </c>
      <c r="R48" s="48">
        <f>HEX2DEC(RIGHT(Table13232127535868[[#This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180</v>
      </c>
      <c r="G49" s="49">
        <v>0</v>
      </c>
      <c r="H49" s="48"/>
      <c r="I49" s="27">
        <v>2</v>
      </c>
      <c r="J49" s="27">
        <v>50000</v>
      </c>
      <c r="K49" s="48"/>
      <c r="L49" s="27"/>
      <c r="M49" s="27">
        <v>50000</v>
      </c>
      <c r="N49" s="48">
        <v>39</v>
      </c>
      <c r="O49" s="48" t="s">
        <v>75</v>
      </c>
      <c r="P49" s="48">
        <f>HEX2DEC(RIGHT(Table13232127535868[[#This Row],[h1]],8))</f>
        <v>0</v>
      </c>
      <c r="Q49" s="48" t="s">
        <v>75</v>
      </c>
      <c r="R49" s="48">
        <f>HEX2DEC(RIGHT(Table13232127535868[[#This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181</v>
      </c>
      <c r="G50" s="49">
        <v>0</v>
      </c>
      <c r="H50" s="48"/>
      <c r="I50" s="27">
        <v>1</v>
      </c>
      <c r="J50" s="27">
        <v>50000</v>
      </c>
      <c r="K50" s="48"/>
      <c r="L50" s="27"/>
      <c r="M50" s="27">
        <v>50000</v>
      </c>
      <c r="N50" s="48">
        <v>40</v>
      </c>
      <c r="O50" s="48" t="s">
        <v>75</v>
      </c>
      <c r="P50" s="48">
        <f>HEX2DEC(RIGHT(Table13232127535868[[#This Row],[h1]],8))</f>
        <v>0</v>
      </c>
      <c r="Q50" s="48" t="s">
        <v>75</v>
      </c>
      <c r="R50" s="48">
        <f>HEX2DEC(RIGHT(Table13232127535868[[#This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182</v>
      </c>
      <c r="G51" s="49">
        <v>0</v>
      </c>
      <c r="H51" s="48"/>
      <c r="I51" s="27">
        <v>3</v>
      </c>
      <c r="J51" s="27">
        <v>50000</v>
      </c>
      <c r="K51" s="48"/>
      <c r="L51" s="27"/>
      <c r="M51" s="27">
        <v>50000</v>
      </c>
      <c r="N51" s="48">
        <v>41</v>
      </c>
      <c r="O51" s="48" t="s">
        <v>75</v>
      </c>
      <c r="P51" s="48">
        <f>HEX2DEC(RIGHT(Table13232127535868[[#This Row],[h1]],8))</f>
        <v>0</v>
      </c>
      <c r="Q51" s="48" t="s">
        <v>75</v>
      </c>
      <c r="R51" s="48">
        <f>HEX2DEC(RIGHT(Table13232127535868[[#This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183</v>
      </c>
      <c r="G52" s="49">
        <v>0</v>
      </c>
      <c r="H52" s="48"/>
      <c r="I52" s="27">
        <v>1</v>
      </c>
      <c r="J52" s="27">
        <v>50000</v>
      </c>
      <c r="K52" s="48"/>
      <c r="L52" s="27"/>
      <c r="M52" s="27">
        <v>50000</v>
      </c>
      <c r="N52" s="48">
        <v>42</v>
      </c>
      <c r="O52" s="48" t="s">
        <v>75</v>
      </c>
      <c r="P52" s="48">
        <f>HEX2DEC(RIGHT(Table13232127535868[[#This Row],[h1]],8))</f>
        <v>0</v>
      </c>
      <c r="Q52" s="48" t="s">
        <v>75</v>
      </c>
      <c r="R52" s="48">
        <f>HEX2DEC(RIGHT(Table13232127535868[[#This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184</v>
      </c>
      <c r="G53" s="49">
        <v>0</v>
      </c>
      <c r="H53" s="48"/>
      <c r="I53" s="27">
        <v>2</v>
      </c>
      <c r="J53" s="27">
        <v>50000</v>
      </c>
      <c r="K53" s="48"/>
      <c r="L53" s="27"/>
      <c r="M53" s="27">
        <v>50000</v>
      </c>
      <c r="N53" s="48">
        <v>43</v>
      </c>
      <c r="O53" s="48" t="s">
        <v>75</v>
      </c>
      <c r="P53" s="48">
        <f>HEX2DEC(RIGHT(Table13232127535868[[#This Row],[h1]],8))</f>
        <v>0</v>
      </c>
      <c r="Q53" s="48" t="s">
        <v>75</v>
      </c>
      <c r="R53" s="48">
        <f>HEX2DEC(RIGHT(Table13232127535868[[#This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185</v>
      </c>
      <c r="G54" s="49">
        <v>0</v>
      </c>
      <c r="H54" s="48"/>
      <c r="I54" s="27">
        <v>1</v>
      </c>
      <c r="J54" s="27">
        <v>50000</v>
      </c>
      <c r="K54" s="48"/>
      <c r="L54" s="27"/>
      <c r="M54" s="27">
        <v>50000</v>
      </c>
      <c r="N54" s="48">
        <v>44</v>
      </c>
      <c r="O54" s="48" t="s">
        <v>75</v>
      </c>
      <c r="P54" s="48">
        <f>HEX2DEC(RIGHT(Table13232127535868[[#This Row],[h1]],8))</f>
        <v>0</v>
      </c>
      <c r="Q54" s="48" t="s">
        <v>75</v>
      </c>
      <c r="R54" s="48">
        <f>HEX2DEC(RIGHT(Table13232127535868[[#This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186</v>
      </c>
      <c r="G55" s="49">
        <v>0</v>
      </c>
      <c r="H55" s="48"/>
      <c r="I55" s="27">
        <v>3</v>
      </c>
      <c r="J55" s="27">
        <v>50000</v>
      </c>
      <c r="K55" s="48"/>
      <c r="L55" s="27"/>
      <c r="M55" s="27">
        <v>50000</v>
      </c>
      <c r="N55" s="48">
        <v>45</v>
      </c>
      <c r="O55" s="48" t="s">
        <v>75</v>
      </c>
      <c r="P55" s="48">
        <f>HEX2DEC(RIGHT(Table13232127535868[[#This Row],[h1]],8))</f>
        <v>0</v>
      </c>
      <c r="Q55" s="48" t="s">
        <v>75</v>
      </c>
      <c r="R55" s="48">
        <f>HEX2DEC(RIGHT(Table13232127535868[[#This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187</v>
      </c>
      <c r="G56" s="49">
        <v>0</v>
      </c>
      <c r="H56" s="48"/>
      <c r="I56" s="27">
        <v>1</v>
      </c>
      <c r="J56" s="27">
        <v>50000</v>
      </c>
      <c r="K56" s="48"/>
      <c r="L56" s="27"/>
      <c r="M56" s="27">
        <v>50000</v>
      </c>
      <c r="N56" s="48">
        <v>46</v>
      </c>
      <c r="O56" s="48" t="s">
        <v>75</v>
      </c>
      <c r="P56" s="48">
        <f>HEX2DEC(RIGHT(Table13232127535868[[#This Row],[h1]],8))</f>
        <v>0</v>
      </c>
      <c r="Q56" s="48" t="s">
        <v>75</v>
      </c>
      <c r="R56" s="48">
        <f>HEX2DEC(RIGHT(Table13232127535868[[#This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188</v>
      </c>
      <c r="G57" s="49">
        <v>0</v>
      </c>
      <c r="H57" s="48"/>
      <c r="I57" s="27">
        <v>2</v>
      </c>
      <c r="J57" s="27">
        <v>50000</v>
      </c>
      <c r="K57" s="48"/>
      <c r="L57" s="27"/>
      <c r="M57" s="27">
        <v>50000</v>
      </c>
      <c r="N57" s="48">
        <v>47</v>
      </c>
      <c r="O57" s="48" t="s">
        <v>75</v>
      </c>
      <c r="P57" s="48">
        <f>HEX2DEC(RIGHT(Table13232127535868[[#This Row],[h1]],8))</f>
        <v>0</v>
      </c>
      <c r="Q57" s="48" t="s">
        <v>75</v>
      </c>
      <c r="R57" s="48">
        <f>HEX2DEC(RIGHT(Table13232127535868[[#This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189</v>
      </c>
      <c r="G58" s="49">
        <v>0</v>
      </c>
      <c r="H58" s="48"/>
      <c r="I58" s="27">
        <v>1</v>
      </c>
      <c r="J58" s="27">
        <v>50000</v>
      </c>
      <c r="K58" s="48"/>
      <c r="L58" s="27"/>
      <c r="M58" s="27">
        <v>50000</v>
      </c>
      <c r="N58" s="48">
        <v>48</v>
      </c>
      <c r="O58" s="48" t="s">
        <v>75</v>
      </c>
      <c r="P58" s="48">
        <f>HEX2DEC(RIGHT(Table13232127535868[[#This Row],[h1]],8))</f>
        <v>0</v>
      </c>
      <c r="Q58" s="48" t="s">
        <v>75</v>
      </c>
      <c r="R58" s="48">
        <f>HEX2DEC(RIGHT(Table13232127535868[[#This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190</v>
      </c>
      <c r="G59" s="49">
        <v>0</v>
      </c>
      <c r="H59" s="48"/>
      <c r="I59" s="27">
        <v>4</v>
      </c>
      <c r="J59" s="27">
        <v>50000</v>
      </c>
      <c r="K59" s="48"/>
      <c r="L59" s="27"/>
      <c r="M59" s="27">
        <v>50000</v>
      </c>
      <c r="N59" s="48">
        <v>49</v>
      </c>
      <c r="O59" s="48" t="s">
        <v>75</v>
      </c>
      <c r="P59" s="48">
        <f>HEX2DEC(RIGHT(Table13232127535868[[#This Row],[h1]],8))</f>
        <v>0</v>
      </c>
      <c r="Q59" s="48" t="s">
        <v>75</v>
      </c>
      <c r="R59" s="48">
        <f>HEX2DEC(RIGHT(Table13232127535868[[#This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191</v>
      </c>
      <c r="G60" s="49">
        <v>0</v>
      </c>
      <c r="H60" s="48"/>
      <c r="I60" s="27">
        <v>1</v>
      </c>
      <c r="J60" s="27">
        <v>50000</v>
      </c>
      <c r="K60" s="48"/>
      <c r="L60" s="27"/>
      <c r="M60" s="27">
        <v>50000</v>
      </c>
      <c r="N60" s="48">
        <v>50</v>
      </c>
      <c r="O60" s="48" t="s">
        <v>75</v>
      </c>
      <c r="P60" s="48">
        <f>HEX2DEC(RIGHT(Table13232127535868[[#This Row],[h1]],8))</f>
        <v>0</v>
      </c>
      <c r="Q60" s="48" t="s">
        <v>75</v>
      </c>
      <c r="R60" s="48">
        <f>HEX2DEC(RIGHT(Table13232127535868[[#This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192</v>
      </c>
      <c r="G61" s="49">
        <v>0</v>
      </c>
      <c r="H61" s="48"/>
      <c r="I61" s="27">
        <v>2</v>
      </c>
      <c r="J61" s="27">
        <v>50000</v>
      </c>
      <c r="K61" s="48"/>
      <c r="L61" s="27"/>
      <c r="M61" s="27">
        <v>50000</v>
      </c>
      <c r="O61" s="48" t="s">
        <v>75</v>
      </c>
      <c r="P61" s="48">
        <f>HEX2DEC(RIGHT(Table13232127535868[[#This Row],[h1]],8))</f>
        <v>0</v>
      </c>
      <c r="Q61" s="48" t="s">
        <v>75</v>
      </c>
      <c r="R61" s="48">
        <f>HEX2DEC(RIGHT(Table13232127535868[[#This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193</v>
      </c>
      <c r="G62" s="49">
        <v>0</v>
      </c>
      <c r="I62" s="27">
        <v>1</v>
      </c>
      <c r="J62" s="27">
        <v>50000</v>
      </c>
      <c r="L62" s="27"/>
      <c r="M62" s="27">
        <v>50000</v>
      </c>
      <c r="O62" s="48" t="s">
        <v>75</v>
      </c>
      <c r="P62" s="48">
        <f>HEX2DEC(RIGHT(Table13232127535868[[#This Row],[h1]],8))</f>
        <v>0</v>
      </c>
      <c r="Q62" s="48" t="s">
        <v>75</v>
      </c>
      <c r="R62" s="48">
        <f>HEX2DEC(RIGHT(Table13232127535868[[#This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194</v>
      </c>
      <c r="G63" s="49">
        <v>0</v>
      </c>
      <c r="I63" s="27">
        <v>3</v>
      </c>
      <c r="J63" s="27">
        <v>50000</v>
      </c>
      <c r="L63" s="27"/>
      <c r="M63" s="27">
        <v>50000</v>
      </c>
      <c r="O63" s="48" t="s">
        <v>75</v>
      </c>
      <c r="P63" s="48">
        <f>HEX2DEC(RIGHT(Table13232127535868[[#This Row],[h1]],8))</f>
        <v>0</v>
      </c>
      <c r="Q63" s="48" t="s">
        <v>75</v>
      </c>
      <c r="R63" s="48">
        <f>HEX2DEC(RIGHT(Table13232127535868[[#This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195</v>
      </c>
      <c r="F64" s="24" t="s">
        <v>427</v>
      </c>
      <c r="G64" s="49">
        <v>1</v>
      </c>
      <c r="I64" s="27">
        <v>1</v>
      </c>
      <c r="J64" s="27">
        <v>50000</v>
      </c>
      <c r="L64" s="27"/>
      <c r="M64" s="27">
        <v>50000</v>
      </c>
      <c r="O64" s="48" t="s">
        <v>75</v>
      </c>
      <c r="P64" s="48">
        <f>HEX2DEC(RIGHT(Table13232127535868[[#This Row],[h1]],8))</f>
        <v>0</v>
      </c>
      <c r="Q64" s="48" t="s">
        <v>75</v>
      </c>
      <c r="R64" s="48">
        <f>HEX2DEC(RIGHT(Table13232127535868[[#This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196</v>
      </c>
      <c r="F65" s="24" t="s">
        <v>427</v>
      </c>
      <c r="G65" s="49">
        <v>1</v>
      </c>
      <c r="I65" s="27">
        <v>2</v>
      </c>
      <c r="J65" s="27">
        <v>50000</v>
      </c>
      <c r="L65" s="27"/>
      <c r="M65" s="27">
        <v>50000</v>
      </c>
      <c r="O65" s="48" t="s">
        <v>75</v>
      </c>
      <c r="P65" s="48">
        <f>HEX2DEC(RIGHT(Table13232127535868[[#This Row],[h1]],8))</f>
        <v>0</v>
      </c>
      <c r="Q65" s="48" t="s">
        <v>75</v>
      </c>
      <c r="R65" s="48">
        <f>HEX2DEC(RIGHT(Table13232127535868[[#This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197</v>
      </c>
      <c r="F66" s="24" t="s">
        <v>427</v>
      </c>
      <c r="G66" s="49">
        <v>1</v>
      </c>
      <c r="I66" s="27">
        <v>1</v>
      </c>
      <c r="J66" s="27">
        <v>50000</v>
      </c>
      <c r="L66" s="27"/>
      <c r="M66" s="27">
        <v>50000</v>
      </c>
      <c r="O66" s="48" t="s">
        <v>75</v>
      </c>
      <c r="P66" s="48">
        <f>HEX2DEC(RIGHT(Table13232127535868[[#This Row],[h1]],8))</f>
        <v>0</v>
      </c>
      <c r="Q66" s="48" t="s">
        <v>75</v>
      </c>
      <c r="R66" s="48">
        <f>HEX2DEC(RIGHT(Table13232127535868[[#This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198</v>
      </c>
      <c r="F67" s="24" t="s">
        <v>427</v>
      </c>
      <c r="G67" s="49">
        <v>1</v>
      </c>
      <c r="I67" s="27">
        <v>3</v>
      </c>
      <c r="J67" s="27">
        <v>50000</v>
      </c>
      <c r="L67" s="27"/>
      <c r="M67" s="27">
        <v>50000</v>
      </c>
      <c r="O67" s="48" t="s">
        <v>75</v>
      </c>
      <c r="P67" s="48">
        <f>HEX2DEC(RIGHT(Table13232127535868[[#This Row],[h1]],8))</f>
        <v>0</v>
      </c>
      <c r="Q67" s="48" t="s">
        <v>75</v>
      </c>
      <c r="R67" s="48">
        <f>HEX2DEC(RIGHT(Table13232127535868[[#This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199</v>
      </c>
      <c r="F68" s="24" t="s">
        <v>427</v>
      </c>
      <c r="G68" s="49">
        <v>1</v>
      </c>
      <c r="I68" s="27">
        <v>1</v>
      </c>
      <c r="J68" s="27">
        <v>50000</v>
      </c>
      <c r="L68" s="27"/>
      <c r="M68" s="27">
        <v>50000</v>
      </c>
      <c r="O68" s="48" t="s">
        <v>75</v>
      </c>
      <c r="P68" s="48">
        <f>HEX2DEC(RIGHT(Table13232127535868[[#This Row],[h1]],8))</f>
        <v>0</v>
      </c>
      <c r="Q68" s="48" t="s">
        <v>75</v>
      </c>
      <c r="R68" s="48">
        <f>HEX2DEC(RIGHT(Table13232127535868[[#This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200</v>
      </c>
      <c r="F69" s="24" t="s">
        <v>427</v>
      </c>
      <c r="G69" s="49">
        <v>1</v>
      </c>
      <c r="I69" s="27">
        <v>2</v>
      </c>
      <c r="J69" s="27">
        <v>50000</v>
      </c>
      <c r="L69" s="27"/>
      <c r="M69" s="27">
        <v>50000</v>
      </c>
      <c r="O69" s="48" t="s">
        <v>75</v>
      </c>
      <c r="P69" s="48">
        <f>HEX2DEC(RIGHT(Table13232127535868[[#This Row],[h1]],8))</f>
        <v>0</v>
      </c>
      <c r="Q69" s="48" t="s">
        <v>75</v>
      </c>
      <c r="R69" s="48">
        <f>HEX2DEC(RIGHT(Table13232127535868[[#This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201</v>
      </c>
      <c r="F70" s="24" t="s">
        <v>427</v>
      </c>
      <c r="G70" s="49">
        <v>1</v>
      </c>
      <c r="I70" s="27">
        <v>1</v>
      </c>
      <c r="J70" s="27">
        <v>50000</v>
      </c>
      <c r="L70" s="27"/>
      <c r="M70" s="27">
        <v>50000</v>
      </c>
      <c r="O70" s="48" t="s">
        <v>75</v>
      </c>
      <c r="P70" s="48">
        <f>HEX2DEC(RIGHT(Table13232127535868[[#This Row],[h1]],8))</f>
        <v>0</v>
      </c>
      <c r="Q70" s="48" t="s">
        <v>75</v>
      </c>
      <c r="R70" s="48">
        <f>HEX2DEC(RIGHT(Table13232127535868[[#This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202</v>
      </c>
      <c r="F71" s="24" t="s">
        <v>427</v>
      </c>
      <c r="G71" s="49">
        <v>1</v>
      </c>
      <c r="I71" s="27">
        <v>4</v>
      </c>
      <c r="J71" s="27">
        <v>50000</v>
      </c>
      <c r="L71" s="27"/>
      <c r="M71" s="27">
        <v>50000</v>
      </c>
      <c r="O71" s="48" t="s">
        <v>75</v>
      </c>
      <c r="P71" s="48">
        <f>HEX2DEC(RIGHT(Table13232127535868[[#This Row],[h1]],8))</f>
        <v>0</v>
      </c>
      <c r="Q71" s="48" t="s">
        <v>75</v>
      </c>
      <c r="R71" s="48">
        <f>HEX2DEC(RIGHT(Table13232127535868[[#This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203</v>
      </c>
      <c r="F72" s="24" t="s">
        <v>427</v>
      </c>
      <c r="G72" s="49">
        <v>1</v>
      </c>
      <c r="I72" s="27">
        <v>1</v>
      </c>
      <c r="J72" s="27">
        <v>50000</v>
      </c>
      <c r="L72" s="27"/>
      <c r="M72" s="27">
        <v>50000</v>
      </c>
      <c r="O72" s="48" t="s">
        <v>75</v>
      </c>
      <c r="P72" s="48">
        <f>HEX2DEC(RIGHT(Table13232127535868[[#This Row],[h1]],8))</f>
        <v>0</v>
      </c>
      <c r="Q72" s="48" t="s">
        <v>75</v>
      </c>
      <c r="R72" s="48">
        <f>HEX2DEC(RIGHT(Table13232127535868[[#This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204</v>
      </c>
      <c r="F73" s="24" t="s">
        <v>427</v>
      </c>
      <c r="G73" s="49">
        <v>1</v>
      </c>
      <c r="I73" s="27">
        <v>2</v>
      </c>
      <c r="J73" s="27">
        <v>50000</v>
      </c>
      <c r="L73" s="27"/>
      <c r="M73" s="27">
        <v>50000</v>
      </c>
      <c r="O73" s="48" t="s">
        <v>75</v>
      </c>
      <c r="P73" s="48">
        <f>HEX2DEC(RIGHT(Table13232127535868[[#This Row],[h1]],8))</f>
        <v>0</v>
      </c>
      <c r="Q73" s="48" t="s">
        <v>75</v>
      </c>
      <c r="R73" s="48">
        <f>HEX2DEC(RIGHT(Table13232127535868[[#This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205</v>
      </c>
      <c r="F74" s="24" t="s">
        <v>427</v>
      </c>
      <c r="G74" s="49">
        <v>1</v>
      </c>
      <c r="I74" s="27">
        <v>1</v>
      </c>
      <c r="J74" s="27">
        <v>50000</v>
      </c>
      <c r="L74" s="27"/>
      <c r="M74" s="27">
        <v>50000</v>
      </c>
      <c r="O74" s="48" t="s">
        <v>75</v>
      </c>
      <c r="P74" s="48">
        <f>HEX2DEC(RIGHT(Table13232127535868[[#This Row],[h1]],8))</f>
        <v>0</v>
      </c>
      <c r="Q74" s="48" t="s">
        <v>75</v>
      </c>
      <c r="R74" s="48">
        <f>HEX2DEC(RIGHT(Table13232127535868[[#This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206</v>
      </c>
      <c r="F75" s="24" t="s">
        <v>427</v>
      </c>
      <c r="G75" s="49">
        <v>1</v>
      </c>
      <c r="I75" s="27">
        <v>3</v>
      </c>
      <c r="J75" s="27">
        <v>50000</v>
      </c>
      <c r="L75" s="27"/>
      <c r="M75" s="27">
        <v>50000</v>
      </c>
      <c r="O75" s="48" t="s">
        <v>75</v>
      </c>
      <c r="P75" s="48">
        <f>HEX2DEC(RIGHT(Table13232127535868[[#This Row],[h1]],8))</f>
        <v>0</v>
      </c>
      <c r="Q75" s="48" t="s">
        <v>75</v>
      </c>
      <c r="R75" s="48">
        <f>HEX2DEC(RIGHT(Table13232127535868[[#This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207</v>
      </c>
      <c r="F76" s="24" t="s">
        <v>427</v>
      </c>
      <c r="G76" s="49">
        <v>1</v>
      </c>
      <c r="I76" s="27">
        <v>1</v>
      </c>
      <c r="J76" s="27">
        <v>50000</v>
      </c>
      <c r="L76" s="27"/>
      <c r="M76" s="27">
        <v>50000</v>
      </c>
      <c r="O76" s="48" t="s">
        <v>75</v>
      </c>
      <c r="P76" s="48">
        <f>HEX2DEC(RIGHT(Table13232127535868[[#This Row],[h1]],8))</f>
        <v>0</v>
      </c>
      <c r="Q76" s="48" t="s">
        <v>75</v>
      </c>
      <c r="R76" s="48">
        <f>HEX2DEC(RIGHT(Table13232127535868[[#This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208</v>
      </c>
      <c r="F77" s="24" t="s">
        <v>427</v>
      </c>
      <c r="G77" s="49">
        <v>1</v>
      </c>
      <c r="I77" s="27">
        <v>2</v>
      </c>
      <c r="J77" s="27">
        <v>50000</v>
      </c>
      <c r="L77" s="27"/>
      <c r="M77" s="27">
        <v>50000</v>
      </c>
      <c r="O77" s="48" t="s">
        <v>75</v>
      </c>
      <c r="P77" s="48">
        <f>HEX2DEC(RIGHT(Table13232127535868[[#This Row],[h1]],8))</f>
        <v>0</v>
      </c>
      <c r="Q77" s="48" t="s">
        <v>75</v>
      </c>
      <c r="R77" s="48">
        <f>HEX2DEC(RIGHT(Table13232127535868[[#This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209</v>
      </c>
      <c r="F78" s="24" t="s">
        <v>427</v>
      </c>
      <c r="G78" s="49">
        <v>1</v>
      </c>
      <c r="I78" s="27">
        <v>1</v>
      </c>
      <c r="J78" s="27">
        <v>50000</v>
      </c>
      <c r="L78" s="27"/>
      <c r="M78" s="27">
        <v>50000</v>
      </c>
      <c r="O78" s="48" t="s">
        <v>75</v>
      </c>
      <c r="P78" s="48">
        <f>HEX2DEC(RIGHT(Table13232127535868[[#This Row],[h1]],8))</f>
        <v>0</v>
      </c>
      <c r="Q78" s="48" t="s">
        <v>75</v>
      </c>
      <c r="R78" s="48">
        <f>HEX2DEC(RIGHT(Table13232127535868[[#This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210</v>
      </c>
      <c r="F79" s="24" t="s">
        <v>427</v>
      </c>
      <c r="G79" s="49">
        <v>1</v>
      </c>
      <c r="I79" s="27">
        <v>3</v>
      </c>
      <c r="J79" s="27">
        <v>50000</v>
      </c>
      <c r="L79" s="27"/>
      <c r="M79" s="27">
        <v>50000</v>
      </c>
      <c r="O79" s="48" t="s">
        <v>75</v>
      </c>
      <c r="P79" s="48">
        <f>HEX2DEC(RIGHT(Table13232127535868[[#This Row],[h1]],8))</f>
        <v>0</v>
      </c>
      <c r="Q79" s="48" t="s">
        <v>75</v>
      </c>
      <c r="R79" s="48">
        <f>HEX2DEC(RIGHT(Table13232127535868[[#This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9"/>
      <c r="I80" s="27">
        <v>1</v>
      </c>
      <c r="J80" s="27">
        <v>50000</v>
      </c>
      <c r="L80" s="27"/>
      <c r="M80" s="27">
        <v>50000</v>
      </c>
      <c r="O80" s="48" t="s">
        <v>75</v>
      </c>
      <c r="P80" s="48">
        <f>HEX2DEC(RIGHT(Table13232127535868[[#This Row],[h1]],8))</f>
        <v>0</v>
      </c>
      <c r="Q80" s="48" t="s">
        <v>75</v>
      </c>
      <c r="R80" s="48">
        <f>HEX2DEC(RIGHT(Table13232127535868[[#This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211</v>
      </c>
      <c r="G81" s="49">
        <v>5000</v>
      </c>
      <c r="I81" s="27">
        <v>2</v>
      </c>
      <c r="J81" s="27">
        <v>50000</v>
      </c>
      <c r="L81" s="27"/>
      <c r="M81" s="27">
        <v>50000</v>
      </c>
      <c r="O81" s="48" t="s">
        <v>75</v>
      </c>
      <c r="P81" s="48">
        <f>HEX2DEC(RIGHT(Table13232127535868[[#This Row],[h1]],8))</f>
        <v>0</v>
      </c>
      <c r="Q81" s="48" t="s">
        <v>75</v>
      </c>
      <c r="R81" s="48">
        <f>HEX2DEC(RIGHT(Table13232127535868[[#This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212</v>
      </c>
      <c r="G82" s="49">
        <v>5000</v>
      </c>
      <c r="I82" s="27">
        <v>1</v>
      </c>
      <c r="J82" s="27">
        <v>50000</v>
      </c>
      <c r="L82" s="27"/>
      <c r="M82" s="27">
        <v>50000</v>
      </c>
      <c r="O82" s="48" t="s">
        <v>75</v>
      </c>
      <c r="P82" s="48">
        <f>HEX2DEC(RIGHT(Table13232127535868[[#This Row],[h1]],8))</f>
        <v>0</v>
      </c>
      <c r="Q82" s="48" t="s">
        <v>75</v>
      </c>
      <c r="R82" s="48">
        <f>HEX2DEC(RIGHT(Table13232127535868[[#This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213</v>
      </c>
      <c r="G83" s="49">
        <v>4</v>
      </c>
      <c r="I83" s="27">
        <v>4</v>
      </c>
      <c r="J83" s="27">
        <v>50000</v>
      </c>
      <c r="L83" s="27"/>
      <c r="M83" s="27">
        <v>50000</v>
      </c>
      <c r="O83" s="48" t="s">
        <v>75</v>
      </c>
      <c r="P83" s="48">
        <f>HEX2DEC(RIGHT(Table13232127535868[[#This Row],[h1]],8))</f>
        <v>0</v>
      </c>
      <c r="Q83" s="48" t="s">
        <v>75</v>
      </c>
      <c r="R83" s="48">
        <f>HEX2DEC(RIGHT(Table13232127535868[[#This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214</v>
      </c>
      <c r="G84" s="49">
        <v>4</v>
      </c>
      <c r="I84" s="27">
        <v>1</v>
      </c>
      <c r="J84" s="27">
        <v>50000</v>
      </c>
      <c r="L84" s="27"/>
      <c r="M84" s="27">
        <v>50000</v>
      </c>
      <c r="O84" s="48" t="s">
        <v>75</v>
      </c>
      <c r="P84" s="48">
        <f>HEX2DEC(RIGHT(Table13232127535868[[#This Row],[h1]],8))</f>
        <v>0</v>
      </c>
      <c r="Q84" s="48" t="s">
        <v>75</v>
      </c>
      <c r="R84" s="48">
        <f>HEX2DEC(RIGHT(Table13232127535868[[#This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215</v>
      </c>
      <c r="G85" s="49">
        <v>4</v>
      </c>
      <c r="I85" s="27">
        <v>2</v>
      </c>
      <c r="J85" s="27">
        <v>50000</v>
      </c>
      <c r="L85" s="27"/>
      <c r="M85" s="27">
        <v>50000</v>
      </c>
      <c r="O85" s="48" t="s">
        <v>75</v>
      </c>
      <c r="P85" s="48">
        <f>HEX2DEC(RIGHT(Table13232127535868[[#This Row],[h1]],8))</f>
        <v>0</v>
      </c>
      <c r="Q85" s="48" t="s">
        <v>75</v>
      </c>
      <c r="R85" s="48">
        <f>HEX2DEC(RIGHT(Table13232127535868[[#This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216</v>
      </c>
      <c r="G86" s="49">
        <v>4</v>
      </c>
      <c r="I86" s="27">
        <v>1</v>
      </c>
      <c r="J86" s="27">
        <v>50000</v>
      </c>
      <c r="L86" s="27"/>
      <c r="M86" s="27">
        <v>50000</v>
      </c>
      <c r="O86" s="48" t="s">
        <v>75</v>
      </c>
      <c r="P86" s="48">
        <f>HEX2DEC(RIGHT(Table13232127535868[[#This Row],[h1]],8))</f>
        <v>0</v>
      </c>
      <c r="Q86" s="48" t="s">
        <v>75</v>
      </c>
      <c r="R86" s="48">
        <f>HEX2DEC(RIGHT(Table13232127535868[[#This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217</v>
      </c>
      <c r="G87" s="49">
        <v>4</v>
      </c>
      <c r="I87" s="27">
        <v>3</v>
      </c>
      <c r="J87" s="27">
        <v>50000</v>
      </c>
      <c r="L87" s="27"/>
      <c r="M87" s="27">
        <v>50000</v>
      </c>
      <c r="O87" s="48" t="s">
        <v>75</v>
      </c>
      <c r="P87" s="48">
        <f>HEX2DEC(RIGHT(Table13232127535868[[#This Row],[h1]],8))</f>
        <v>0</v>
      </c>
      <c r="Q87" s="48" t="s">
        <v>75</v>
      </c>
      <c r="R87" s="48">
        <f>HEX2DEC(RIGHT(Table13232127535868[[#This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218</v>
      </c>
      <c r="G88" s="49">
        <v>5000</v>
      </c>
      <c r="I88" s="27">
        <v>1</v>
      </c>
      <c r="J88" s="27">
        <v>50000</v>
      </c>
      <c r="L88" s="27"/>
      <c r="M88" s="27">
        <v>50000</v>
      </c>
      <c r="O88" s="48" t="s">
        <v>75</v>
      </c>
      <c r="P88" s="48">
        <f>HEX2DEC(RIGHT(Table13232127535868[[#This Row],[h1]],8))</f>
        <v>0</v>
      </c>
      <c r="Q88" s="48" t="s">
        <v>75</v>
      </c>
      <c r="R88" s="48">
        <f>HEX2DEC(RIGHT(Table13232127535868[[#This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219</v>
      </c>
      <c r="G89" s="49">
        <v>5000</v>
      </c>
      <c r="I89" s="27">
        <v>2</v>
      </c>
      <c r="J89" s="27">
        <v>50000</v>
      </c>
      <c r="L89" s="27"/>
      <c r="M89" s="27">
        <v>50000</v>
      </c>
      <c r="O89" s="48" t="s">
        <v>75</v>
      </c>
      <c r="P89" s="48">
        <f>HEX2DEC(RIGHT(Table13232127535868[[#This Row],[h1]],8))</f>
        <v>0</v>
      </c>
      <c r="Q89" s="48" t="s">
        <v>75</v>
      </c>
      <c r="R89" s="48">
        <f>HEX2DEC(RIGHT(Table13232127535868[[#This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220</v>
      </c>
      <c r="G90" s="49">
        <v>5000</v>
      </c>
      <c r="I90" s="27">
        <v>1</v>
      </c>
      <c r="J90" s="27">
        <v>50000</v>
      </c>
      <c r="L90" s="27"/>
      <c r="M90" s="27">
        <v>50000</v>
      </c>
      <c r="O90" s="48" t="s">
        <v>75</v>
      </c>
      <c r="P90" s="48">
        <f>HEX2DEC(RIGHT(Table13232127535868[[#This Row],[h1]],8))</f>
        <v>0</v>
      </c>
      <c r="Q90" s="48" t="s">
        <v>75</v>
      </c>
      <c r="R90" s="48">
        <f>HEX2DEC(RIGHT(Table13232127535868[[#This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221</v>
      </c>
      <c r="G91" s="49">
        <v>5000</v>
      </c>
      <c r="I91" s="27">
        <v>3</v>
      </c>
      <c r="J91" s="27">
        <v>50000</v>
      </c>
      <c r="L91" s="27"/>
      <c r="M91" s="27">
        <v>50000</v>
      </c>
      <c r="O91" s="48" t="s">
        <v>75</v>
      </c>
      <c r="P91" s="48">
        <f>HEX2DEC(RIGHT(Table13232127535868[[#This Row],[h1]],8))</f>
        <v>0</v>
      </c>
      <c r="Q91" s="48" t="s">
        <v>75</v>
      </c>
      <c r="R91" s="48">
        <f>HEX2DEC(RIGHT(Table13232127535868[[#This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222</v>
      </c>
      <c r="G92" s="49">
        <v>5000</v>
      </c>
      <c r="I92" s="27">
        <v>1</v>
      </c>
      <c r="J92" s="27">
        <v>50000</v>
      </c>
      <c r="L92" s="27"/>
      <c r="M92" s="27">
        <v>50000</v>
      </c>
      <c r="O92" s="48" t="s">
        <v>75</v>
      </c>
      <c r="P92" s="48">
        <f>HEX2DEC(RIGHT(Table13232127535868[[#This Row],[h1]],8))</f>
        <v>0</v>
      </c>
      <c r="Q92" s="48" t="s">
        <v>75</v>
      </c>
      <c r="R92" s="48">
        <f>HEX2DEC(RIGHT(Table13232127535868[[#This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223</v>
      </c>
      <c r="G93" s="49">
        <v>5000</v>
      </c>
      <c r="I93" s="27">
        <v>2</v>
      </c>
      <c r="J93" s="27">
        <v>50000</v>
      </c>
      <c r="L93" s="27"/>
      <c r="M93" s="27">
        <v>50000</v>
      </c>
      <c r="O93" s="48" t="s">
        <v>75</v>
      </c>
      <c r="P93" s="48">
        <f>HEX2DEC(RIGHT(Table13232127535868[[#This Row],[h1]],8))</f>
        <v>0</v>
      </c>
      <c r="Q93" s="48" t="s">
        <v>75</v>
      </c>
      <c r="R93" s="48">
        <f>HEX2DEC(RIGHT(Table13232127535868[[#This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224</v>
      </c>
      <c r="G94" s="49">
        <v>5000</v>
      </c>
      <c r="I94" s="27">
        <v>1</v>
      </c>
      <c r="J94" s="27">
        <v>50000</v>
      </c>
      <c r="L94" s="27"/>
      <c r="M94" s="27">
        <v>50000</v>
      </c>
      <c r="O94" s="48" t="s">
        <v>75</v>
      </c>
      <c r="P94" s="48">
        <f>HEX2DEC(RIGHT(Table13232127535868[[#This Row],[h1]],8))</f>
        <v>0</v>
      </c>
      <c r="Q94" s="48" t="s">
        <v>75</v>
      </c>
      <c r="R94" s="48">
        <f>HEX2DEC(RIGHT(Table13232127535868[[#This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225</v>
      </c>
      <c r="G95" s="49">
        <v>5000</v>
      </c>
      <c r="I95" s="27">
        <v>4</v>
      </c>
      <c r="J95" s="27">
        <v>50000</v>
      </c>
      <c r="L95" s="27"/>
      <c r="M95" s="27">
        <v>50000</v>
      </c>
      <c r="O95" s="48" t="s">
        <v>75</v>
      </c>
      <c r="P95" s="48">
        <f>HEX2DEC(RIGHT(Table13232127535868[[#This Row],[h1]],8))</f>
        <v>0</v>
      </c>
      <c r="Q95" s="48" t="s">
        <v>75</v>
      </c>
      <c r="R95" s="48">
        <f>HEX2DEC(RIGHT(Table13232127535868[[#This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226</v>
      </c>
      <c r="G96" s="49">
        <v>5000</v>
      </c>
      <c r="I96" s="27">
        <v>1</v>
      </c>
      <c r="J96" s="27">
        <v>50000</v>
      </c>
      <c r="L96" s="27"/>
      <c r="M96" s="27">
        <v>50000</v>
      </c>
      <c r="O96" s="48" t="s">
        <v>75</v>
      </c>
      <c r="P96" s="48">
        <f>HEX2DEC(RIGHT(Table13232127535868[[#This Row],[h1]],8))</f>
        <v>0</v>
      </c>
      <c r="Q96" s="48" t="s">
        <v>75</v>
      </c>
      <c r="R96" s="48">
        <f>HEX2DEC(RIGHT(Table13232127535868[[#This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227</v>
      </c>
      <c r="G97" s="49">
        <v>5000</v>
      </c>
      <c r="I97" s="27">
        <v>2</v>
      </c>
      <c r="J97" s="27">
        <v>50000</v>
      </c>
      <c r="L97" s="27"/>
      <c r="M97" s="27">
        <v>50000</v>
      </c>
      <c r="O97" s="48" t="s">
        <v>75</v>
      </c>
      <c r="P97" s="48">
        <f>HEX2DEC(RIGHT(Table13232127535868[[#This Row],[h1]],8))</f>
        <v>0</v>
      </c>
      <c r="Q97" s="48" t="s">
        <v>75</v>
      </c>
      <c r="R97" s="48">
        <f>HEX2DEC(RIGHT(Table13232127535868[[#This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228</v>
      </c>
      <c r="G98" s="49">
        <v>5000</v>
      </c>
      <c r="I98" s="27">
        <v>1</v>
      </c>
      <c r="J98" s="27">
        <v>50000</v>
      </c>
      <c r="L98" s="27"/>
      <c r="M98" s="27">
        <v>50000</v>
      </c>
      <c r="O98" s="48" t="s">
        <v>75</v>
      </c>
      <c r="P98" s="48">
        <f>HEX2DEC(RIGHT(Table13232127535868[[#This Row],[h1]],8))</f>
        <v>0</v>
      </c>
      <c r="Q98" s="48" t="s">
        <v>75</v>
      </c>
      <c r="R98" s="48">
        <f>HEX2DEC(RIGHT(Table13232127535868[[#This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229</v>
      </c>
      <c r="G99" s="49">
        <v>5000</v>
      </c>
      <c r="I99" s="27">
        <v>3</v>
      </c>
      <c r="J99" s="27">
        <v>50000</v>
      </c>
      <c r="L99" s="27"/>
      <c r="M99" s="27">
        <v>50000</v>
      </c>
      <c r="O99" s="48" t="s">
        <v>75</v>
      </c>
      <c r="P99" s="48">
        <f>HEX2DEC(RIGHT(Table13232127535868[[#This Row],[h1]],8))</f>
        <v>0</v>
      </c>
      <c r="Q99" s="48" t="s">
        <v>75</v>
      </c>
      <c r="R99" s="48">
        <f>HEX2DEC(RIGHT(Table13232127535868[[#This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230</v>
      </c>
      <c r="G100" s="49">
        <v>5000</v>
      </c>
      <c r="I100" s="27">
        <v>1</v>
      </c>
      <c r="J100" s="27">
        <v>50000</v>
      </c>
      <c r="L100" s="27"/>
      <c r="M100" s="27">
        <v>50000</v>
      </c>
      <c r="O100" s="48" t="s">
        <v>75</v>
      </c>
      <c r="P100" s="48">
        <f>HEX2DEC(RIGHT(Table13232127535868[[#This Row],[h1]],8))</f>
        <v>0</v>
      </c>
      <c r="Q100" s="48" t="s">
        <v>75</v>
      </c>
      <c r="R100" s="48">
        <f>HEX2DEC(RIGHT(Table13232127535868[[#This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231</v>
      </c>
      <c r="G101" s="49">
        <v>5000</v>
      </c>
      <c r="I101" s="27">
        <v>2</v>
      </c>
      <c r="J101" s="27">
        <v>50000</v>
      </c>
      <c r="L101" s="27"/>
      <c r="M101" s="27">
        <v>50000</v>
      </c>
      <c r="O101" s="48" t="s">
        <v>75</v>
      </c>
      <c r="P101" s="48">
        <f>HEX2DEC(RIGHT(Table13232127535868[[#This Row],[h1]],8))</f>
        <v>0</v>
      </c>
      <c r="Q101" s="48" t="s">
        <v>75</v>
      </c>
      <c r="R101" s="48">
        <f>HEX2DEC(RIGHT(Table13232127535868[[#This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232</v>
      </c>
      <c r="G102" s="49">
        <v>5000</v>
      </c>
      <c r="I102" s="27">
        <v>1</v>
      </c>
      <c r="J102" s="27">
        <v>50000</v>
      </c>
      <c r="L102" s="27"/>
      <c r="M102" s="27">
        <v>50000</v>
      </c>
      <c r="O102" s="48" t="s">
        <v>75</v>
      </c>
      <c r="P102" s="48">
        <f>HEX2DEC(RIGHT(Table13232127535868[[#This Row],[h1]],8))</f>
        <v>0</v>
      </c>
      <c r="Q102" s="48" t="s">
        <v>75</v>
      </c>
      <c r="R102" s="48">
        <f>HEX2DEC(RIGHT(Table13232127535868[[#This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233</v>
      </c>
      <c r="G103" s="49">
        <v>5000</v>
      </c>
      <c r="I103" s="27">
        <v>3</v>
      </c>
      <c r="J103" s="27">
        <v>50000</v>
      </c>
      <c r="L103" s="27"/>
      <c r="M103" s="27">
        <v>50000</v>
      </c>
      <c r="O103" s="48" t="s">
        <v>75</v>
      </c>
      <c r="P103" s="48">
        <f>HEX2DEC(RIGHT(Table13232127535868[[#This Row],[h1]],8))</f>
        <v>0</v>
      </c>
      <c r="Q103" s="48" t="s">
        <v>75</v>
      </c>
      <c r="R103" s="48">
        <f>HEX2DEC(RIGHT(Table13232127535868[[#This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234</v>
      </c>
      <c r="G104" s="49">
        <v>5000</v>
      </c>
      <c r="I104" s="27">
        <v>1</v>
      </c>
      <c r="J104" s="27">
        <v>50000</v>
      </c>
      <c r="L104" s="27"/>
      <c r="M104" s="27">
        <v>50000</v>
      </c>
      <c r="O104" s="48" t="s">
        <v>75</v>
      </c>
      <c r="P104" s="48">
        <f>HEX2DEC(RIGHT(Table13232127535868[[#This Row],[h1]],8))</f>
        <v>0</v>
      </c>
      <c r="Q104" s="48" t="s">
        <v>75</v>
      </c>
      <c r="R104" s="48">
        <f>HEX2DEC(RIGHT(Table13232127535868[[#This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235</v>
      </c>
      <c r="G105" s="49">
        <v>5000</v>
      </c>
      <c r="I105" s="27">
        <v>2</v>
      </c>
      <c r="J105" s="27">
        <v>50000</v>
      </c>
      <c r="L105" s="27"/>
      <c r="M105" s="27">
        <v>50000</v>
      </c>
      <c r="O105" s="48" t="s">
        <v>75</v>
      </c>
      <c r="P105" s="48">
        <f>HEX2DEC(RIGHT(Table13232127535868[[#This Row],[h1]],8))</f>
        <v>0</v>
      </c>
      <c r="Q105" s="48" t="s">
        <v>75</v>
      </c>
      <c r="R105" s="48">
        <f>HEX2DEC(RIGHT(Table13232127535868[[#This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236</v>
      </c>
      <c r="G106" s="49">
        <v>5000</v>
      </c>
      <c r="I106" s="27">
        <v>1</v>
      </c>
      <c r="J106" s="27">
        <v>50000</v>
      </c>
      <c r="L106" s="27"/>
      <c r="M106" s="27">
        <v>50000</v>
      </c>
      <c r="O106" s="48" t="s">
        <v>75</v>
      </c>
      <c r="P106" s="48">
        <f>HEX2DEC(RIGHT(Table13232127535868[[#This Row],[h1]],8))</f>
        <v>0</v>
      </c>
      <c r="Q106" s="48" t="s">
        <v>75</v>
      </c>
      <c r="R106" s="48">
        <f>HEX2DEC(RIGHT(Table13232127535868[[#This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237</v>
      </c>
      <c r="G107" s="49">
        <v>5000</v>
      </c>
      <c r="I107" s="27">
        <v>4</v>
      </c>
      <c r="J107" s="27">
        <v>50000</v>
      </c>
      <c r="L107" s="27"/>
      <c r="M107" s="27">
        <v>50000</v>
      </c>
      <c r="O107" s="48" t="s">
        <v>75</v>
      </c>
      <c r="P107" s="48">
        <f>HEX2DEC(RIGHT(Table13232127535868[[#This Row],[h1]],8))</f>
        <v>0</v>
      </c>
      <c r="Q107" s="48" t="s">
        <v>75</v>
      </c>
      <c r="R107" s="48">
        <f>HEX2DEC(RIGHT(Table13232127535868[[#This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238</v>
      </c>
      <c r="F108" s="21"/>
      <c r="G108" s="49">
        <v>5000</v>
      </c>
      <c r="I108" s="27">
        <v>1</v>
      </c>
      <c r="J108" s="27">
        <v>50000</v>
      </c>
      <c r="L108" s="27"/>
      <c r="M108" s="27">
        <v>50000</v>
      </c>
      <c r="O108" s="48" t="s">
        <v>75</v>
      </c>
      <c r="P108" s="48">
        <f>HEX2DEC(RIGHT(Table13232127535868[[#This Row],[h1]],8))</f>
        <v>0</v>
      </c>
      <c r="Q108" s="48" t="s">
        <v>75</v>
      </c>
      <c r="R108" s="48">
        <f>HEX2DEC(RIGHT(Table13232127535868[[#This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239</v>
      </c>
      <c r="F109" s="21"/>
      <c r="G109" s="49">
        <v>5000</v>
      </c>
      <c r="I109" s="27">
        <v>2</v>
      </c>
      <c r="J109" s="27">
        <v>50000</v>
      </c>
      <c r="L109" s="27"/>
      <c r="M109" s="27">
        <v>50000</v>
      </c>
      <c r="O109" s="48" t="s">
        <v>75</v>
      </c>
      <c r="P109" s="48">
        <f>HEX2DEC(RIGHT(Table13232127535868[[#This Row],[h1]],8))</f>
        <v>0</v>
      </c>
      <c r="Q109" s="48" t="s">
        <v>75</v>
      </c>
      <c r="R109" s="48">
        <f>HEX2DEC(RIGHT(Table13232127535868[[#This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240</v>
      </c>
      <c r="F110" s="21"/>
      <c r="G110" s="49">
        <v>5000</v>
      </c>
      <c r="I110" s="27">
        <v>1</v>
      </c>
      <c r="J110" s="27">
        <v>50000</v>
      </c>
      <c r="L110" s="27"/>
      <c r="M110" s="27">
        <v>50000</v>
      </c>
      <c r="O110" s="48" t="s">
        <v>75</v>
      </c>
      <c r="P110" s="48">
        <f>HEX2DEC(RIGHT(Table13232127535868[[#This Row],[h1]],8))</f>
        <v>0</v>
      </c>
      <c r="Q110" s="48" t="s">
        <v>75</v>
      </c>
      <c r="R110" s="48">
        <f>HEX2DEC(RIGHT(Table13232127535868[[#This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241</v>
      </c>
      <c r="F111" s="21"/>
      <c r="G111" s="49">
        <v>5000</v>
      </c>
      <c r="I111" s="27">
        <v>3</v>
      </c>
      <c r="J111" s="27">
        <v>50000</v>
      </c>
      <c r="L111" s="27"/>
      <c r="M111" s="27">
        <v>50000</v>
      </c>
      <c r="O111" s="48" t="s">
        <v>75</v>
      </c>
      <c r="P111" s="48">
        <f>HEX2DEC(RIGHT(Table13232127535868[[#This Row],[h1]],8))</f>
        <v>0</v>
      </c>
      <c r="Q111" s="48" t="s">
        <v>75</v>
      </c>
      <c r="R111" s="48">
        <f>HEX2DEC(RIGHT(Table13232127535868[[#This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242</v>
      </c>
      <c r="F112" s="21"/>
      <c r="G112" s="49">
        <v>5000</v>
      </c>
      <c r="I112" s="27">
        <v>1</v>
      </c>
      <c r="J112" s="27">
        <v>50000</v>
      </c>
      <c r="L112" s="27"/>
      <c r="M112" s="27">
        <v>50000</v>
      </c>
      <c r="O112" s="48" t="s">
        <v>75</v>
      </c>
      <c r="P112" s="48">
        <f>HEX2DEC(RIGHT(Table13232127535868[[#This Row],[h1]],8))</f>
        <v>0</v>
      </c>
      <c r="Q112" s="48" t="s">
        <v>75</v>
      </c>
      <c r="R112" s="48">
        <f>HEX2DEC(RIGHT(Table13232127535868[[#This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9"/>
      <c r="I113" s="27">
        <v>2</v>
      </c>
      <c r="J113" s="27">
        <v>50000</v>
      </c>
      <c r="L113" s="27"/>
      <c r="M113" s="27">
        <v>50000</v>
      </c>
      <c r="O113" s="48" t="s">
        <v>75</v>
      </c>
      <c r="P113" s="48">
        <f>HEX2DEC(RIGHT(Table13232127535868[[#This Row],[h1]],8))</f>
        <v>0</v>
      </c>
      <c r="Q113" s="48" t="s">
        <v>75</v>
      </c>
      <c r="R113" s="48">
        <f>HEX2DEC(RIGHT(Table13232127535868[[#This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346</v>
      </c>
      <c r="G114" s="29" t="s">
        <v>378</v>
      </c>
      <c r="I114" s="27">
        <v>1</v>
      </c>
      <c r="J114" s="27">
        <v>50000</v>
      </c>
      <c r="L114" s="27"/>
      <c r="M114" s="27">
        <v>50000</v>
      </c>
      <c r="O114" s="48" t="s">
        <v>75</v>
      </c>
      <c r="P114" s="48">
        <f>HEX2DEC(RIGHT(Table13232127535868[[#This Row],[h1]],8))</f>
        <v>0</v>
      </c>
      <c r="Q114" s="48" t="s">
        <v>75</v>
      </c>
      <c r="R114" s="48">
        <f>HEX2DEC(RIGHT(Table13232127535868[[#This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347</v>
      </c>
      <c r="G115" s="29" t="s">
        <v>378</v>
      </c>
      <c r="I115" s="27">
        <v>3</v>
      </c>
      <c r="J115" s="27">
        <v>50000</v>
      </c>
      <c r="L115" s="27"/>
      <c r="M115" s="27">
        <v>50000</v>
      </c>
      <c r="O115" s="48" t="s">
        <v>75</v>
      </c>
      <c r="P115" s="48">
        <f>HEX2DEC(RIGHT(Table13232127535868[[#This Row],[h1]],8))</f>
        <v>0</v>
      </c>
      <c r="Q115" s="48" t="s">
        <v>75</v>
      </c>
      <c r="R115" s="48">
        <f>HEX2DEC(RIGHT(Table13232127535868[[#This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348</v>
      </c>
      <c r="G116" s="29" t="s">
        <v>380</v>
      </c>
      <c r="I116" s="27">
        <v>1</v>
      </c>
      <c r="J116" s="27">
        <v>50000</v>
      </c>
      <c r="L116" s="27"/>
      <c r="M116" s="27">
        <v>50000</v>
      </c>
      <c r="O116" s="48" t="s">
        <v>75</v>
      </c>
      <c r="P116" s="48">
        <f>HEX2DEC(RIGHT(Table13232127535868[[#This Row],[h1]],8))</f>
        <v>0</v>
      </c>
      <c r="Q116" s="48" t="s">
        <v>75</v>
      </c>
      <c r="R116" s="48">
        <f>HEX2DEC(RIGHT(Table13232127535868[[#This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349</v>
      </c>
      <c r="G117" s="29" t="s">
        <v>382</v>
      </c>
      <c r="I117" s="27">
        <v>2</v>
      </c>
      <c r="J117" s="27">
        <v>50000</v>
      </c>
      <c r="L117" s="27"/>
      <c r="M117" s="27">
        <v>50000</v>
      </c>
      <c r="O117" s="48" t="s">
        <v>75</v>
      </c>
      <c r="P117" s="48">
        <f>HEX2DEC(RIGHT(Table13232127535868[[#This Row],[h1]],8))</f>
        <v>0</v>
      </c>
      <c r="Q117" s="48" t="s">
        <v>75</v>
      </c>
      <c r="R117" s="48">
        <f>HEX2DEC(RIGHT(Table13232127535868[[#This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350</v>
      </c>
      <c r="G118" s="29" t="s">
        <v>383</v>
      </c>
      <c r="I118" s="27">
        <v>1</v>
      </c>
      <c r="J118" s="27">
        <v>50000</v>
      </c>
      <c r="L118" s="27"/>
      <c r="M118" s="27">
        <v>50000</v>
      </c>
      <c r="O118" s="48" t="s">
        <v>75</v>
      </c>
      <c r="P118" s="48">
        <f>HEX2DEC(RIGHT(Table13232127535868[[#This Row],[h1]],8))</f>
        <v>0</v>
      </c>
      <c r="Q118" s="48" t="s">
        <v>75</v>
      </c>
      <c r="R118" s="48">
        <f>HEX2DEC(RIGHT(Table13232127535868[[#This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351</v>
      </c>
      <c r="G119" s="29" t="s">
        <v>384</v>
      </c>
      <c r="I119" s="27">
        <v>4</v>
      </c>
      <c r="J119" s="27">
        <v>50000</v>
      </c>
      <c r="L119" s="27"/>
      <c r="M119" s="27">
        <v>50000</v>
      </c>
      <c r="O119" s="48" t="s">
        <v>75</v>
      </c>
      <c r="P119" s="48">
        <f>HEX2DEC(RIGHT(Table13232127535868[[#This Row],[h1]],8))</f>
        <v>0</v>
      </c>
      <c r="Q119" s="48" t="s">
        <v>75</v>
      </c>
      <c r="R119" s="48">
        <f>HEX2DEC(RIGHT(Table13232127535868[[#This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352</v>
      </c>
      <c r="G120" s="29" t="s">
        <v>385</v>
      </c>
      <c r="I120" s="27">
        <v>1</v>
      </c>
      <c r="J120" s="27">
        <v>50000</v>
      </c>
      <c r="L120" s="27"/>
      <c r="M120" s="27">
        <v>50000</v>
      </c>
      <c r="O120" s="48" t="s">
        <v>75</v>
      </c>
      <c r="P120" s="48">
        <f>HEX2DEC(RIGHT(Table13232127535868[[#This Row],[h1]],8))</f>
        <v>0</v>
      </c>
      <c r="Q120" s="48" t="s">
        <v>75</v>
      </c>
      <c r="R120" s="48">
        <f>HEX2DEC(RIGHT(Table13232127535868[[#This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353</v>
      </c>
      <c r="G121" s="29" t="s">
        <v>378</v>
      </c>
      <c r="I121" s="27">
        <v>2</v>
      </c>
      <c r="J121" s="27">
        <v>50000</v>
      </c>
      <c r="L121" s="27"/>
      <c r="M121" s="27">
        <v>50000</v>
      </c>
      <c r="O121" s="48" t="s">
        <v>75</v>
      </c>
      <c r="P121" s="48">
        <f>HEX2DEC(RIGHT(Table13232127535868[[#This Row],[h1]],8))</f>
        <v>0</v>
      </c>
      <c r="Q121" s="48" t="s">
        <v>75</v>
      </c>
      <c r="R121" s="48">
        <f>HEX2DEC(RIGHT(Table13232127535868[[#This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354</v>
      </c>
      <c r="G122" s="29" t="s">
        <v>378</v>
      </c>
      <c r="I122" s="27">
        <v>1</v>
      </c>
      <c r="J122" s="27">
        <v>50000</v>
      </c>
      <c r="L122" s="27"/>
      <c r="M122" s="27">
        <v>50000</v>
      </c>
      <c r="O122" s="48" t="s">
        <v>75</v>
      </c>
      <c r="P122" s="48">
        <f>HEX2DEC(RIGHT(Table13232127535868[[#This Row],[h1]],8))</f>
        <v>0</v>
      </c>
      <c r="Q122" s="48" t="s">
        <v>75</v>
      </c>
      <c r="R122" s="48">
        <f>HEX2DEC(RIGHT(Table13232127535868[[#This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355</v>
      </c>
      <c r="G123" s="29" t="s">
        <v>378</v>
      </c>
      <c r="I123" s="27">
        <v>3</v>
      </c>
      <c r="J123" s="27">
        <v>50000</v>
      </c>
      <c r="L123" s="27"/>
      <c r="M123" s="27">
        <v>50000</v>
      </c>
      <c r="O123" s="48" t="s">
        <v>75</v>
      </c>
      <c r="P123" s="48">
        <f>HEX2DEC(RIGHT(Table13232127535868[[#This Row],[h1]],8))</f>
        <v>0</v>
      </c>
      <c r="Q123" s="48" t="s">
        <v>75</v>
      </c>
      <c r="R123" s="48">
        <f>HEX2DEC(RIGHT(Table13232127535868[[#This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356</v>
      </c>
      <c r="G124" s="29" t="s">
        <v>378</v>
      </c>
      <c r="I124" s="27">
        <v>1</v>
      </c>
      <c r="J124" s="27">
        <v>50000</v>
      </c>
      <c r="L124" s="27"/>
      <c r="M124" s="27">
        <v>50000</v>
      </c>
      <c r="O124" s="48" t="s">
        <v>75</v>
      </c>
      <c r="P124" s="48">
        <f>HEX2DEC(RIGHT(Table13232127535868[[#This Row],[h1]],8))</f>
        <v>0</v>
      </c>
      <c r="Q124" s="48" t="s">
        <v>75</v>
      </c>
      <c r="R124" s="48">
        <f>HEX2DEC(RIGHT(Table13232127535868[[#This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357</v>
      </c>
      <c r="G125" s="29" t="s">
        <v>378</v>
      </c>
      <c r="I125" s="27">
        <v>2</v>
      </c>
      <c r="J125" s="27">
        <v>50000</v>
      </c>
      <c r="L125" s="27"/>
      <c r="M125" s="27">
        <v>50000</v>
      </c>
      <c r="O125" s="48" t="s">
        <v>75</v>
      </c>
      <c r="P125" s="48">
        <f>HEX2DEC(RIGHT(Table13232127535868[[#This Row],[h1]],8))</f>
        <v>0</v>
      </c>
      <c r="Q125" s="48" t="s">
        <v>75</v>
      </c>
      <c r="R125" s="48">
        <f>HEX2DEC(RIGHT(Table13232127535868[[#This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358</v>
      </c>
      <c r="G126" s="29" t="s">
        <v>378</v>
      </c>
      <c r="I126" s="27">
        <v>1</v>
      </c>
      <c r="J126" s="27">
        <v>50000</v>
      </c>
      <c r="L126" s="27"/>
      <c r="M126" s="27">
        <v>50000</v>
      </c>
      <c r="O126" s="48" t="s">
        <v>75</v>
      </c>
      <c r="P126" s="48">
        <f>HEX2DEC(RIGHT(Table13232127535868[[#This Row],[h1]],8))</f>
        <v>0</v>
      </c>
      <c r="Q126" s="48" t="s">
        <v>75</v>
      </c>
      <c r="R126" s="48">
        <f>HEX2DEC(RIGHT(Table13232127535868[[#This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359</v>
      </c>
      <c r="G127" s="29" t="s">
        <v>378</v>
      </c>
      <c r="I127" s="27">
        <v>3</v>
      </c>
      <c r="J127" s="27">
        <v>50000</v>
      </c>
      <c r="L127" s="27"/>
      <c r="M127" s="27">
        <v>50000</v>
      </c>
      <c r="O127" s="48" t="s">
        <v>75</v>
      </c>
      <c r="P127" s="48">
        <f>HEX2DEC(RIGHT(Table13232127535868[[#This Row],[h1]],8))</f>
        <v>0</v>
      </c>
      <c r="Q127" s="48" t="s">
        <v>75</v>
      </c>
      <c r="R127" s="48">
        <f>HEX2DEC(RIGHT(Table13232127535868[[#This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360</v>
      </c>
      <c r="G128" s="29" t="s">
        <v>378</v>
      </c>
      <c r="I128" s="27">
        <v>1</v>
      </c>
      <c r="J128" s="27">
        <v>50000</v>
      </c>
      <c r="L128" s="27"/>
      <c r="M128" s="27">
        <v>50000</v>
      </c>
      <c r="O128" s="48" t="s">
        <v>75</v>
      </c>
      <c r="P128" s="48">
        <f>HEX2DEC(RIGHT(Table13232127535868[[#This Row],[h1]],8))</f>
        <v>0</v>
      </c>
      <c r="Q128" s="48" t="s">
        <v>75</v>
      </c>
      <c r="R128" s="48">
        <f>HEX2DEC(RIGHT(Table13232127535868[[#This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361</v>
      </c>
      <c r="G129" s="29" t="s">
        <v>378</v>
      </c>
      <c r="I129" s="27">
        <v>2</v>
      </c>
      <c r="J129" s="27">
        <v>50000</v>
      </c>
      <c r="L129" s="27"/>
      <c r="M129" s="27">
        <v>50000</v>
      </c>
      <c r="O129" s="48" t="s">
        <v>75</v>
      </c>
      <c r="P129" s="48">
        <f>HEX2DEC(RIGHT(Table13232127535868[[#This Row],[h1]],8))</f>
        <v>0</v>
      </c>
      <c r="Q129" s="48" t="s">
        <v>75</v>
      </c>
      <c r="R129" s="48">
        <f>HEX2DEC(RIGHT(Table13232127535868[[#This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362</v>
      </c>
      <c r="G130" s="29" t="s">
        <v>378</v>
      </c>
      <c r="I130" s="27">
        <v>1</v>
      </c>
      <c r="J130" s="27">
        <v>50000</v>
      </c>
      <c r="L130" s="27"/>
      <c r="M130" s="27">
        <v>50000</v>
      </c>
      <c r="O130" s="48" t="s">
        <v>75</v>
      </c>
      <c r="P130" s="48">
        <f>HEX2DEC(RIGHT(Table13232127535868[[#This Row],[h1]],8))</f>
        <v>0</v>
      </c>
      <c r="Q130" s="48" t="s">
        <v>75</v>
      </c>
      <c r="R130" s="48">
        <f>HEX2DEC(RIGHT(Table13232127535868[[#This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363</v>
      </c>
      <c r="G131" s="29" t="s">
        <v>378</v>
      </c>
      <c r="I131" s="27">
        <v>4</v>
      </c>
      <c r="J131" s="27">
        <v>50000</v>
      </c>
      <c r="L131" s="27"/>
      <c r="M131" s="27">
        <v>50000</v>
      </c>
      <c r="O131" s="48" t="s">
        <v>75</v>
      </c>
      <c r="P131" s="48">
        <f>HEX2DEC(RIGHT(Table13232127535868[[#This Row],[h1]],8))</f>
        <v>0</v>
      </c>
      <c r="Q131" s="48" t="s">
        <v>75</v>
      </c>
      <c r="R131" s="48">
        <f>HEX2DEC(RIGHT(Table13232127535868[[#This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364</v>
      </c>
      <c r="G132" s="29" t="s">
        <v>378</v>
      </c>
      <c r="I132" s="27">
        <v>1</v>
      </c>
      <c r="J132" s="27">
        <v>50000</v>
      </c>
      <c r="L132" s="27"/>
      <c r="M132" s="27">
        <v>50000</v>
      </c>
      <c r="O132" s="48" t="s">
        <v>75</v>
      </c>
      <c r="P132" s="48">
        <f>HEX2DEC(RIGHT(Table13232127535868[[#This Row],[h1]],8))</f>
        <v>0</v>
      </c>
      <c r="Q132" s="48" t="s">
        <v>75</v>
      </c>
      <c r="R132" s="48">
        <f>HEX2DEC(RIGHT(Table13232127535868[[#This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365</v>
      </c>
      <c r="G133" s="29" t="s">
        <v>378</v>
      </c>
      <c r="I133" s="27">
        <v>2</v>
      </c>
      <c r="J133" s="27">
        <v>50000</v>
      </c>
      <c r="L133" s="27"/>
      <c r="M133" s="27">
        <v>50000</v>
      </c>
      <c r="O133" s="48" t="s">
        <v>75</v>
      </c>
      <c r="P133" s="48">
        <f>HEX2DEC(RIGHT(Table13232127535868[[#This Row],[h1]],8))</f>
        <v>0</v>
      </c>
      <c r="Q133" s="48" t="s">
        <v>75</v>
      </c>
      <c r="R133" s="48">
        <f>HEX2DEC(RIGHT(Table13232127535868[[#This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366</v>
      </c>
      <c r="G134" s="29" t="s">
        <v>378</v>
      </c>
      <c r="I134" s="27">
        <v>1</v>
      </c>
      <c r="J134" s="27">
        <v>50000</v>
      </c>
      <c r="L134" s="27"/>
      <c r="M134" s="27">
        <v>50000</v>
      </c>
      <c r="O134" s="48" t="s">
        <v>75</v>
      </c>
      <c r="P134" s="48">
        <f>HEX2DEC(RIGHT(Table13232127535868[[#This Row],[h1]],8))</f>
        <v>0</v>
      </c>
      <c r="Q134" s="48" t="s">
        <v>75</v>
      </c>
      <c r="R134" s="48">
        <f>HEX2DEC(RIGHT(Table13232127535868[[#This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367</v>
      </c>
      <c r="G135" s="29" t="s">
        <v>378</v>
      </c>
      <c r="I135" s="27">
        <v>3</v>
      </c>
      <c r="J135" s="27">
        <v>50000</v>
      </c>
      <c r="L135" s="27"/>
      <c r="M135" s="27">
        <v>50000</v>
      </c>
      <c r="O135" s="48" t="s">
        <v>75</v>
      </c>
      <c r="P135" s="48">
        <f>HEX2DEC(RIGHT(Table13232127535868[[#This Row],[h1]],8))</f>
        <v>0</v>
      </c>
      <c r="Q135" s="48" t="s">
        <v>75</v>
      </c>
      <c r="R135" s="48">
        <f>HEX2DEC(RIGHT(Table13232127535868[[#This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368</v>
      </c>
      <c r="G136" s="29" t="s">
        <v>378</v>
      </c>
      <c r="I136" s="27">
        <v>1</v>
      </c>
      <c r="J136" s="27">
        <v>50000</v>
      </c>
      <c r="L136" s="27"/>
      <c r="M136" s="27">
        <v>50000</v>
      </c>
      <c r="O136" s="48" t="s">
        <v>75</v>
      </c>
      <c r="P136" s="48">
        <f>HEX2DEC(RIGHT(Table13232127535868[[#This Row],[h1]],8))</f>
        <v>0</v>
      </c>
      <c r="Q136" s="48" t="s">
        <v>75</v>
      </c>
      <c r="R136" s="48">
        <f>HEX2DEC(RIGHT(Table13232127535868[[#This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369</v>
      </c>
      <c r="G137" s="29" t="s">
        <v>378</v>
      </c>
      <c r="I137" s="27">
        <v>2</v>
      </c>
      <c r="J137" s="27">
        <v>50000</v>
      </c>
      <c r="L137" s="27"/>
      <c r="M137" s="27">
        <v>50000</v>
      </c>
      <c r="O137" s="48" t="s">
        <v>75</v>
      </c>
      <c r="P137" s="48">
        <f>HEX2DEC(RIGHT(Table13232127535868[[#This Row],[h1]],8))</f>
        <v>0</v>
      </c>
      <c r="Q137" s="48" t="s">
        <v>75</v>
      </c>
      <c r="R137" s="48">
        <f>HEX2DEC(RIGHT(Table13232127535868[[#This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370</v>
      </c>
      <c r="G138" s="29" t="s">
        <v>378</v>
      </c>
      <c r="I138" s="27">
        <v>1</v>
      </c>
      <c r="J138" s="27">
        <v>50000</v>
      </c>
      <c r="L138" s="27"/>
      <c r="M138" s="27">
        <v>50000</v>
      </c>
      <c r="O138" s="48" t="s">
        <v>75</v>
      </c>
      <c r="P138" s="48">
        <f>HEX2DEC(RIGHT(Table13232127535868[[#This Row],[h1]],8))</f>
        <v>0</v>
      </c>
      <c r="Q138" s="48" t="s">
        <v>75</v>
      </c>
      <c r="R138" s="48">
        <f>HEX2DEC(RIGHT(Table13232127535868[[#This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371</v>
      </c>
      <c r="G139" s="29" t="s">
        <v>378</v>
      </c>
      <c r="I139" s="27">
        <v>3</v>
      </c>
      <c r="J139" s="27">
        <v>50000</v>
      </c>
      <c r="L139" s="27"/>
      <c r="M139" s="27">
        <v>50000</v>
      </c>
      <c r="O139" s="48" t="s">
        <v>75</v>
      </c>
      <c r="P139" s="48">
        <f>HEX2DEC(RIGHT(Table13232127535868[[#This Row],[h1]],8))</f>
        <v>0</v>
      </c>
      <c r="Q139" s="48" t="s">
        <v>75</v>
      </c>
      <c r="R139" s="48">
        <f>HEX2DEC(RIGHT(Table13232127535868[[#This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372</v>
      </c>
      <c r="G140" s="29" t="s">
        <v>378</v>
      </c>
      <c r="I140" s="27">
        <v>1</v>
      </c>
      <c r="J140" s="27">
        <v>50000</v>
      </c>
      <c r="L140" s="27"/>
      <c r="M140" s="27">
        <v>50000</v>
      </c>
      <c r="O140" s="48" t="s">
        <v>75</v>
      </c>
      <c r="P140" s="48">
        <f>HEX2DEC(RIGHT(Table13232127535868[[#This Row],[h1]],8))</f>
        <v>0</v>
      </c>
      <c r="Q140" s="48" t="s">
        <v>75</v>
      </c>
      <c r="R140" s="48">
        <f>HEX2DEC(RIGHT(Table13232127535868[[#This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373</v>
      </c>
      <c r="F141" s="21"/>
      <c r="G141" s="29" t="s">
        <v>378</v>
      </c>
      <c r="I141" s="27">
        <v>2</v>
      </c>
      <c r="J141" s="27">
        <v>50000</v>
      </c>
      <c r="L141" s="27"/>
      <c r="M141" s="27">
        <v>50000</v>
      </c>
      <c r="O141" s="48" t="s">
        <v>75</v>
      </c>
      <c r="P141" s="48">
        <f>HEX2DEC(RIGHT(Table13232127535868[[#This Row],[h1]],8))</f>
        <v>0</v>
      </c>
      <c r="Q141" s="48" t="s">
        <v>75</v>
      </c>
      <c r="R141" s="48">
        <f>HEX2DEC(RIGHT(Table13232127535868[[#This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374</v>
      </c>
      <c r="F142" s="21"/>
      <c r="G142" s="29" t="s">
        <v>378</v>
      </c>
      <c r="I142" s="27">
        <v>1</v>
      </c>
      <c r="J142" s="27">
        <v>50000</v>
      </c>
      <c r="L142" s="27"/>
      <c r="M142" s="27">
        <v>50000</v>
      </c>
      <c r="O142" s="48" t="s">
        <v>75</v>
      </c>
      <c r="P142" s="48">
        <f>HEX2DEC(RIGHT(Table13232127535868[[#This Row],[h1]],8))</f>
        <v>0</v>
      </c>
      <c r="Q142" s="48" t="s">
        <v>75</v>
      </c>
      <c r="R142" s="48">
        <f>HEX2DEC(RIGHT(Table13232127535868[[#This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375</v>
      </c>
      <c r="F143" s="21"/>
      <c r="G143" s="29" t="s">
        <v>378</v>
      </c>
      <c r="I143" s="27">
        <v>4</v>
      </c>
      <c r="J143" s="27">
        <v>50000</v>
      </c>
      <c r="L143" s="27"/>
      <c r="M143" s="27">
        <v>50000</v>
      </c>
      <c r="O143" s="48" t="s">
        <v>75</v>
      </c>
      <c r="P143" s="48">
        <f>HEX2DEC(RIGHT(Table13232127535868[[#This Row],[h1]],8))</f>
        <v>0</v>
      </c>
      <c r="Q143" s="48" t="s">
        <v>75</v>
      </c>
      <c r="R143" s="48">
        <f>HEX2DEC(RIGHT(Table13232127535868[[#This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376</v>
      </c>
      <c r="F144" s="21"/>
      <c r="G144" s="29" t="s">
        <v>378</v>
      </c>
      <c r="I144" s="27">
        <v>1</v>
      </c>
      <c r="J144" s="27">
        <v>50000</v>
      </c>
      <c r="L144" s="27"/>
      <c r="M144" s="27">
        <v>50000</v>
      </c>
      <c r="O144" s="48" t="s">
        <v>75</v>
      </c>
      <c r="P144" s="48">
        <f>HEX2DEC(RIGHT(Table13232127535868[[#This Row],[h1]],8))</f>
        <v>0</v>
      </c>
      <c r="Q144" s="48" t="s">
        <v>75</v>
      </c>
      <c r="R144" s="48">
        <f>HEX2DEC(RIGHT(Table13232127535868[[#This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377</v>
      </c>
      <c r="F145" s="21"/>
      <c r="G145" s="29" t="s">
        <v>378</v>
      </c>
      <c r="I145" s="27">
        <v>2</v>
      </c>
      <c r="J145" s="27">
        <v>50000</v>
      </c>
      <c r="L145" s="27"/>
      <c r="M145" s="27">
        <v>50000</v>
      </c>
      <c r="O145" s="48" t="s">
        <v>75</v>
      </c>
      <c r="P145" s="48">
        <f>HEX2DEC(RIGHT(Table13232127535868[[#This Row],[h1]],8))</f>
        <v>0</v>
      </c>
      <c r="Q145" s="48" t="s">
        <v>75</v>
      </c>
      <c r="R145" s="48">
        <f>HEX2DEC(RIGHT(Table13232127535868[[#This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1</v>
      </c>
      <c r="J146" s="27">
        <v>50000</v>
      </c>
      <c r="L146" s="27"/>
      <c r="M146" s="27">
        <v>50000</v>
      </c>
      <c r="O146" s="48" t="s">
        <v>75</v>
      </c>
      <c r="P146" s="48">
        <f>HEX2DEC(RIGHT(Table13232127535868[[#This Row],[h1]],8))</f>
        <v>0</v>
      </c>
      <c r="Q146" s="48" t="s">
        <v>75</v>
      </c>
      <c r="R146" s="48">
        <f>HEX2DEC(RIGHT(Table13232127535868[[#This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139</v>
      </c>
      <c r="G147" s="49">
        <v>0</v>
      </c>
      <c r="I147" s="27">
        <v>3</v>
      </c>
      <c r="J147" s="27">
        <v>50000</v>
      </c>
      <c r="L147" s="27"/>
      <c r="M147" s="27">
        <v>50000</v>
      </c>
      <c r="O147" s="48" t="s">
        <v>75</v>
      </c>
      <c r="P147" s="48">
        <f>HEX2DEC(RIGHT(Table13232127535868[[#This Row],[h1]],8))</f>
        <v>0</v>
      </c>
      <c r="Q147" s="48" t="s">
        <v>75</v>
      </c>
      <c r="R147" s="48">
        <f>HEX2DEC(RIGHT(Table13232127535868[[#This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140</v>
      </c>
      <c r="G148" s="49">
        <v>0</v>
      </c>
      <c r="I148" s="27">
        <v>1</v>
      </c>
      <c r="J148" s="27">
        <v>50000</v>
      </c>
      <c r="L148" s="27"/>
      <c r="M148" s="27">
        <v>50000</v>
      </c>
      <c r="O148" s="48" t="s">
        <v>75</v>
      </c>
      <c r="P148" s="48">
        <f>HEX2DEC(RIGHT(Table13232127535868[[#This Row],[h1]],8))</f>
        <v>0</v>
      </c>
      <c r="Q148" s="48" t="s">
        <v>75</v>
      </c>
      <c r="R148" s="48">
        <f>HEX2DEC(RIGHT(Table13232127535868[[#This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141</v>
      </c>
      <c r="G149" s="49">
        <v>0</v>
      </c>
      <c r="I149" s="27">
        <v>2</v>
      </c>
      <c r="J149" s="27">
        <v>50000</v>
      </c>
      <c r="L149" s="27"/>
      <c r="M149" s="27">
        <v>50000</v>
      </c>
      <c r="O149" s="48" t="s">
        <v>75</v>
      </c>
      <c r="P149" s="48">
        <f>HEX2DEC(RIGHT(Table13232127535868[[#This Row],[h1]],8))</f>
        <v>0</v>
      </c>
      <c r="Q149" s="48" t="s">
        <v>75</v>
      </c>
      <c r="R149" s="48">
        <f>HEX2DEC(RIGHT(Table13232127535868[[#This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142</v>
      </c>
      <c r="G150" s="49">
        <v>0</v>
      </c>
      <c r="I150" s="27">
        <v>1</v>
      </c>
      <c r="J150" s="27">
        <v>50000</v>
      </c>
      <c r="L150" s="27"/>
      <c r="M150" s="27">
        <v>50000</v>
      </c>
      <c r="O150" s="48" t="s">
        <v>75</v>
      </c>
      <c r="P150" s="48">
        <f>HEX2DEC(RIGHT(Table13232127535868[[#This Row],[h1]],8))</f>
        <v>0</v>
      </c>
      <c r="Q150" s="48" t="s">
        <v>75</v>
      </c>
      <c r="R150" s="48">
        <f>HEX2DEC(RIGHT(Table13232127535868[[#This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143</v>
      </c>
      <c r="G151" s="49">
        <v>0</v>
      </c>
      <c r="I151" s="27">
        <v>3</v>
      </c>
      <c r="J151" s="27">
        <v>50000</v>
      </c>
      <c r="L151" s="27"/>
      <c r="M151" s="27">
        <v>50000</v>
      </c>
      <c r="O151" s="48" t="s">
        <v>75</v>
      </c>
      <c r="P151" s="48">
        <f>HEX2DEC(RIGHT(Table13232127535868[[#This Row],[h1]],8))</f>
        <v>0</v>
      </c>
      <c r="Q151" s="48" t="s">
        <v>75</v>
      </c>
      <c r="R151" s="48">
        <f>HEX2DEC(RIGHT(Table13232127535868[[#This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144</v>
      </c>
      <c r="G152" s="49">
        <v>0</v>
      </c>
      <c r="I152" s="27">
        <v>1</v>
      </c>
      <c r="J152" s="27">
        <v>50000</v>
      </c>
      <c r="L152" s="27"/>
      <c r="M152" s="27">
        <v>50000</v>
      </c>
      <c r="O152" s="48" t="s">
        <v>75</v>
      </c>
      <c r="P152" s="48">
        <f>HEX2DEC(RIGHT(Table13232127535868[[#This Row],[h1]],8))</f>
        <v>0</v>
      </c>
      <c r="Q152" s="48" t="s">
        <v>75</v>
      </c>
      <c r="R152" s="48">
        <f>HEX2DEC(RIGHT(Table13232127535868[[#This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145</v>
      </c>
      <c r="G153" s="49">
        <v>0</v>
      </c>
      <c r="I153" s="27">
        <v>2</v>
      </c>
      <c r="J153" s="27">
        <v>50000</v>
      </c>
      <c r="L153" s="27"/>
      <c r="M153" s="27">
        <v>50000</v>
      </c>
      <c r="O153" s="48" t="s">
        <v>75</v>
      </c>
      <c r="P153" s="48">
        <f>HEX2DEC(RIGHT(Table13232127535868[[#This Row],[h1]],8))</f>
        <v>0</v>
      </c>
      <c r="Q153" s="48" t="s">
        <v>75</v>
      </c>
      <c r="R153" s="48">
        <f>HEX2DEC(RIGHT(Table13232127535868[[#This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146</v>
      </c>
      <c r="G154" s="49">
        <v>0</v>
      </c>
      <c r="I154" s="27">
        <v>1</v>
      </c>
      <c r="J154" s="27">
        <v>50000</v>
      </c>
      <c r="L154" s="27"/>
      <c r="M154" s="27">
        <v>50000</v>
      </c>
      <c r="O154" s="48" t="s">
        <v>75</v>
      </c>
      <c r="P154" s="48">
        <f>HEX2DEC(RIGHT(Table13232127535868[[#This Row],[h1]],8))</f>
        <v>0</v>
      </c>
      <c r="Q154" s="48" t="s">
        <v>75</v>
      </c>
      <c r="R154" s="48">
        <f>HEX2DEC(RIGHT(Table13232127535868[[#This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48"/>
      <c r="I155" s="27">
        <v>4</v>
      </c>
      <c r="J155" s="27">
        <v>50000</v>
      </c>
      <c r="L155" s="27"/>
      <c r="M155" s="27">
        <v>50000</v>
      </c>
      <c r="O155" s="48" t="s">
        <v>75</v>
      </c>
      <c r="P155" s="48">
        <f>HEX2DEC(RIGHT(Table13232127535868[[#This Row],[h1]],8))</f>
        <v>0</v>
      </c>
      <c r="Q155" s="48" t="s">
        <v>75</v>
      </c>
      <c r="R155" s="48">
        <f>HEX2DEC(RIGHT(Table13232127535868[[#This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243</v>
      </c>
      <c r="F156" s="21"/>
      <c r="G156" s="52">
        <v>1</v>
      </c>
      <c r="I156" s="27">
        <v>1</v>
      </c>
      <c r="J156" s="27">
        <v>50000</v>
      </c>
      <c r="L156" s="27"/>
      <c r="M156" s="27">
        <v>50000</v>
      </c>
      <c r="O156" s="48" t="s">
        <v>75</v>
      </c>
      <c r="P156" s="48">
        <f>HEX2DEC(RIGHT(Table13232127535868[[#This Row],[h1]],8))</f>
        <v>0</v>
      </c>
      <c r="Q156" s="48" t="s">
        <v>75</v>
      </c>
      <c r="R156" s="48">
        <f>HEX2DEC(RIGHT(Table13232127535868[[#This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243</v>
      </c>
      <c r="F157" s="21"/>
      <c r="G157" s="52">
        <v>0</v>
      </c>
      <c r="I157" s="27">
        <v>2</v>
      </c>
      <c r="J157" s="27">
        <v>50000</v>
      </c>
      <c r="L157" s="27"/>
      <c r="M157" s="27">
        <v>50000</v>
      </c>
      <c r="O157" s="48" t="s">
        <v>75</v>
      </c>
      <c r="P157" s="48">
        <f>HEX2DEC(RIGHT(Table13232127535868[[#This Row],[h1]],8))</f>
        <v>0</v>
      </c>
      <c r="Q157" s="48" t="s">
        <v>75</v>
      </c>
      <c r="R157" s="48">
        <f>HEX2DEC(RIGHT(Table13232127535868[[#This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1</v>
      </c>
      <c r="J158" s="27">
        <v>50000</v>
      </c>
      <c r="L158" s="27"/>
      <c r="M158" s="27">
        <v>50000</v>
      </c>
      <c r="O158" s="48" t="s">
        <v>75</v>
      </c>
      <c r="P158" s="48">
        <f>HEX2DEC(RIGHT(Table13232127535868[[#This Row],[h1]],8))</f>
        <v>0</v>
      </c>
      <c r="Q158" s="48" t="s">
        <v>75</v>
      </c>
      <c r="R158" s="48">
        <f>HEX2DEC(RIGHT(Table13232127535868[[#This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244</v>
      </c>
      <c r="F159" s="21"/>
      <c r="G159" s="49">
        <v>0</v>
      </c>
      <c r="I159" s="27">
        <v>3</v>
      </c>
      <c r="J159" s="27">
        <v>50000</v>
      </c>
      <c r="L159" s="27"/>
      <c r="M159" s="27">
        <v>50000</v>
      </c>
      <c r="O159" s="48" t="s">
        <v>75</v>
      </c>
      <c r="P159" s="48">
        <f>HEX2DEC(RIGHT(Table13232127535868[[#This Row],[h1]],8))</f>
        <v>0</v>
      </c>
      <c r="Q159" s="48" t="s">
        <v>75</v>
      </c>
      <c r="R159" s="48">
        <f>HEX2DEC(RIGHT(Table13232127535868[[#This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245</v>
      </c>
      <c r="F160" s="21"/>
      <c r="G160" s="49">
        <v>0</v>
      </c>
      <c r="I160" s="27">
        <v>1</v>
      </c>
      <c r="J160" s="27">
        <v>50000</v>
      </c>
      <c r="L160" s="27"/>
      <c r="M160" s="27">
        <v>50000</v>
      </c>
      <c r="O160" s="48" t="s">
        <v>75</v>
      </c>
      <c r="P160" s="48">
        <f>HEX2DEC(RIGHT(Table13232127535868[[#This Row],[h1]],8))</f>
        <v>0</v>
      </c>
      <c r="Q160" s="48" t="s">
        <v>75</v>
      </c>
      <c r="R160" s="48">
        <f>HEX2DEC(RIGHT(Table13232127535868[[#This Row],[h2]],8))</f>
        <v>0</v>
      </c>
    </row>
    <row r="161" spans="1:18">
      <c r="A161" s="15" t="str">
        <f t="shared" si="7"/>
        <v>097</v>
      </c>
      <c r="B161" s="15">
        <v>151</v>
      </c>
      <c r="C161" s="38"/>
      <c r="D161" s="15" t="s">
        <v>246</v>
      </c>
      <c r="F161" s="21"/>
      <c r="G161" s="49">
        <v>0</v>
      </c>
      <c r="I161" s="27">
        <v>2</v>
      </c>
      <c r="J161" s="27">
        <v>50000</v>
      </c>
      <c r="L161" s="27"/>
      <c r="M161" s="27">
        <v>50000</v>
      </c>
      <c r="O161" s="48" t="s">
        <v>75</v>
      </c>
      <c r="P161" s="48">
        <f>HEX2DEC(RIGHT(Table13232127535868[[#This Row],[h1]],8))</f>
        <v>0</v>
      </c>
      <c r="Q161" s="48" t="s">
        <v>75</v>
      </c>
      <c r="R161" s="48">
        <f>HEX2DEC(RIGHT(Table13232127535868[[#This Row],[h2]],8))</f>
        <v>0</v>
      </c>
    </row>
    <row r="162" spans="1:18">
      <c r="A162" s="15" t="str">
        <f t="shared" si="7"/>
        <v>098</v>
      </c>
      <c r="B162" s="15">
        <v>152</v>
      </c>
      <c r="C162" s="38"/>
      <c r="F162" s="21"/>
      <c r="G162" s="49"/>
      <c r="I162" s="27">
        <v>1</v>
      </c>
      <c r="J162" s="27">
        <v>50000</v>
      </c>
      <c r="L162" s="27"/>
      <c r="M162" s="27">
        <v>50000</v>
      </c>
      <c r="O162" s="48" t="s">
        <v>75</v>
      </c>
      <c r="P162" s="48">
        <f>HEX2DEC(RIGHT(Table13232127535868[[#This Row],[h1]],8))</f>
        <v>0</v>
      </c>
      <c r="Q162" s="48" t="s">
        <v>75</v>
      </c>
      <c r="R162" s="48">
        <f>HEX2DEC(RIGHT(Table13232127535868[[#This Row],[h2]],8))</f>
        <v>0</v>
      </c>
    </row>
    <row r="163" spans="1:18">
      <c r="A163" s="15" t="str">
        <f t="shared" si="7"/>
        <v>099</v>
      </c>
      <c r="B163" s="15">
        <v>153</v>
      </c>
      <c r="C163" s="38"/>
      <c r="D163" s="15" t="s">
        <v>247</v>
      </c>
      <c r="F163" s="21"/>
      <c r="G163" s="49">
        <v>1</v>
      </c>
      <c r="I163" s="27">
        <v>3</v>
      </c>
      <c r="J163" s="27">
        <v>50000</v>
      </c>
      <c r="L163" s="27"/>
      <c r="M163" s="27">
        <v>50000</v>
      </c>
      <c r="O163" s="48" t="s">
        <v>75</v>
      </c>
      <c r="P163" s="48">
        <f>HEX2DEC(RIGHT(Table13232127535868[[#This Row],[h1]],8))</f>
        <v>0</v>
      </c>
      <c r="Q163" s="48" t="s">
        <v>75</v>
      </c>
      <c r="R163" s="48">
        <f>HEX2DEC(RIGHT(Table13232127535868[[#This Row],[h2]],8))</f>
        <v>0</v>
      </c>
    </row>
    <row r="164" spans="1:18">
      <c r="A164" s="15" t="str">
        <f t="shared" si="7"/>
        <v>09A</v>
      </c>
      <c r="B164" s="15">
        <v>154</v>
      </c>
      <c r="C164" s="38"/>
      <c r="D164" s="15" t="s">
        <v>248</v>
      </c>
      <c r="F164" s="21"/>
      <c r="G164" s="49">
        <v>1</v>
      </c>
      <c r="I164" s="27">
        <v>1</v>
      </c>
      <c r="J164" s="27">
        <v>50000</v>
      </c>
      <c r="L164" s="27"/>
      <c r="M164" s="27">
        <v>50000</v>
      </c>
      <c r="O164" s="48" t="s">
        <v>75</v>
      </c>
      <c r="P164" s="48">
        <f>HEX2DEC(RIGHT(Table13232127535868[[#This Row],[h1]],8))</f>
        <v>0</v>
      </c>
      <c r="Q164" s="48" t="s">
        <v>75</v>
      </c>
      <c r="R164" s="48">
        <f>HEX2DEC(RIGHT(Table13232127535868[[#This Row],[h2]],8))</f>
        <v>0</v>
      </c>
    </row>
    <row r="165" spans="1:18">
      <c r="A165" s="15" t="str">
        <f t="shared" si="7"/>
        <v>09B</v>
      </c>
      <c r="B165" s="15">
        <v>155</v>
      </c>
      <c r="C165" s="38"/>
      <c r="D165" s="15" t="s">
        <v>249</v>
      </c>
      <c r="F165" s="21"/>
      <c r="G165" s="49">
        <v>1</v>
      </c>
      <c r="I165" s="27">
        <v>2</v>
      </c>
      <c r="J165" s="27">
        <v>50000</v>
      </c>
      <c r="L165" s="27"/>
      <c r="M165" s="27">
        <v>50000</v>
      </c>
      <c r="O165" s="48" t="s">
        <v>75</v>
      </c>
      <c r="P165" s="48">
        <f>HEX2DEC(RIGHT(Table13232127535868[[#This Row],[h1]],8))</f>
        <v>0</v>
      </c>
      <c r="Q165" s="48" t="s">
        <v>75</v>
      </c>
      <c r="R165" s="48">
        <f>HEX2DEC(RIGHT(Table13232127535868[[#This Row],[h2]],8))</f>
        <v>0</v>
      </c>
    </row>
    <row r="166" spans="1:18">
      <c r="A166" s="15" t="str">
        <f t="shared" si="7"/>
        <v>09C</v>
      </c>
      <c r="B166" s="15">
        <v>156</v>
      </c>
      <c r="C166" s="38"/>
      <c r="D166" s="15" t="s">
        <v>331</v>
      </c>
      <c r="F166" s="21"/>
      <c r="G166" s="49">
        <v>1</v>
      </c>
      <c r="I166" s="27">
        <v>1</v>
      </c>
      <c r="J166" s="27">
        <v>50000</v>
      </c>
      <c r="L166" s="27"/>
      <c r="M166" s="27">
        <v>50000</v>
      </c>
      <c r="O166" s="48" t="s">
        <v>75</v>
      </c>
      <c r="P166" s="48">
        <f>HEX2DEC(RIGHT(Table13232127535868[[#This Row],[h1]],8))</f>
        <v>0</v>
      </c>
      <c r="Q166" s="48" t="s">
        <v>75</v>
      </c>
      <c r="R166" s="48">
        <f>HEX2DEC(RIGHT(Table13232127535868[[#This Row],[h2]],8))</f>
        <v>0</v>
      </c>
    </row>
    <row r="167" spans="1:18">
      <c r="A167" s="15" t="str">
        <f t="shared" si="7"/>
        <v>09D</v>
      </c>
      <c r="B167" s="15">
        <v>157</v>
      </c>
      <c r="C167" s="38"/>
      <c r="G167" s="31"/>
      <c r="I167" s="27">
        <v>4</v>
      </c>
      <c r="J167" s="27">
        <v>50000</v>
      </c>
      <c r="L167" s="27"/>
      <c r="M167" s="27">
        <v>50000</v>
      </c>
      <c r="O167" s="48" t="s">
        <v>75</v>
      </c>
      <c r="P167" s="48">
        <f>HEX2DEC(RIGHT(Table13232127535868[[#This Row],[h1]],8))</f>
        <v>0</v>
      </c>
      <c r="Q167" s="48" t="s">
        <v>75</v>
      </c>
      <c r="R167" s="48">
        <f>HEX2DEC(RIGHT(Table13232127535868[[#This Row],[h2]],8))</f>
        <v>0</v>
      </c>
    </row>
    <row r="168" spans="1:18">
      <c r="A168" s="15" t="str">
        <f t="shared" si="7"/>
        <v>09E</v>
      </c>
      <c r="B168" s="15">
        <v>158</v>
      </c>
      <c r="C168" s="38"/>
      <c r="D168" s="15" t="s">
        <v>409</v>
      </c>
      <c r="F168" s="29" t="s">
        <v>332</v>
      </c>
      <c r="G168" s="18">
        <f>HEX2DEC(RIGHT(Table131925515666[[#This Row],[dec val]],8))</f>
        <v>65536</v>
      </c>
      <c r="I168" s="27">
        <v>1</v>
      </c>
      <c r="J168" s="27">
        <v>50000</v>
      </c>
      <c r="L168" s="27"/>
      <c r="M168" s="27">
        <v>50000</v>
      </c>
      <c r="O168" s="48" t="s">
        <v>75</v>
      </c>
      <c r="P168" s="48">
        <f>HEX2DEC(RIGHT(Table13232127535868[[#This Row],[h1]],8))</f>
        <v>0</v>
      </c>
      <c r="Q168" s="48" t="s">
        <v>75</v>
      </c>
      <c r="R168" s="48">
        <f>HEX2DEC(RIGHT(Table13232127535868[[#This Row],[h2]],8))</f>
        <v>0</v>
      </c>
    </row>
    <row r="169" spans="1:18">
      <c r="A169" s="15" t="str">
        <f t="shared" si="7"/>
        <v>09F</v>
      </c>
      <c r="B169" s="15">
        <v>159</v>
      </c>
      <c r="C169" s="38"/>
      <c r="D169" s="15" t="s">
        <v>410</v>
      </c>
      <c r="F169" s="29" t="s">
        <v>333</v>
      </c>
      <c r="G169" s="18">
        <f>HEX2DEC(RIGHT(Table131925515666[[#This Row],[dec val]],8))</f>
        <v>196608</v>
      </c>
      <c r="I169" s="27">
        <v>2</v>
      </c>
      <c r="J169" s="27">
        <v>50000</v>
      </c>
      <c r="L169" s="27"/>
      <c r="M169" s="27">
        <v>50000</v>
      </c>
      <c r="O169" s="48" t="s">
        <v>75</v>
      </c>
      <c r="P169" s="48">
        <f>HEX2DEC(RIGHT(Table13232127535868[[#This Row],[h1]],8))</f>
        <v>0</v>
      </c>
      <c r="Q169" s="48" t="s">
        <v>75</v>
      </c>
      <c r="R169" s="48">
        <f>HEX2DEC(RIGHT(Table13232127535868[[#This Row],[h2]],8))</f>
        <v>0</v>
      </c>
    </row>
    <row r="170" spans="1:18">
      <c r="A170" s="15" t="str">
        <f t="shared" si="7"/>
        <v>0A0</v>
      </c>
      <c r="B170" s="15">
        <v>160</v>
      </c>
      <c r="C170" s="38"/>
      <c r="D170" s="15" t="s">
        <v>411</v>
      </c>
      <c r="F170" s="29" t="s">
        <v>334</v>
      </c>
      <c r="G170" s="18">
        <f>HEX2DEC(RIGHT(Table131925515666[[#This Row],[dec val]],8))</f>
        <v>458752</v>
      </c>
      <c r="I170" s="27">
        <v>1</v>
      </c>
      <c r="J170" s="27">
        <v>50000</v>
      </c>
      <c r="L170" s="27"/>
      <c r="M170" s="27">
        <v>50000</v>
      </c>
      <c r="O170" s="48" t="s">
        <v>75</v>
      </c>
      <c r="P170" s="48">
        <f>HEX2DEC(RIGHT(Table13232127535868[[#This Row],[h1]],8))</f>
        <v>0</v>
      </c>
      <c r="Q170" s="48" t="s">
        <v>75</v>
      </c>
      <c r="R170" s="48">
        <f>HEX2DEC(RIGHT(Table13232127535868[[#This Row],[h2]],8))</f>
        <v>0</v>
      </c>
    </row>
    <row r="171" spans="1:18">
      <c r="A171" s="15" t="str">
        <f t="shared" si="7"/>
        <v>0A1</v>
      </c>
      <c r="B171" s="15">
        <v>161</v>
      </c>
      <c r="C171" s="38"/>
      <c r="D171" s="15" t="s">
        <v>412</v>
      </c>
      <c r="F171" s="29" t="s">
        <v>335</v>
      </c>
      <c r="G171" s="18">
        <f>HEX2DEC(RIGHT(Table131925515666[[#This Row],[dec val]],8))</f>
        <v>983040</v>
      </c>
      <c r="I171" s="27">
        <v>3</v>
      </c>
      <c r="J171" s="27">
        <v>50000</v>
      </c>
      <c r="L171" s="27"/>
      <c r="M171" s="27">
        <v>50000</v>
      </c>
      <c r="O171" s="48" t="s">
        <v>75</v>
      </c>
      <c r="P171" s="48">
        <f>HEX2DEC(RIGHT(Table13232127535868[[#This Row],[h1]],8))</f>
        <v>0</v>
      </c>
      <c r="Q171" s="48" t="s">
        <v>75</v>
      </c>
      <c r="R171" s="48">
        <f>HEX2DEC(RIGHT(Table13232127535868[[#This Row],[h2]],8))</f>
        <v>0</v>
      </c>
    </row>
    <row r="172" spans="1:18">
      <c r="A172" s="15" t="str">
        <f t="shared" si="7"/>
        <v>0A2</v>
      </c>
      <c r="B172" s="15">
        <v>162</v>
      </c>
      <c r="C172" s="38"/>
      <c r="D172" s="15" t="s">
        <v>413</v>
      </c>
      <c r="F172" s="29" t="s">
        <v>407</v>
      </c>
      <c r="G172" s="18">
        <f>HEX2DEC(RIGHT(Table131925515666[[#This Row],[dec val]],8))</f>
        <v>2031616</v>
      </c>
      <c r="I172" s="27">
        <v>1</v>
      </c>
      <c r="J172" s="27">
        <v>50000</v>
      </c>
      <c r="L172" s="27"/>
      <c r="M172" s="27">
        <v>50000</v>
      </c>
      <c r="O172" s="48" t="s">
        <v>75</v>
      </c>
      <c r="P172" s="48">
        <f>HEX2DEC(RIGHT(Table13232127535868[[#This Row],[h1]],8))</f>
        <v>0</v>
      </c>
      <c r="Q172" s="48" t="s">
        <v>75</v>
      </c>
      <c r="R172" s="48">
        <f>HEX2DEC(RIGHT(Table13232127535868[[#This Row],[h2]],8))</f>
        <v>0</v>
      </c>
    </row>
    <row r="173" spans="1:18">
      <c r="A173" s="15" t="str">
        <f t="shared" si="7"/>
        <v>0A3</v>
      </c>
      <c r="B173" s="15">
        <v>163</v>
      </c>
      <c r="C173" s="38"/>
      <c r="D173" s="15" t="s">
        <v>414</v>
      </c>
      <c r="F173" s="29" t="s">
        <v>75</v>
      </c>
      <c r="G173" s="18">
        <f>HEX2DEC(RIGHT(Table131925515666[[#This Row],[dec val]],8))</f>
        <v>0</v>
      </c>
      <c r="I173" s="27">
        <v>2</v>
      </c>
      <c r="J173" s="27">
        <v>50000</v>
      </c>
      <c r="L173" s="27"/>
      <c r="M173" s="27">
        <v>50000</v>
      </c>
      <c r="O173" s="48" t="s">
        <v>75</v>
      </c>
      <c r="P173" s="48">
        <f>HEX2DEC(RIGHT(Table13232127535868[[#This Row],[h1]],8))</f>
        <v>0</v>
      </c>
      <c r="Q173" s="48" t="s">
        <v>75</v>
      </c>
      <c r="R173" s="48">
        <f>HEX2DEC(RIGHT(Table13232127535868[[#This Row],[h2]],8))</f>
        <v>0</v>
      </c>
    </row>
    <row r="174" spans="1:18">
      <c r="A174" s="15" t="str">
        <f t="shared" si="7"/>
        <v>0A4</v>
      </c>
      <c r="B174" s="15">
        <v>164</v>
      </c>
      <c r="C174" s="38"/>
      <c r="D174" s="15" t="s">
        <v>415</v>
      </c>
      <c r="F174" s="29" t="s">
        <v>75</v>
      </c>
      <c r="G174" s="18">
        <f>HEX2DEC(RIGHT(Table131925515666[[#This Row],[dec val]],8))</f>
        <v>0</v>
      </c>
      <c r="I174" s="27">
        <v>1</v>
      </c>
      <c r="J174" s="27">
        <v>50000</v>
      </c>
      <c r="L174" s="27"/>
      <c r="M174" s="27">
        <v>50000</v>
      </c>
      <c r="O174" s="48" t="s">
        <v>75</v>
      </c>
      <c r="P174" s="48">
        <f>HEX2DEC(RIGHT(Table13232127535868[[#This Row],[h1]],8))</f>
        <v>0</v>
      </c>
      <c r="Q174" s="48" t="s">
        <v>75</v>
      </c>
      <c r="R174" s="48">
        <f>HEX2DEC(RIGHT(Table13232127535868[[#This Row],[h2]],8))</f>
        <v>0</v>
      </c>
    </row>
    <row r="175" spans="1:18">
      <c r="A175" s="15" t="str">
        <f t="shared" si="7"/>
        <v>0A5</v>
      </c>
      <c r="B175" s="15">
        <v>165</v>
      </c>
      <c r="C175" s="38"/>
      <c r="D175" s="15" t="s">
        <v>416</v>
      </c>
      <c r="F175" s="29" t="s">
        <v>75</v>
      </c>
      <c r="G175" s="18">
        <f>HEX2DEC(RIGHT(Table131925515666[[#This Row],[dec val]],8))</f>
        <v>0</v>
      </c>
      <c r="I175" s="27">
        <v>3</v>
      </c>
      <c r="J175" s="27">
        <v>50000</v>
      </c>
      <c r="L175" s="27"/>
      <c r="M175" s="27">
        <v>50000</v>
      </c>
      <c r="O175" s="48" t="s">
        <v>75</v>
      </c>
      <c r="P175" s="48">
        <f>HEX2DEC(RIGHT(Table13232127535868[[#This Row],[h1]],8))</f>
        <v>0</v>
      </c>
      <c r="Q175" s="48" t="s">
        <v>75</v>
      </c>
      <c r="R175" s="48">
        <f>HEX2DEC(RIGHT(Table13232127535868[[#This Row],[h2]],8))</f>
        <v>0</v>
      </c>
    </row>
    <row r="176" spans="1:18">
      <c r="A176" s="15" t="str">
        <f t="shared" si="7"/>
        <v>0A6</v>
      </c>
      <c r="B176" s="15">
        <v>166</v>
      </c>
      <c r="C176" s="38"/>
      <c r="D176" s="15" t="s">
        <v>417</v>
      </c>
      <c r="F176" s="29" t="s">
        <v>75</v>
      </c>
      <c r="G176" s="18">
        <f>HEX2DEC(RIGHT(Table131925515666[[#This Row],[dec val]],8))</f>
        <v>0</v>
      </c>
      <c r="I176" s="27">
        <v>1</v>
      </c>
      <c r="J176" s="27">
        <v>50000</v>
      </c>
      <c r="L176" s="27"/>
      <c r="M176" s="27">
        <v>50000</v>
      </c>
      <c r="O176" s="48" t="s">
        <v>75</v>
      </c>
      <c r="P176" s="48">
        <f>HEX2DEC(RIGHT(Table13232127535868[[#This Row],[h1]],8))</f>
        <v>0</v>
      </c>
      <c r="Q176" s="48" t="s">
        <v>75</v>
      </c>
      <c r="R176" s="48">
        <f>HEX2DEC(RIGHT(Table13232127535868[[#This Row],[h2]],8))</f>
        <v>0</v>
      </c>
    </row>
    <row r="177" spans="1:18">
      <c r="A177" s="15" t="str">
        <f t="shared" si="7"/>
        <v>0A7</v>
      </c>
      <c r="B177" s="15">
        <v>167</v>
      </c>
      <c r="C177" s="38"/>
      <c r="D177" s="15" t="s">
        <v>418</v>
      </c>
      <c r="F177" s="29" t="s">
        <v>75</v>
      </c>
      <c r="G177" s="18">
        <f>HEX2DEC(RIGHT(Table131925515666[[#This Row],[dec val]],8))</f>
        <v>0</v>
      </c>
      <c r="I177" s="27">
        <v>2</v>
      </c>
      <c r="J177" s="27">
        <v>50000</v>
      </c>
      <c r="L177" s="27"/>
      <c r="M177" s="27">
        <v>50000</v>
      </c>
      <c r="O177" s="48" t="s">
        <v>75</v>
      </c>
      <c r="P177" s="48">
        <f>HEX2DEC(RIGHT(Table13232127535868[[#This Row],[h1]],8))</f>
        <v>0</v>
      </c>
      <c r="Q177" s="48" t="s">
        <v>75</v>
      </c>
      <c r="R177" s="48">
        <f>HEX2DEC(RIGHT(Table13232127535868[[#This Row],[h2]],8))</f>
        <v>0</v>
      </c>
    </row>
    <row r="178" spans="1:18">
      <c r="A178" s="15" t="str">
        <f t="shared" si="7"/>
        <v>0A8</v>
      </c>
      <c r="B178" s="15">
        <v>168</v>
      </c>
      <c r="C178" s="38"/>
      <c r="D178" s="15" t="s">
        <v>419</v>
      </c>
      <c r="F178" s="29" t="s">
        <v>75</v>
      </c>
      <c r="G178" s="18">
        <f>HEX2DEC(RIGHT(Table131925515666[[#This Row],[dec val]],8))</f>
        <v>0</v>
      </c>
      <c r="I178" s="27">
        <v>1</v>
      </c>
      <c r="J178" s="27">
        <v>50000</v>
      </c>
      <c r="L178" s="27"/>
      <c r="M178" s="27">
        <v>50000</v>
      </c>
      <c r="O178" s="48" t="s">
        <v>75</v>
      </c>
      <c r="P178" s="48">
        <f>HEX2DEC(RIGHT(Table13232127535868[[#This Row],[h1]],8))</f>
        <v>0</v>
      </c>
      <c r="Q178" s="48" t="s">
        <v>75</v>
      </c>
      <c r="R178" s="48">
        <f>HEX2DEC(RIGHT(Table13232127535868[[#This Row],[h2]],8))</f>
        <v>0</v>
      </c>
    </row>
    <row r="179" spans="1:18">
      <c r="A179" s="15" t="str">
        <f t="shared" si="7"/>
        <v>0A9</v>
      </c>
      <c r="B179" s="15">
        <v>169</v>
      </c>
      <c r="C179" s="38"/>
      <c r="D179" s="15" t="s">
        <v>420</v>
      </c>
      <c r="F179" s="29" t="s">
        <v>75</v>
      </c>
      <c r="G179" s="18">
        <f>HEX2DEC(RIGHT(Table131925515666[[#This Row],[dec val]],8))</f>
        <v>0</v>
      </c>
      <c r="I179" s="27">
        <v>4</v>
      </c>
      <c r="J179" s="27">
        <v>50000</v>
      </c>
      <c r="L179" s="27"/>
      <c r="M179" s="27">
        <v>50000</v>
      </c>
      <c r="O179" s="48" t="s">
        <v>75</v>
      </c>
      <c r="P179" s="48">
        <f>HEX2DEC(RIGHT(Table13232127535868[[#This Row],[h1]],8))</f>
        <v>0</v>
      </c>
      <c r="Q179" s="48" t="s">
        <v>75</v>
      </c>
      <c r="R179" s="48">
        <f>HEX2DEC(RIGHT(Table13232127535868[[#This Row],[h2]],8))</f>
        <v>0</v>
      </c>
    </row>
    <row r="180" spans="1:18">
      <c r="A180" s="15" t="str">
        <f t="shared" si="7"/>
        <v>0AA</v>
      </c>
      <c r="B180" s="15">
        <v>170</v>
      </c>
      <c r="C180" s="38"/>
      <c r="D180" s="15" t="s">
        <v>421</v>
      </c>
      <c r="F180" s="29" t="s">
        <v>75</v>
      </c>
      <c r="G180" s="18">
        <f>HEX2DEC(RIGHT(Table131925515666[[#This Row],[dec val]],8))</f>
        <v>0</v>
      </c>
      <c r="I180" s="27">
        <v>1</v>
      </c>
      <c r="J180" s="27">
        <v>50000</v>
      </c>
      <c r="L180" s="27"/>
      <c r="M180" s="27">
        <v>50000</v>
      </c>
      <c r="O180" s="48" t="s">
        <v>75</v>
      </c>
      <c r="P180" s="48">
        <f>HEX2DEC(RIGHT(Table13232127535868[[#This Row],[h1]],8))</f>
        <v>0</v>
      </c>
      <c r="Q180" s="48" t="s">
        <v>75</v>
      </c>
      <c r="R180" s="48">
        <f>HEX2DEC(RIGHT(Table13232127535868[[#This Row],[h2]],8))</f>
        <v>0</v>
      </c>
    </row>
    <row r="181" spans="1:18">
      <c r="A181" s="15" t="str">
        <f t="shared" si="7"/>
        <v>0AB</v>
      </c>
      <c r="B181" s="15">
        <v>171</v>
      </c>
      <c r="C181" s="38"/>
      <c r="D181" s="15" t="s">
        <v>422</v>
      </c>
      <c r="F181" s="29" t="s">
        <v>75</v>
      </c>
      <c r="G181" s="18">
        <f>HEX2DEC(RIGHT(Table131925515666[[#This Row],[dec val]],8))</f>
        <v>0</v>
      </c>
      <c r="I181" s="27">
        <v>2</v>
      </c>
      <c r="J181" s="27">
        <v>50000</v>
      </c>
      <c r="L181" s="27"/>
      <c r="M181" s="27">
        <v>50000</v>
      </c>
      <c r="O181" s="48" t="s">
        <v>75</v>
      </c>
      <c r="P181" s="48">
        <f>HEX2DEC(RIGHT(Table13232127535868[[#This Row],[h1]],8))</f>
        <v>0</v>
      </c>
      <c r="Q181" s="48" t="s">
        <v>75</v>
      </c>
      <c r="R181" s="48">
        <f>HEX2DEC(RIGHT(Table13232127535868[[#This Row],[h2]],8))</f>
        <v>0</v>
      </c>
    </row>
    <row r="182" spans="1:18">
      <c r="A182" s="15" t="str">
        <f t="shared" si="7"/>
        <v>0AC</v>
      </c>
      <c r="B182" s="15">
        <v>172</v>
      </c>
      <c r="C182" s="38"/>
      <c r="D182" s="15" t="s">
        <v>423</v>
      </c>
      <c r="F182" s="29" t="s">
        <v>75</v>
      </c>
      <c r="G182" s="18">
        <f>HEX2DEC(RIGHT(Table131925515666[[#This Row],[dec val]],8))</f>
        <v>0</v>
      </c>
      <c r="I182" s="27">
        <v>1</v>
      </c>
      <c r="J182" s="27">
        <v>50000</v>
      </c>
      <c r="L182" s="27"/>
      <c r="M182" s="27">
        <v>50000</v>
      </c>
      <c r="O182" s="48" t="s">
        <v>75</v>
      </c>
      <c r="P182" s="48">
        <f>HEX2DEC(RIGHT(Table13232127535868[[#This Row],[h1]],8))</f>
        <v>0</v>
      </c>
      <c r="Q182" s="48" t="s">
        <v>75</v>
      </c>
      <c r="R182" s="48">
        <f>HEX2DEC(RIGHT(Table13232127535868[[#This Row],[h2]],8))</f>
        <v>0</v>
      </c>
    </row>
    <row r="183" spans="1:18">
      <c r="A183" s="15" t="str">
        <f t="shared" si="7"/>
        <v>0AD</v>
      </c>
      <c r="B183" s="15">
        <v>173</v>
      </c>
      <c r="C183" s="38"/>
      <c r="D183" s="15" t="s">
        <v>424</v>
      </c>
      <c r="F183" s="29" t="s">
        <v>75</v>
      </c>
      <c r="G183" s="18">
        <f>HEX2DEC(RIGHT(Table131925515666[[#This Row],[dec val]],8))</f>
        <v>0</v>
      </c>
      <c r="I183" s="27">
        <v>3</v>
      </c>
      <c r="J183" s="27">
        <v>50000</v>
      </c>
      <c r="L183" s="27"/>
      <c r="M183" s="27">
        <v>50000</v>
      </c>
      <c r="O183" s="48" t="s">
        <v>75</v>
      </c>
      <c r="P183" s="48">
        <f>HEX2DEC(RIGHT(Table13232127535868[[#This Row],[h1]],8))</f>
        <v>0</v>
      </c>
      <c r="Q183" s="48" t="s">
        <v>75</v>
      </c>
      <c r="R183" s="48">
        <f>HEX2DEC(RIGHT(Table13232127535868[[#This Row],[h2]],8))</f>
        <v>0</v>
      </c>
    </row>
    <row r="184" spans="1:18">
      <c r="A184" s="15" t="str">
        <f t="shared" si="7"/>
        <v>0AE</v>
      </c>
      <c r="B184" s="15">
        <v>174</v>
      </c>
      <c r="C184" s="38"/>
      <c r="G184" s="48"/>
      <c r="I184" s="27">
        <v>1</v>
      </c>
      <c r="J184" s="27">
        <v>50000</v>
      </c>
      <c r="L184" s="27"/>
      <c r="M184" s="27">
        <v>50000</v>
      </c>
      <c r="O184" s="48" t="s">
        <v>75</v>
      </c>
      <c r="P184" s="48">
        <f>HEX2DEC(RIGHT(Table13232127535868[[#This Row],[h1]],8))</f>
        <v>0</v>
      </c>
      <c r="Q184" s="48" t="s">
        <v>75</v>
      </c>
      <c r="R184" s="48">
        <f>HEX2DEC(RIGHT(Table13232127535868[[#This Row],[h2]],8))</f>
        <v>0</v>
      </c>
    </row>
    <row r="185" spans="1:18">
      <c r="A185" s="15" t="str">
        <f t="shared" si="7"/>
        <v>0AF</v>
      </c>
      <c r="B185" s="15">
        <v>175</v>
      </c>
      <c r="C185" s="38"/>
      <c r="I185" s="27">
        <v>2</v>
      </c>
      <c r="J185" s="27">
        <v>50000</v>
      </c>
      <c r="L185" s="27"/>
      <c r="M185" s="27">
        <v>50000</v>
      </c>
      <c r="O185" s="48" t="s">
        <v>75</v>
      </c>
      <c r="P185" s="48">
        <f>HEX2DEC(RIGHT(Table13232127535868[[#This Row],[h1]],8))</f>
        <v>0</v>
      </c>
      <c r="Q185" s="48" t="s">
        <v>75</v>
      </c>
      <c r="R185" s="48">
        <f>HEX2DEC(RIGHT(Table13232127535868[[#This Row],[h2]],8))</f>
        <v>0</v>
      </c>
    </row>
    <row r="186" spans="1:18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8" t="s">
        <v>75</v>
      </c>
      <c r="P186" s="48">
        <f>HEX2DEC(RIGHT(Table13232127535868[[#This Row],[h1]],8))</f>
        <v>0</v>
      </c>
      <c r="Q186" s="48" t="s">
        <v>75</v>
      </c>
      <c r="R186" s="48">
        <f>HEX2DEC(RIGHT(Table13232127535868[[#This Row],[h2]],8))</f>
        <v>0</v>
      </c>
    </row>
    <row r="187" spans="1:18">
      <c r="A187" s="15" t="str">
        <f t="shared" si="7"/>
        <v>0B1</v>
      </c>
      <c r="B187" s="15">
        <v>177</v>
      </c>
      <c r="C187" s="38"/>
      <c r="I187" s="27">
        <v>3</v>
      </c>
      <c r="J187" s="27">
        <v>50000</v>
      </c>
      <c r="L187" s="27"/>
      <c r="M187" s="27">
        <v>50000</v>
      </c>
      <c r="O187" s="48" t="s">
        <v>75</v>
      </c>
      <c r="P187" s="48">
        <f>HEX2DEC(RIGHT(Table13232127535868[[#This Row],[h1]],8))</f>
        <v>0</v>
      </c>
      <c r="Q187" s="48" t="s">
        <v>75</v>
      </c>
      <c r="R187" s="48">
        <f>HEX2DEC(RIGHT(Table13232127535868[[#This Row],[h2]],8))</f>
        <v>0</v>
      </c>
    </row>
    <row r="188" spans="1:18">
      <c r="A188" s="15" t="str">
        <f t="shared" si="7"/>
        <v>0B2</v>
      </c>
      <c r="B188" s="15">
        <v>178</v>
      </c>
      <c r="C188" s="38"/>
      <c r="I188" s="27">
        <v>1</v>
      </c>
      <c r="J188" s="27">
        <v>50000</v>
      </c>
      <c r="L188" s="27"/>
      <c r="M188" s="27">
        <v>50000</v>
      </c>
      <c r="O188" s="48" t="s">
        <v>75</v>
      </c>
      <c r="P188" s="48">
        <f>HEX2DEC(RIGHT(Table13232127535868[[#This Row],[h1]],8))</f>
        <v>0</v>
      </c>
      <c r="Q188" s="48" t="s">
        <v>75</v>
      </c>
      <c r="R188" s="48">
        <f>HEX2DEC(RIGHT(Table13232127535868[[#This Row],[h2]],8))</f>
        <v>0</v>
      </c>
    </row>
    <row r="189" spans="1:18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8" t="s">
        <v>75</v>
      </c>
      <c r="P189" s="48">
        <f>HEX2DEC(RIGHT(Table13232127535868[[#This Row],[h1]],8))</f>
        <v>0</v>
      </c>
      <c r="Q189" s="48" t="s">
        <v>75</v>
      </c>
      <c r="R189" s="48">
        <f>HEX2DEC(RIGHT(Table13232127535868[[#This Row],[h2]],8))</f>
        <v>0</v>
      </c>
    </row>
    <row r="190" spans="1:18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8" t="s">
        <v>75</v>
      </c>
      <c r="P190" s="48">
        <f>HEX2DEC(RIGHT(Table13232127535868[[#This Row],[h1]],8))</f>
        <v>0</v>
      </c>
      <c r="Q190" s="48" t="s">
        <v>75</v>
      </c>
      <c r="R190" s="48">
        <f>HEX2DEC(RIGHT(Table13232127535868[[#This Row],[h2]],8))</f>
        <v>0</v>
      </c>
    </row>
    <row r="191" spans="1:18">
      <c r="A191" s="15" t="str">
        <f t="shared" si="7"/>
        <v>0B5</v>
      </c>
      <c r="B191" s="15">
        <v>181</v>
      </c>
      <c r="C191" s="38"/>
      <c r="D191" s="15" t="s">
        <v>254</v>
      </c>
      <c r="E191" s="51">
        <v>1</v>
      </c>
      <c r="F191" s="51">
        <v>15</v>
      </c>
      <c r="G191" s="50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1" s="27">
        <v>4</v>
      </c>
      <c r="J191" s="27">
        <v>50000</v>
      </c>
      <c r="L191" s="27"/>
      <c r="M191" s="27">
        <v>50000</v>
      </c>
      <c r="O191" s="48" t="s">
        <v>75</v>
      </c>
      <c r="P191" s="48">
        <f>HEX2DEC(RIGHT(Table13232127535868[[#This Row],[h1]],8))</f>
        <v>0</v>
      </c>
      <c r="Q191" s="48" t="s">
        <v>75</v>
      </c>
      <c r="R191" s="48">
        <f>HEX2DEC(RIGHT(Table13232127535868[[#This Row],[h2]],8))</f>
        <v>0</v>
      </c>
    </row>
    <row r="192" spans="1:18">
      <c r="A192" s="15" t="str">
        <f t="shared" si="7"/>
        <v>0B6</v>
      </c>
      <c r="B192" s="15">
        <v>182</v>
      </c>
      <c r="C192" s="38"/>
      <c r="D192" s="15" t="s">
        <v>255</v>
      </c>
      <c r="E192" s="51">
        <v>1</v>
      </c>
      <c r="F192" s="51">
        <v>555</v>
      </c>
      <c r="G192" s="50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48" t="s">
        <v>75</v>
      </c>
      <c r="P192" s="48">
        <f>HEX2DEC(RIGHT(Table13232127535868[[#This Row],[h1]],8))</f>
        <v>0</v>
      </c>
      <c r="Q192" s="48" t="s">
        <v>75</v>
      </c>
      <c r="R192" s="48">
        <f>HEX2DEC(RIGHT(Table13232127535868[[#This Row],[h2]],8))</f>
        <v>0</v>
      </c>
    </row>
    <row r="193" spans="1:18">
      <c r="A193" s="15" t="str">
        <f t="shared" si="7"/>
        <v>0B7</v>
      </c>
      <c r="B193" s="15">
        <v>183</v>
      </c>
      <c r="C193" s="38"/>
      <c r="D193" s="15" t="s">
        <v>256</v>
      </c>
      <c r="E193" s="51">
        <v>1</v>
      </c>
      <c r="F193" s="51">
        <v>10545</v>
      </c>
      <c r="G193" s="50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48" t="s">
        <v>75</v>
      </c>
      <c r="P193" s="48">
        <f>HEX2DEC(RIGHT(Table13232127535868[[#This Row],[h1]],8))</f>
        <v>0</v>
      </c>
      <c r="Q193" s="48" t="s">
        <v>75</v>
      </c>
      <c r="R193" s="48">
        <f>HEX2DEC(RIGHT(Table13232127535868[[#This Row],[h2]],8))</f>
        <v>0</v>
      </c>
    </row>
    <row r="194" spans="1:18">
      <c r="A194" s="15" t="str">
        <f t="shared" si="7"/>
        <v>0B8</v>
      </c>
      <c r="B194" s="15">
        <v>184</v>
      </c>
      <c r="C194" s="38"/>
      <c r="D194" s="15" t="s">
        <v>257</v>
      </c>
      <c r="E194" s="51">
        <v>1</v>
      </c>
      <c r="F194" s="51">
        <v>9</v>
      </c>
      <c r="G194" s="50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4" s="27">
        <v>1</v>
      </c>
      <c r="J194" s="27">
        <v>50000</v>
      </c>
      <c r="L194" s="27"/>
      <c r="M194" s="27">
        <v>50000</v>
      </c>
      <c r="O194" s="48" t="s">
        <v>75</v>
      </c>
      <c r="P194" s="48">
        <f>HEX2DEC(RIGHT(Table13232127535868[[#This Row],[h1]],8))</f>
        <v>0</v>
      </c>
      <c r="Q194" s="48" t="s">
        <v>75</v>
      </c>
      <c r="R194" s="48">
        <f>HEX2DEC(RIGHT(Table13232127535868[[#This Row],[h2]],8))</f>
        <v>0</v>
      </c>
    </row>
    <row r="195" spans="1:18">
      <c r="A195" s="15" t="str">
        <f t="shared" si="7"/>
        <v>0B9</v>
      </c>
      <c r="B195" s="15">
        <v>185</v>
      </c>
      <c r="C195" s="38"/>
      <c r="D195" s="15" t="s">
        <v>258</v>
      </c>
      <c r="E195" s="51">
        <v>1</v>
      </c>
      <c r="F195" s="51">
        <v>37</v>
      </c>
      <c r="G195" s="50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5" s="27">
        <v>3</v>
      </c>
      <c r="J195" s="27">
        <v>50000</v>
      </c>
      <c r="L195" s="27"/>
      <c r="M195" s="27">
        <v>50000</v>
      </c>
      <c r="O195" s="48" t="s">
        <v>75</v>
      </c>
      <c r="P195" s="48">
        <f>HEX2DEC(RIGHT(Table13232127535868[[#This Row],[h1]],8))</f>
        <v>0</v>
      </c>
      <c r="Q195" s="48" t="s">
        <v>75</v>
      </c>
      <c r="R195" s="48">
        <f>HEX2DEC(RIGHT(Table13232127535868[[#This Row],[h2]],8))</f>
        <v>0</v>
      </c>
    </row>
    <row r="196" spans="1:18">
      <c r="A196" s="15" t="str">
        <f t="shared" si="7"/>
        <v>0BA</v>
      </c>
      <c r="B196" s="15">
        <v>186</v>
      </c>
      <c r="C196" s="38"/>
      <c r="D196" s="15" t="s">
        <v>259</v>
      </c>
      <c r="E196" s="51">
        <v>1</v>
      </c>
      <c r="F196" s="51">
        <v>5</v>
      </c>
      <c r="G196" s="50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8" t="s">
        <v>75</v>
      </c>
      <c r="P196" s="48">
        <f>HEX2DEC(RIGHT(Table13232127535868[[#This Row],[h1]],8))</f>
        <v>0</v>
      </c>
      <c r="Q196" s="48" t="s">
        <v>75</v>
      </c>
      <c r="R196" s="48">
        <f>HEX2DEC(RIGHT(Table13232127535868[[#This Row],[h2]],8))</f>
        <v>0</v>
      </c>
    </row>
    <row r="197" spans="1:18">
      <c r="A197" s="15" t="str">
        <f t="shared" si="7"/>
        <v>0BB</v>
      </c>
      <c r="B197" s="15">
        <v>187</v>
      </c>
      <c r="C197" s="38"/>
      <c r="D197" s="15" t="s">
        <v>260</v>
      </c>
      <c r="E197" s="51">
        <v>1</v>
      </c>
      <c r="F197" s="51">
        <v>6</v>
      </c>
      <c r="G197" s="50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7" s="27">
        <v>2</v>
      </c>
      <c r="J197" s="27">
        <v>50000</v>
      </c>
      <c r="L197" s="27"/>
      <c r="M197" s="27">
        <v>50000</v>
      </c>
      <c r="O197" s="48" t="s">
        <v>75</v>
      </c>
      <c r="P197" s="48">
        <f>HEX2DEC(RIGHT(Table13232127535868[[#This Row],[h1]],8))</f>
        <v>0</v>
      </c>
      <c r="Q197" s="48" t="s">
        <v>75</v>
      </c>
      <c r="R197" s="48">
        <f>HEX2DEC(RIGHT(Table13232127535868[[#This Row],[h2]],8))</f>
        <v>0</v>
      </c>
    </row>
    <row r="198" spans="1:18">
      <c r="A198" s="15" t="str">
        <f t="shared" si="7"/>
        <v>0BC</v>
      </c>
      <c r="B198" s="15">
        <v>188</v>
      </c>
      <c r="C198" s="38"/>
      <c r="D198" s="15" t="s">
        <v>261</v>
      </c>
      <c r="E198" s="51">
        <v>1</v>
      </c>
      <c r="F198" s="51">
        <v>7</v>
      </c>
      <c r="G198" s="50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8" t="s">
        <v>75</v>
      </c>
      <c r="P198" s="48">
        <f>HEX2DEC(RIGHT(Table13232127535868[[#This Row],[h1]],8))</f>
        <v>0</v>
      </c>
      <c r="Q198" s="48" t="s">
        <v>75</v>
      </c>
      <c r="R198" s="48">
        <f>HEX2DEC(RIGHT(Table13232127535868[[#This Row],[h2]],8))</f>
        <v>0</v>
      </c>
    </row>
    <row r="199" spans="1:18">
      <c r="A199" s="15" t="str">
        <f t="shared" si="7"/>
        <v>0BD</v>
      </c>
      <c r="B199" s="15">
        <v>189</v>
      </c>
      <c r="C199" s="38"/>
      <c r="D199" s="15" t="s">
        <v>262</v>
      </c>
      <c r="E199" s="51">
        <v>1</v>
      </c>
      <c r="F199" s="51">
        <v>8</v>
      </c>
      <c r="G199" s="50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9" s="27">
        <v>3</v>
      </c>
      <c r="J199" s="27">
        <v>50000</v>
      </c>
      <c r="L199" s="27"/>
      <c r="M199" s="27">
        <v>50000</v>
      </c>
      <c r="O199" s="48" t="s">
        <v>75</v>
      </c>
      <c r="P199" s="48">
        <f>HEX2DEC(RIGHT(Table13232127535868[[#This Row],[h1]],8))</f>
        <v>0</v>
      </c>
      <c r="Q199" s="48" t="s">
        <v>75</v>
      </c>
      <c r="R199" s="48">
        <f>HEX2DEC(RIGHT(Table13232127535868[[#This Row],[h2]],8))</f>
        <v>0</v>
      </c>
    </row>
    <row r="200" spans="1:18">
      <c r="A200" s="15" t="str">
        <f t="shared" si="7"/>
        <v>0BE</v>
      </c>
      <c r="B200" s="15">
        <v>190</v>
      </c>
      <c r="C200" s="38"/>
      <c r="D200" s="15" t="s">
        <v>263</v>
      </c>
      <c r="E200" s="51">
        <v>1</v>
      </c>
      <c r="F200" s="51">
        <v>9</v>
      </c>
      <c r="G200" s="50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200" s="27">
        <v>1</v>
      </c>
      <c r="J200" s="27">
        <v>50000</v>
      </c>
      <c r="L200" s="27"/>
      <c r="M200" s="27">
        <v>50000</v>
      </c>
      <c r="O200" s="48" t="s">
        <v>75</v>
      </c>
      <c r="P200" s="48">
        <f>HEX2DEC(RIGHT(Table13232127535868[[#This Row],[h1]],8))</f>
        <v>0</v>
      </c>
      <c r="Q200" s="48" t="s">
        <v>75</v>
      </c>
      <c r="R200" s="48">
        <f>HEX2DEC(RIGHT(Table13232127535868[[#This Row],[h2]],8))</f>
        <v>0</v>
      </c>
    </row>
    <row r="201" spans="1:18">
      <c r="A201" s="15" t="str">
        <f t="shared" si="7"/>
        <v>0BF</v>
      </c>
      <c r="B201" s="15">
        <v>191</v>
      </c>
      <c r="C201" s="38"/>
      <c r="D201" s="15" t="s">
        <v>264</v>
      </c>
      <c r="E201" s="51">
        <v>1</v>
      </c>
      <c r="F201" s="51">
        <v>10</v>
      </c>
      <c r="G201" s="50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201" s="27">
        <v>2</v>
      </c>
      <c r="J201" s="27">
        <v>50000</v>
      </c>
      <c r="L201" s="27"/>
      <c r="M201" s="27">
        <v>50000</v>
      </c>
      <c r="O201" s="48" t="s">
        <v>75</v>
      </c>
      <c r="P201" s="48">
        <f>HEX2DEC(RIGHT(Table13232127535868[[#This Row],[h1]],8))</f>
        <v>0</v>
      </c>
      <c r="Q201" s="48" t="s">
        <v>75</v>
      </c>
      <c r="R201" s="48">
        <f>HEX2DEC(RIGHT(Table13232127535868[[#This Row],[h2]],8))</f>
        <v>0</v>
      </c>
    </row>
    <row r="202" spans="1:18">
      <c r="A202" s="15" t="str">
        <f t="shared" si="7"/>
        <v>0C0</v>
      </c>
      <c r="B202" s="15">
        <v>192</v>
      </c>
      <c r="C202" s="38"/>
      <c r="D202" s="15" t="s">
        <v>265</v>
      </c>
      <c r="E202" s="51">
        <v>1</v>
      </c>
      <c r="F202" s="51">
        <v>11</v>
      </c>
      <c r="G202" s="50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8" t="s">
        <v>75</v>
      </c>
      <c r="P202" s="48">
        <f>HEX2DEC(RIGHT(Table13232127535868[[#This Row],[h1]],8))</f>
        <v>0</v>
      </c>
      <c r="Q202" s="48" t="s">
        <v>75</v>
      </c>
      <c r="R202" s="48">
        <f>HEX2DEC(RIGHT(Table13232127535868[[#This Row],[h2]],8))</f>
        <v>0</v>
      </c>
    </row>
    <row r="203" spans="1:18">
      <c r="A203" s="15" t="str">
        <f t="shared" ref="A203:A266" si="8">DEC2HEX(B203,3)</f>
        <v>0C1</v>
      </c>
      <c r="B203" s="15">
        <v>193</v>
      </c>
      <c r="C203" s="38"/>
      <c r="D203" s="15" t="s">
        <v>266</v>
      </c>
      <c r="E203" s="51">
        <v>1</v>
      </c>
      <c r="F203" s="51">
        <v>12</v>
      </c>
      <c r="G203" s="50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203" s="27">
        <v>4</v>
      </c>
      <c r="J203" s="27">
        <v>50000</v>
      </c>
      <c r="L203" s="27"/>
      <c r="M203" s="27">
        <v>50000</v>
      </c>
      <c r="O203" s="48" t="s">
        <v>75</v>
      </c>
      <c r="P203" s="48">
        <f>HEX2DEC(RIGHT(Table13232127535868[[#This Row],[h1]],8))</f>
        <v>0</v>
      </c>
      <c r="Q203" s="48" t="s">
        <v>75</v>
      </c>
      <c r="R203" s="48">
        <f>HEX2DEC(RIGHT(Table13232127535868[[#This Row],[h2]],8))</f>
        <v>0</v>
      </c>
    </row>
    <row r="204" spans="1:18">
      <c r="A204" s="15" t="str">
        <f t="shared" si="8"/>
        <v>0C2</v>
      </c>
      <c r="B204" s="15">
        <v>194</v>
      </c>
      <c r="C204" s="38"/>
      <c r="D204" s="15" t="s">
        <v>267</v>
      </c>
      <c r="E204" s="51">
        <v>1</v>
      </c>
      <c r="F204" s="51">
        <v>13</v>
      </c>
      <c r="G204" s="50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8" t="s">
        <v>75</v>
      </c>
      <c r="P204" s="48">
        <f>HEX2DEC(RIGHT(Table13232127535868[[#This Row],[h1]],8))</f>
        <v>0</v>
      </c>
      <c r="Q204" s="48" t="s">
        <v>75</v>
      </c>
      <c r="R204" s="48">
        <f>HEX2DEC(RIGHT(Table13232127535868[[#This Row],[h2]],8))</f>
        <v>0</v>
      </c>
    </row>
    <row r="205" spans="1:18">
      <c r="A205" s="15" t="str">
        <f t="shared" si="8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8" t="s">
        <v>75</v>
      </c>
      <c r="P205" s="48">
        <f>HEX2DEC(RIGHT(Table13232127535868[[#This Row],[h1]],8))</f>
        <v>0</v>
      </c>
      <c r="Q205" s="48" t="s">
        <v>75</v>
      </c>
      <c r="R205" s="48">
        <f>HEX2DEC(RIGHT(Table13232127535868[[#This Row],[h2]],8))</f>
        <v>0</v>
      </c>
    </row>
    <row r="206" spans="1:18">
      <c r="A206" s="15" t="str">
        <f t="shared" si="8"/>
        <v>0C4</v>
      </c>
      <c r="B206" s="15">
        <v>196</v>
      </c>
      <c r="C206" s="38"/>
      <c r="D206" s="15" t="s">
        <v>268</v>
      </c>
      <c r="G206" s="29" t="s">
        <v>12</v>
      </c>
      <c r="I206" s="27">
        <v>1</v>
      </c>
      <c r="J206" s="27">
        <v>50000</v>
      </c>
      <c r="L206" s="27"/>
      <c r="M206" s="27">
        <v>50000</v>
      </c>
      <c r="O206" s="48" t="s">
        <v>75</v>
      </c>
      <c r="P206" s="48">
        <f>HEX2DEC(RIGHT(Table13232127535868[[#This Row],[h1]],8))</f>
        <v>0</v>
      </c>
      <c r="Q206" s="48" t="s">
        <v>75</v>
      </c>
      <c r="R206" s="48">
        <f>HEX2DEC(RIGHT(Table13232127535868[[#This Row],[h2]],8))</f>
        <v>0</v>
      </c>
    </row>
    <row r="207" spans="1:18">
      <c r="A207" s="15" t="str">
        <f t="shared" si="8"/>
        <v>0C5</v>
      </c>
      <c r="B207" s="15">
        <v>197</v>
      </c>
      <c r="C207" s="38"/>
      <c r="D207" s="15" t="s">
        <v>269</v>
      </c>
      <c r="G207" s="29" t="s">
        <v>13</v>
      </c>
      <c r="I207" s="27">
        <v>3</v>
      </c>
      <c r="J207" s="27">
        <v>50000</v>
      </c>
      <c r="L207" s="27"/>
      <c r="M207" s="27">
        <v>50000</v>
      </c>
      <c r="O207" s="48" t="s">
        <v>75</v>
      </c>
      <c r="P207" s="48">
        <f>HEX2DEC(RIGHT(Table13232127535868[[#This Row],[h1]],8))</f>
        <v>0</v>
      </c>
      <c r="Q207" s="48" t="s">
        <v>75</v>
      </c>
      <c r="R207" s="48">
        <f>HEX2DEC(RIGHT(Table13232127535868[[#This Row],[h2]],8))</f>
        <v>0</v>
      </c>
    </row>
    <row r="208" spans="1:18">
      <c r="A208" s="15" t="str">
        <f t="shared" si="8"/>
        <v>0C6</v>
      </c>
      <c r="B208" s="15">
        <v>198</v>
      </c>
      <c r="C208" s="38"/>
      <c r="D208" s="15" t="s">
        <v>270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48" t="s">
        <v>75</v>
      </c>
      <c r="P208" s="48">
        <f>HEX2DEC(RIGHT(Table13232127535868[[#This Row],[h1]],8))</f>
        <v>0</v>
      </c>
      <c r="Q208" s="48" t="s">
        <v>75</v>
      </c>
      <c r="R208" s="48">
        <f>HEX2DEC(RIGHT(Table13232127535868[[#This Row],[h2]],8))</f>
        <v>0</v>
      </c>
    </row>
    <row r="209" spans="1:18">
      <c r="A209" s="15" t="str">
        <f t="shared" si="8"/>
        <v>0C7</v>
      </c>
      <c r="B209" s="15">
        <v>199</v>
      </c>
      <c r="C209" s="38"/>
      <c r="D209" s="15" t="s">
        <v>271</v>
      </c>
      <c r="G209" s="29" t="s">
        <v>15</v>
      </c>
      <c r="I209" s="27">
        <v>2</v>
      </c>
      <c r="J209" s="27">
        <v>50000</v>
      </c>
      <c r="L209" s="27"/>
      <c r="M209" s="27">
        <v>50000</v>
      </c>
      <c r="O209" s="48" t="s">
        <v>75</v>
      </c>
      <c r="P209" s="48">
        <f>HEX2DEC(RIGHT(Table13232127535868[[#This Row],[h1]],8))</f>
        <v>0</v>
      </c>
      <c r="Q209" s="48" t="s">
        <v>75</v>
      </c>
      <c r="R209" s="48">
        <f>HEX2DEC(RIGHT(Table13232127535868[[#This Row],[h2]],8))</f>
        <v>0</v>
      </c>
    </row>
    <row r="210" spans="1:18">
      <c r="A210" s="15" t="str">
        <f t="shared" si="8"/>
        <v>0C8</v>
      </c>
      <c r="B210" s="15">
        <v>200</v>
      </c>
      <c r="C210" s="38"/>
      <c r="D210" s="15" t="s">
        <v>272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8" t="s">
        <v>75</v>
      </c>
      <c r="P210" s="48">
        <f>HEX2DEC(RIGHT(Table13232127535868[[#This Row],[h1]],8))</f>
        <v>0</v>
      </c>
      <c r="Q210" s="48" t="s">
        <v>75</v>
      </c>
      <c r="R210" s="48">
        <f>HEX2DEC(RIGHT(Table13232127535868[[#This Row],[h2]],8))</f>
        <v>0</v>
      </c>
    </row>
    <row r="211" spans="1:18">
      <c r="A211" s="15" t="str">
        <f t="shared" si="8"/>
        <v>0C9</v>
      </c>
      <c r="B211" s="15">
        <v>201</v>
      </c>
      <c r="C211" s="38"/>
      <c r="D211" s="15" t="s">
        <v>273</v>
      </c>
      <c r="G211" s="29" t="s">
        <v>41</v>
      </c>
      <c r="I211" s="27">
        <v>3</v>
      </c>
      <c r="J211" s="27">
        <v>50000</v>
      </c>
      <c r="L211" s="27"/>
      <c r="M211" s="27">
        <v>50000</v>
      </c>
      <c r="O211" s="48" t="s">
        <v>75</v>
      </c>
      <c r="P211" s="48">
        <f>HEX2DEC(RIGHT(Table13232127535868[[#This Row],[h1]],8))</f>
        <v>0</v>
      </c>
      <c r="Q211" s="48" t="s">
        <v>75</v>
      </c>
      <c r="R211" s="48">
        <f>HEX2DEC(RIGHT(Table13232127535868[[#This Row],[h2]],8))</f>
        <v>0</v>
      </c>
    </row>
    <row r="212" spans="1:18">
      <c r="A212" s="15" t="str">
        <f t="shared" si="8"/>
        <v>0CA</v>
      </c>
      <c r="B212" s="15">
        <v>202</v>
      </c>
      <c r="C212" s="38"/>
      <c r="D212" s="15" t="s">
        <v>274</v>
      </c>
      <c r="G212" s="29" t="s">
        <v>41</v>
      </c>
      <c r="I212" s="27">
        <v>1</v>
      </c>
      <c r="J212" s="27">
        <v>50000</v>
      </c>
      <c r="L212" s="27"/>
      <c r="M212" s="27">
        <v>50000</v>
      </c>
      <c r="O212" s="48" t="s">
        <v>75</v>
      </c>
      <c r="P212" s="48">
        <f>HEX2DEC(RIGHT(Table13232127535868[[#This Row],[h1]],8))</f>
        <v>0</v>
      </c>
      <c r="Q212" s="48" t="s">
        <v>75</v>
      </c>
      <c r="R212" s="48">
        <f>HEX2DEC(RIGHT(Table13232127535868[[#This Row],[h2]],8))</f>
        <v>0</v>
      </c>
    </row>
    <row r="213" spans="1:18">
      <c r="A213" s="15" t="str">
        <f t="shared" si="8"/>
        <v>0CB</v>
      </c>
      <c r="B213" s="15">
        <v>203</v>
      </c>
      <c r="C213" s="38"/>
      <c r="D213" s="15" t="s">
        <v>275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8" t="s">
        <v>75</v>
      </c>
      <c r="P213" s="48">
        <f>HEX2DEC(RIGHT(Table13232127535868[[#This Row],[h1]],8))</f>
        <v>0</v>
      </c>
      <c r="Q213" s="48" t="s">
        <v>75</v>
      </c>
      <c r="R213" s="48">
        <f>HEX2DEC(RIGHT(Table13232127535868[[#This Row],[h2]],8))</f>
        <v>0</v>
      </c>
    </row>
    <row r="214" spans="1:18">
      <c r="A214" s="15" t="str">
        <f t="shared" si="8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8" t="s">
        <v>75</v>
      </c>
      <c r="P214" s="48">
        <f>HEX2DEC(RIGHT(Table13232127535868[[#This Row],[h1]],8))</f>
        <v>0</v>
      </c>
      <c r="Q214" s="48" t="s">
        <v>75</v>
      </c>
      <c r="R214" s="48">
        <f>HEX2DEC(RIGHT(Table13232127535868[[#This Row],[h2]],8))</f>
        <v>0</v>
      </c>
    </row>
    <row r="215" spans="1:18">
      <c r="A215" s="15" t="str">
        <f t="shared" si="8"/>
        <v>0CD</v>
      </c>
      <c r="B215" s="15">
        <v>205</v>
      </c>
      <c r="C215" s="38"/>
      <c r="I215" s="27">
        <v>4</v>
      </c>
      <c r="J215" s="27">
        <v>50000</v>
      </c>
      <c r="L215" s="27"/>
      <c r="M215" s="27">
        <v>50000</v>
      </c>
      <c r="O215" s="48" t="s">
        <v>75</v>
      </c>
      <c r="P215" s="48">
        <f>HEX2DEC(RIGHT(Table13232127535868[[#This Row],[h1]],8))</f>
        <v>0</v>
      </c>
      <c r="Q215" s="48" t="s">
        <v>75</v>
      </c>
      <c r="R215" s="48">
        <f>HEX2DEC(RIGHT(Table13232127535868[[#This Row],[h2]],8))</f>
        <v>0</v>
      </c>
    </row>
    <row r="216" spans="1:18">
      <c r="A216" s="15" t="str">
        <f t="shared" si="8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8" t="s">
        <v>75</v>
      </c>
      <c r="P216" s="48">
        <f>HEX2DEC(RIGHT(Table13232127535868[[#This Row],[h1]],8))</f>
        <v>0</v>
      </c>
      <c r="Q216" s="48" t="s">
        <v>75</v>
      </c>
      <c r="R216" s="48">
        <f>HEX2DEC(RIGHT(Table13232127535868[[#This Row],[h2]],8))</f>
        <v>0</v>
      </c>
    </row>
    <row r="217" spans="1:18">
      <c r="A217" s="15" t="str">
        <f t="shared" si="8"/>
        <v>0CF</v>
      </c>
      <c r="B217" s="15">
        <v>207</v>
      </c>
      <c r="C217" s="38"/>
      <c r="F217" s="25"/>
      <c r="G217" s="56" t="s">
        <v>48</v>
      </c>
      <c r="I217" s="27">
        <v>2</v>
      </c>
      <c r="J217" s="27">
        <v>50000</v>
      </c>
      <c r="L217" s="27"/>
      <c r="M217" s="27">
        <v>50000</v>
      </c>
      <c r="O217" s="48" t="s">
        <v>75</v>
      </c>
      <c r="P217" s="48">
        <f>HEX2DEC(RIGHT(Table13232127535868[[#This Row],[h1]],8))</f>
        <v>0</v>
      </c>
      <c r="Q217" s="48" t="s">
        <v>75</v>
      </c>
      <c r="R217" s="48">
        <f>HEX2DEC(RIGHT(Table13232127535868[[#This Row],[h2]],8))</f>
        <v>0</v>
      </c>
    </row>
    <row r="218" spans="1:18">
      <c r="A218" s="15" t="str">
        <f t="shared" si="8"/>
        <v>0D0</v>
      </c>
      <c r="B218" s="15">
        <v>208</v>
      </c>
      <c r="C218" s="38"/>
      <c r="D218" s="15" t="s">
        <v>276</v>
      </c>
      <c r="F218" s="25"/>
      <c r="G218" s="29">
        <v>0</v>
      </c>
      <c r="I218" s="27">
        <v>1</v>
      </c>
      <c r="J218" s="27">
        <v>50000</v>
      </c>
      <c r="L218" s="27"/>
      <c r="M218" s="27">
        <v>50000</v>
      </c>
      <c r="O218" s="48" t="s">
        <v>75</v>
      </c>
      <c r="P218" s="48">
        <f>HEX2DEC(RIGHT(Table13232127535868[[#This Row],[h1]],8))</f>
        <v>0</v>
      </c>
      <c r="Q218" s="48" t="s">
        <v>75</v>
      </c>
      <c r="R218" s="48">
        <f>HEX2DEC(RIGHT(Table13232127535868[[#This Row],[h2]],8))</f>
        <v>0</v>
      </c>
    </row>
    <row r="219" spans="1:18">
      <c r="A219" s="15" t="str">
        <f t="shared" si="8"/>
        <v>0D1</v>
      </c>
      <c r="B219" s="15">
        <v>209</v>
      </c>
      <c r="C219" s="38"/>
      <c r="D219" s="15" t="s">
        <v>277</v>
      </c>
      <c r="G219" s="29">
        <v>0</v>
      </c>
      <c r="I219" s="27">
        <v>3</v>
      </c>
      <c r="J219" s="27">
        <v>50000</v>
      </c>
      <c r="L219" s="27"/>
      <c r="M219" s="27">
        <v>50000</v>
      </c>
      <c r="O219" s="48" t="s">
        <v>75</v>
      </c>
      <c r="P219" s="48">
        <f>HEX2DEC(RIGHT(Table13232127535868[[#This Row],[h1]],8))</f>
        <v>0</v>
      </c>
      <c r="Q219" s="48" t="s">
        <v>75</v>
      </c>
      <c r="R219" s="48">
        <f>HEX2DEC(RIGHT(Table13232127535868[[#This Row],[h2]],8))</f>
        <v>0</v>
      </c>
    </row>
    <row r="220" spans="1:18">
      <c r="A220" s="15" t="str">
        <f t="shared" si="8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8" t="s">
        <v>75</v>
      </c>
      <c r="P220" s="48">
        <f>HEX2DEC(RIGHT(Table13232127535868[[#This Row],[h1]],8))</f>
        <v>0</v>
      </c>
      <c r="Q220" s="48" t="s">
        <v>75</v>
      </c>
      <c r="R220" s="48">
        <f>HEX2DEC(RIGHT(Table13232127535868[[#This Row],[h2]],8))</f>
        <v>0</v>
      </c>
    </row>
    <row r="221" spans="1:18">
      <c r="A221" s="15" t="str">
        <f t="shared" si="8"/>
        <v>0D3</v>
      </c>
      <c r="B221" s="15">
        <v>211</v>
      </c>
      <c r="C221" s="38"/>
      <c r="D221" s="15" t="s">
        <v>278</v>
      </c>
      <c r="G221" s="29" t="s">
        <v>72</v>
      </c>
      <c r="I221" s="27">
        <v>2</v>
      </c>
      <c r="J221" s="27">
        <v>50000</v>
      </c>
      <c r="L221" s="27"/>
      <c r="M221" s="27">
        <v>50000</v>
      </c>
      <c r="O221" s="48" t="s">
        <v>75</v>
      </c>
      <c r="P221" s="48">
        <f>HEX2DEC(RIGHT(Table13232127535868[[#This Row],[h1]],8))</f>
        <v>0</v>
      </c>
      <c r="Q221" s="48" t="s">
        <v>75</v>
      </c>
      <c r="R221" s="48">
        <f>HEX2DEC(RIGHT(Table13232127535868[[#This Row],[h2]],8))</f>
        <v>0</v>
      </c>
    </row>
    <row r="222" spans="1:18">
      <c r="A222" s="15" t="str">
        <f t="shared" si="8"/>
        <v>0D4</v>
      </c>
      <c r="B222" s="15">
        <v>212</v>
      </c>
      <c r="C222" s="38"/>
      <c r="D222" s="15" t="s">
        <v>279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8" t="s">
        <v>75</v>
      </c>
      <c r="P222" s="48">
        <f>HEX2DEC(RIGHT(Table13232127535868[[#This Row],[h1]],8))</f>
        <v>0</v>
      </c>
      <c r="Q222" s="48" t="s">
        <v>75</v>
      </c>
      <c r="R222" s="48">
        <f>HEX2DEC(RIGHT(Table13232127535868[[#This Row],[h2]],8))</f>
        <v>0</v>
      </c>
    </row>
    <row r="223" spans="1:18">
      <c r="A223" s="15" t="str">
        <f t="shared" si="8"/>
        <v>0D5</v>
      </c>
      <c r="B223" s="15">
        <v>213</v>
      </c>
      <c r="C223" s="38"/>
      <c r="G223" s="48"/>
      <c r="I223" s="27">
        <v>3</v>
      </c>
      <c r="J223" s="27">
        <v>50000</v>
      </c>
      <c r="L223" s="27"/>
      <c r="M223" s="27">
        <v>50000</v>
      </c>
      <c r="O223" s="48" t="s">
        <v>75</v>
      </c>
      <c r="P223" s="48">
        <f>HEX2DEC(RIGHT(Table13232127535868[[#This Row],[h1]],8))</f>
        <v>0</v>
      </c>
      <c r="Q223" s="48" t="s">
        <v>75</v>
      </c>
      <c r="R223" s="48">
        <f>HEX2DEC(RIGHT(Table13232127535868[[#This Row],[h2]],8))</f>
        <v>0</v>
      </c>
    </row>
    <row r="224" spans="1:18">
      <c r="A224" s="15" t="str">
        <f t="shared" si="8"/>
        <v>0D6</v>
      </c>
      <c r="B224" s="15">
        <v>214</v>
      </c>
      <c r="C224" s="38"/>
      <c r="E224" s="48"/>
      <c r="F224" s="29" t="s">
        <v>23</v>
      </c>
      <c r="G224" s="18"/>
      <c r="I224" s="27">
        <v>1</v>
      </c>
      <c r="J224" s="27">
        <v>50000</v>
      </c>
      <c r="L224" s="27"/>
      <c r="M224" s="27">
        <v>50000</v>
      </c>
      <c r="O224" s="48" t="s">
        <v>75</v>
      </c>
      <c r="P224" s="48">
        <f>HEX2DEC(RIGHT(Table13232127535868[[#This Row],[h1]],8))</f>
        <v>0</v>
      </c>
      <c r="Q224" s="48" t="s">
        <v>75</v>
      </c>
      <c r="R224" s="48">
        <f>HEX2DEC(RIGHT(Table13232127535868[[#This Row],[h2]],8))</f>
        <v>0</v>
      </c>
    </row>
    <row r="225" spans="1:18">
      <c r="A225" s="15" t="str">
        <f t="shared" si="8"/>
        <v>0D7</v>
      </c>
      <c r="B225" s="15">
        <v>215</v>
      </c>
      <c r="C225" s="38"/>
      <c r="D225" s="15" t="s">
        <v>280</v>
      </c>
      <c r="E225" s="18" t="s">
        <v>53</v>
      </c>
      <c r="F225" s="29"/>
      <c r="G225" s="18">
        <f>IF(Table131925515666[[#This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8" t="s">
        <v>75</v>
      </c>
      <c r="P225" s="48">
        <f>HEX2DEC(RIGHT(Table13232127535868[[#This Row],[h1]],8))</f>
        <v>0</v>
      </c>
      <c r="Q225" s="48" t="s">
        <v>75</v>
      </c>
      <c r="R225" s="48">
        <f>HEX2DEC(RIGHT(Table13232127535868[[#This Row],[h2]],8))</f>
        <v>0</v>
      </c>
    </row>
    <row r="226" spans="1:18">
      <c r="A226" s="15" t="str">
        <f t="shared" si="8"/>
        <v>0D8</v>
      </c>
      <c r="B226" s="15">
        <v>216</v>
      </c>
      <c r="C226" s="38"/>
      <c r="D226" s="15" t="s">
        <v>281</v>
      </c>
      <c r="E226" s="18" t="s">
        <v>54</v>
      </c>
      <c r="F226" s="29"/>
      <c r="G226" s="18">
        <f>IF(Table131925515666[[#This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8" t="s">
        <v>75</v>
      </c>
      <c r="P226" s="48">
        <f>HEX2DEC(RIGHT(Table13232127535868[[#This Row],[h1]],8))</f>
        <v>0</v>
      </c>
      <c r="Q226" s="48" t="s">
        <v>75</v>
      </c>
      <c r="R226" s="48">
        <f>HEX2DEC(RIGHT(Table13232127535868[[#This Row],[h2]],8))</f>
        <v>0</v>
      </c>
    </row>
    <row r="227" spans="1:18">
      <c r="A227" s="15" t="str">
        <f t="shared" si="8"/>
        <v>0D9</v>
      </c>
      <c r="B227" s="15">
        <v>217</v>
      </c>
      <c r="C227" s="38"/>
      <c r="D227" s="15" t="s">
        <v>282</v>
      </c>
      <c r="E227" s="18" t="s">
        <v>55</v>
      </c>
      <c r="F227" s="29"/>
      <c r="G227" s="18">
        <f>IF(Table131925515666[[#This Row],[dec val]]="",0,1)</f>
        <v>0</v>
      </c>
      <c r="I227" s="27">
        <v>4</v>
      </c>
      <c r="J227" s="27">
        <v>50000</v>
      </c>
      <c r="L227" s="27"/>
      <c r="M227" s="27">
        <v>50000</v>
      </c>
      <c r="O227" s="48" t="s">
        <v>75</v>
      </c>
      <c r="P227" s="48">
        <f>HEX2DEC(RIGHT(Table13232127535868[[#This Row],[h1]],8))</f>
        <v>0</v>
      </c>
      <c r="Q227" s="48" t="s">
        <v>75</v>
      </c>
      <c r="R227" s="48">
        <f>HEX2DEC(RIGHT(Table13232127535868[[#This Row],[h2]],8))</f>
        <v>0</v>
      </c>
    </row>
    <row r="228" spans="1:18">
      <c r="A228" s="15" t="str">
        <f t="shared" si="8"/>
        <v>0DA</v>
      </c>
      <c r="B228" s="15">
        <v>218</v>
      </c>
      <c r="C228" s="38"/>
      <c r="D228" s="15" t="s">
        <v>283</v>
      </c>
      <c r="E228" s="18" t="s">
        <v>56</v>
      </c>
      <c r="F228" s="29"/>
      <c r="G228" s="18">
        <f>IF(Table131925515666[[#This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8" t="s">
        <v>75</v>
      </c>
      <c r="P228" s="48">
        <f>HEX2DEC(RIGHT(Table13232127535868[[#This Row],[h1]],8))</f>
        <v>0</v>
      </c>
      <c r="Q228" s="48" t="s">
        <v>75</v>
      </c>
      <c r="R228" s="48">
        <f>HEX2DEC(RIGHT(Table13232127535868[[#This Row],[h2]],8))</f>
        <v>0</v>
      </c>
    </row>
    <row r="229" spans="1:18">
      <c r="A229" s="15" t="str">
        <f t="shared" si="8"/>
        <v>0DB</v>
      </c>
      <c r="B229" s="15">
        <v>219</v>
      </c>
      <c r="C229" s="38"/>
      <c r="D229" s="15" t="s">
        <v>284</v>
      </c>
      <c r="E229" s="18" t="s">
        <v>57</v>
      </c>
      <c r="F229" s="29"/>
      <c r="G229" s="18">
        <f>IF(Table131925515666[[#This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8" t="s">
        <v>75</v>
      </c>
      <c r="P229" s="48">
        <f>HEX2DEC(RIGHT(Table13232127535868[[#This Row],[h1]],8))</f>
        <v>0</v>
      </c>
      <c r="Q229" s="48" t="s">
        <v>75</v>
      </c>
      <c r="R229" s="48">
        <f>HEX2DEC(RIGHT(Table13232127535868[[#This Row],[h2]],8))</f>
        <v>0</v>
      </c>
    </row>
    <row r="230" spans="1:18">
      <c r="A230" s="15" t="str">
        <f t="shared" si="8"/>
        <v>0DC</v>
      </c>
      <c r="B230" s="15">
        <v>220</v>
      </c>
      <c r="C230" s="38"/>
      <c r="D230" s="15" t="s">
        <v>285</v>
      </c>
      <c r="E230" s="18" t="s">
        <v>58</v>
      </c>
      <c r="F230" s="29"/>
      <c r="G230" s="18">
        <f>IF(Table131925515666[[#This Row],[dec val]]="",0,1)</f>
        <v>0</v>
      </c>
      <c r="I230" s="27">
        <v>1</v>
      </c>
      <c r="J230" s="27">
        <v>50000</v>
      </c>
      <c r="L230" s="27"/>
      <c r="M230" s="27">
        <v>50000</v>
      </c>
      <c r="O230" s="48" t="s">
        <v>75</v>
      </c>
      <c r="P230" s="48">
        <f>HEX2DEC(RIGHT(Table13232127535868[[#This Row],[h1]],8))</f>
        <v>0</v>
      </c>
      <c r="Q230" s="48" t="s">
        <v>75</v>
      </c>
      <c r="R230" s="48">
        <f>HEX2DEC(RIGHT(Table13232127535868[[#This Row],[h2]],8))</f>
        <v>0</v>
      </c>
    </row>
    <row r="231" spans="1:18">
      <c r="A231" s="15" t="str">
        <f t="shared" si="8"/>
        <v>0DD</v>
      </c>
      <c r="B231" s="15">
        <v>221</v>
      </c>
      <c r="C231" s="38"/>
      <c r="D231" s="15" t="s">
        <v>286</v>
      </c>
      <c r="E231" s="18" t="s">
        <v>59</v>
      </c>
      <c r="F231" s="29"/>
      <c r="G231" s="18">
        <f>IF(Table131925515666[[#This Row],[dec val]]="",0,1)</f>
        <v>0</v>
      </c>
      <c r="I231" s="27">
        <v>3</v>
      </c>
      <c r="J231" s="27">
        <v>50000</v>
      </c>
      <c r="L231" s="27"/>
      <c r="M231" s="27">
        <v>50000</v>
      </c>
      <c r="O231" s="48" t="s">
        <v>75</v>
      </c>
      <c r="P231" s="48">
        <f>HEX2DEC(RIGHT(Table13232127535868[[#This Row],[h1]],8))</f>
        <v>0</v>
      </c>
      <c r="Q231" s="48" t="s">
        <v>75</v>
      </c>
      <c r="R231" s="48">
        <f>HEX2DEC(RIGHT(Table13232127535868[[#This Row],[h2]],8))</f>
        <v>0</v>
      </c>
    </row>
    <row r="232" spans="1:18">
      <c r="A232" s="15" t="str">
        <f t="shared" si="8"/>
        <v>0DE</v>
      </c>
      <c r="B232" s="15">
        <v>222</v>
      </c>
      <c r="C232" s="38"/>
      <c r="D232" s="15" t="s">
        <v>287</v>
      </c>
      <c r="E232" s="18" t="s">
        <v>60</v>
      </c>
      <c r="F232" s="29"/>
      <c r="G232" s="18">
        <f>IF(Table131925515666[[#This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8" t="s">
        <v>75</v>
      </c>
      <c r="P232" s="48">
        <f>HEX2DEC(RIGHT(Table13232127535868[[#This Row],[h1]],8))</f>
        <v>0</v>
      </c>
      <c r="Q232" s="48" t="s">
        <v>75</v>
      </c>
      <c r="R232" s="48">
        <f>HEX2DEC(RIGHT(Table13232127535868[[#This Row],[h2]],8))</f>
        <v>0</v>
      </c>
    </row>
    <row r="233" spans="1:18">
      <c r="A233" s="15" t="str">
        <f t="shared" si="8"/>
        <v>0DF</v>
      </c>
      <c r="B233" s="15">
        <v>223</v>
      </c>
      <c r="C233" s="38"/>
      <c r="D233" s="15" t="s">
        <v>288</v>
      </c>
      <c r="E233" s="18" t="s">
        <v>61</v>
      </c>
      <c r="F233" s="29"/>
      <c r="G233" s="18">
        <f>IF(Table131925515666[[#This Row],[dec val]]="",0,1)</f>
        <v>0</v>
      </c>
      <c r="I233" s="27">
        <v>2</v>
      </c>
      <c r="J233" s="27">
        <v>50000</v>
      </c>
      <c r="L233" s="27"/>
      <c r="M233" s="27">
        <v>50000</v>
      </c>
      <c r="O233" s="48" t="s">
        <v>75</v>
      </c>
      <c r="P233" s="48">
        <f>HEX2DEC(RIGHT(Table13232127535868[[#This Row],[h1]],8))</f>
        <v>0</v>
      </c>
      <c r="Q233" s="48" t="s">
        <v>75</v>
      </c>
      <c r="R233" s="48">
        <f>HEX2DEC(RIGHT(Table13232127535868[[#This Row],[h2]],8))</f>
        <v>0</v>
      </c>
    </row>
    <row r="234" spans="1:18">
      <c r="A234" s="15" t="str">
        <f t="shared" si="8"/>
        <v>0E0</v>
      </c>
      <c r="B234" s="15">
        <v>224</v>
      </c>
      <c r="C234" s="38"/>
      <c r="D234" s="15" t="s">
        <v>289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8" t="s">
        <v>75</v>
      </c>
      <c r="P234" s="48">
        <f>HEX2DEC(RIGHT(Table13232127535868[[#This Row],[h1]],8))</f>
        <v>0</v>
      </c>
      <c r="Q234" s="48" t="s">
        <v>75</v>
      </c>
      <c r="R234" s="48">
        <f>HEX2DEC(RIGHT(Table13232127535868[[#This Row],[h2]],8))</f>
        <v>0</v>
      </c>
    </row>
    <row r="235" spans="1:18">
      <c r="A235" s="15" t="str">
        <f t="shared" si="8"/>
        <v>0E1</v>
      </c>
      <c r="B235" s="15">
        <v>225</v>
      </c>
      <c r="C235" s="38"/>
      <c r="D235" s="15" t="s">
        <v>290</v>
      </c>
      <c r="E235" s="18" t="s">
        <v>63</v>
      </c>
      <c r="F235" s="29"/>
      <c r="G235" s="18">
        <f>IF(Table131925515666[[#This Row],[dec val]]="",0,1)</f>
        <v>0</v>
      </c>
      <c r="I235" s="27">
        <v>3</v>
      </c>
      <c r="J235" s="27">
        <v>50000</v>
      </c>
      <c r="L235" s="27"/>
      <c r="M235" s="27">
        <v>50000</v>
      </c>
      <c r="O235" s="48" t="s">
        <v>75</v>
      </c>
      <c r="P235" s="48">
        <f>HEX2DEC(RIGHT(Table13232127535868[[#This Row],[h1]],8))</f>
        <v>0</v>
      </c>
      <c r="Q235" s="48" t="s">
        <v>75</v>
      </c>
      <c r="R235" s="48">
        <f>HEX2DEC(RIGHT(Table13232127535868[[#This Row],[h2]],8))</f>
        <v>0</v>
      </c>
    </row>
    <row r="236" spans="1:18">
      <c r="A236" s="15" t="str">
        <f t="shared" si="8"/>
        <v>0E2</v>
      </c>
      <c r="B236" s="15">
        <v>226</v>
      </c>
      <c r="C236" s="38"/>
      <c r="D236" s="15" t="s">
        <v>338</v>
      </c>
      <c r="E236" s="18" t="s">
        <v>339</v>
      </c>
      <c r="F236" s="29"/>
      <c r="G236" s="18">
        <f>IF(Table131925515666[[#This Row],[dec val]]="",0,1)</f>
        <v>0</v>
      </c>
      <c r="I236" s="27">
        <v>1</v>
      </c>
      <c r="J236" s="27">
        <v>50000</v>
      </c>
      <c r="L236" s="27"/>
      <c r="M236" s="27">
        <v>50000</v>
      </c>
      <c r="O236" s="48" t="s">
        <v>75</v>
      </c>
      <c r="P236" s="48">
        <f>HEX2DEC(RIGHT(Table13232127535868[[#This Row],[h1]],8))</f>
        <v>0</v>
      </c>
      <c r="Q236" s="48" t="s">
        <v>75</v>
      </c>
      <c r="R236" s="48">
        <f>HEX2DEC(RIGHT(Table13232127535868[[#This Row],[h2]],8))</f>
        <v>0</v>
      </c>
    </row>
    <row r="237" spans="1:18">
      <c r="A237" s="15" t="str">
        <f t="shared" si="8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8" t="s">
        <v>75</v>
      </c>
      <c r="P237" s="48">
        <f>HEX2DEC(RIGHT(Table13232127535868[[#This Row],[h1]],8))</f>
        <v>0</v>
      </c>
      <c r="Q237" s="48" t="s">
        <v>75</v>
      </c>
      <c r="R237" s="48">
        <f>HEX2DEC(RIGHT(Table13232127535868[[#This Row],[h2]],8))</f>
        <v>0</v>
      </c>
    </row>
    <row r="238" spans="1:18">
      <c r="A238" s="15" t="str">
        <f t="shared" si="8"/>
        <v>0E4</v>
      </c>
      <c r="B238" s="15">
        <v>228</v>
      </c>
      <c r="C238" s="38"/>
      <c r="D238" s="15" t="s">
        <v>291</v>
      </c>
      <c r="E238" s="18" t="s">
        <v>53</v>
      </c>
      <c r="F238" s="29"/>
      <c r="G238" s="18">
        <f>IF(Table131925515666[[#This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8" t="s">
        <v>75</v>
      </c>
      <c r="P238" s="48">
        <f>HEX2DEC(RIGHT(Table13232127535868[[#This Row],[h1]],8))</f>
        <v>0</v>
      </c>
      <c r="Q238" s="48" t="s">
        <v>75</v>
      </c>
      <c r="R238" s="48">
        <f>HEX2DEC(RIGHT(Table13232127535868[[#This Row],[h2]],8))</f>
        <v>0</v>
      </c>
    </row>
    <row r="239" spans="1:18">
      <c r="A239" s="15" t="str">
        <f t="shared" si="8"/>
        <v>0E5</v>
      </c>
      <c r="B239" s="15">
        <v>229</v>
      </c>
      <c r="C239" s="38"/>
      <c r="D239" s="15" t="s">
        <v>292</v>
      </c>
      <c r="E239" s="18" t="s">
        <v>54</v>
      </c>
      <c r="F239" s="29"/>
      <c r="G239" s="18">
        <f>IF(Table131925515666[[#This Row],[dec val]]="",0,1)</f>
        <v>0</v>
      </c>
      <c r="I239" s="27">
        <v>4</v>
      </c>
      <c r="J239" s="27">
        <v>50000</v>
      </c>
      <c r="L239" s="27"/>
      <c r="M239" s="27">
        <v>50000</v>
      </c>
      <c r="O239" s="48" t="s">
        <v>75</v>
      </c>
      <c r="P239" s="48">
        <f>HEX2DEC(RIGHT(Table13232127535868[[#This Row],[h1]],8))</f>
        <v>0</v>
      </c>
      <c r="Q239" s="48" t="s">
        <v>75</v>
      </c>
      <c r="R239" s="48">
        <f>HEX2DEC(RIGHT(Table13232127535868[[#This Row],[h2]],8))</f>
        <v>0</v>
      </c>
    </row>
    <row r="240" spans="1:18">
      <c r="A240" s="15" t="str">
        <f t="shared" si="8"/>
        <v>0E6</v>
      </c>
      <c r="B240" s="15">
        <v>230</v>
      </c>
      <c r="C240" s="38"/>
      <c r="D240" s="15" t="s">
        <v>293</v>
      </c>
      <c r="E240" s="18" t="s">
        <v>55</v>
      </c>
      <c r="F240" s="29"/>
      <c r="G240" s="18">
        <f>IF(Table131925515666[[#This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8" t="s">
        <v>75</v>
      </c>
      <c r="P240" s="48">
        <f>HEX2DEC(RIGHT(Table13232127535868[[#This Row],[h1]],8))</f>
        <v>0</v>
      </c>
      <c r="Q240" s="48" t="s">
        <v>75</v>
      </c>
      <c r="R240" s="48">
        <f>HEX2DEC(RIGHT(Table13232127535868[[#This Row],[h2]],8))</f>
        <v>0</v>
      </c>
    </row>
    <row r="241" spans="1:18">
      <c r="A241" s="15" t="str">
        <f t="shared" si="8"/>
        <v>0E7</v>
      </c>
      <c r="B241" s="15">
        <v>231</v>
      </c>
      <c r="C241" s="38"/>
      <c r="D241" s="15" t="s">
        <v>294</v>
      </c>
      <c r="E241" s="18" t="s">
        <v>56</v>
      </c>
      <c r="F241" s="29"/>
      <c r="G241" s="18">
        <f>IF(Table131925515666[[#This Row],[dec val]]="",0,1)</f>
        <v>0</v>
      </c>
      <c r="I241" s="27">
        <v>2</v>
      </c>
      <c r="J241" s="27">
        <v>50000</v>
      </c>
      <c r="L241" s="27"/>
      <c r="M241" s="27">
        <v>50000</v>
      </c>
      <c r="O241" s="48" t="s">
        <v>75</v>
      </c>
      <c r="P241" s="48">
        <f>HEX2DEC(RIGHT(Table13232127535868[[#This Row],[h1]],8))</f>
        <v>0</v>
      </c>
      <c r="Q241" s="48" t="s">
        <v>75</v>
      </c>
      <c r="R241" s="48">
        <f>HEX2DEC(RIGHT(Table13232127535868[[#This Row],[h2]],8))</f>
        <v>0</v>
      </c>
    </row>
    <row r="242" spans="1:18">
      <c r="A242" s="15" t="str">
        <f t="shared" si="8"/>
        <v>0E8</v>
      </c>
      <c r="B242" s="15">
        <v>232</v>
      </c>
      <c r="C242" s="38"/>
      <c r="D242" s="15" t="s">
        <v>295</v>
      </c>
      <c r="E242" s="18" t="s">
        <v>57</v>
      </c>
      <c r="F242" s="29"/>
      <c r="G242" s="18">
        <f>IF(Table131925515666[[#This Row],[dec val]]="",0,1)</f>
        <v>0</v>
      </c>
      <c r="I242" s="27">
        <v>1</v>
      </c>
      <c r="J242" s="27">
        <v>50000</v>
      </c>
      <c r="L242" s="27"/>
      <c r="M242" s="27">
        <v>50000</v>
      </c>
      <c r="O242" s="48" t="s">
        <v>75</v>
      </c>
      <c r="P242" s="48">
        <f>HEX2DEC(RIGHT(Table13232127535868[[#This Row],[h1]],8))</f>
        <v>0</v>
      </c>
      <c r="Q242" s="48" t="s">
        <v>75</v>
      </c>
      <c r="R242" s="48">
        <f>HEX2DEC(RIGHT(Table13232127535868[[#This Row],[h2]],8))</f>
        <v>0</v>
      </c>
    </row>
    <row r="243" spans="1:18">
      <c r="A243" s="15" t="str">
        <f t="shared" si="8"/>
        <v>0E9</v>
      </c>
      <c r="B243" s="15">
        <v>233</v>
      </c>
      <c r="C243" s="38"/>
      <c r="D243" s="15" t="s">
        <v>296</v>
      </c>
      <c r="E243" s="18" t="s">
        <v>58</v>
      </c>
      <c r="F243" s="29"/>
      <c r="G243" s="18">
        <f>IF(Table131925515666[[#This Row],[dec val]]="",0,1)</f>
        <v>0</v>
      </c>
      <c r="I243" s="27">
        <v>3</v>
      </c>
      <c r="J243" s="27">
        <v>50000</v>
      </c>
      <c r="L243" s="27"/>
      <c r="M243" s="27">
        <v>50000</v>
      </c>
      <c r="O243" s="48" t="s">
        <v>75</v>
      </c>
      <c r="P243" s="48">
        <f>HEX2DEC(RIGHT(Table13232127535868[[#This Row],[h1]],8))</f>
        <v>0</v>
      </c>
      <c r="Q243" s="48" t="s">
        <v>75</v>
      </c>
      <c r="R243" s="48">
        <f>HEX2DEC(RIGHT(Table13232127535868[[#This Row],[h2]],8))</f>
        <v>0</v>
      </c>
    </row>
    <row r="244" spans="1:18">
      <c r="A244" s="15" t="str">
        <f t="shared" si="8"/>
        <v>0EA</v>
      </c>
      <c r="B244" s="15">
        <v>234</v>
      </c>
      <c r="C244" s="38"/>
      <c r="D244" s="15" t="s">
        <v>297</v>
      </c>
      <c r="E244" s="18" t="s">
        <v>59</v>
      </c>
      <c r="F244" s="29"/>
      <c r="G244" s="18">
        <f>IF(Table131925515666[[#This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8" t="s">
        <v>75</v>
      </c>
      <c r="P244" s="48">
        <f>HEX2DEC(RIGHT(Table13232127535868[[#This Row],[h1]],8))</f>
        <v>0</v>
      </c>
      <c r="Q244" s="48" t="s">
        <v>75</v>
      </c>
      <c r="R244" s="48">
        <f>HEX2DEC(RIGHT(Table13232127535868[[#This Row],[h2]],8))</f>
        <v>0</v>
      </c>
    </row>
    <row r="245" spans="1:18">
      <c r="A245" s="15" t="str">
        <f t="shared" si="8"/>
        <v>0EB</v>
      </c>
      <c r="B245" s="15">
        <v>235</v>
      </c>
      <c r="C245" s="38"/>
      <c r="D245" s="15" t="s">
        <v>298</v>
      </c>
      <c r="E245" s="18" t="s">
        <v>60</v>
      </c>
      <c r="F245" s="29"/>
      <c r="G245" s="18">
        <f>IF(Table131925515666[[#This Row],[dec val]]="",0,1)</f>
        <v>0</v>
      </c>
      <c r="I245" s="27">
        <v>2</v>
      </c>
      <c r="J245" s="27">
        <v>50000</v>
      </c>
      <c r="L245" s="27"/>
      <c r="M245" s="27">
        <v>50000</v>
      </c>
      <c r="O245" s="48" t="s">
        <v>75</v>
      </c>
      <c r="P245" s="48">
        <f>HEX2DEC(RIGHT(Table13232127535868[[#This Row],[h1]],8))</f>
        <v>0</v>
      </c>
      <c r="Q245" s="48" t="s">
        <v>75</v>
      </c>
      <c r="R245" s="48">
        <f>HEX2DEC(RIGHT(Table13232127535868[[#This Row],[h2]],8))</f>
        <v>0</v>
      </c>
    </row>
    <row r="246" spans="1:18">
      <c r="A246" s="15" t="str">
        <f t="shared" si="8"/>
        <v>0EC</v>
      </c>
      <c r="B246" s="15">
        <v>236</v>
      </c>
      <c r="C246" s="38"/>
      <c r="D246" s="15" t="s">
        <v>299</v>
      </c>
      <c r="E246" s="18" t="s">
        <v>61</v>
      </c>
      <c r="F246" s="29"/>
      <c r="G246" s="18">
        <f>IF(Table131925515666[[#This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8" t="s">
        <v>75</v>
      </c>
      <c r="P246" s="48">
        <f>HEX2DEC(RIGHT(Table13232127535868[[#This Row],[h1]],8))</f>
        <v>0</v>
      </c>
      <c r="Q246" s="48" t="s">
        <v>75</v>
      </c>
      <c r="R246" s="48">
        <f>HEX2DEC(RIGHT(Table13232127535868[[#This Row],[h2]],8))</f>
        <v>0</v>
      </c>
    </row>
    <row r="247" spans="1:18">
      <c r="A247" s="15" t="str">
        <f t="shared" si="8"/>
        <v>0ED</v>
      </c>
      <c r="B247" s="15">
        <v>237</v>
      </c>
      <c r="C247" s="38"/>
      <c r="D247" s="15" t="s">
        <v>300</v>
      </c>
      <c r="E247" s="18" t="s">
        <v>62</v>
      </c>
      <c r="F247" s="29"/>
      <c r="G247" s="18">
        <f>IF(Table131925515666[[#This Row],[dec val]]="",0,1)</f>
        <v>0</v>
      </c>
      <c r="I247" s="27">
        <v>3</v>
      </c>
      <c r="J247" s="27">
        <v>50000</v>
      </c>
      <c r="L247" s="27"/>
      <c r="M247" s="27">
        <v>50000</v>
      </c>
      <c r="O247" s="48" t="s">
        <v>75</v>
      </c>
      <c r="P247" s="48">
        <f>HEX2DEC(RIGHT(Table13232127535868[[#This Row],[h1]],8))</f>
        <v>0</v>
      </c>
      <c r="Q247" s="48" t="s">
        <v>75</v>
      </c>
      <c r="R247" s="48">
        <f>HEX2DEC(RIGHT(Table13232127535868[[#This Row],[h2]],8))</f>
        <v>0</v>
      </c>
    </row>
    <row r="248" spans="1:18">
      <c r="A248" s="15" t="str">
        <f t="shared" si="8"/>
        <v>0EE</v>
      </c>
      <c r="B248" s="15">
        <v>238</v>
      </c>
      <c r="C248" s="38"/>
      <c r="D248" s="15" t="s">
        <v>301</v>
      </c>
      <c r="E248" s="18" t="s">
        <v>63</v>
      </c>
      <c r="F248" s="29"/>
      <c r="G248" s="18">
        <f>IF(Table131925515666[[#This Row],[dec val]]="",0,1)</f>
        <v>0</v>
      </c>
      <c r="I248" s="27">
        <v>1</v>
      </c>
      <c r="J248" s="27">
        <v>50000</v>
      </c>
      <c r="L248" s="27"/>
      <c r="M248" s="27">
        <v>50000</v>
      </c>
      <c r="O248" s="48" t="s">
        <v>75</v>
      </c>
      <c r="P248" s="48">
        <f>HEX2DEC(RIGHT(Table13232127535868[[#This Row],[h1]],8))</f>
        <v>0</v>
      </c>
      <c r="Q248" s="48" t="s">
        <v>75</v>
      </c>
      <c r="R248" s="48">
        <f>HEX2DEC(RIGHT(Table13232127535868[[#This Row],[h2]],8))</f>
        <v>0</v>
      </c>
    </row>
    <row r="249" spans="1:18">
      <c r="A249" s="15" t="str">
        <f t="shared" si="8"/>
        <v>0EF</v>
      </c>
      <c r="B249" s="15">
        <v>239</v>
      </c>
      <c r="C249" s="38"/>
      <c r="D249" s="15" t="s">
        <v>340</v>
      </c>
      <c r="E249" s="18" t="s">
        <v>339</v>
      </c>
      <c r="F249" s="29"/>
      <c r="G249" s="18">
        <f>IF(Table131925515666[[#This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8" t="s">
        <v>75</v>
      </c>
      <c r="P249" s="48">
        <f>HEX2DEC(RIGHT(Table13232127535868[[#This Row],[h1]],8))</f>
        <v>0</v>
      </c>
      <c r="Q249" s="48" t="s">
        <v>75</v>
      </c>
      <c r="R249" s="48">
        <f>HEX2DEC(RIGHT(Table13232127535868[[#This Row],[h2]],8))</f>
        <v>0</v>
      </c>
    </row>
    <row r="250" spans="1:18">
      <c r="A250" s="15" t="str">
        <f t="shared" si="8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8" t="s">
        <v>75</v>
      </c>
      <c r="P250" s="48">
        <f>HEX2DEC(RIGHT(Table13232127535868[[#This Row],[h1]],8))</f>
        <v>0</v>
      </c>
      <c r="Q250" s="48" t="s">
        <v>75</v>
      </c>
      <c r="R250" s="48">
        <f>HEX2DEC(RIGHT(Table13232127535868[[#This Row],[h2]],8))</f>
        <v>0</v>
      </c>
    </row>
    <row r="251" spans="1:18">
      <c r="A251" s="15" t="str">
        <f t="shared" si="8"/>
        <v>0F1</v>
      </c>
      <c r="B251" s="15">
        <v>241</v>
      </c>
      <c r="C251" s="38"/>
      <c r="D251" s="15" t="s">
        <v>302</v>
      </c>
      <c r="E251" s="18" t="s">
        <v>53</v>
      </c>
      <c r="F251" s="29"/>
      <c r="G251" s="18">
        <f>IF(Table131925515666[[#This Row],[dec val]]="",0,1)</f>
        <v>0</v>
      </c>
      <c r="I251" s="57" t="s">
        <v>408</v>
      </c>
      <c r="J251" s="57">
        <v>50000</v>
      </c>
      <c r="L251" s="27"/>
      <c r="M251" s="27">
        <v>50000</v>
      </c>
      <c r="O251" s="48" t="s">
        <v>75</v>
      </c>
      <c r="P251" s="48">
        <f>HEX2DEC(RIGHT(Table13232127535868[[#This Row],[h1]],8))</f>
        <v>0</v>
      </c>
      <c r="Q251" s="48" t="s">
        <v>75</v>
      </c>
      <c r="R251" s="48">
        <f>HEX2DEC(RIGHT(Table13232127535868[[#This Row],[h2]],8))</f>
        <v>0</v>
      </c>
    </row>
    <row r="252" spans="1:18">
      <c r="A252" s="15" t="str">
        <f t="shared" si="8"/>
        <v>0F2</v>
      </c>
      <c r="B252" s="15">
        <v>242</v>
      </c>
      <c r="C252" s="38"/>
      <c r="D252" s="15" t="s">
        <v>303</v>
      </c>
      <c r="E252" s="18" t="s">
        <v>54</v>
      </c>
      <c r="F252" s="29"/>
      <c r="G252" s="18">
        <f>IF(Table131925515666[[#This Row],[dec val]]="",0,1)</f>
        <v>0</v>
      </c>
      <c r="I252" s="27"/>
      <c r="J252" s="27">
        <v>50000</v>
      </c>
      <c r="L252" s="27"/>
      <c r="M252" s="27">
        <v>50000</v>
      </c>
      <c r="O252" s="48" t="s">
        <v>75</v>
      </c>
      <c r="P252" s="48">
        <f>HEX2DEC(RIGHT(Table13232127535868[[#This Row],[h1]],8))</f>
        <v>0</v>
      </c>
      <c r="Q252" s="48" t="s">
        <v>75</v>
      </c>
      <c r="R252" s="48">
        <f>HEX2DEC(RIGHT(Table13232127535868[[#This Row],[h2]],8))</f>
        <v>0</v>
      </c>
    </row>
    <row r="253" spans="1:18">
      <c r="A253" s="15" t="str">
        <f t="shared" si="8"/>
        <v>0F3</v>
      </c>
      <c r="B253" s="15">
        <v>243</v>
      </c>
      <c r="C253" s="38"/>
      <c r="D253" s="15" t="s">
        <v>304</v>
      </c>
      <c r="E253" s="18" t="s">
        <v>55</v>
      </c>
      <c r="F253" s="29"/>
      <c r="G253" s="18">
        <f>IF(Table131925515666[[#This Row],[dec val]]="",0,1)</f>
        <v>0</v>
      </c>
      <c r="I253" s="27"/>
      <c r="J253" s="27">
        <v>50000</v>
      </c>
      <c r="L253" s="27"/>
      <c r="M253" s="27">
        <v>50000</v>
      </c>
      <c r="O253" s="48" t="s">
        <v>75</v>
      </c>
      <c r="P253" s="48">
        <f>HEX2DEC(RIGHT(Table13232127535868[[#This Row],[h1]],8))</f>
        <v>0</v>
      </c>
      <c r="Q253" s="48" t="s">
        <v>75</v>
      </c>
      <c r="R253" s="48">
        <f>HEX2DEC(RIGHT(Table13232127535868[[#This Row],[h2]],8))</f>
        <v>0</v>
      </c>
    </row>
    <row r="254" spans="1:18">
      <c r="A254" s="15" t="str">
        <f t="shared" si="8"/>
        <v>0F4</v>
      </c>
      <c r="B254" s="15">
        <v>244</v>
      </c>
      <c r="C254" s="38"/>
      <c r="D254" s="15" t="s">
        <v>305</v>
      </c>
      <c r="E254" s="18" t="s">
        <v>56</v>
      </c>
      <c r="F254" s="29"/>
      <c r="G254" s="18">
        <f>IF(Table131925515666[[#This Row],[dec val]]="",0,1)</f>
        <v>0</v>
      </c>
      <c r="I254" s="27"/>
      <c r="J254" s="27">
        <v>50000</v>
      </c>
      <c r="L254" s="27"/>
      <c r="M254" s="27">
        <v>50000</v>
      </c>
      <c r="O254" s="48" t="s">
        <v>75</v>
      </c>
      <c r="P254" s="48">
        <f>HEX2DEC(RIGHT(Table13232127535868[[#This Row],[h1]],8))</f>
        <v>0</v>
      </c>
      <c r="Q254" s="48" t="s">
        <v>75</v>
      </c>
      <c r="R254" s="48">
        <f>HEX2DEC(RIGHT(Table13232127535868[[#This Row],[h2]],8))</f>
        <v>0</v>
      </c>
    </row>
    <row r="255" spans="1:18">
      <c r="A255" s="15" t="str">
        <f t="shared" si="8"/>
        <v>0F5</v>
      </c>
      <c r="B255" s="15">
        <v>245</v>
      </c>
      <c r="C255" s="38"/>
      <c r="D255" s="15" t="s">
        <v>306</v>
      </c>
      <c r="E255" s="18" t="s">
        <v>57</v>
      </c>
      <c r="F255" s="29"/>
      <c r="G255" s="18">
        <f>IF(Table131925515666[[#This Row],[dec val]]="",0,1)</f>
        <v>0</v>
      </c>
      <c r="I255" s="27"/>
      <c r="J255" s="27">
        <v>50000</v>
      </c>
      <c r="L255" s="27"/>
      <c r="M255" s="27">
        <v>50000</v>
      </c>
      <c r="O255" s="48" t="s">
        <v>75</v>
      </c>
      <c r="P255" s="48">
        <f>HEX2DEC(RIGHT(Table13232127535868[[#This Row],[h1]],8))</f>
        <v>0</v>
      </c>
      <c r="Q255" s="48" t="s">
        <v>75</v>
      </c>
      <c r="R255" s="48">
        <f>HEX2DEC(RIGHT(Table13232127535868[[#This Row],[h2]],8))</f>
        <v>0</v>
      </c>
    </row>
    <row r="256" spans="1:18">
      <c r="A256" s="15" t="str">
        <f t="shared" si="8"/>
        <v>0F6</v>
      </c>
      <c r="B256" s="15">
        <v>246</v>
      </c>
      <c r="C256" s="38"/>
      <c r="D256" s="15" t="s">
        <v>307</v>
      </c>
      <c r="E256" s="18" t="s">
        <v>58</v>
      </c>
      <c r="F256" s="29"/>
      <c r="G256" s="18">
        <f>IF(Table131925515666[[#This Row],[dec val]]="",0,1)</f>
        <v>0</v>
      </c>
      <c r="I256" s="27"/>
      <c r="J256" s="27">
        <v>50000</v>
      </c>
      <c r="L256" s="27"/>
      <c r="M256" s="27">
        <v>50000</v>
      </c>
      <c r="O256" s="48" t="s">
        <v>75</v>
      </c>
      <c r="P256" s="48">
        <f>HEX2DEC(RIGHT(Table13232127535868[[#This Row],[h1]],8))</f>
        <v>0</v>
      </c>
      <c r="Q256" s="48" t="s">
        <v>75</v>
      </c>
      <c r="R256" s="48">
        <f>HEX2DEC(RIGHT(Table13232127535868[[#This Row],[h2]],8))</f>
        <v>0</v>
      </c>
    </row>
    <row r="257" spans="1:18">
      <c r="A257" s="15" t="str">
        <f t="shared" si="8"/>
        <v>0F7</v>
      </c>
      <c r="B257" s="15">
        <v>247</v>
      </c>
      <c r="C257" s="38"/>
      <c r="D257" s="15" t="s">
        <v>308</v>
      </c>
      <c r="E257" s="18" t="s">
        <v>59</v>
      </c>
      <c r="F257" s="29"/>
      <c r="G257" s="18">
        <f>IF(Table131925515666[[#This Row],[dec val]]="",0,1)</f>
        <v>0</v>
      </c>
      <c r="I257" s="27"/>
      <c r="J257" s="27">
        <v>50000</v>
      </c>
      <c r="L257" s="27"/>
      <c r="M257" s="27">
        <v>50000</v>
      </c>
      <c r="O257" s="48" t="s">
        <v>75</v>
      </c>
      <c r="P257" s="48">
        <f>HEX2DEC(RIGHT(Table13232127535868[[#This Row],[h1]],8))</f>
        <v>0</v>
      </c>
      <c r="Q257" s="48" t="s">
        <v>75</v>
      </c>
      <c r="R257" s="48">
        <f>HEX2DEC(RIGHT(Table13232127535868[[#This Row],[h2]],8))</f>
        <v>0</v>
      </c>
    </row>
    <row r="258" spans="1:18">
      <c r="A258" s="15" t="str">
        <f t="shared" si="8"/>
        <v>0F8</v>
      </c>
      <c r="B258" s="15">
        <v>248</v>
      </c>
      <c r="C258" s="38"/>
      <c r="D258" s="15" t="s">
        <v>309</v>
      </c>
      <c r="E258" s="18" t="s">
        <v>60</v>
      </c>
      <c r="F258" s="29"/>
      <c r="G258" s="18">
        <f>IF(Table131925515666[[#This Row],[dec val]]="",0,1)</f>
        <v>0</v>
      </c>
      <c r="I258" s="27"/>
      <c r="J258" s="27">
        <v>50000</v>
      </c>
      <c r="L258" s="27"/>
      <c r="M258" s="27">
        <v>50000</v>
      </c>
      <c r="O258" s="48" t="s">
        <v>75</v>
      </c>
      <c r="P258" s="48">
        <f>HEX2DEC(RIGHT(Table13232127535868[[#This Row],[h1]],8))</f>
        <v>0</v>
      </c>
      <c r="Q258" s="48" t="s">
        <v>75</v>
      </c>
      <c r="R258" s="48">
        <f>HEX2DEC(RIGHT(Table13232127535868[[#This Row],[h2]],8))</f>
        <v>0</v>
      </c>
    </row>
    <row r="259" spans="1:18">
      <c r="A259" s="15" t="str">
        <f t="shared" si="8"/>
        <v>0F9</v>
      </c>
      <c r="B259" s="15">
        <v>249</v>
      </c>
      <c r="C259" s="38"/>
      <c r="D259" s="15" t="s">
        <v>310</v>
      </c>
      <c r="E259" s="18" t="s">
        <v>61</v>
      </c>
      <c r="F259" s="29"/>
      <c r="G259" s="18">
        <f>IF(Table131925515666[[#This Row],[dec val]]="",0,1)</f>
        <v>0</v>
      </c>
      <c r="I259" s="27"/>
      <c r="J259" s="27">
        <v>50000</v>
      </c>
      <c r="L259" s="27"/>
      <c r="M259" s="27">
        <v>50000</v>
      </c>
      <c r="O259" s="48" t="s">
        <v>75</v>
      </c>
      <c r="P259" s="48">
        <f>HEX2DEC(RIGHT(Table13232127535868[[#This Row],[h1]],8))</f>
        <v>0</v>
      </c>
      <c r="Q259" s="48" t="s">
        <v>75</v>
      </c>
      <c r="R259" s="48">
        <f>HEX2DEC(RIGHT(Table13232127535868[[#This Row],[h2]],8))</f>
        <v>0</v>
      </c>
    </row>
    <row r="260" spans="1:18">
      <c r="A260" s="15" t="str">
        <f t="shared" si="8"/>
        <v>0FA</v>
      </c>
      <c r="B260" s="15">
        <v>250</v>
      </c>
      <c r="C260" s="38"/>
      <c r="D260" s="15" t="s">
        <v>311</v>
      </c>
      <c r="E260" s="18" t="s">
        <v>62</v>
      </c>
      <c r="F260" s="29"/>
      <c r="G260" s="18">
        <f>IF(Table131925515666[[#This Row],[dec val]]="",0,1)</f>
        <v>0</v>
      </c>
      <c r="I260" s="27"/>
      <c r="J260" s="27">
        <v>50000</v>
      </c>
      <c r="L260" s="27"/>
      <c r="M260" s="27">
        <v>50000</v>
      </c>
      <c r="O260" s="48" t="s">
        <v>75</v>
      </c>
      <c r="P260" s="48">
        <f>HEX2DEC(RIGHT(Table13232127535868[[#This Row],[h1]],8))</f>
        <v>0</v>
      </c>
      <c r="Q260" s="48" t="s">
        <v>75</v>
      </c>
      <c r="R260" s="48">
        <f>HEX2DEC(RIGHT(Table13232127535868[[#This Row],[h2]],8))</f>
        <v>0</v>
      </c>
    </row>
    <row r="261" spans="1:18">
      <c r="A261" s="15" t="str">
        <f t="shared" si="8"/>
        <v>0FB</v>
      </c>
      <c r="B261" s="15">
        <v>251</v>
      </c>
      <c r="C261" s="38"/>
      <c r="D261" s="15" t="s">
        <v>312</v>
      </c>
      <c r="E261" s="18" t="s">
        <v>63</v>
      </c>
      <c r="F261" s="29"/>
      <c r="G261" s="18">
        <f>IF(Table131925515666[[#This Row],[dec val]]="",0,1)</f>
        <v>0</v>
      </c>
      <c r="I261" s="27"/>
      <c r="J261" s="27">
        <v>50000</v>
      </c>
      <c r="L261" s="27"/>
      <c r="M261" s="27">
        <v>50000</v>
      </c>
      <c r="O261" s="48" t="s">
        <v>75</v>
      </c>
      <c r="P261" s="48">
        <f>HEX2DEC(RIGHT(Table13232127535868[[#This Row],[h1]],8))</f>
        <v>0</v>
      </c>
      <c r="Q261" s="48" t="s">
        <v>75</v>
      </c>
      <c r="R261" s="48">
        <f>HEX2DEC(RIGHT(Table13232127535868[[#This Row],[h2]],8))</f>
        <v>0</v>
      </c>
    </row>
    <row r="262" spans="1:18">
      <c r="A262" s="15" t="str">
        <f t="shared" si="8"/>
        <v>0FC</v>
      </c>
      <c r="B262" s="15">
        <v>252</v>
      </c>
      <c r="C262" s="38"/>
      <c r="D262" s="15" t="s">
        <v>342</v>
      </c>
      <c r="E262" s="18" t="s">
        <v>339</v>
      </c>
      <c r="F262" s="29"/>
      <c r="G262" s="18">
        <f>IF(Table131925515666[[#This Row],[dec val]]="",0,1)</f>
        <v>0</v>
      </c>
      <c r="I262" s="27"/>
      <c r="J262" s="27">
        <v>50000</v>
      </c>
      <c r="L262" s="27"/>
      <c r="M262" s="27">
        <v>50000</v>
      </c>
      <c r="O262" s="48" t="s">
        <v>75</v>
      </c>
      <c r="P262" s="48">
        <f>HEX2DEC(RIGHT(Table13232127535868[[#This Row],[h1]],8))</f>
        <v>0</v>
      </c>
      <c r="Q262" s="48" t="s">
        <v>75</v>
      </c>
      <c r="R262" s="48">
        <f>HEX2DEC(RIGHT(Table13232127535868[[#This Row],[h2]],8))</f>
        <v>0</v>
      </c>
    </row>
    <row r="263" spans="1:18">
      <c r="A263" s="15" t="str">
        <f t="shared" si="8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8" t="s">
        <v>75</v>
      </c>
      <c r="P263" s="48">
        <f>HEX2DEC(RIGHT(Table13232127535868[[#This Row],[h1]],8))</f>
        <v>0</v>
      </c>
      <c r="Q263" s="48" t="s">
        <v>75</v>
      </c>
      <c r="R263" s="48">
        <f>HEX2DEC(RIGHT(Table13232127535868[[#This Row],[h2]],8))</f>
        <v>0</v>
      </c>
    </row>
    <row r="264" spans="1:18">
      <c r="A264" s="15" t="str">
        <f t="shared" si="8"/>
        <v>0FE</v>
      </c>
      <c r="B264" s="15">
        <v>254</v>
      </c>
      <c r="C264" s="38"/>
      <c r="D264" s="15" t="s">
        <v>313</v>
      </c>
      <c r="E264" s="18" t="s">
        <v>53</v>
      </c>
      <c r="F264" s="29"/>
      <c r="G264" s="18">
        <f>IF(Table131925515666[[#This Row],[dec val]]="",0,1)</f>
        <v>0</v>
      </c>
      <c r="I264" s="27"/>
      <c r="J264" s="27">
        <v>50000</v>
      </c>
      <c r="L264" s="27"/>
      <c r="M264" s="27">
        <v>50000</v>
      </c>
      <c r="O264" s="48" t="s">
        <v>75</v>
      </c>
      <c r="P264" s="48">
        <f>HEX2DEC(RIGHT(Table13232127535868[[#This Row],[h1]],8))</f>
        <v>0</v>
      </c>
      <c r="Q264" s="48" t="s">
        <v>75</v>
      </c>
      <c r="R264" s="48">
        <f>HEX2DEC(RIGHT(Table13232127535868[[#This Row],[h2]],8))</f>
        <v>0</v>
      </c>
    </row>
    <row r="265" spans="1:18">
      <c r="A265" s="15" t="str">
        <f t="shared" si="8"/>
        <v>0FF</v>
      </c>
      <c r="B265" s="15">
        <v>255</v>
      </c>
      <c r="C265" s="38"/>
      <c r="D265" s="15" t="s">
        <v>314</v>
      </c>
      <c r="E265" s="18" t="s">
        <v>54</v>
      </c>
      <c r="F265" s="29"/>
      <c r="G265" s="18">
        <f>IF(Table131925515666[[#This Row],[dec val]]="",0,1)</f>
        <v>0</v>
      </c>
      <c r="I265" s="27"/>
      <c r="J265" s="27">
        <v>50000</v>
      </c>
      <c r="L265" s="27"/>
      <c r="M265" s="27">
        <v>50000</v>
      </c>
      <c r="O265" s="48" t="s">
        <v>75</v>
      </c>
      <c r="P265" s="48">
        <f>HEX2DEC(RIGHT(Table13232127535868[[#This Row],[h1]],8))</f>
        <v>0</v>
      </c>
      <c r="Q265" s="48" t="s">
        <v>75</v>
      </c>
      <c r="R265" s="48">
        <f>HEX2DEC(RIGHT(Table13232127535868[[#This Row],[h2]],8))</f>
        <v>0</v>
      </c>
    </row>
    <row r="266" spans="1:18">
      <c r="A266" s="15" t="str">
        <f t="shared" si="8"/>
        <v>100</v>
      </c>
      <c r="B266" s="15">
        <v>256</v>
      </c>
      <c r="C266" s="38"/>
      <c r="D266" s="15" t="s">
        <v>315</v>
      </c>
      <c r="E266" s="18" t="s">
        <v>55</v>
      </c>
      <c r="F266" s="29"/>
      <c r="G266" s="18">
        <f>IF(Table131925515666[[#This Row],[dec val]]="",0,1)</f>
        <v>0</v>
      </c>
      <c r="I266" s="27"/>
      <c r="J266" s="27">
        <v>50000</v>
      </c>
      <c r="L266" s="27"/>
      <c r="M266" s="27">
        <v>50000</v>
      </c>
      <c r="O266" s="48" t="s">
        <v>75</v>
      </c>
      <c r="P266" s="48">
        <f>HEX2DEC(RIGHT(Table13232127535868[[#This Row],[h1]],8))</f>
        <v>0</v>
      </c>
      <c r="Q266" s="48" t="s">
        <v>75</v>
      </c>
      <c r="R266" s="48">
        <f>HEX2DEC(RIGHT(Table13232127535868[[#This Row],[h2]],8))</f>
        <v>0</v>
      </c>
    </row>
    <row r="267" spans="1:18">
      <c r="A267" s="15" t="str">
        <f t="shared" ref="A267:A330" si="9">DEC2HEX(B267,3)</f>
        <v>101</v>
      </c>
      <c r="B267" s="15">
        <v>257</v>
      </c>
      <c r="C267" s="38"/>
      <c r="D267" s="15" t="s">
        <v>316</v>
      </c>
      <c r="E267" s="18" t="s">
        <v>56</v>
      </c>
      <c r="F267" s="29"/>
      <c r="G267" s="18">
        <f>IF(Table131925515666[[#This Row],[dec val]]="",0,1)</f>
        <v>0</v>
      </c>
      <c r="I267" s="27"/>
      <c r="J267" s="27">
        <v>50000</v>
      </c>
      <c r="L267" s="27"/>
      <c r="M267" s="27">
        <v>50000</v>
      </c>
      <c r="O267" s="48" t="s">
        <v>75</v>
      </c>
      <c r="P267" s="48">
        <f>HEX2DEC(RIGHT(Table13232127535868[[#This Row],[h1]],8))</f>
        <v>0</v>
      </c>
      <c r="Q267" s="48" t="s">
        <v>75</v>
      </c>
      <c r="R267" s="48">
        <f>HEX2DEC(RIGHT(Table13232127535868[[#This Row],[h2]],8))</f>
        <v>0</v>
      </c>
    </row>
    <row r="268" spans="1:18">
      <c r="A268" s="15" t="str">
        <f t="shared" si="9"/>
        <v>102</v>
      </c>
      <c r="B268" s="15">
        <v>258</v>
      </c>
      <c r="C268" s="38"/>
      <c r="D268" s="15" t="s">
        <v>317</v>
      </c>
      <c r="E268" s="18" t="s">
        <v>57</v>
      </c>
      <c r="F268" s="29"/>
      <c r="G268" s="18">
        <f>IF(Table131925515666[[#This Row],[dec val]]="",0,1)</f>
        <v>0</v>
      </c>
      <c r="I268" s="27"/>
      <c r="J268" s="27">
        <v>50000</v>
      </c>
      <c r="L268" s="27"/>
      <c r="M268" s="27">
        <v>50000</v>
      </c>
      <c r="O268" s="48" t="s">
        <v>75</v>
      </c>
      <c r="P268" s="48">
        <f>HEX2DEC(RIGHT(Table13232127535868[[#This Row],[h1]],8))</f>
        <v>0</v>
      </c>
      <c r="Q268" s="48" t="s">
        <v>75</v>
      </c>
      <c r="R268" s="48">
        <f>HEX2DEC(RIGHT(Table13232127535868[[#This Row],[h2]],8))</f>
        <v>0</v>
      </c>
    </row>
    <row r="269" spans="1:18">
      <c r="A269" s="15" t="str">
        <f t="shared" si="9"/>
        <v>103</v>
      </c>
      <c r="B269" s="15">
        <v>259</v>
      </c>
      <c r="C269" s="38"/>
      <c r="D269" s="15" t="s">
        <v>318</v>
      </c>
      <c r="E269" s="18" t="s">
        <v>58</v>
      </c>
      <c r="F269" s="29"/>
      <c r="G269" s="18">
        <f>IF(Table131925515666[[#This Row],[dec val]]="",0,1)</f>
        <v>0</v>
      </c>
      <c r="I269" s="27"/>
      <c r="J269" s="27">
        <v>50000</v>
      </c>
      <c r="L269" s="27"/>
      <c r="M269" s="27">
        <v>50000</v>
      </c>
      <c r="O269" s="48" t="s">
        <v>75</v>
      </c>
      <c r="P269" s="48">
        <f>HEX2DEC(RIGHT(Table13232127535868[[#This Row],[h1]],8))</f>
        <v>0</v>
      </c>
      <c r="Q269" s="48" t="s">
        <v>75</v>
      </c>
      <c r="R269" s="48">
        <f>HEX2DEC(RIGHT(Table13232127535868[[#This Row],[h2]],8))</f>
        <v>0</v>
      </c>
    </row>
    <row r="270" spans="1:18">
      <c r="A270" s="15" t="str">
        <f t="shared" si="9"/>
        <v>104</v>
      </c>
      <c r="B270" s="15">
        <v>260</v>
      </c>
      <c r="C270" s="38"/>
      <c r="D270" s="15" t="s">
        <v>319</v>
      </c>
      <c r="E270" s="18" t="s">
        <v>59</v>
      </c>
      <c r="F270" s="29"/>
      <c r="G270" s="18">
        <f>IF(Table131925515666[[#This Row],[dec val]]="",0,1)</f>
        <v>0</v>
      </c>
      <c r="I270" s="27"/>
      <c r="J270" s="27">
        <v>50000</v>
      </c>
      <c r="L270" s="27"/>
      <c r="M270" s="27">
        <v>50000</v>
      </c>
      <c r="O270" s="48" t="s">
        <v>75</v>
      </c>
      <c r="P270" s="48">
        <f>HEX2DEC(RIGHT(Table13232127535868[[#This Row],[h1]],8))</f>
        <v>0</v>
      </c>
      <c r="Q270" s="48" t="s">
        <v>75</v>
      </c>
      <c r="R270" s="48">
        <f>HEX2DEC(RIGHT(Table13232127535868[[#This Row],[h2]],8))</f>
        <v>0</v>
      </c>
    </row>
    <row r="271" spans="1:18">
      <c r="A271" s="15" t="str">
        <f t="shared" si="9"/>
        <v>105</v>
      </c>
      <c r="B271" s="15">
        <v>261</v>
      </c>
      <c r="C271" s="38"/>
      <c r="D271" s="15" t="s">
        <v>320</v>
      </c>
      <c r="E271" s="18" t="s">
        <v>60</v>
      </c>
      <c r="F271" s="29"/>
      <c r="G271" s="18">
        <f>IF(Table131925515666[[#This Row],[dec val]]="",0,1)</f>
        <v>0</v>
      </c>
      <c r="I271" s="27"/>
      <c r="J271" s="27">
        <v>50000</v>
      </c>
      <c r="L271" s="27"/>
      <c r="M271" s="27">
        <v>50000</v>
      </c>
      <c r="O271" s="48" t="s">
        <v>75</v>
      </c>
      <c r="P271" s="48">
        <f>HEX2DEC(RIGHT(Table13232127535868[[#This Row],[h1]],8))</f>
        <v>0</v>
      </c>
      <c r="Q271" s="48" t="s">
        <v>75</v>
      </c>
      <c r="R271" s="48">
        <f>HEX2DEC(RIGHT(Table13232127535868[[#This Row],[h2]],8))</f>
        <v>0</v>
      </c>
    </row>
    <row r="272" spans="1:18">
      <c r="A272" s="15" t="str">
        <f t="shared" si="9"/>
        <v>106</v>
      </c>
      <c r="B272" s="15">
        <v>262</v>
      </c>
      <c r="C272" s="38"/>
      <c r="D272" s="15" t="s">
        <v>321</v>
      </c>
      <c r="E272" s="18" t="s">
        <v>62</v>
      </c>
      <c r="F272" s="29"/>
      <c r="G272" s="18">
        <f>IF(Table131925515666[[#This Row],[dec val]]="",0,1)</f>
        <v>0</v>
      </c>
      <c r="I272" s="27"/>
      <c r="J272" s="27">
        <v>50000</v>
      </c>
      <c r="L272" s="27"/>
      <c r="M272" s="27">
        <v>50000</v>
      </c>
      <c r="O272" s="48" t="s">
        <v>75</v>
      </c>
      <c r="P272" s="48">
        <f>HEX2DEC(RIGHT(Table13232127535868[[#This Row],[h1]],8))</f>
        <v>0</v>
      </c>
      <c r="Q272" s="48" t="s">
        <v>75</v>
      </c>
      <c r="R272" s="48">
        <f>HEX2DEC(RIGHT(Table13232127535868[[#This Row],[h2]],8))</f>
        <v>0</v>
      </c>
    </row>
    <row r="273" spans="1:18">
      <c r="A273" s="15" t="str">
        <f t="shared" si="9"/>
        <v>107</v>
      </c>
      <c r="B273" s="15">
        <v>263</v>
      </c>
      <c r="C273" s="38"/>
      <c r="D273" s="15" t="s">
        <v>322</v>
      </c>
      <c r="E273" s="18" t="s">
        <v>63</v>
      </c>
      <c r="F273" s="29"/>
      <c r="G273" s="18">
        <f>IF(Table131925515666[[#This Row],[dec val]]="",0,1)</f>
        <v>0</v>
      </c>
      <c r="I273" s="27"/>
      <c r="J273" s="27">
        <v>50000</v>
      </c>
      <c r="L273" s="27"/>
      <c r="M273" s="27">
        <v>50000</v>
      </c>
      <c r="O273" s="48" t="s">
        <v>75</v>
      </c>
      <c r="P273" s="48">
        <f>HEX2DEC(RIGHT(Table13232127535868[[#This Row],[h1]],8))</f>
        <v>0</v>
      </c>
      <c r="Q273" s="48" t="s">
        <v>75</v>
      </c>
      <c r="R273" s="48">
        <f>HEX2DEC(RIGHT(Table13232127535868[[#This Row],[h2]],8))</f>
        <v>0</v>
      </c>
    </row>
    <row r="274" spans="1:18">
      <c r="A274" s="15" t="str">
        <f t="shared" si="9"/>
        <v>108</v>
      </c>
      <c r="B274" s="15">
        <v>264</v>
      </c>
      <c r="C274" s="38"/>
      <c r="D274" s="15" t="s">
        <v>343</v>
      </c>
      <c r="E274" s="18" t="s">
        <v>339</v>
      </c>
      <c r="F274" s="29"/>
      <c r="G274" s="18">
        <f>IF(Table131925515666[[#This Row],[dec val]]="",0,1)</f>
        <v>0</v>
      </c>
      <c r="I274" s="27"/>
      <c r="J274" s="27">
        <v>50000</v>
      </c>
      <c r="L274" s="27"/>
      <c r="M274" s="27">
        <v>50000</v>
      </c>
      <c r="O274" s="48" t="s">
        <v>75</v>
      </c>
      <c r="P274" s="48">
        <f>HEX2DEC(RIGHT(Table13232127535868[[#This Row],[h1]],8))</f>
        <v>0</v>
      </c>
      <c r="Q274" s="48" t="s">
        <v>75</v>
      </c>
      <c r="R274" s="48">
        <f>HEX2DEC(RIGHT(Table13232127535868[[#This Row],[h2]],8))</f>
        <v>0</v>
      </c>
    </row>
    <row r="275" spans="1:18">
      <c r="A275" s="15" t="str">
        <f t="shared" si="9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8" t="s">
        <v>75</v>
      </c>
      <c r="P275" s="48">
        <f>HEX2DEC(RIGHT(Table13232127535868[[#This Row],[h1]],8))</f>
        <v>0</v>
      </c>
      <c r="Q275" s="48" t="s">
        <v>75</v>
      </c>
      <c r="R275" s="48">
        <f>HEX2DEC(RIGHT(Table13232127535868[[#This Row],[h2]],8))</f>
        <v>0</v>
      </c>
    </row>
    <row r="276" spans="1:18">
      <c r="A276" s="15" t="str">
        <f t="shared" si="9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8" t="s">
        <v>75</v>
      </c>
      <c r="P276" s="48">
        <f>HEX2DEC(RIGHT(Table13232127535868[[#This Row],[h1]],8))</f>
        <v>0</v>
      </c>
      <c r="Q276" s="48" t="s">
        <v>75</v>
      </c>
      <c r="R276" s="48">
        <f>HEX2DEC(RIGHT(Table13232127535868[[#This Row],[h2]],8))</f>
        <v>0</v>
      </c>
    </row>
    <row r="277" spans="1:18">
      <c r="A277" s="15" t="str">
        <f t="shared" si="9"/>
        <v>10B</v>
      </c>
      <c r="B277" s="15">
        <v>267</v>
      </c>
      <c r="C277" s="38"/>
      <c r="D277" s="15" t="s">
        <v>91</v>
      </c>
      <c r="G277" s="49" t="s">
        <v>428</v>
      </c>
      <c r="I277" s="27"/>
      <c r="J277" s="27">
        <v>50000</v>
      </c>
      <c r="L277" s="27"/>
      <c r="M277" s="27">
        <v>50000</v>
      </c>
      <c r="O277" s="48" t="s">
        <v>75</v>
      </c>
      <c r="P277" s="48">
        <f>HEX2DEC(RIGHT(Table13232127535868[[#This Row],[h1]],8))</f>
        <v>0</v>
      </c>
      <c r="Q277" s="48" t="s">
        <v>75</v>
      </c>
      <c r="R277" s="48">
        <f>HEX2DEC(RIGHT(Table13232127535868[[#This Row],[h2]],8))</f>
        <v>0</v>
      </c>
    </row>
    <row r="278" spans="1:18">
      <c r="A278" s="15" t="str">
        <f t="shared" si="9"/>
        <v>10C</v>
      </c>
      <c r="B278" s="15">
        <v>268</v>
      </c>
      <c r="C278" s="38"/>
      <c r="D278" s="15" t="s">
        <v>92</v>
      </c>
      <c r="G278" s="49" t="s">
        <v>428</v>
      </c>
      <c r="I278" s="27"/>
      <c r="J278" s="27">
        <v>50000</v>
      </c>
      <c r="L278" s="27"/>
      <c r="M278" s="27">
        <v>50000</v>
      </c>
      <c r="O278" s="48" t="s">
        <v>75</v>
      </c>
      <c r="P278" s="48">
        <f>HEX2DEC(RIGHT(Table13232127535868[[#This Row],[h1]],8))</f>
        <v>0</v>
      </c>
      <c r="Q278" s="48" t="s">
        <v>75</v>
      </c>
      <c r="R278" s="48">
        <f>HEX2DEC(RIGHT(Table13232127535868[[#This Row],[h2]],8))</f>
        <v>0</v>
      </c>
    </row>
    <row r="279" spans="1:18">
      <c r="A279" s="15" t="str">
        <f t="shared" si="9"/>
        <v>10D</v>
      </c>
      <c r="B279" s="15">
        <v>269</v>
      </c>
      <c r="C279" s="38"/>
      <c r="D279" s="15" t="s">
        <v>93</v>
      </c>
      <c r="G279" s="49" t="s">
        <v>428</v>
      </c>
      <c r="I279" s="27"/>
      <c r="J279" s="27">
        <v>50000</v>
      </c>
      <c r="L279" s="27"/>
      <c r="M279" s="27">
        <v>50000</v>
      </c>
      <c r="O279" s="48" t="s">
        <v>75</v>
      </c>
      <c r="P279" s="48">
        <f>HEX2DEC(RIGHT(Table13232127535868[[#This Row],[h1]],8))</f>
        <v>0</v>
      </c>
      <c r="Q279" s="48" t="s">
        <v>75</v>
      </c>
      <c r="R279" s="48">
        <f>HEX2DEC(RIGHT(Table13232127535868[[#This Row],[h2]],8))</f>
        <v>0</v>
      </c>
    </row>
    <row r="280" spans="1:18">
      <c r="A280" s="15" t="str">
        <f t="shared" si="9"/>
        <v>10E</v>
      </c>
      <c r="B280" s="15">
        <v>270</v>
      </c>
      <c r="C280" s="38"/>
      <c r="D280" s="15" t="s">
        <v>94</v>
      </c>
      <c r="G280" s="49" t="s">
        <v>428</v>
      </c>
      <c r="I280" s="27"/>
      <c r="J280" s="27">
        <v>50000</v>
      </c>
      <c r="L280" s="27"/>
      <c r="M280" s="27">
        <v>50000</v>
      </c>
      <c r="O280" s="48" t="s">
        <v>75</v>
      </c>
      <c r="P280" s="48">
        <f>HEX2DEC(RIGHT(Table13232127535868[[#This Row],[h1]],8))</f>
        <v>0</v>
      </c>
      <c r="Q280" s="48" t="s">
        <v>75</v>
      </c>
      <c r="R280" s="48">
        <f>HEX2DEC(RIGHT(Table13232127535868[[#This Row],[h2]],8))</f>
        <v>0</v>
      </c>
    </row>
    <row r="281" spans="1:18">
      <c r="A281" s="15" t="str">
        <f t="shared" si="9"/>
        <v>10F</v>
      </c>
      <c r="B281" s="15">
        <v>271</v>
      </c>
      <c r="C281" s="38"/>
      <c r="D281" s="15" t="s">
        <v>95</v>
      </c>
      <c r="G281" s="49" t="s">
        <v>428</v>
      </c>
      <c r="I281" s="27"/>
      <c r="J281" s="27">
        <v>50000</v>
      </c>
      <c r="L281" s="27"/>
      <c r="M281" s="27">
        <v>50000</v>
      </c>
      <c r="O281" s="48" t="s">
        <v>75</v>
      </c>
      <c r="P281" s="48">
        <f>HEX2DEC(RIGHT(Table13232127535868[[#This Row],[h1]],8))</f>
        <v>0</v>
      </c>
      <c r="Q281" s="48" t="s">
        <v>75</v>
      </c>
      <c r="R281" s="48">
        <f>HEX2DEC(RIGHT(Table13232127535868[[#This Row],[h2]],8))</f>
        <v>0</v>
      </c>
    </row>
    <row r="282" spans="1:18">
      <c r="A282" s="15" t="str">
        <f t="shared" si="9"/>
        <v>110</v>
      </c>
      <c r="B282" s="15">
        <v>272</v>
      </c>
      <c r="C282" s="38"/>
      <c r="D282" s="15" t="s">
        <v>96</v>
      </c>
      <c r="G282" s="49" t="s">
        <v>428</v>
      </c>
      <c r="I282" s="27"/>
      <c r="J282" s="27">
        <v>50000</v>
      </c>
      <c r="L282" s="27"/>
      <c r="M282" s="27">
        <v>50000</v>
      </c>
      <c r="O282" s="48" t="s">
        <v>75</v>
      </c>
      <c r="P282" s="48">
        <f>HEX2DEC(RIGHT(Table13232127535868[[#This Row],[h1]],8))</f>
        <v>0</v>
      </c>
      <c r="Q282" s="48" t="s">
        <v>75</v>
      </c>
      <c r="R282" s="48">
        <f>HEX2DEC(RIGHT(Table13232127535868[[#This Row],[h2]],8))</f>
        <v>0</v>
      </c>
    </row>
    <row r="283" spans="1:18">
      <c r="A283" s="15" t="str">
        <f t="shared" si="9"/>
        <v>111</v>
      </c>
      <c r="B283" s="15">
        <v>273</v>
      </c>
      <c r="C283" s="38"/>
      <c r="D283" s="15" t="s">
        <v>97</v>
      </c>
      <c r="G283" s="49" t="s">
        <v>428</v>
      </c>
      <c r="I283" s="27"/>
      <c r="J283" s="27">
        <v>50000</v>
      </c>
      <c r="L283" s="27"/>
      <c r="M283" s="27">
        <v>50000</v>
      </c>
      <c r="O283" s="48" t="s">
        <v>75</v>
      </c>
      <c r="P283" s="48">
        <f>HEX2DEC(RIGHT(Table13232127535868[[#This Row],[h1]],8))</f>
        <v>0</v>
      </c>
      <c r="Q283" s="48" t="s">
        <v>75</v>
      </c>
      <c r="R283" s="48">
        <f>HEX2DEC(RIGHT(Table13232127535868[[#This Row],[h2]],8))</f>
        <v>0</v>
      </c>
    </row>
    <row r="284" spans="1:18">
      <c r="A284" s="15" t="str">
        <f t="shared" si="9"/>
        <v>112</v>
      </c>
      <c r="B284" s="15">
        <v>274</v>
      </c>
      <c r="C284" s="38"/>
      <c r="D284" s="15" t="s">
        <v>98</v>
      </c>
      <c r="G284" s="49" t="s">
        <v>130</v>
      </c>
      <c r="I284" s="27"/>
      <c r="J284" s="27">
        <v>50000</v>
      </c>
      <c r="L284" s="27"/>
      <c r="M284" s="27">
        <v>50000</v>
      </c>
      <c r="O284" s="48" t="s">
        <v>75</v>
      </c>
      <c r="P284" s="48">
        <f>HEX2DEC(RIGHT(Table13232127535868[[#This Row],[h1]],8))</f>
        <v>0</v>
      </c>
      <c r="Q284" s="48" t="s">
        <v>75</v>
      </c>
      <c r="R284" s="48">
        <f>HEX2DEC(RIGHT(Table13232127535868[[#This Row],[h2]],8))</f>
        <v>0</v>
      </c>
    </row>
    <row r="285" spans="1:18">
      <c r="A285" s="15" t="str">
        <f t="shared" si="9"/>
        <v>113</v>
      </c>
      <c r="B285" s="15">
        <v>275</v>
      </c>
      <c r="C285" s="38"/>
      <c r="D285" s="15" t="s">
        <v>99</v>
      </c>
      <c r="G285" s="49" t="s">
        <v>130</v>
      </c>
      <c r="I285" s="27"/>
      <c r="J285" s="27">
        <v>50000</v>
      </c>
      <c r="L285" s="27"/>
      <c r="M285" s="27">
        <v>50000</v>
      </c>
      <c r="O285" s="48" t="s">
        <v>75</v>
      </c>
      <c r="P285" s="48">
        <f>HEX2DEC(RIGHT(Table13232127535868[[#This Row],[h1]],8))</f>
        <v>0</v>
      </c>
      <c r="Q285" s="48" t="s">
        <v>75</v>
      </c>
      <c r="R285" s="48">
        <f>HEX2DEC(RIGHT(Table13232127535868[[#This Row],[h2]],8))</f>
        <v>0</v>
      </c>
    </row>
    <row r="286" spans="1:18">
      <c r="A286" s="15" t="str">
        <f t="shared" si="9"/>
        <v>114</v>
      </c>
      <c r="B286" s="15">
        <v>276</v>
      </c>
      <c r="C286" s="38"/>
      <c r="D286" s="15" t="s">
        <v>100</v>
      </c>
      <c r="G286" s="49" t="s">
        <v>130</v>
      </c>
      <c r="I286" s="27"/>
      <c r="J286" s="27">
        <v>50000</v>
      </c>
      <c r="L286" s="27"/>
      <c r="M286" s="27">
        <v>50000</v>
      </c>
      <c r="O286" s="48" t="s">
        <v>75</v>
      </c>
      <c r="P286" s="48">
        <f>HEX2DEC(RIGHT(Table13232127535868[[#This Row],[h1]],8))</f>
        <v>0</v>
      </c>
      <c r="Q286" s="48" t="s">
        <v>75</v>
      </c>
      <c r="R286" s="48">
        <f>HEX2DEC(RIGHT(Table13232127535868[[#This Row],[h2]],8))</f>
        <v>0</v>
      </c>
    </row>
    <row r="287" spans="1:18">
      <c r="A287" s="15" t="str">
        <f t="shared" si="9"/>
        <v>115</v>
      </c>
      <c r="B287" s="15">
        <v>277</v>
      </c>
      <c r="C287" s="38"/>
      <c r="D287" s="15" t="s">
        <v>101</v>
      </c>
      <c r="G287" s="49" t="s">
        <v>130</v>
      </c>
      <c r="I287" s="27"/>
      <c r="J287" s="27">
        <v>50000</v>
      </c>
      <c r="L287" s="27"/>
      <c r="M287" s="27">
        <v>50000</v>
      </c>
      <c r="O287" s="48" t="s">
        <v>75</v>
      </c>
      <c r="P287" s="48">
        <f>HEX2DEC(RIGHT(Table13232127535868[[#This Row],[h1]],8))</f>
        <v>0</v>
      </c>
      <c r="Q287" s="48" t="s">
        <v>75</v>
      </c>
      <c r="R287" s="48">
        <f>HEX2DEC(RIGHT(Table13232127535868[[#This Row],[h2]],8))</f>
        <v>0</v>
      </c>
    </row>
    <row r="288" spans="1:18">
      <c r="A288" s="15" t="str">
        <f t="shared" si="9"/>
        <v>116</v>
      </c>
      <c r="B288" s="15">
        <v>278</v>
      </c>
      <c r="C288" s="38"/>
      <c r="D288" s="15" t="s">
        <v>102</v>
      </c>
      <c r="G288" s="49" t="s">
        <v>130</v>
      </c>
      <c r="I288" s="27"/>
      <c r="J288" s="27">
        <v>50000</v>
      </c>
      <c r="L288" s="27"/>
      <c r="M288" s="27">
        <v>50000</v>
      </c>
      <c r="O288" s="48" t="s">
        <v>75</v>
      </c>
      <c r="P288" s="48">
        <f>HEX2DEC(RIGHT(Table13232127535868[[#This Row],[h1]],8))</f>
        <v>0</v>
      </c>
      <c r="Q288" s="48" t="s">
        <v>75</v>
      </c>
      <c r="R288" s="48">
        <f>HEX2DEC(RIGHT(Table13232127535868[[#This Row],[h2]],8))</f>
        <v>0</v>
      </c>
    </row>
    <row r="289" spans="1:18">
      <c r="A289" s="15" t="str">
        <f t="shared" si="9"/>
        <v>117</v>
      </c>
      <c r="B289" s="15">
        <v>279</v>
      </c>
      <c r="C289" s="38"/>
      <c r="D289" s="15" t="s">
        <v>103</v>
      </c>
      <c r="G289" s="49" t="s">
        <v>130</v>
      </c>
      <c r="I289" s="27"/>
      <c r="J289" s="27">
        <v>50000</v>
      </c>
      <c r="L289" s="27"/>
      <c r="M289" s="27">
        <v>50000</v>
      </c>
      <c r="O289" s="48" t="s">
        <v>75</v>
      </c>
      <c r="P289" s="48">
        <f>HEX2DEC(RIGHT(Table13232127535868[[#This Row],[h1]],8))</f>
        <v>0</v>
      </c>
      <c r="Q289" s="48" t="s">
        <v>75</v>
      </c>
      <c r="R289" s="48">
        <f>HEX2DEC(RIGHT(Table13232127535868[[#This Row],[h2]],8))</f>
        <v>0</v>
      </c>
    </row>
    <row r="290" spans="1:18">
      <c r="A290" s="15" t="str">
        <f t="shared" si="9"/>
        <v>118</v>
      </c>
      <c r="B290" s="15">
        <v>280</v>
      </c>
      <c r="C290" s="38"/>
      <c r="D290" s="15" t="s">
        <v>104</v>
      </c>
      <c r="G290" s="49" t="s">
        <v>130</v>
      </c>
      <c r="I290" s="27"/>
      <c r="J290" s="27">
        <v>50000</v>
      </c>
      <c r="L290" s="27"/>
      <c r="M290" s="27">
        <v>50000</v>
      </c>
      <c r="O290" s="48" t="s">
        <v>75</v>
      </c>
      <c r="P290" s="48">
        <f>HEX2DEC(RIGHT(Table13232127535868[[#This Row],[h1]],8))</f>
        <v>0</v>
      </c>
      <c r="Q290" s="48" t="s">
        <v>75</v>
      </c>
      <c r="R290" s="48">
        <f>HEX2DEC(RIGHT(Table13232127535868[[#This Row],[h2]],8))</f>
        <v>0</v>
      </c>
    </row>
    <row r="291" spans="1:18">
      <c r="A291" s="15" t="str">
        <f t="shared" si="9"/>
        <v>119</v>
      </c>
      <c r="B291" s="15">
        <v>281</v>
      </c>
      <c r="C291" s="38"/>
      <c r="D291" s="15" t="s">
        <v>105</v>
      </c>
      <c r="G291" s="49" t="s">
        <v>130</v>
      </c>
      <c r="I291" s="27"/>
      <c r="J291" s="27">
        <v>50000</v>
      </c>
      <c r="L291" s="27"/>
      <c r="M291" s="27">
        <v>50000</v>
      </c>
      <c r="O291" s="48" t="s">
        <v>75</v>
      </c>
      <c r="P291" s="48">
        <f>HEX2DEC(RIGHT(Table13232127535868[[#This Row],[h1]],8))</f>
        <v>0</v>
      </c>
      <c r="Q291" s="48" t="s">
        <v>75</v>
      </c>
      <c r="R291" s="48">
        <f>HEX2DEC(RIGHT(Table13232127535868[[#This Row],[h2]],8))</f>
        <v>0</v>
      </c>
    </row>
    <row r="292" spans="1:18">
      <c r="A292" s="15" t="str">
        <f t="shared" si="9"/>
        <v>11A</v>
      </c>
      <c r="B292" s="15">
        <v>282</v>
      </c>
      <c r="C292" s="38"/>
      <c r="D292" s="15" t="s">
        <v>106</v>
      </c>
      <c r="G292" s="49" t="s">
        <v>130</v>
      </c>
      <c r="I292" s="27"/>
      <c r="J292" s="27">
        <v>50000</v>
      </c>
      <c r="L292" s="27"/>
      <c r="M292" s="27">
        <v>50000</v>
      </c>
      <c r="O292" s="48" t="s">
        <v>75</v>
      </c>
      <c r="P292" s="48">
        <f>HEX2DEC(RIGHT(Table13232127535868[[#This Row],[h1]],8))</f>
        <v>0</v>
      </c>
      <c r="Q292" s="48" t="s">
        <v>75</v>
      </c>
      <c r="R292" s="48">
        <f>HEX2DEC(RIGHT(Table13232127535868[[#This Row],[h2]],8))</f>
        <v>0</v>
      </c>
    </row>
    <row r="293" spans="1:18">
      <c r="A293" s="15" t="str">
        <f t="shared" si="9"/>
        <v>11B</v>
      </c>
      <c r="B293" s="15">
        <v>283</v>
      </c>
      <c r="C293" s="38"/>
      <c r="D293" s="15" t="s">
        <v>107</v>
      </c>
      <c r="G293" s="49" t="s">
        <v>130</v>
      </c>
      <c r="I293" s="27"/>
      <c r="J293" s="27">
        <v>50000</v>
      </c>
      <c r="L293" s="27"/>
      <c r="M293" s="27">
        <v>50000</v>
      </c>
      <c r="O293" s="48" t="s">
        <v>75</v>
      </c>
      <c r="P293" s="48">
        <f>HEX2DEC(RIGHT(Table13232127535868[[#This Row],[h1]],8))</f>
        <v>0</v>
      </c>
      <c r="Q293" s="48" t="s">
        <v>75</v>
      </c>
      <c r="R293" s="48">
        <f>HEX2DEC(RIGHT(Table13232127535868[[#This Row],[h2]],8))</f>
        <v>0</v>
      </c>
    </row>
    <row r="294" spans="1:18">
      <c r="A294" s="15" t="str">
        <f t="shared" si="9"/>
        <v>11C</v>
      </c>
      <c r="B294" s="15">
        <v>284</v>
      </c>
      <c r="C294" s="38"/>
      <c r="D294" s="15" t="s">
        <v>108</v>
      </c>
      <c r="G294" s="49" t="s">
        <v>130</v>
      </c>
      <c r="I294" s="27"/>
      <c r="J294" s="27">
        <v>50000</v>
      </c>
      <c r="L294" s="27"/>
      <c r="M294" s="27">
        <v>50000</v>
      </c>
      <c r="O294" s="48" t="s">
        <v>75</v>
      </c>
      <c r="P294" s="48">
        <f>HEX2DEC(RIGHT(Table13232127535868[[#This Row],[h1]],8))</f>
        <v>0</v>
      </c>
      <c r="Q294" s="48" t="s">
        <v>75</v>
      </c>
      <c r="R294" s="48">
        <f>HEX2DEC(RIGHT(Table13232127535868[[#This Row],[h2]],8))</f>
        <v>0</v>
      </c>
    </row>
    <row r="295" spans="1:18">
      <c r="A295" s="15" t="str">
        <f t="shared" si="9"/>
        <v>11D</v>
      </c>
      <c r="B295" s="15">
        <v>285</v>
      </c>
      <c r="C295" s="38"/>
      <c r="D295" s="15" t="s">
        <v>109</v>
      </c>
      <c r="G295" s="49" t="s">
        <v>130</v>
      </c>
      <c r="I295" s="27"/>
      <c r="J295" s="27">
        <v>50000</v>
      </c>
      <c r="L295" s="27"/>
      <c r="M295" s="27">
        <v>50000</v>
      </c>
      <c r="O295" s="48" t="s">
        <v>75</v>
      </c>
      <c r="P295" s="48">
        <f>HEX2DEC(RIGHT(Table13232127535868[[#This Row],[h1]],8))</f>
        <v>0</v>
      </c>
      <c r="Q295" s="48" t="s">
        <v>75</v>
      </c>
      <c r="R295" s="48">
        <f>HEX2DEC(RIGHT(Table13232127535868[[#This Row],[h2]],8))</f>
        <v>0</v>
      </c>
    </row>
    <row r="296" spans="1:18">
      <c r="A296" s="15" t="str">
        <f t="shared" si="9"/>
        <v>11E</v>
      </c>
      <c r="B296" s="15">
        <v>286</v>
      </c>
      <c r="C296" s="38"/>
      <c r="D296" s="15" t="s">
        <v>110</v>
      </c>
      <c r="G296" s="49" t="s">
        <v>130</v>
      </c>
      <c r="I296" s="27"/>
      <c r="J296" s="27">
        <v>50000</v>
      </c>
      <c r="L296" s="27"/>
      <c r="M296" s="27">
        <v>50000</v>
      </c>
      <c r="O296" s="48" t="s">
        <v>75</v>
      </c>
      <c r="P296" s="48">
        <f>HEX2DEC(RIGHT(Table13232127535868[[#This Row],[h1]],8))</f>
        <v>0</v>
      </c>
      <c r="Q296" s="48" t="s">
        <v>75</v>
      </c>
      <c r="R296" s="48">
        <f>HEX2DEC(RIGHT(Table13232127535868[[#This Row],[h2]],8))</f>
        <v>0</v>
      </c>
    </row>
    <row r="297" spans="1:18">
      <c r="A297" s="15" t="str">
        <f t="shared" si="9"/>
        <v>11F</v>
      </c>
      <c r="B297" s="15">
        <v>287</v>
      </c>
      <c r="C297" s="38"/>
      <c r="D297" s="15" t="s">
        <v>111</v>
      </c>
      <c r="G297" s="49" t="s">
        <v>130</v>
      </c>
      <c r="I297" s="27"/>
      <c r="J297" s="27">
        <v>50000</v>
      </c>
      <c r="L297" s="27"/>
      <c r="M297" s="27">
        <v>50000</v>
      </c>
      <c r="O297" s="48" t="s">
        <v>75</v>
      </c>
      <c r="P297" s="48">
        <f>HEX2DEC(RIGHT(Table13232127535868[[#This Row],[h1]],8))</f>
        <v>0</v>
      </c>
      <c r="Q297" s="48" t="s">
        <v>75</v>
      </c>
      <c r="R297" s="48">
        <f>HEX2DEC(RIGHT(Table13232127535868[[#This Row],[h2]],8))</f>
        <v>0</v>
      </c>
    </row>
    <row r="298" spans="1:18">
      <c r="A298" s="15" t="str">
        <f t="shared" si="9"/>
        <v>120</v>
      </c>
      <c r="B298" s="15">
        <v>288</v>
      </c>
      <c r="C298" s="38"/>
      <c r="D298" s="15" t="s">
        <v>112</v>
      </c>
      <c r="G298" s="49" t="s">
        <v>130</v>
      </c>
      <c r="I298" s="27"/>
      <c r="J298" s="27">
        <v>50000</v>
      </c>
      <c r="L298" s="27"/>
      <c r="M298" s="27">
        <v>50000</v>
      </c>
      <c r="O298" s="48" t="s">
        <v>75</v>
      </c>
      <c r="P298" s="48">
        <f>HEX2DEC(RIGHT(Table13232127535868[[#This Row],[h1]],8))</f>
        <v>0</v>
      </c>
      <c r="Q298" s="48" t="s">
        <v>75</v>
      </c>
      <c r="R298" s="48">
        <f>HEX2DEC(RIGHT(Table13232127535868[[#This Row],[h2]],8))</f>
        <v>0</v>
      </c>
    </row>
    <row r="299" spans="1:18">
      <c r="A299" s="15" t="str">
        <f t="shared" si="9"/>
        <v>121</v>
      </c>
      <c r="B299" s="15">
        <v>289</v>
      </c>
      <c r="C299" s="38"/>
      <c r="D299" s="15" t="s">
        <v>113</v>
      </c>
      <c r="G299" s="49" t="s">
        <v>130</v>
      </c>
      <c r="I299" s="27"/>
      <c r="J299" s="27">
        <v>50000</v>
      </c>
      <c r="L299" s="27"/>
      <c r="M299" s="27">
        <v>50000</v>
      </c>
      <c r="O299" s="48" t="s">
        <v>75</v>
      </c>
      <c r="P299" s="48">
        <f>HEX2DEC(RIGHT(Table13232127535868[[#This Row],[h1]],8))</f>
        <v>0</v>
      </c>
      <c r="Q299" s="48" t="s">
        <v>75</v>
      </c>
      <c r="R299" s="48">
        <f>HEX2DEC(RIGHT(Table13232127535868[[#This Row],[h2]],8))</f>
        <v>0</v>
      </c>
    </row>
    <row r="300" spans="1:18">
      <c r="A300" s="15" t="str">
        <f t="shared" si="9"/>
        <v>122</v>
      </c>
      <c r="B300" s="15">
        <v>290</v>
      </c>
      <c r="C300" s="38"/>
      <c r="D300" s="15" t="s">
        <v>114</v>
      </c>
      <c r="G300" s="49" t="s">
        <v>130</v>
      </c>
      <c r="I300" s="27"/>
      <c r="J300" s="27">
        <v>50000</v>
      </c>
      <c r="L300" s="27"/>
      <c r="M300" s="27">
        <v>50000</v>
      </c>
      <c r="O300" s="48" t="s">
        <v>75</v>
      </c>
      <c r="P300" s="48">
        <f>HEX2DEC(RIGHT(Table13232127535868[[#This Row],[h1]],8))</f>
        <v>0</v>
      </c>
      <c r="Q300" s="48" t="s">
        <v>75</v>
      </c>
      <c r="R300" s="48">
        <f>HEX2DEC(RIGHT(Table13232127535868[[#This Row],[h2]],8))</f>
        <v>0</v>
      </c>
    </row>
    <row r="301" spans="1:18">
      <c r="A301" s="15" t="str">
        <f t="shared" si="9"/>
        <v>123</v>
      </c>
      <c r="B301" s="15">
        <v>291</v>
      </c>
      <c r="C301" s="38"/>
      <c r="D301" s="15" t="s">
        <v>115</v>
      </c>
      <c r="G301" s="49" t="s">
        <v>130</v>
      </c>
      <c r="I301" s="27"/>
      <c r="J301" s="27">
        <v>50000</v>
      </c>
      <c r="L301" s="27"/>
      <c r="M301" s="27">
        <v>50000</v>
      </c>
      <c r="O301" s="48" t="s">
        <v>75</v>
      </c>
      <c r="P301" s="48">
        <f>HEX2DEC(RIGHT(Table13232127535868[[#This Row],[h1]],8))</f>
        <v>0</v>
      </c>
      <c r="Q301" s="48" t="s">
        <v>75</v>
      </c>
      <c r="R301" s="48">
        <f>HEX2DEC(RIGHT(Table13232127535868[[#This Row],[h2]],8))</f>
        <v>0</v>
      </c>
    </row>
    <row r="302" spans="1:18">
      <c r="A302" s="15" t="str">
        <f t="shared" si="9"/>
        <v>124</v>
      </c>
      <c r="B302" s="15">
        <v>292</v>
      </c>
      <c r="C302" s="38"/>
      <c r="D302" s="15" t="s">
        <v>116</v>
      </c>
      <c r="G302" s="49" t="s">
        <v>130</v>
      </c>
      <c r="I302" s="27"/>
      <c r="J302" s="27">
        <v>50000</v>
      </c>
      <c r="L302" s="27"/>
      <c r="M302" s="27">
        <v>50000</v>
      </c>
      <c r="O302" s="48" t="s">
        <v>75</v>
      </c>
      <c r="P302" s="48">
        <f>HEX2DEC(RIGHT(Table13232127535868[[#This Row],[h1]],8))</f>
        <v>0</v>
      </c>
      <c r="Q302" s="48" t="s">
        <v>75</v>
      </c>
      <c r="R302" s="48">
        <f>HEX2DEC(RIGHT(Table13232127535868[[#This Row],[h2]],8))</f>
        <v>0</v>
      </c>
    </row>
    <row r="303" spans="1:18">
      <c r="A303" s="15" t="str">
        <f t="shared" si="9"/>
        <v>125</v>
      </c>
      <c r="B303" s="15">
        <v>293</v>
      </c>
      <c r="C303" s="38"/>
      <c r="D303" s="15" t="s">
        <v>117</v>
      </c>
      <c r="G303" s="49" t="s">
        <v>130</v>
      </c>
      <c r="I303" s="27"/>
      <c r="J303" s="27">
        <v>50000</v>
      </c>
      <c r="L303" s="27"/>
      <c r="M303" s="27">
        <v>50000</v>
      </c>
      <c r="O303" s="48" t="s">
        <v>75</v>
      </c>
      <c r="P303" s="48">
        <f>HEX2DEC(RIGHT(Table13232127535868[[#This Row],[h1]],8))</f>
        <v>0</v>
      </c>
      <c r="Q303" s="48" t="s">
        <v>75</v>
      </c>
      <c r="R303" s="48">
        <f>HEX2DEC(RIGHT(Table13232127535868[[#This Row],[h2]],8))</f>
        <v>0</v>
      </c>
    </row>
    <row r="304" spans="1:18">
      <c r="A304" s="15" t="str">
        <f t="shared" si="9"/>
        <v>126</v>
      </c>
      <c r="B304" s="15">
        <v>294</v>
      </c>
      <c r="C304" s="38"/>
      <c r="D304" s="15" t="s">
        <v>118</v>
      </c>
      <c r="G304" s="49" t="s">
        <v>130</v>
      </c>
      <c r="I304" s="27"/>
      <c r="J304" s="27">
        <v>50000</v>
      </c>
      <c r="L304" s="27"/>
      <c r="M304" s="27">
        <v>50000</v>
      </c>
      <c r="O304" s="48" t="s">
        <v>75</v>
      </c>
      <c r="P304" s="48">
        <f>HEX2DEC(RIGHT(Table13232127535868[[#This Row],[h1]],8))</f>
        <v>0</v>
      </c>
      <c r="Q304" s="48" t="s">
        <v>75</v>
      </c>
      <c r="R304" s="48">
        <f>HEX2DEC(RIGHT(Table13232127535868[[#This Row],[h2]],8))</f>
        <v>0</v>
      </c>
    </row>
    <row r="305" spans="1:18">
      <c r="A305" s="15" t="str">
        <f t="shared" si="9"/>
        <v>127</v>
      </c>
      <c r="B305" s="15">
        <v>295</v>
      </c>
      <c r="C305" s="38"/>
      <c r="D305" s="15" t="s">
        <v>119</v>
      </c>
      <c r="G305" s="49" t="s">
        <v>130</v>
      </c>
      <c r="I305" s="27"/>
      <c r="J305" s="27">
        <v>50000</v>
      </c>
      <c r="L305" s="27"/>
      <c r="M305" s="27">
        <v>50000</v>
      </c>
      <c r="O305" s="48" t="s">
        <v>75</v>
      </c>
      <c r="P305" s="48">
        <f>HEX2DEC(RIGHT(Table13232127535868[[#This Row],[h1]],8))</f>
        <v>0</v>
      </c>
      <c r="Q305" s="48" t="s">
        <v>75</v>
      </c>
      <c r="R305" s="48">
        <f>HEX2DEC(RIGHT(Table13232127535868[[#This Row],[h2]],8))</f>
        <v>0</v>
      </c>
    </row>
    <row r="306" spans="1:18">
      <c r="A306" s="15" t="str">
        <f t="shared" si="9"/>
        <v>128</v>
      </c>
      <c r="B306" s="15">
        <v>296</v>
      </c>
      <c r="C306" s="38"/>
      <c r="D306" s="15" t="s">
        <v>120</v>
      </c>
      <c r="G306" s="49" t="s">
        <v>130</v>
      </c>
      <c r="I306" s="27"/>
      <c r="J306" s="27">
        <v>50000</v>
      </c>
      <c r="L306" s="27"/>
      <c r="M306" s="27">
        <v>50000</v>
      </c>
      <c r="O306" s="48" t="s">
        <v>75</v>
      </c>
      <c r="P306" s="48">
        <f>HEX2DEC(RIGHT(Table13232127535868[[#This Row],[h1]],8))</f>
        <v>0</v>
      </c>
      <c r="Q306" s="48" t="s">
        <v>75</v>
      </c>
      <c r="R306" s="48">
        <f>HEX2DEC(RIGHT(Table13232127535868[[#This Row],[h2]],8))</f>
        <v>0</v>
      </c>
    </row>
    <row r="307" spans="1:18">
      <c r="A307" s="15" t="str">
        <f t="shared" si="9"/>
        <v>129</v>
      </c>
      <c r="B307" s="15">
        <v>297</v>
      </c>
      <c r="C307" s="38"/>
      <c r="D307" s="15" t="s">
        <v>121</v>
      </c>
      <c r="G307" s="49" t="s">
        <v>130</v>
      </c>
      <c r="I307" s="27"/>
      <c r="J307" s="27">
        <v>50000</v>
      </c>
      <c r="L307" s="27"/>
      <c r="M307" s="27">
        <v>50000</v>
      </c>
      <c r="O307" s="48" t="s">
        <v>75</v>
      </c>
      <c r="P307" s="48">
        <f>HEX2DEC(RIGHT(Table13232127535868[[#This Row],[h1]],8))</f>
        <v>0</v>
      </c>
      <c r="Q307" s="48" t="s">
        <v>75</v>
      </c>
      <c r="R307" s="48">
        <f>HEX2DEC(RIGHT(Table13232127535868[[#This Row],[h2]],8))</f>
        <v>0</v>
      </c>
    </row>
    <row r="308" spans="1:18">
      <c r="A308" s="15" t="str">
        <f t="shared" si="9"/>
        <v>12A</v>
      </c>
      <c r="B308" s="15">
        <v>298</v>
      </c>
      <c r="C308" s="38"/>
      <c r="D308" s="15" t="s">
        <v>122</v>
      </c>
      <c r="G308" s="49" t="s">
        <v>130</v>
      </c>
      <c r="I308" s="27"/>
      <c r="J308" s="27">
        <v>50000</v>
      </c>
      <c r="L308" s="27"/>
      <c r="M308" s="27">
        <v>50000</v>
      </c>
      <c r="O308" s="48" t="s">
        <v>75</v>
      </c>
      <c r="P308" s="48">
        <f>HEX2DEC(RIGHT(Table13232127535868[[#This Row],[h1]],8))</f>
        <v>0</v>
      </c>
      <c r="Q308" s="48" t="s">
        <v>75</v>
      </c>
      <c r="R308" s="48">
        <f>HEX2DEC(RIGHT(Table13232127535868[[#This Row],[h2]],8))</f>
        <v>0</v>
      </c>
    </row>
    <row r="309" spans="1:18">
      <c r="A309" s="15" t="str">
        <f t="shared" si="9"/>
        <v>12B</v>
      </c>
      <c r="B309" s="15">
        <v>299</v>
      </c>
      <c r="C309" s="38"/>
      <c r="D309" s="15" t="s">
        <v>123</v>
      </c>
      <c r="G309" s="49" t="s">
        <v>130</v>
      </c>
      <c r="I309" s="27"/>
      <c r="J309" s="27">
        <v>50000</v>
      </c>
      <c r="L309" s="27"/>
      <c r="M309" s="27">
        <v>50000</v>
      </c>
      <c r="O309" s="48" t="s">
        <v>75</v>
      </c>
      <c r="P309" s="48">
        <f>HEX2DEC(RIGHT(Table13232127535868[[#This Row],[h1]],8))</f>
        <v>0</v>
      </c>
      <c r="Q309" s="48" t="s">
        <v>75</v>
      </c>
      <c r="R309" s="48">
        <f>HEX2DEC(RIGHT(Table13232127535868[[#This Row],[h2]],8))</f>
        <v>0</v>
      </c>
    </row>
    <row r="310" spans="1:18">
      <c r="A310" s="15" t="str">
        <f t="shared" si="9"/>
        <v>12C</v>
      </c>
      <c r="B310" s="15">
        <v>300</v>
      </c>
      <c r="C310" s="38"/>
      <c r="D310" s="15" t="s">
        <v>124</v>
      </c>
      <c r="G310" s="49" t="s">
        <v>130</v>
      </c>
      <c r="I310" s="27"/>
      <c r="J310" s="27">
        <v>50000</v>
      </c>
      <c r="L310" s="27"/>
      <c r="M310" s="27">
        <v>50000</v>
      </c>
      <c r="O310" s="48" t="s">
        <v>75</v>
      </c>
      <c r="P310" s="48">
        <f>HEX2DEC(RIGHT(Table13232127535868[[#This Row],[h1]],8))</f>
        <v>0</v>
      </c>
      <c r="Q310" s="48" t="s">
        <v>75</v>
      </c>
      <c r="R310" s="48">
        <f>HEX2DEC(RIGHT(Table13232127535868[[#This Row],[h2]],8))</f>
        <v>0</v>
      </c>
    </row>
    <row r="311" spans="1:18">
      <c r="A311" s="15" t="str">
        <f t="shared" si="9"/>
        <v>12D</v>
      </c>
      <c r="B311" s="15">
        <v>301</v>
      </c>
      <c r="C311" s="38"/>
      <c r="D311" s="15" t="s">
        <v>125</v>
      </c>
      <c r="G311" s="49" t="s">
        <v>130</v>
      </c>
      <c r="I311" s="27"/>
      <c r="J311" s="27">
        <v>50000</v>
      </c>
      <c r="L311" s="27"/>
      <c r="M311" s="27">
        <v>50000</v>
      </c>
      <c r="O311" s="48" t="s">
        <v>75</v>
      </c>
      <c r="P311" s="48">
        <f>HEX2DEC(RIGHT(Table13232127535868[[#This Row],[h1]],8))</f>
        <v>0</v>
      </c>
      <c r="Q311" s="48" t="s">
        <v>75</v>
      </c>
      <c r="R311" s="48">
        <f>HEX2DEC(RIGHT(Table13232127535868[[#This Row],[h2]],8))</f>
        <v>0</v>
      </c>
    </row>
    <row r="312" spans="1:18">
      <c r="A312" s="15" t="str">
        <f t="shared" si="9"/>
        <v>12E</v>
      </c>
      <c r="B312" s="15">
        <v>302</v>
      </c>
      <c r="C312" s="38"/>
      <c r="D312" s="15" t="s">
        <v>126</v>
      </c>
      <c r="G312" s="49" t="s">
        <v>130</v>
      </c>
      <c r="I312" s="27"/>
      <c r="J312" s="27">
        <v>50000</v>
      </c>
      <c r="L312" s="27"/>
      <c r="M312" s="27">
        <v>50000</v>
      </c>
      <c r="O312" s="48" t="s">
        <v>75</v>
      </c>
      <c r="P312" s="48">
        <f>HEX2DEC(RIGHT(Table13232127535868[[#This Row],[h1]],8))</f>
        <v>0</v>
      </c>
      <c r="Q312" s="48" t="s">
        <v>75</v>
      </c>
      <c r="R312" s="48">
        <f>HEX2DEC(RIGHT(Table13232127535868[[#This Row],[h2]],8))</f>
        <v>0</v>
      </c>
    </row>
    <row r="313" spans="1:18">
      <c r="A313" s="15" t="str">
        <f t="shared" si="9"/>
        <v>12F</v>
      </c>
      <c r="B313" s="15">
        <v>303</v>
      </c>
      <c r="C313" s="38"/>
      <c r="D313" s="15" t="s">
        <v>127</v>
      </c>
      <c r="G313" s="49" t="s">
        <v>130</v>
      </c>
      <c r="I313" s="27"/>
      <c r="J313" s="27">
        <v>50000</v>
      </c>
      <c r="L313" s="27"/>
      <c r="M313" s="27">
        <v>50000</v>
      </c>
      <c r="O313" s="48" t="s">
        <v>75</v>
      </c>
      <c r="P313" s="48">
        <f>HEX2DEC(RIGHT(Table13232127535868[[#This Row],[h1]],8))</f>
        <v>0</v>
      </c>
      <c r="Q313" s="48" t="s">
        <v>75</v>
      </c>
      <c r="R313" s="48">
        <f>HEX2DEC(RIGHT(Table13232127535868[[#This Row],[h2]],8))</f>
        <v>0</v>
      </c>
    </row>
    <row r="314" spans="1:18">
      <c r="A314" s="15" t="str">
        <f t="shared" si="9"/>
        <v>130</v>
      </c>
      <c r="B314" s="15">
        <v>304</v>
      </c>
      <c r="C314" s="38"/>
      <c r="D314" s="15" t="s">
        <v>128</v>
      </c>
      <c r="G314" s="49" t="s">
        <v>130</v>
      </c>
      <c r="I314" s="27"/>
      <c r="J314" s="27">
        <v>50000</v>
      </c>
      <c r="L314" s="27"/>
      <c r="M314" s="27">
        <v>50000</v>
      </c>
      <c r="O314" s="48" t="s">
        <v>75</v>
      </c>
      <c r="P314" s="48">
        <f>HEX2DEC(RIGHT(Table13232127535868[[#This Row],[h1]],8))</f>
        <v>0</v>
      </c>
      <c r="Q314" s="48" t="s">
        <v>75</v>
      </c>
      <c r="R314" s="48">
        <f>HEX2DEC(RIGHT(Table13232127535868[[#This Row],[h2]],8))</f>
        <v>0</v>
      </c>
    </row>
    <row r="315" spans="1:18">
      <c r="A315" s="15" t="str">
        <f t="shared" si="9"/>
        <v>131</v>
      </c>
      <c r="B315" s="15">
        <v>305</v>
      </c>
      <c r="C315" s="38"/>
      <c r="D315" s="15" t="s">
        <v>129</v>
      </c>
      <c r="G315" s="49" t="s">
        <v>130</v>
      </c>
      <c r="I315" s="27"/>
      <c r="J315" s="27">
        <v>50000</v>
      </c>
      <c r="L315" s="27"/>
      <c r="M315" s="27">
        <v>50000</v>
      </c>
      <c r="O315" s="48" t="s">
        <v>75</v>
      </c>
      <c r="P315" s="48">
        <f>HEX2DEC(RIGHT(Table13232127535868[[#This Row],[h1]],8))</f>
        <v>0</v>
      </c>
      <c r="Q315" s="48" t="s">
        <v>75</v>
      </c>
      <c r="R315" s="48">
        <f>HEX2DEC(RIGHT(Table13232127535868[[#This Row],[h2]],8))</f>
        <v>0</v>
      </c>
    </row>
    <row r="316" spans="1:18">
      <c r="A316" s="15" t="str">
        <f t="shared" si="9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8" t="s">
        <v>75</v>
      </c>
      <c r="P316" s="48">
        <f>HEX2DEC(RIGHT(Table13232127535868[[#This Row],[h1]],8))</f>
        <v>0</v>
      </c>
      <c r="Q316" s="48" t="s">
        <v>75</v>
      </c>
      <c r="R316" s="48">
        <f>HEX2DEC(RIGHT(Table13232127535868[[#This Row],[h2]],8))</f>
        <v>0</v>
      </c>
    </row>
    <row r="317" spans="1:18">
      <c r="A317" s="15" t="str">
        <f t="shared" si="9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8" t="s">
        <v>75</v>
      </c>
      <c r="P317" s="48">
        <f>HEX2DEC(RIGHT(Table13232127535868[[#This Row],[h1]],8))</f>
        <v>0</v>
      </c>
      <c r="Q317" s="48" t="s">
        <v>75</v>
      </c>
      <c r="R317" s="48">
        <f>HEX2DEC(RIGHT(Table13232127535868[[#This Row],[h2]],8))</f>
        <v>0</v>
      </c>
    </row>
    <row r="318" spans="1:18">
      <c r="A318" s="15" t="str">
        <f t="shared" si="9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8" t="s">
        <v>75</v>
      </c>
      <c r="P318" s="48">
        <f>HEX2DEC(RIGHT(Table13232127535868[[#This Row],[h1]],8))</f>
        <v>0</v>
      </c>
      <c r="Q318" s="48" t="s">
        <v>75</v>
      </c>
      <c r="R318" s="48">
        <f>HEX2DEC(RIGHT(Table13232127535868[[#This Row],[h2]],8))</f>
        <v>0</v>
      </c>
    </row>
    <row r="319" spans="1:18">
      <c r="A319" s="15" t="str">
        <f t="shared" si="9"/>
        <v>135</v>
      </c>
      <c r="B319" s="15">
        <v>309</v>
      </c>
      <c r="C319" s="38"/>
      <c r="D319" s="15" t="s">
        <v>426</v>
      </c>
      <c r="G319" s="29">
        <v>0</v>
      </c>
      <c r="I319" s="27"/>
      <c r="J319" s="27">
        <v>50000</v>
      </c>
      <c r="L319" s="27"/>
      <c r="M319" s="27">
        <v>50000</v>
      </c>
      <c r="O319" s="48" t="s">
        <v>75</v>
      </c>
      <c r="P319" s="48">
        <f>HEX2DEC(RIGHT(Table13232127535868[[#This Row],[h1]],8))</f>
        <v>0</v>
      </c>
      <c r="Q319" s="48" t="s">
        <v>75</v>
      </c>
      <c r="R319" s="48">
        <f>HEX2DEC(RIGHT(Table13232127535868[[#This Row],[h2]],8))</f>
        <v>0</v>
      </c>
    </row>
    <row r="320" spans="1:18">
      <c r="A320" s="15" t="str">
        <f t="shared" si="9"/>
        <v>136</v>
      </c>
      <c r="B320" s="15">
        <v>310</v>
      </c>
      <c r="C320" s="38"/>
      <c r="D320" s="33" t="s">
        <v>325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8" t="s">
        <v>75</v>
      </c>
      <c r="P320" s="48">
        <f>HEX2DEC(RIGHT(Table13232127535868[[#This Row],[h1]],8))</f>
        <v>0</v>
      </c>
      <c r="Q320" s="48" t="s">
        <v>75</v>
      </c>
      <c r="R320" s="48">
        <f>HEX2DEC(RIGHT(Table13232127535868[[#This Row],[h2]],8))</f>
        <v>0</v>
      </c>
    </row>
    <row r="321" spans="1:18">
      <c r="A321" s="15" t="str">
        <f t="shared" si="9"/>
        <v>137</v>
      </c>
      <c r="B321" s="15">
        <v>311</v>
      </c>
      <c r="C321" s="38"/>
      <c r="D321" s="26" t="s">
        <v>344</v>
      </c>
      <c r="G321" s="29">
        <v>0</v>
      </c>
      <c r="I321" s="27"/>
      <c r="J321" s="27">
        <v>50000</v>
      </c>
      <c r="L321" s="27"/>
      <c r="M321" s="27">
        <v>50000</v>
      </c>
      <c r="O321" s="48" t="s">
        <v>75</v>
      </c>
      <c r="P321" s="48">
        <f>HEX2DEC(RIGHT(Table13232127535868[[#This Row],[h1]],8))</f>
        <v>0</v>
      </c>
      <c r="Q321" s="48" t="s">
        <v>75</v>
      </c>
      <c r="R321" s="48">
        <f>HEX2DEC(RIGHT(Table13232127535868[[#This Row],[h2]],8))</f>
        <v>0</v>
      </c>
    </row>
    <row r="322" spans="1:18">
      <c r="A322" s="15" t="str">
        <f t="shared" si="9"/>
        <v>138</v>
      </c>
      <c r="B322" s="15">
        <v>312</v>
      </c>
      <c r="C322" s="38"/>
      <c r="D322" s="26" t="s">
        <v>345</v>
      </c>
      <c r="G322" s="29">
        <v>0</v>
      </c>
      <c r="I322" s="27"/>
      <c r="J322" s="27">
        <v>50000</v>
      </c>
      <c r="L322" s="27"/>
      <c r="M322" s="27">
        <v>50000</v>
      </c>
      <c r="O322" s="48" t="s">
        <v>75</v>
      </c>
      <c r="P322" s="48">
        <f>HEX2DEC(RIGHT(Table13232127535868[[#This Row],[h1]],8))</f>
        <v>0</v>
      </c>
      <c r="Q322" s="48" t="s">
        <v>75</v>
      </c>
      <c r="R322" s="48">
        <f>HEX2DEC(RIGHT(Table13232127535868[[#This Row],[h2]],8))</f>
        <v>0</v>
      </c>
    </row>
    <row r="323" spans="1:18">
      <c r="A323" s="15" t="str">
        <f t="shared" si="9"/>
        <v>139</v>
      </c>
      <c r="B323" s="15">
        <v>313</v>
      </c>
      <c r="C323" s="38"/>
      <c r="D323" s="15" t="s">
        <v>326</v>
      </c>
      <c r="G323" s="29">
        <v>0</v>
      </c>
      <c r="I323" s="27"/>
      <c r="J323" s="27">
        <v>50000</v>
      </c>
      <c r="L323" s="27"/>
      <c r="M323" s="27">
        <v>50000</v>
      </c>
      <c r="O323" s="48" t="s">
        <v>75</v>
      </c>
      <c r="P323" s="48">
        <f>HEX2DEC(RIGHT(Table13232127535868[[#This Row],[h1]],8))</f>
        <v>0</v>
      </c>
      <c r="Q323" s="48" t="s">
        <v>75</v>
      </c>
      <c r="R323" s="48">
        <f>HEX2DEC(RIGHT(Table13232127535868[[#This Row],[h2]],8))</f>
        <v>0</v>
      </c>
    </row>
    <row r="324" spans="1:18">
      <c r="A324" s="15" t="str">
        <f t="shared" si="9"/>
        <v>13A</v>
      </c>
      <c r="B324" s="15">
        <v>314</v>
      </c>
      <c r="C324" s="38"/>
      <c r="D324" s="15" t="s">
        <v>327</v>
      </c>
      <c r="G324" s="29">
        <v>0</v>
      </c>
      <c r="I324" s="27"/>
      <c r="J324" s="27">
        <v>50000</v>
      </c>
      <c r="L324" s="27"/>
      <c r="M324" s="27">
        <v>50000</v>
      </c>
      <c r="O324" s="48" t="s">
        <v>75</v>
      </c>
      <c r="P324" s="48">
        <f>HEX2DEC(RIGHT(Table13232127535868[[#This Row],[h1]],8))</f>
        <v>0</v>
      </c>
      <c r="Q324" s="48" t="s">
        <v>75</v>
      </c>
      <c r="R324" s="48">
        <f>HEX2DEC(RIGHT(Table13232127535868[[#This Row],[h2]],8))</f>
        <v>0</v>
      </c>
    </row>
    <row r="325" spans="1:18">
      <c r="A325" s="15" t="str">
        <f t="shared" si="9"/>
        <v>13B</v>
      </c>
      <c r="B325" s="15">
        <v>315</v>
      </c>
      <c r="C325" s="38"/>
      <c r="D325" s="33" t="s">
        <v>323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8" t="s">
        <v>75</v>
      </c>
      <c r="P325" s="48">
        <f>HEX2DEC(RIGHT(Table13232127535868[[#This Row],[h1]],8))</f>
        <v>0</v>
      </c>
      <c r="Q325" s="48" t="s">
        <v>75</v>
      </c>
      <c r="R325" s="48">
        <f>HEX2DEC(RIGHT(Table13232127535868[[#This Row],[h2]],8))</f>
        <v>0</v>
      </c>
    </row>
    <row r="326" spans="1:18">
      <c r="A326" s="15" t="str">
        <f t="shared" si="9"/>
        <v>13C</v>
      </c>
      <c r="B326" s="15">
        <v>316</v>
      </c>
      <c r="C326" s="38"/>
      <c r="D326" s="15" t="s">
        <v>324</v>
      </c>
      <c r="G326" s="29">
        <v>0</v>
      </c>
      <c r="I326" s="27"/>
      <c r="J326" s="27">
        <v>50000</v>
      </c>
      <c r="L326" s="27"/>
      <c r="M326" s="27">
        <v>50000</v>
      </c>
      <c r="O326" s="48" t="s">
        <v>75</v>
      </c>
      <c r="P326" s="48">
        <f>HEX2DEC(RIGHT(Table13232127535868[[#This Row],[h1]],8))</f>
        <v>0</v>
      </c>
      <c r="Q326" s="48" t="s">
        <v>75</v>
      </c>
      <c r="R326" s="48">
        <f>HEX2DEC(RIGHT(Table13232127535868[[#This Row],[h2]],8))</f>
        <v>0</v>
      </c>
    </row>
    <row r="327" spans="1:18">
      <c r="A327" s="15" t="str">
        <f t="shared" si="9"/>
        <v>13D</v>
      </c>
      <c r="B327" s="15">
        <v>317</v>
      </c>
      <c r="C327" s="38"/>
      <c r="D327" s="15" t="s">
        <v>328</v>
      </c>
      <c r="G327" s="29">
        <v>0</v>
      </c>
      <c r="I327" s="27"/>
      <c r="J327" s="27">
        <v>50000</v>
      </c>
      <c r="L327" s="27"/>
      <c r="M327" s="27">
        <v>50000</v>
      </c>
      <c r="O327" s="48" t="s">
        <v>75</v>
      </c>
      <c r="P327" s="48">
        <f>HEX2DEC(RIGHT(Table13232127535868[[#This Row],[h1]],8))</f>
        <v>0</v>
      </c>
      <c r="Q327" s="48" t="s">
        <v>75</v>
      </c>
      <c r="R327" s="48">
        <f>HEX2DEC(RIGHT(Table13232127535868[[#This Row],[h2]],8))</f>
        <v>0</v>
      </c>
    </row>
    <row r="328" spans="1:18">
      <c r="A328" s="15" t="str">
        <f t="shared" si="9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8" t="s">
        <v>75</v>
      </c>
      <c r="P328" s="48">
        <f>HEX2DEC(RIGHT(Table13232127535868[[#This Row],[h1]],8))</f>
        <v>0</v>
      </c>
      <c r="Q328" s="48" t="s">
        <v>75</v>
      </c>
      <c r="R328" s="48">
        <f>HEX2DEC(RIGHT(Table13232127535868[[#This Row],[h2]],8))</f>
        <v>0</v>
      </c>
    </row>
    <row r="329" spans="1:18">
      <c r="A329" s="15" t="str">
        <f t="shared" si="9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8" t="s">
        <v>75</v>
      </c>
      <c r="P329" s="48">
        <f>HEX2DEC(RIGHT(Table13232127535868[[#This Row],[h1]],8))</f>
        <v>0</v>
      </c>
      <c r="Q329" s="48" t="s">
        <v>75</v>
      </c>
      <c r="R329" s="48">
        <f>HEX2DEC(RIGHT(Table13232127535868[[#This Row],[h2]],8))</f>
        <v>0</v>
      </c>
    </row>
    <row r="330" spans="1:18">
      <c r="A330" s="15" t="str">
        <f t="shared" si="9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8" t="s">
        <v>75</v>
      </c>
      <c r="P330" s="48">
        <f>HEX2DEC(RIGHT(Table13232127535868[[#This Row],[h1]],8))</f>
        <v>0</v>
      </c>
      <c r="Q330" s="48" t="s">
        <v>75</v>
      </c>
      <c r="R330" s="48">
        <f>HEX2DEC(RIGHT(Table13232127535868[[#This Row],[h2]],8))</f>
        <v>0</v>
      </c>
    </row>
    <row r="331" spans="1:18">
      <c r="A331" s="15" t="str">
        <f t="shared" ref="A331:A394" si="10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8" t="s">
        <v>75</v>
      </c>
      <c r="P331" s="48">
        <f>HEX2DEC(RIGHT(Table13232127535868[[#This Row],[h1]],8))</f>
        <v>0</v>
      </c>
      <c r="Q331" s="48" t="s">
        <v>75</v>
      </c>
      <c r="R331" s="48">
        <f>HEX2DEC(RIGHT(Table13232127535868[[#This Row],[h2]],8))</f>
        <v>0</v>
      </c>
    </row>
    <row r="332" spans="1:18">
      <c r="A332" s="15" t="str">
        <f t="shared" si="10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8" t="s">
        <v>75</v>
      </c>
      <c r="P332" s="48">
        <f>HEX2DEC(RIGHT(Table13232127535868[[#This Row],[h1]],8))</f>
        <v>0</v>
      </c>
      <c r="Q332" s="48" t="s">
        <v>75</v>
      </c>
      <c r="R332" s="48">
        <f>HEX2DEC(RIGHT(Table13232127535868[[#This Row],[h2]],8))</f>
        <v>0</v>
      </c>
    </row>
    <row r="333" spans="1:18">
      <c r="A333" s="15" t="str">
        <f t="shared" si="10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8" t="s">
        <v>75</v>
      </c>
      <c r="P333" s="48">
        <f>HEX2DEC(RIGHT(Table13232127535868[[#This Row],[h1]],8))</f>
        <v>0</v>
      </c>
      <c r="Q333" s="48" t="s">
        <v>75</v>
      </c>
      <c r="R333" s="48">
        <f>HEX2DEC(RIGHT(Table13232127535868[[#This Row],[h2]],8))</f>
        <v>0</v>
      </c>
    </row>
    <row r="334" spans="1:18">
      <c r="A334" s="15" t="str">
        <f t="shared" si="10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8" t="s">
        <v>75</v>
      </c>
      <c r="P334" s="48">
        <f>HEX2DEC(RIGHT(Table13232127535868[[#This Row],[h1]],8))</f>
        <v>0</v>
      </c>
      <c r="Q334" s="48" t="s">
        <v>75</v>
      </c>
      <c r="R334" s="48">
        <f>HEX2DEC(RIGHT(Table13232127535868[[#This Row],[h2]],8))</f>
        <v>0</v>
      </c>
    </row>
    <row r="335" spans="1:18">
      <c r="A335" s="15" t="str">
        <f t="shared" si="10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8" t="s">
        <v>75</v>
      </c>
      <c r="P335" s="48">
        <f>HEX2DEC(RIGHT(Table13232127535868[[#This Row],[h1]],8))</f>
        <v>0</v>
      </c>
      <c r="Q335" s="48" t="s">
        <v>75</v>
      </c>
      <c r="R335" s="48">
        <f>HEX2DEC(RIGHT(Table13232127535868[[#This Row],[h2]],8))</f>
        <v>0</v>
      </c>
    </row>
    <row r="336" spans="1:18">
      <c r="A336" s="15" t="str">
        <f t="shared" si="10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8" t="s">
        <v>75</v>
      </c>
      <c r="P336" s="48">
        <f>HEX2DEC(RIGHT(Table13232127535868[[#This Row],[h1]],8))</f>
        <v>0</v>
      </c>
      <c r="Q336" s="48" t="s">
        <v>75</v>
      </c>
      <c r="R336" s="48">
        <f>HEX2DEC(RIGHT(Table13232127535868[[#This Row],[h2]],8))</f>
        <v>0</v>
      </c>
    </row>
    <row r="337" spans="1:18">
      <c r="A337" s="15" t="str">
        <f t="shared" si="10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8" t="s">
        <v>75</v>
      </c>
      <c r="P337" s="48">
        <f>HEX2DEC(RIGHT(Table13232127535868[[#This Row],[h1]],8))</f>
        <v>0</v>
      </c>
      <c r="Q337" s="48" t="s">
        <v>75</v>
      </c>
      <c r="R337" s="48">
        <f>HEX2DEC(RIGHT(Table13232127535868[[#This Row],[h2]],8))</f>
        <v>0</v>
      </c>
    </row>
    <row r="338" spans="1:18">
      <c r="A338" s="15" t="str">
        <f t="shared" si="10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8" t="s">
        <v>75</v>
      </c>
      <c r="P338" s="48">
        <f>HEX2DEC(RIGHT(Table13232127535868[[#This Row],[h1]],8))</f>
        <v>0</v>
      </c>
      <c r="Q338" s="48" t="s">
        <v>75</v>
      </c>
      <c r="R338" s="48">
        <f>HEX2DEC(RIGHT(Table13232127535868[[#This Row],[h2]],8))</f>
        <v>0</v>
      </c>
    </row>
    <row r="339" spans="1:18">
      <c r="A339" s="15" t="str">
        <f t="shared" si="10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8" t="s">
        <v>75</v>
      </c>
      <c r="P339" s="48">
        <f>HEX2DEC(RIGHT(Table13232127535868[[#This Row],[h1]],8))</f>
        <v>0</v>
      </c>
      <c r="Q339" s="48" t="s">
        <v>75</v>
      </c>
      <c r="R339" s="48">
        <f>HEX2DEC(RIGHT(Table13232127535868[[#This Row],[h2]],8))</f>
        <v>0</v>
      </c>
    </row>
    <row r="340" spans="1:18">
      <c r="A340" s="15" t="str">
        <f t="shared" si="10"/>
        <v>14A</v>
      </c>
      <c r="B340" s="15">
        <v>330</v>
      </c>
      <c r="C340" s="38"/>
      <c r="G340" s="48"/>
      <c r="I340" s="27"/>
      <c r="J340" s="27">
        <v>50000</v>
      </c>
      <c r="L340" s="27"/>
      <c r="M340" s="27">
        <v>50000</v>
      </c>
      <c r="O340" s="48" t="s">
        <v>75</v>
      </c>
      <c r="P340" s="48">
        <f>HEX2DEC(RIGHT(Table13232127535868[[#This Row],[h1]],8))</f>
        <v>0</v>
      </c>
      <c r="Q340" s="48" t="s">
        <v>75</v>
      </c>
      <c r="R340" s="48">
        <f>HEX2DEC(RIGHT(Table13232127535868[[#This Row],[h2]],8))</f>
        <v>0</v>
      </c>
    </row>
    <row r="341" spans="1:18">
      <c r="A341" s="15" t="str">
        <f t="shared" si="10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8" t="s">
        <v>75</v>
      </c>
      <c r="P341" s="48">
        <f>HEX2DEC(RIGHT(Table13232127535868[[#This Row],[h1]],8))</f>
        <v>0</v>
      </c>
      <c r="Q341" s="48" t="s">
        <v>75</v>
      </c>
      <c r="R341" s="48">
        <f>HEX2DEC(RIGHT(Table13232127535868[[#This Row],[h2]],8))</f>
        <v>0</v>
      </c>
    </row>
    <row r="342" spans="1:18">
      <c r="A342" s="15" t="str">
        <f t="shared" si="10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8" t="s">
        <v>75</v>
      </c>
      <c r="P342" s="48">
        <f>HEX2DEC(RIGHT(Table13232127535868[[#This Row],[h1]],8))</f>
        <v>0</v>
      </c>
      <c r="Q342" s="48" t="s">
        <v>75</v>
      </c>
      <c r="R342" s="48">
        <f>HEX2DEC(RIGHT(Table13232127535868[[#This Row],[h2]],8))</f>
        <v>0</v>
      </c>
    </row>
    <row r="343" spans="1:18">
      <c r="A343" s="15" t="str">
        <f t="shared" si="10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8" t="s">
        <v>75</v>
      </c>
      <c r="P343" s="48">
        <f>HEX2DEC(RIGHT(Table13232127535868[[#This Row],[h1]],8))</f>
        <v>0</v>
      </c>
      <c r="Q343" s="48" t="s">
        <v>75</v>
      </c>
      <c r="R343" s="48">
        <f>HEX2DEC(RIGHT(Table13232127535868[[#This Row],[h2]],8))</f>
        <v>0</v>
      </c>
    </row>
    <row r="344" spans="1:18">
      <c r="A344" s="15" t="str">
        <f t="shared" si="10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8" t="s">
        <v>75</v>
      </c>
      <c r="P344" s="48">
        <f>HEX2DEC(RIGHT(Table13232127535868[[#This Row],[h1]],8))</f>
        <v>0</v>
      </c>
      <c r="Q344" s="48" t="s">
        <v>75</v>
      </c>
      <c r="R344" s="48">
        <f>HEX2DEC(RIGHT(Table13232127535868[[#This Row],[h2]],8))</f>
        <v>0</v>
      </c>
    </row>
    <row r="345" spans="1:18">
      <c r="A345" s="15" t="str">
        <f t="shared" si="10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8" t="s">
        <v>75</v>
      </c>
      <c r="P345" s="48">
        <f>HEX2DEC(RIGHT(Table13232127535868[[#This Row],[h1]],8))</f>
        <v>0</v>
      </c>
      <c r="Q345" s="48" t="s">
        <v>75</v>
      </c>
      <c r="R345" s="48">
        <f>HEX2DEC(RIGHT(Table13232127535868[[#This Row],[h2]],8))</f>
        <v>0</v>
      </c>
    </row>
    <row r="346" spans="1:18">
      <c r="A346" s="15" t="str">
        <f t="shared" si="10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8" t="s">
        <v>75</v>
      </c>
      <c r="P346" s="48">
        <f>HEX2DEC(RIGHT(Table13232127535868[[#This Row],[h1]],8))</f>
        <v>0</v>
      </c>
      <c r="Q346" s="48" t="s">
        <v>75</v>
      </c>
      <c r="R346" s="48">
        <f>HEX2DEC(RIGHT(Table13232127535868[[#This Row],[h2]],8))</f>
        <v>0</v>
      </c>
    </row>
    <row r="347" spans="1:18">
      <c r="A347" s="15" t="str">
        <f t="shared" si="10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8" t="s">
        <v>75</v>
      </c>
      <c r="P347" s="48">
        <f>HEX2DEC(RIGHT(Table13232127535868[[#This Row],[h1]],8))</f>
        <v>0</v>
      </c>
      <c r="Q347" s="48" t="s">
        <v>75</v>
      </c>
      <c r="R347" s="48">
        <f>HEX2DEC(RIGHT(Table13232127535868[[#This Row],[h2]],8))</f>
        <v>0</v>
      </c>
    </row>
    <row r="348" spans="1:18">
      <c r="A348" s="15" t="str">
        <f t="shared" si="10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8" t="s">
        <v>75</v>
      </c>
      <c r="P348" s="48">
        <f>HEX2DEC(RIGHT(Table13232127535868[[#This Row],[h1]],8))</f>
        <v>0</v>
      </c>
      <c r="Q348" s="48" t="s">
        <v>75</v>
      </c>
      <c r="R348" s="48">
        <f>HEX2DEC(RIGHT(Table13232127535868[[#This Row],[h2]],8))</f>
        <v>0</v>
      </c>
    </row>
    <row r="349" spans="1:18">
      <c r="A349" s="15" t="str">
        <f t="shared" si="10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8" t="s">
        <v>75</v>
      </c>
      <c r="P349" s="48">
        <f>HEX2DEC(RIGHT(Table13232127535868[[#This Row],[h1]],8))</f>
        <v>0</v>
      </c>
      <c r="Q349" s="48" t="s">
        <v>75</v>
      </c>
      <c r="R349" s="48">
        <f>HEX2DEC(RIGHT(Table13232127535868[[#This Row],[h2]],8))</f>
        <v>0</v>
      </c>
    </row>
    <row r="350" spans="1:18">
      <c r="A350" s="15" t="str">
        <f t="shared" si="10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8" t="s">
        <v>75</v>
      </c>
      <c r="P350" s="48">
        <f>HEX2DEC(RIGHT(Table13232127535868[[#This Row],[h1]],8))</f>
        <v>0</v>
      </c>
      <c r="Q350" s="48" t="s">
        <v>75</v>
      </c>
      <c r="R350" s="48">
        <f>HEX2DEC(RIGHT(Table13232127535868[[#This Row],[h2]],8))</f>
        <v>0</v>
      </c>
    </row>
    <row r="351" spans="1:18">
      <c r="A351" s="15" t="str">
        <f t="shared" si="10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8" t="s">
        <v>75</v>
      </c>
      <c r="P351" s="48">
        <f>HEX2DEC(RIGHT(Table13232127535868[[#This Row],[h1]],8))</f>
        <v>0</v>
      </c>
      <c r="Q351" s="48" t="s">
        <v>75</v>
      </c>
      <c r="R351" s="48">
        <f>HEX2DEC(RIGHT(Table13232127535868[[#This Row],[h2]],8))</f>
        <v>0</v>
      </c>
    </row>
    <row r="352" spans="1:18">
      <c r="A352" s="15" t="str">
        <f t="shared" si="10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8" t="s">
        <v>75</v>
      </c>
      <c r="P352" s="48">
        <f>HEX2DEC(RIGHT(Table13232127535868[[#This Row],[h1]],8))</f>
        <v>0</v>
      </c>
      <c r="Q352" s="48" t="s">
        <v>75</v>
      </c>
      <c r="R352" s="48">
        <f>HEX2DEC(RIGHT(Table13232127535868[[#This Row],[h2]],8))</f>
        <v>0</v>
      </c>
    </row>
    <row r="353" spans="1:18">
      <c r="A353" s="15" t="str">
        <f t="shared" si="10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8" t="s">
        <v>75</v>
      </c>
      <c r="P353" s="48">
        <f>HEX2DEC(RIGHT(Table13232127535868[[#This Row],[h1]],8))</f>
        <v>0</v>
      </c>
      <c r="Q353" s="48" t="s">
        <v>75</v>
      </c>
      <c r="R353" s="48">
        <f>HEX2DEC(RIGHT(Table13232127535868[[#This Row],[h2]],8))</f>
        <v>0</v>
      </c>
    </row>
    <row r="354" spans="1:18">
      <c r="A354" s="15" t="str">
        <f t="shared" si="10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8" t="s">
        <v>75</v>
      </c>
      <c r="P354" s="48">
        <f>HEX2DEC(RIGHT(Table13232127535868[[#This Row],[h1]],8))</f>
        <v>0</v>
      </c>
      <c r="Q354" s="48" t="s">
        <v>75</v>
      </c>
      <c r="R354" s="48">
        <f>HEX2DEC(RIGHT(Table13232127535868[[#This Row],[h2]],8))</f>
        <v>0</v>
      </c>
    </row>
    <row r="355" spans="1:18">
      <c r="A355" s="15" t="str">
        <f t="shared" si="10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8" t="s">
        <v>75</v>
      </c>
      <c r="P355" s="48">
        <f>HEX2DEC(RIGHT(Table13232127535868[[#This Row],[h1]],8))</f>
        <v>0</v>
      </c>
      <c r="Q355" s="48" t="s">
        <v>75</v>
      </c>
      <c r="R355" s="48">
        <f>HEX2DEC(RIGHT(Table13232127535868[[#This Row],[h2]],8))</f>
        <v>0</v>
      </c>
    </row>
    <row r="356" spans="1:18">
      <c r="A356" s="15" t="str">
        <f t="shared" si="10"/>
        <v>15A</v>
      </c>
      <c r="B356" s="15">
        <v>346</v>
      </c>
      <c r="C356" s="53"/>
      <c r="D356" s="54"/>
      <c r="E356" s="54"/>
      <c r="F356" s="54"/>
      <c r="G356" s="55"/>
      <c r="I356" s="27"/>
      <c r="J356" s="27">
        <v>50000</v>
      </c>
      <c r="L356" s="27"/>
      <c r="M356" s="27">
        <v>50000</v>
      </c>
      <c r="O356" s="48" t="s">
        <v>75</v>
      </c>
      <c r="P356" s="48">
        <f>HEX2DEC(RIGHT(Table13232127535868[[#This Row],[h1]],8))</f>
        <v>0</v>
      </c>
      <c r="Q356" s="48" t="s">
        <v>75</v>
      </c>
      <c r="R356" s="48">
        <f>HEX2DEC(RIGHT(Table13232127535868[[#This Row],[h2]],8))</f>
        <v>0</v>
      </c>
    </row>
    <row r="357" spans="1:18">
      <c r="A357" s="15" t="str">
        <f t="shared" si="10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8" t="s">
        <v>75</v>
      </c>
      <c r="P357" s="48">
        <f>HEX2DEC(RIGHT(Table13232127535868[[#This Row],[h1]],8))</f>
        <v>0</v>
      </c>
      <c r="Q357" s="48" t="s">
        <v>75</v>
      </c>
      <c r="R357" s="48">
        <f>HEX2DEC(RIGHT(Table13232127535868[[#This Row],[h2]],8))</f>
        <v>0</v>
      </c>
    </row>
    <row r="358" spans="1:18">
      <c r="A358" s="15" t="str">
        <f t="shared" si="10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8" t="s">
        <v>75</v>
      </c>
      <c r="P358" s="48">
        <f>HEX2DEC(RIGHT(Table13232127535868[[#This Row],[h1]],8))</f>
        <v>0</v>
      </c>
      <c r="Q358" s="48" t="s">
        <v>75</v>
      </c>
      <c r="R358" s="48">
        <f>HEX2DEC(RIGHT(Table13232127535868[[#This Row],[h2]],8))</f>
        <v>0</v>
      </c>
    </row>
    <row r="359" spans="1:18">
      <c r="A359" s="15" t="str">
        <f t="shared" si="10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8" t="s">
        <v>75</v>
      </c>
      <c r="P359" s="48">
        <f>HEX2DEC(RIGHT(Table13232127535868[[#This Row],[h1]],8))</f>
        <v>0</v>
      </c>
      <c r="Q359" s="48" t="s">
        <v>75</v>
      </c>
      <c r="R359" s="48">
        <f>HEX2DEC(RIGHT(Table13232127535868[[#This Row],[h2]],8))</f>
        <v>0</v>
      </c>
    </row>
    <row r="360" spans="1:18">
      <c r="A360" s="15" t="str">
        <f t="shared" si="10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8" t="s">
        <v>75</v>
      </c>
      <c r="P360" s="48">
        <f>HEX2DEC(RIGHT(Table13232127535868[[#This Row],[h1]],8))</f>
        <v>0</v>
      </c>
      <c r="Q360" s="48" t="s">
        <v>75</v>
      </c>
      <c r="R360" s="48">
        <f>HEX2DEC(RIGHT(Table13232127535868[[#This Row],[h2]],8))</f>
        <v>0</v>
      </c>
    </row>
    <row r="361" spans="1:18">
      <c r="A361" s="15" t="str">
        <f t="shared" si="10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8" t="s">
        <v>75</v>
      </c>
      <c r="P361" s="48">
        <f>HEX2DEC(RIGHT(Table13232127535868[[#This Row],[h1]],8))</f>
        <v>0</v>
      </c>
      <c r="Q361" s="48" t="s">
        <v>75</v>
      </c>
      <c r="R361" s="48">
        <f>HEX2DEC(RIGHT(Table13232127535868[[#This Row],[h2]],8))</f>
        <v>0</v>
      </c>
    </row>
    <row r="362" spans="1:18">
      <c r="A362" s="15" t="str">
        <f t="shared" si="10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8" t="s">
        <v>75</v>
      </c>
      <c r="P362" s="48">
        <f>HEX2DEC(RIGHT(Table13232127535868[[#This Row],[h1]],8))</f>
        <v>0</v>
      </c>
      <c r="Q362" s="48" t="s">
        <v>75</v>
      </c>
      <c r="R362" s="48">
        <f>HEX2DEC(RIGHT(Table13232127535868[[#This Row],[h2]],8))</f>
        <v>0</v>
      </c>
    </row>
    <row r="363" spans="1:18">
      <c r="A363" s="15" t="str">
        <f t="shared" si="10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8" t="s">
        <v>75</v>
      </c>
      <c r="P363" s="48">
        <f>HEX2DEC(RIGHT(Table13232127535868[[#This Row],[h1]],8))</f>
        <v>0</v>
      </c>
      <c r="Q363" s="48" t="s">
        <v>75</v>
      </c>
      <c r="R363" s="48">
        <f>HEX2DEC(RIGHT(Table13232127535868[[#This Row],[h2]],8))</f>
        <v>0</v>
      </c>
    </row>
    <row r="364" spans="1:18">
      <c r="A364" s="15" t="str">
        <f t="shared" si="10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8" t="s">
        <v>75</v>
      </c>
      <c r="P364" s="48">
        <f>HEX2DEC(RIGHT(Table13232127535868[[#This Row],[h1]],8))</f>
        <v>0</v>
      </c>
      <c r="Q364" s="48" t="s">
        <v>75</v>
      </c>
      <c r="R364" s="48">
        <f>HEX2DEC(RIGHT(Table13232127535868[[#This Row],[h2]],8))</f>
        <v>0</v>
      </c>
    </row>
    <row r="365" spans="1:18">
      <c r="A365" s="15" t="str">
        <f t="shared" si="10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8" t="s">
        <v>75</v>
      </c>
      <c r="P365" s="48">
        <f>HEX2DEC(RIGHT(Table13232127535868[[#This Row],[h1]],8))</f>
        <v>0</v>
      </c>
      <c r="Q365" s="48" t="s">
        <v>75</v>
      </c>
      <c r="R365" s="48">
        <f>HEX2DEC(RIGHT(Table13232127535868[[#This Row],[h2]],8))</f>
        <v>0</v>
      </c>
    </row>
    <row r="366" spans="1:18">
      <c r="A366" s="15" t="str">
        <f t="shared" si="10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8" t="s">
        <v>75</v>
      </c>
      <c r="P366" s="48">
        <f>HEX2DEC(RIGHT(Table13232127535868[[#This Row],[h1]],8))</f>
        <v>0</v>
      </c>
      <c r="Q366" s="48" t="s">
        <v>75</v>
      </c>
      <c r="R366" s="48">
        <f>HEX2DEC(RIGHT(Table13232127535868[[#This Row],[h2]],8))</f>
        <v>0</v>
      </c>
    </row>
    <row r="367" spans="1:18">
      <c r="A367" s="15" t="str">
        <f t="shared" si="10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8" t="s">
        <v>75</v>
      </c>
      <c r="P367" s="48">
        <f>HEX2DEC(RIGHT(Table13232127535868[[#This Row],[h1]],8))</f>
        <v>0</v>
      </c>
      <c r="Q367" s="48" t="s">
        <v>75</v>
      </c>
      <c r="R367" s="48">
        <f>HEX2DEC(RIGHT(Table13232127535868[[#This Row],[h2]],8))</f>
        <v>0</v>
      </c>
    </row>
    <row r="368" spans="1:18">
      <c r="A368" s="15" t="str">
        <f t="shared" si="10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8" t="s">
        <v>75</v>
      </c>
      <c r="P368" s="48">
        <f>HEX2DEC(RIGHT(Table13232127535868[[#This Row],[h1]],8))</f>
        <v>0</v>
      </c>
      <c r="Q368" s="48" t="s">
        <v>75</v>
      </c>
      <c r="R368" s="48">
        <f>HEX2DEC(RIGHT(Table13232127535868[[#This Row],[h2]],8))</f>
        <v>0</v>
      </c>
    </row>
    <row r="369" spans="1:18">
      <c r="A369" s="15" t="str">
        <f t="shared" si="10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8" t="s">
        <v>75</v>
      </c>
      <c r="P369" s="48">
        <f>HEX2DEC(RIGHT(Table13232127535868[[#This Row],[h1]],8))</f>
        <v>0</v>
      </c>
      <c r="Q369" s="48" t="s">
        <v>75</v>
      </c>
      <c r="R369" s="48">
        <f>HEX2DEC(RIGHT(Table13232127535868[[#This Row],[h2]],8))</f>
        <v>0</v>
      </c>
    </row>
    <row r="370" spans="1:18">
      <c r="A370" s="15" t="str">
        <f t="shared" si="10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8" t="s">
        <v>75</v>
      </c>
      <c r="P370" s="48">
        <f>HEX2DEC(RIGHT(Table13232127535868[[#This Row],[h1]],8))</f>
        <v>0</v>
      </c>
      <c r="Q370" s="48" t="s">
        <v>75</v>
      </c>
      <c r="R370" s="48">
        <f>HEX2DEC(RIGHT(Table13232127535868[[#This Row],[h2]],8))</f>
        <v>0</v>
      </c>
    </row>
    <row r="371" spans="1:18">
      <c r="A371" s="15" t="str">
        <f t="shared" si="10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8" t="s">
        <v>75</v>
      </c>
      <c r="P371" s="48">
        <f>HEX2DEC(RIGHT(Table13232127535868[[#This Row],[h1]],8))</f>
        <v>0</v>
      </c>
      <c r="Q371" s="48" t="s">
        <v>75</v>
      </c>
      <c r="R371" s="48">
        <f>HEX2DEC(RIGHT(Table13232127535868[[#This Row],[h2]],8))</f>
        <v>0</v>
      </c>
    </row>
    <row r="372" spans="1:18">
      <c r="A372" s="15" t="str">
        <f t="shared" si="10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8" t="s">
        <v>75</v>
      </c>
      <c r="P372" s="48">
        <f>HEX2DEC(RIGHT(Table13232127535868[[#This Row],[h1]],8))</f>
        <v>0</v>
      </c>
      <c r="Q372" s="48" t="s">
        <v>75</v>
      </c>
      <c r="R372" s="48">
        <f>HEX2DEC(RIGHT(Table13232127535868[[#This Row],[h2]],8))</f>
        <v>0</v>
      </c>
    </row>
    <row r="373" spans="1:18">
      <c r="A373" s="15" t="str">
        <f t="shared" si="10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8" t="s">
        <v>75</v>
      </c>
      <c r="P373" s="48">
        <f>HEX2DEC(RIGHT(Table13232127535868[[#This Row],[h1]],8))</f>
        <v>0</v>
      </c>
      <c r="Q373" s="48" t="s">
        <v>75</v>
      </c>
      <c r="R373" s="48">
        <f>HEX2DEC(RIGHT(Table13232127535868[[#This Row],[h2]],8))</f>
        <v>0</v>
      </c>
    </row>
    <row r="374" spans="1:18">
      <c r="A374" s="15" t="str">
        <f t="shared" si="10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8" t="s">
        <v>75</v>
      </c>
      <c r="P374" s="48">
        <f>HEX2DEC(RIGHT(Table13232127535868[[#This Row],[h1]],8))</f>
        <v>0</v>
      </c>
      <c r="Q374" s="48" t="s">
        <v>75</v>
      </c>
      <c r="R374" s="48">
        <f>HEX2DEC(RIGHT(Table13232127535868[[#This Row],[h2]],8))</f>
        <v>0</v>
      </c>
    </row>
    <row r="375" spans="1:18">
      <c r="A375" s="15" t="str">
        <f t="shared" si="10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8" t="s">
        <v>75</v>
      </c>
      <c r="P375" s="48">
        <f>HEX2DEC(RIGHT(Table13232127535868[[#This Row],[h1]],8))</f>
        <v>0</v>
      </c>
      <c r="Q375" s="48" t="s">
        <v>75</v>
      </c>
      <c r="R375" s="48">
        <f>HEX2DEC(RIGHT(Table13232127535868[[#This Row],[h2]],8))</f>
        <v>0</v>
      </c>
    </row>
    <row r="376" spans="1:18">
      <c r="A376" s="15" t="str">
        <f t="shared" si="10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8" t="s">
        <v>75</v>
      </c>
      <c r="P376" s="48">
        <f>HEX2DEC(RIGHT(Table13232127535868[[#This Row],[h1]],8))</f>
        <v>0</v>
      </c>
      <c r="Q376" s="48" t="s">
        <v>75</v>
      </c>
      <c r="R376" s="48">
        <f>HEX2DEC(RIGHT(Table13232127535868[[#This Row],[h2]],8))</f>
        <v>0</v>
      </c>
    </row>
    <row r="377" spans="1:18">
      <c r="A377" s="15" t="str">
        <f t="shared" si="10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8" t="s">
        <v>75</v>
      </c>
      <c r="P377" s="48">
        <f>HEX2DEC(RIGHT(Table13232127535868[[#This Row],[h1]],8))</f>
        <v>0</v>
      </c>
      <c r="Q377" s="48" t="s">
        <v>75</v>
      </c>
      <c r="R377" s="48">
        <f>HEX2DEC(RIGHT(Table13232127535868[[#This Row],[h2]],8))</f>
        <v>0</v>
      </c>
    </row>
    <row r="378" spans="1:18">
      <c r="A378" s="15" t="str">
        <f t="shared" si="10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8" t="s">
        <v>75</v>
      </c>
      <c r="P378" s="48">
        <f>HEX2DEC(RIGHT(Table13232127535868[[#This Row],[h1]],8))</f>
        <v>0</v>
      </c>
      <c r="Q378" s="48" t="s">
        <v>75</v>
      </c>
      <c r="R378" s="48">
        <f>HEX2DEC(RIGHT(Table13232127535868[[#This Row],[h2]],8))</f>
        <v>0</v>
      </c>
    </row>
    <row r="379" spans="1:18">
      <c r="A379" s="15" t="str">
        <f t="shared" si="10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8" t="s">
        <v>75</v>
      </c>
      <c r="P379" s="48">
        <f>HEX2DEC(RIGHT(Table13232127535868[[#This Row],[h1]],8))</f>
        <v>0</v>
      </c>
      <c r="Q379" s="48" t="s">
        <v>75</v>
      </c>
      <c r="R379" s="48">
        <f>HEX2DEC(RIGHT(Table13232127535868[[#This Row],[h2]],8))</f>
        <v>0</v>
      </c>
    </row>
    <row r="380" spans="1:18">
      <c r="A380" s="15" t="str">
        <f t="shared" si="10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8" t="s">
        <v>75</v>
      </c>
      <c r="P380" s="48">
        <f>HEX2DEC(RIGHT(Table13232127535868[[#This Row],[h1]],8))</f>
        <v>0</v>
      </c>
      <c r="Q380" s="48" t="s">
        <v>75</v>
      </c>
      <c r="R380" s="48">
        <f>HEX2DEC(RIGHT(Table13232127535868[[#This Row],[h2]],8))</f>
        <v>0</v>
      </c>
    </row>
    <row r="381" spans="1:18">
      <c r="A381" s="15" t="str">
        <f t="shared" si="10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8" t="s">
        <v>75</v>
      </c>
      <c r="P381" s="48">
        <f>HEX2DEC(RIGHT(Table13232127535868[[#This Row],[h1]],8))</f>
        <v>0</v>
      </c>
      <c r="Q381" s="48" t="s">
        <v>75</v>
      </c>
      <c r="R381" s="48">
        <f>HEX2DEC(RIGHT(Table13232127535868[[#This Row],[h2]],8))</f>
        <v>0</v>
      </c>
    </row>
    <row r="382" spans="1:18">
      <c r="A382" s="15" t="str">
        <f t="shared" si="10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8" t="s">
        <v>75</v>
      </c>
      <c r="P382" s="48">
        <f>HEX2DEC(RIGHT(Table13232127535868[[#This Row],[h1]],8))</f>
        <v>0</v>
      </c>
      <c r="Q382" s="48" t="s">
        <v>75</v>
      </c>
      <c r="R382" s="48">
        <f>HEX2DEC(RIGHT(Table13232127535868[[#This Row],[h2]],8))</f>
        <v>0</v>
      </c>
    </row>
    <row r="383" spans="1:18">
      <c r="A383" s="15" t="str">
        <f t="shared" si="10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8" t="s">
        <v>75</v>
      </c>
      <c r="P383" s="48">
        <f>HEX2DEC(RIGHT(Table13232127535868[[#This Row],[h1]],8))</f>
        <v>0</v>
      </c>
      <c r="Q383" s="48" t="s">
        <v>75</v>
      </c>
      <c r="R383" s="48">
        <f>HEX2DEC(RIGHT(Table13232127535868[[#This Row],[h2]],8))</f>
        <v>0</v>
      </c>
    </row>
    <row r="384" spans="1:18">
      <c r="A384" s="15" t="str">
        <f t="shared" si="10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8" t="s">
        <v>75</v>
      </c>
      <c r="P384" s="48">
        <f>HEX2DEC(RIGHT(Table13232127535868[[#This Row],[h1]],8))</f>
        <v>0</v>
      </c>
      <c r="Q384" s="48" t="s">
        <v>75</v>
      </c>
      <c r="R384" s="48">
        <f>HEX2DEC(RIGHT(Table13232127535868[[#This Row],[h2]],8))</f>
        <v>0</v>
      </c>
    </row>
    <row r="385" spans="1:18">
      <c r="A385" s="15" t="str">
        <f t="shared" si="10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8" t="s">
        <v>75</v>
      </c>
      <c r="P385" s="48">
        <f>HEX2DEC(RIGHT(Table13232127535868[[#This Row],[h1]],8))</f>
        <v>0</v>
      </c>
      <c r="Q385" s="48" t="s">
        <v>75</v>
      </c>
      <c r="R385" s="48">
        <f>HEX2DEC(RIGHT(Table13232127535868[[#This Row],[h2]],8))</f>
        <v>0</v>
      </c>
    </row>
    <row r="386" spans="1:18">
      <c r="A386" s="15" t="str">
        <f t="shared" si="10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8" t="s">
        <v>75</v>
      </c>
      <c r="P386" s="48">
        <f>HEX2DEC(RIGHT(Table13232127535868[[#This Row],[h1]],8))</f>
        <v>0</v>
      </c>
      <c r="Q386" s="48" t="s">
        <v>75</v>
      </c>
      <c r="R386" s="48">
        <f>HEX2DEC(RIGHT(Table13232127535868[[#This Row],[h2]],8))</f>
        <v>0</v>
      </c>
    </row>
    <row r="387" spans="1:18">
      <c r="A387" s="15" t="str">
        <f t="shared" si="10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8" t="s">
        <v>75</v>
      </c>
      <c r="P387" s="48">
        <f>HEX2DEC(RIGHT(Table13232127535868[[#This Row],[h1]],8))</f>
        <v>0</v>
      </c>
      <c r="Q387" s="48" t="s">
        <v>75</v>
      </c>
      <c r="R387" s="48">
        <f>HEX2DEC(RIGHT(Table13232127535868[[#This Row],[h2]],8))</f>
        <v>0</v>
      </c>
    </row>
    <row r="388" spans="1:18">
      <c r="A388" s="15" t="str">
        <f t="shared" si="10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8" t="s">
        <v>75</v>
      </c>
      <c r="P388" s="48">
        <f>HEX2DEC(RIGHT(Table13232127535868[[#This Row],[h1]],8))</f>
        <v>0</v>
      </c>
      <c r="Q388" s="48" t="s">
        <v>75</v>
      </c>
      <c r="R388" s="48">
        <f>HEX2DEC(RIGHT(Table13232127535868[[#This Row],[h2]],8))</f>
        <v>0</v>
      </c>
    </row>
    <row r="389" spans="1:18">
      <c r="A389" s="15" t="str">
        <f t="shared" si="10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8" t="s">
        <v>75</v>
      </c>
      <c r="P389" s="48">
        <f>HEX2DEC(RIGHT(Table13232127535868[[#This Row],[h1]],8))</f>
        <v>0</v>
      </c>
      <c r="Q389" s="48" t="s">
        <v>75</v>
      </c>
      <c r="R389" s="48">
        <f>HEX2DEC(RIGHT(Table13232127535868[[#This Row],[h2]],8))</f>
        <v>0</v>
      </c>
    </row>
    <row r="390" spans="1:18">
      <c r="A390" s="15" t="str">
        <f t="shared" si="10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8" t="s">
        <v>75</v>
      </c>
      <c r="P390" s="48">
        <f>HEX2DEC(RIGHT(Table13232127535868[[#This Row],[h1]],8))</f>
        <v>0</v>
      </c>
      <c r="Q390" s="48" t="s">
        <v>75</v>
      </c>
      <c r="R390" s="48">
        <f>HEX2DEC(RIGHT(Table13232127535868[[#This Row],[h2]],8))</f>
        <v>0</v>
      </c>
    </row>
    <row r="391" spans="1:18">
      <c r="A391" s="15" t="str">
        <f t="shared" si="10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8" t="s">
        <v>75</v>
      </c>
      <c r="P391" s="48">
        <f>HEX2DEC(RIGHT(Table13232127535868[[#This Row],[h1]],8))</f>
        <v>0</v>
      </c>
      <c r="Q391" s="48" t="s">
        <v>75</v>
      </c>
      <c r="R391" s="48">
        <f>HEX2DEC(RIGHT(Table13232127535868[[#This Row],[h2]],8))</f>
        <v>0</v>
      </c>
    </row>
    <row r="392" spans="1:18">
      <c r="A392" s="15" t="str">
        <f t="shared" si="10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8" t="s">
        <v>75</v>
      </c>
      <c r="P392" s="48">
        <f>HEX2DEC(RIGHT(Table13232127535868[[#This Row],[h1]],8))</f>
        <v>0</v>
      </c>
      <c r="Q392" s="48" t="s">
        <v>75</v>
      </c>
      <c r="R392" s="48">
        <f>HEX2DEC(RIGHT(Table13232127535868[[#This Row],[h2]],8))</f>
        <v>0</v>
      </c>
    </row>
    <row r="393" spans="1:18">
      <c r="A393" s="15" t="str">
        <f t="shared" si="10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8" t="s">
        <v>75</v>
      </c>
      <c r="P393" s="48">
        <f>HEX2DEC(RIGHT(Table13232127535868[[#This Row],[h1]],8))</f>
        <v>0</v>
      </c>
      <c r="Q393" s="48" t="s">
        <v>75</v>
      </c>
      <c r="R393" s="48">
        <f>HEX2DEC(RIGHT(Table13232127535868[[#This Row],[h2]],8))</f>
        <v>0</v>
      </c>
    </row>
    <row r="394" spans="1:18">
      <c r="A394" s="15" t="str">
        <f t="shared" si="10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8" t="s">
        <v>75</v>
      </c>
      <c r="P394" s="48">
        <f>HEX2DEC(RIGHT(Table13232127535868[[#This Row],[h1]],8))</f>
        <v>0</v>
      </c>
      <c r="Q394" s="48" t="s">
        <v>75</v>
      </c>
      <c r="R394" s="48">
        <f>HEX2DEC(RIGHT(Table13232127535868[[#This Row],[h2]],8))</f>
        <v>0</v>
      </c>
    </row>
    <row r="395" spans="1:18">
      <c r="A395" s="15" t="str">
        <f t="shared" ref="A395:A458" si="11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8" t="s">
        <v>75</v>
      </c>
      <c r="P395" s="48">
        <f>HEX2DEC(RIGHT(Table13232127535868[[#This Row],[h1]],8))</f>
        <v>0</v>
      </c>
      <c r="Q395" s="48" t="s">
        <v>75</v>
      </c>
      <c r="R395" s="48">
        <f>HEX2DEC(RIGHT(Table13232127535868[[#This Row],[h2]],8))</f>
        <v>0</v>
      </c>
    </row>
    <row r="396" spans="1:18">
      <c r="A396" s="15" t="str">
        <f t="shared" si="11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8" t="s">
        <v>75</v>
      </c>
      <c r="P396" s="48">
        <f>HEX2DEC(RIGHT(Table13232127535868[[#This Row],[h1]],8))</f>
        <v>0</v>
      </c>
      <c r="Q396" s="48" t="s">
        <v>75</v>
      </c>
      <c r="R396" s="48">
        <f>HEX2DEC(RIGHT(Table13232127535868[[#This Row],[h2]],8))</f>
        <v>0</v>
      </c>
    </row>
    <row r="397" spans="1:18">
      <c r="A397" s="15" t="str">
        <f t="shared" si="11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8" t="s">
        <v>75</v>
      </c>
      <c r="P397" s="48">
        <f>HEX2DEC(RIGHT(Table13232127535868[[#This Row],[h1]],8))</f>
        <v>0</v>
      </c>
      <c r="Q397" s="48" t="s">
        <v>75</v>
      </c>
      <c r="R397" s="48">
        <f>HEX2DEC(RIGHT(Table13232127535868[[#This Row],[h2]],8))</f>
        <v>0</v>
      </c>
    </row>
    <row r="398" spans="1:18">
      <c r="A398" s="15" t="str">
        <f t="shared" si="11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8" t="s">
        <v>75</v>
      </c>
      <c r="P398" s="48">
        <f>HEX2DEC(RIGHT(Table13232127535868[[#This Row],[h1]],8))</f>
        <v>0</v>
      </c>
      <c r="Q398" s="48" t="s">
        <v>75</v>
      </c>
      <c r="R398" s="48">
        <f>HEX2DEC(RIGHT(Table13232127535868[[#This Row],[h2]],8))</f>
        <v>0</v>
      </c>
    </row>
    <row r="399" spans="1:18">
      <c r="A399" s="15" t="str">
        <f t="shared" si="11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8" t="s">
        <v>75</v>
      </c>
      <c r="P399" s="48">
        <f>HEX2DEC(RIGHT(Table13232127535868[[#This Row],[h1]],8))</f>
        <v>0</v>
      </c>
      <c r="Q399" s="48" t="s">
        <v>75</v>
      </c>
      <c r="R399" s="48">
        <f>HEX2DEC(RIGHT(Table13232127535868[[#This Row],[h2]],8))</f>
        <v>0</v>
      </c>
    </row>
    <row r="400" spans="1:18">
      <c r="A400" s="15" t="str">
        <f t="shared" si="11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8" t="s">
        <v>75</v>
      </c>
      <c r="P400" s="48">
        <f>HEX2DEC(RIGHT(Table13232127535868[[#This Row],[h1]],8))</f>
        <v>0</v>
      </c>
      <c r="Q400" s="48" t="s">
        <v>75</v>
      </c>
      <c r="R400" s="48">
        <f>HEX2DEC(RIGHT(Table13232127535868[[#This Row],[h2]],8))</f>
        <v>0</v>
      </c>
    </row>
    <row r="401" spans="1:18">
      <c r="A401" s="15" t="str">
        <f t="shared" si="11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8" t="s">
        <v>75</v>
      </c>
      <c r="P401" s="48">
        <f>HEX2DEC(RIGHT(Table13232127535868[[#This Row],[h1]],8))</f>
        <v>0</v>
      </c>
      <c r="Q401" s="48" t="s">
        <v>75</v>
      </c>
      <c r="R401" s="48">
        <f>HEX2DEC(RIGHT(Table13232127535868[[#This Row],[h2]],8))</f>
        <v>0</v>
      </c>
    </row>
    <row r="402" spans="1:18">
      <c r="A402" s="15" t="str">
        <f t="shared" si="11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8" t="s">
        <v>75</v>
      </c>
      <c r="P402" s="48">
        <f>HEX2DEC(RIGHT(Table13232127535868[[#This Row],[h1]],8))</f>
        <v>0</v>
      </c>
      <c r="Q402" s="48" t="s">
        <v>75</v>
      </c>
      <c r="R402" s="48">
        <f>HEX2DEC(RIGHT(Table13232127535868[[#This Row],[h2]],8))</f>
        <v>0</v>
      </c>
    </row>
    <row r="403" spans="1:18">
      <c r="A403" s="15" t="str">
        <f t="shared" si="11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8" t="s">
        <v>75</v>
      </c>
      <c r="P403" s="48">
        <f>HEX2DEC(RIGHT(Table13232127535868[[#This Row],[h1]],8))</f>
        <v>0</v>
      </c>
      <c r="Q403" s="48" t="s">
        <v>75</v>
      </c>
      <c r="R403" s="48">
        <f>HEX2DEC(RIGHT(Table13232127535868[[#This Row],[h2]],8))</f>
        <v>0</v>
      </c>
    </row>
    <row r="404" spans="1:18">
      <c r="A404" s="15" t="str">
        <f t="shared" si="11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8" t="s">
        <v>75</v>
      </c>
      <c r="P404" s="48">
        <f>HEX2DEC(RIGHT(Table13232127535868[[#This Row],[h1]],8))</f>
        <v>0</v>
      </c>
      <c r="Q404" s="48" t="s">
        <v>75</v>
      </c>
      <c r="R404" s="48">
        <f>HEX2DEC(RIGHT(Table13232127535868[[#This Row],[h2]],8))</f>
        <v>0</v>
      </c>
    </row>
    <row r="405" spans="1:18">
      <c r="A405" s="15" t="str">
        <f t="shared" si="11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8" t="s">
        <v>75</v>
      </c>
      <c r="P405" s="48">
        <f>HEX2DEC(RIGHT(Table13232127535868[[#This Row],[h1]],8))</f>
        <v>0</v>
      </c>
      <c r="Q405" s="48" t="s">
        <v>75</v>
      </c>
      <c r="R405" s="48">
        <f>HEX2DEC(RIGHT(Table13232127535868[[#This Row],[h2]],8))</f>
        <v>0</v>
      </c>
    </row>
    <row r="406" spans="1:18">
      <c r="A406" s="15" t="str">
        <f t="shared" si="11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8" t="s">
        <v>75</v>
      </c>
      <c r="P406" s="48">
        <f>HEX2DEC(RIGHT(Table13232127535868[[#This Row],[h1]],8))</f>
        <v>0</v>
      </c>
      <c r="Q406" s="48" t="s">
        <v>75</v>
      </c>
      <c r="R406" s="48">
        <f>HEX2DEC(RIGHT(Table13232127535868[[#This Row],[h2]],8))</f>
        <v>0</v>
      </c>
    </row>
    <row r="407" spans="1:18">
      <c r="A407" s="15" t="str">
        <f t="shared" si="11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8" t="s">
        <v>75</v>
      </c>
      <c r="P407" s="48">
        <f>HEX2DEC(RIGHT(Table13232127535868[[#This Row],[h1]],8))</f>
        <v>0</v>
      </c>
      <c r="Q407" s="48" t="s">
        <v>75</v>
      </c>
      <c r="R407" s="48">
        <f>HEX2DEC(RIGHT(Table13232127535868[[#This Row],[h2]],8))</f>
        <v>0</v>
      </c>
    </row>
    <row r="408" spans="1:18">
      <c r="A408" s="15" t="str">
        <f t="shared" si="11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8" t="s">
        <v>75</v>
      </c>
      <c r="P408" s="48">
        <f>HEX2DEC(RIGHT(Table13232127535868[[#This Row],[h1]],8))</f>
        <v>0</v>
      </c>
      <c r="Q408" s="48" t="s">
        <v>75</v>
      </c>
      <c r="R408" s="48">
        <f>HEX2DEC(RIGHT(Table13232127535868[[#This Row],[h2]],8))</f>
        <v>0</v>
      </c>
    </row>
    <row r="409" spans="1:18">
      <c r="A409" s="15" t="str">
        <f t="shared" si="11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8" t="s">
        <v>75</v>
      </c>
      <c r="P409" s="48">
        <f>HEX2DEC(RIGHT(Table13232127535868[[#This Row],[h1]],8))</f>
        <v>0</v>
      </c>
      <c r="Q409" s="48" t="s">
        <v>75</v>
      </c>
      <c r="R409" s="48">
        <f>HEX2DEC(RIGHT(Table13232127535868[[#This Row],[h2]],8))</f>
        <v>0</v>
      </c>
    </row>
    <row r="410" spans="1:18">
      <c r="A410" s="15" t="str">
        <f t="shared" si="11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8" t="s">
        <v>75</v>
      </c>
      <c r="P410" s="48">
        <f>HEX2DEC(RIGHT(Table13232127535868[[#This Row],[h1]],8))</f>
        <v>0</v>
      </c>
      <c r="Q410" s="48" t="s">
        <v>75</v>
      </c>
      <c r="R410" s="48">
        <f>HEX2DEC(RIGHT(Table13232127535868[[#This Row],[h2]],8))</f>
        <v>0</v>
      </c>
    </row>
    <row r="411" spans="1:18">
      <c r="A411" s="15" t="str">
        <f t="shared" si="11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8" t="s">
        <v>75</v>
      </c>
      <c r="P411" s="48">
        <f>HEX2DEC(RIGHT(Table13232127535868[[#This Row],[h1]],8))</f>
        <v>0</v>
      </c>
      <c r="Q411" s="48" t="s">
        <v>75</v>
      </c>
      <c r="R411" s="48">
        <f>HEX2DEC(RIGHT(Table13232127535868[[#This Row],[h2]],8))</f>
        <v>0</v>
      </c>
    </row>
    <row r="412" spans="1:18">
      <c r="A412" s="15" t="str">
        <f t="shared" si="11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8" t="s">
        <v>75</v>
      </c>
      <c r="P412" s="48">
        <f>HEX2DEC(RIGHT(Table13232127535868[[#This Row],[h1]],8))</f>
        <v>0</v>
      </c>
      <c r="Q412" s="48" t="s">
        <v>75</v>
      </c>
      <c r="R412" s="48">
        <f>HEX2DEC(RIGHT(Table13232127535868[[#This Row],[h2]],8))</f>
        <v>0</v>
      </c>
    </row>
    <row r="413" spans="1:18">
      <c r="A413" s="15" t="str">
        <f t="shared" si="11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8" t="s">
        <v>75</v>
      </c>
      <c r="P413" s="48">
        <f>HEX2DEC(RIGHT(Table13232127535868[[#This Row],[h1]],8))</f>
        <v>0</v>
      </c>
      <c r="Q413" s="48" t="s">
        <v>75</v>
      </c>
      <c r="R413" s="48">
        <f>HEX2DEC(RIGHT(Table13232127535868[[#This Row],[h2]],8))</f>
        <v>0</v>
      </c>
    </row>
    <row r="414" spans="1:18">
      <c r="A414" s="15" t="str">
        <f t="shared" si="11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8" t="s">
        <v>75</v>
      </c>
      <c r="P414" s="48">
        <f>HEX2DEC(RIGHT(Table13232127535868[[#This Row],[h1]],8))</f>
        <v>0</v>
      </c>
      <c r="Q414" s="48" t="s">
        <v>75</v>
      </c>
      <c r="R414" s="48">
        <f>HEX2DEC(RIGHT(Table13232127535868[[#This Row],[h2]],8))</f>
        <v>0</v>
      </c>
    </row>
    <row r="415" spans="1:18">
      <c r="A415" s="15" t="str">
        <f t="shared" si="11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8" t="s">
        <v>75</v>
      </c>
      <c r="P415" s="48">
        <f>HEX2DEC(RIGHT(Table13232127535868[[#This Row],[h1]],8))</f>
        <v>0</v>
      </c>
      <c r="Q415" s="48" t="s">
        <v>75</v>
      </c>
      <c r="R415" s="48">
        <f>HEX2DEC(RIGHT(Table13232127535868[[#This Row],[h2]],8))</f>
        <v>0</v>
      </c>
    </row>
    <row r="416" spans="1:18">
      <c r="A416" s="15" t="str">
        <f t="shared" si="11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8" t="s">
        <v>75</v>
      </c>
      <c r="P416" s="48">
        <f>HEX2DEC(RIGHT(Table13232127535868[[#This Row],[h1]],8))</f>
        <v>0</v>
      </c>
      <c r="Q416" s="48" t="s">
        <v>75</v>
      </c>
      <c r="R416" s="48">
        <f>HEX2DEC(RIGHT(Table13232127535868[[#This Row],[h2]],8))</f>
        <v>0</v>
      </c>
    </row>
    <row r="417" spans="1:18">
      <c r="A417" s="15" t="str">
        <f t="shared" si="11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8" t="s">
        <v>75</v>
      </c>
      <c r="P417" s="48">
        <f>HEX2DEC(RIGHT(Table13232127535868[[#This Row],[h1]],8))</f>
        <v>0</v>
      </c>
      <c r="Q417" s="48" t="s">
        <v>75</v>
      </c>
      <c r="R417" s="48">
        <f>HEX2DEC(RIGHT(Table13232127535868[[#This Row],[h2]],8))</f>
        <v>0</v>
      </c>
    </row>
    <row r="418" spans="1:18">
      <c r="A418" s="15" t="str">
        <f t="shared" si="11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8" t="s">
        <v>75</v>
      </c>
      <c r="P418" s="48">
        <f>HEX2DEC(RIGHT(Table13232127535868[[#This Row],[h1]],8))</f>
        <v>0</v>
      </c>
      <c r="Q418" s="48" t="s">
        <v>75</v>
      </c>
      <c r="R418" s="48">
        <f>HEX2DEC(RIGHT(Table13232127535868[[#This Row],[h2]],8))</f>
        <v>0</v>
      </c>
    </row>
    <row r="419" spans="1:18">
      <c r="A419" s="15" t="str">
        <f t="shared" si="11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8" t="s">
        <v>75</v>
      </c>
      <c r="P419" s="48">
        <f>HEX2DEC(RIGHT(Table13232127535868[[#This Row],[h1]],8))</f>
        <v>0</v>
      </c>
      <c r="Q419" s="48" t="s">
        <v>75</v>
      </c>
      <c r="R419" s="48">
        <f>HEX2DEC(RIGHT(Table13232127535868[[#This Row],[h2]],8))</f>
        <v>0</v>
      </c>
    </row>
    <row r="420" spans="1:18">
      <c r="A420" s="15" t="str">
        <f t="shared" si="11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8" t="s">
        <v>75</v>
      </c>
      <c r="P420" s="48">
        <f>HEX2DEC(RIGHT(Table13232127535868[[#This Row],[h1]],8))</f>
        <v>0</v>
      </c>
      <c r="Q420" s="48" t="s">
        <v>75</v>
      </c>
      <c r="R420" s="48">
        <f>HEX2DEC(RIGHT(Table13232127535868[[#This Row],[h2]],8))</f>
        <v>0</v>
      </c>
    </row>
    <row r="421" spans="1:18">
      <c r="A421" s="15" t="str">
        <f t="shared" si="11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8" t="s">
        <v>75</v>
      </c>
      <c r="P421" s="48">
        <f>HEX2DEC(RIGHT(Table13232127535868[[#This Row],[h1]],8))</f>
        <v>0</v>
      </c>
      <c r="Q421" s="48" t="s">
        <v>75</v>
      </c>
      <c r="R421" s="48">
        <f>HEX2DEC(RIGHT(Table13232127535868[[#This Row],[h2]],8))</f>
        <v>0</v>
      </c>
    </row>
    <row r="422" spans="1:18">
      <c r="A422" s="15" t="str">
        <f t="shared" si="11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8" t="s">
        <v>75</v>
      </c>
      <c r="P422" s="48">
        <f>HEX2DEC(RIGHT(Table13232127535868[[#This Row],[h1]],8))</f>
        <v>0</v>
      </c>
      <c r="Q422" s="48" t="s">
        <v>75</v>
      </c>
      <c r="R422" s="48">
        <f>HEX2DEC(RIGHT(Table13232127535868[[#This Row],[h2]],8))</f>
        <v>0</v>
      </c>
    </row>
    <row r="423" spans="1:18">
      <c r="A423" s="15" t="str">
        <f t="shared" si="11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8" t="s">
        <v>75</v>
      </c>
      <c r="P423" s="48">
        <f>HEX2DEC(RIGHT(Table13232127535868[[#This Row],[h1]],8))</f>
        <v>0</v>
      </c>
      <c r="Q423" s="48" t="s">
        <v>75</v>
      </c>
      <c r="R423" s="48">
        <f>HEX2DEC(RIGHT(Table13232127535868[[#This Row],[h2]],8))</f>
        <v>0</v>
      </c>
    </row>
    <row r="424" spans="1:18">
      <c r="A424" s="15" t="str">
        <f t="shared" si="11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8" t="s">
        <v>75</v>
      </c>
      <c r="P424" s="48">
        <f>HEX2DEC(RIGHT(Table13232127535868[[#This Row],[h1]],8))</f>
        <v>0</v>
      </c>
      <c r="Q424" s="48" t="s">
        <v>75</v>
      </c>
      <c r="R424" s="48">
        <f>HEX2DEC(RIGHT(Table13232127535868[[#This Row],[h2]],8))</f>
        <v>0</v>
      </c>
    </row>
    <row r="425" spans="1:18">
      <c r="A425" s="15" t="str">
        <f t="shared" si="11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8" t="s">
        <v>75</v>
      </c>
      <c r="P425" s="48">
        <f>HEX2DEC(RIGHT(Table13232127535868[[#This Row],[h1]],8))</f>
        <v>0</v>
      </c>
      <c r="Q425" s="48" t="s">
        <v>75</v>
      </c>
      <c r="R425" s="48">
        <f>HEX2DEC(RIGHT(Table13232127535868[[#This Row],[h2]],8))</f>
        <v>0</v>
      </c>
    </row>
    <row r="426" spans="1:18">
      <c r="A426" s="15" t="str">
        <f t="shared" si="11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8" t="s">
        <v>75</v>
      </c>
      <c r="P426" s="48">
        <f>HEX2DEC(RIGHT(Table13232127535868[[#This Row],[h1]],8))</f>
        <v>0</v>
      </c>
      <c r="Q426" s="48" t="s">
        <v>75</v>
      </c>
      <c r="R426" s="48">
        <f>HEX2DEC(RIGHT(Table13232127535868[[#This Row],[h2]],8))</f>
        <v>0</v>
      </c>
    </row>
    <row r="427" spans="1:18">
      <c r="A427" s="15" t="str">
        <f t="shared" si="11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8" t="s">
        <v>75</v>
      </c>
      <c r="P427" s="48">
        <f>HEX2DEC(RIGHT(Table13232127535868[[#This Row],[h1]],8))</f>
        <v>0</v>
      </c>
      <c r="Q427" s="48" t="s">
        <v>75</v>
      </c>
      <c r="R427" s="48">
        <f>HEX2DEC(RIGHT(Table13232127535868[[#This Row],[h2]],8))</f>
        <v>0</v>
      </c>
    </row>
    <row r="428" spans="1:18">
      <c r="A428" s="15" t="str">
        <f t="shared" si="11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8" t="s">
        <v>75</v>
      </c>
      <c r="P428" s="48">
        <f>HEX2DEC(RIGHT(Table13232127535868[[#This Row],[h1]],8))</f>
        <v>0</v>
      </c>
      <c r="Q428" s="48" t="s">
        <v>75</v>
      </c>
      <c r="R428" s="48">
        <f>HEX2DEC(RIGHT(Table13232127535868[[#This Row],[h2]],8))</f>
        <v>0</v>
      </c>
    </row>
    <row r="429" spans="1:18">
      <c r="A429" s="15" t="str">
        <f t="shared" si="11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8" t="s">
        <v>75</v>
      </c>
      <c r="P429" s="48">
        <f>HEX2DEC(RIGHT(Table13232127535868[[#This Row],[h1]],8))</f>
        <v>0</v>
      </c>
      <c r="Q429" s="48" t="s">
        <v>75</v>
      </c>
      <c r="R429" s="48">
        <f>HEX2DEC(RIGHT(Table13232127535868[[#This Row],[h2]],8))</f>
        <v>0</v>
      </c>
    </row>
    <row r="430" spans="1:18">
      <c r="A430" s="15" t="str">
        <f t="shared" si="11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8" t="s">
        <v>75</v>
      </c>
      <c r="P430" s="48">
        <f>HEX2DEC(RIGHT(Table13232127535868[[#This Row],[h1]],8))</f>
        <v>0</v>
      </c>
      <c r="Q430" s="48" t="s">
        <v>75</v>
      </c>
      <c r="R430" s="48">
        <f>HEX2DEC(RIGHT(Table13232127535868[[#This Row],[h2]],8))</f>
        <v>0</v>
      </c>
    </row>
    <row r="431" spans="1:18">
      <c r="A431" s="15" t="str">
        <f t="shared" si="11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8" t="s">
        <v>75</v>
      </c>
      <c r="P431" s="48">
        <f>HEX2DEC(RIGHT(Table13232127535868[[#This Row],[h1]],8))</f>
        <v>0</v>
      </c>
      <c r="Q431" s="48" t="s">
        <v>75</v>
      </c>
      <c r="R431" s="48">
        <f>HEX2DEC(RIGHT(Table13232127535868[[#This Row],[h2]],8))</f>
        <v>0</v>
      </c>
    </row>
    <row r="432" spans="1:18">
      <c r="A432" s="15" t="str">
        <f t="shared" si="11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8" t="s">
        <v>75</v>
      </c>
      <c r="P432" s="48">
        <f>HEX2DEC(RIGHT(Table13232127535868[[#This Row],[h1]],8))</f>
        <v>0</v>
      </c>
      <c r="Q432" s="48" t="s">
        <v>75</v>
      </c>
      <c r="R432" s="48">
        <f>HEX2DEC(RIGHT(Table13232127535868[[#This Row],[h2]],8))</f>
        <v>0</v>
      </c>
    </row>
    <row r="433" spans="1:18">
      <c r="A433" s="15" t="str">
        <f t="shared" si="11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8" t="s">
        <v>75</v>
      </c>
      <c r="P433" s="48">
        <f>HEX2DEC(RIGHT(Table13232127535868[[#This Row],[h1]],8))</f>
        <v>0</v>
      </c>
      <c r="Q433" s="48" t="s">
        <v>75</v>
      </c>
      <c r="R433" s="48">
        <f>HEX2DEC(RIGHT(Table13232127535868[[#This Row],[h2]],8))</f>
        <v>0</v>
      </c>
    </row>
    <row r="434" spans="1:18">
      <c r="A434" s="15" t="str">
        <f t="shared" si="11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8" t="s">
        <v>75</v>
      </c>
      <c r="P434" s="48">
        <f>HEX2DEC(RIGHT(Table13232127535868[[#This Row],[h1]],8))</f>
        <v>0</v>
      </c>
      <c r="Q434" s="48" t="s">
        <v>75</v>
      </c>
      <c r="R434" s="48">
        <f>HEX2DEC(RIGHT(Table13232127535868[[#This Row],[h2]],8))</f>
        <v>0</v>
      </c>
    </row>
    <row r="435" spans="1:18">
      <c r="A435" s="15" t="str">
        <f t="shared" si="11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8" t="s">
        <v>75</v>
      </c>
      <c r="P435" s="48">
        <f>HEX2DEC(RIGHT(Table13232127535868[[#This Row],[h1]],8))</f>
        <v>0</v>
      </c>
      <c r="Q435" s="48" t="s">
        <v>75</v>
      </c>
      <c r="R435" s="48">
        <f>HEX2DEC(RIGHT(Table13232127535868[[#This Row],[h2]],8))</f>
        <v>0</v>
      </c>
    </row>
    <row r="436" spans="1:18">
      <c r="A436" s="15" t="str">
        <f t="shared" si="11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8" t="s">
        <v>75</v>
      </c>
      <c r="P436" s="48">
        <f>HEX2DEC(RIGHT(Table13232127535868[[#This Row],[h1]],8))</f>
        <v>0</v>
      </c>
      <c r="Q436" s="48" t="s">
        <v>75</v>
      </c>
      <c r="R436" s="48">
        <f>HEX2DEC(RIGHT(Table13232127535868[[#This Row],[h2]],8))</f>
        <v>0</v>
      </c>
    </row>
    <row r="437" spans="1:18">
      <c r="A437" s="15" t="str">
        <f t="shared" si="11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8" t="s">
        <v>75</v>
      </c>
      <c r="P437" s="48">
        <f>HEX2DEC(RIGHT(Table13232127535868[[#This Row],[h1]],8))</f>
        <v>0</v>
      </c>
      <c r="Q437" s="48" t="s">
        <v>75</v>
      </c>
      <c r="R437" s="48">
        <f>HEX2DEC(RIGHT(Table13232127535868[[#This Row],[h2]],8))</f>
        <v>0</v>
      </c>
    </row>
    <row r="438" spans="1:18">
      <c r="A438" s="15" t="str">
        <f t="shared" si="11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8" t="s">
        <v>75</v>
      </c>
      <c r="P438" s="48">
        <f>HEX2DEC(RIGHT(Table13232127535868[[#This Row],[h1]],8))</f>
        <v>0</v>
      </c>
      <c r="Q438" s="48" t="s">
        <v>75</v>
      </c>
      <c r="R438" s="48">
        <f>HEX2DEC(RIGHT(Table13232127535868[[#This Row],[h2]],8))</f>
        <v>0</v>
      </c>
    </row>
    <row r="439" spans="1:18">
      <c r="A439" s="15" t="str">
        <f t="shared" si="11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8" t="s">
        <v>75</v>
      </c>
      <c r="P439" s="48">
        <f>HEX2DEC(RIGHT(Table13232127535868[[#This Row],[h1]],8))</f>
        <v>0</v>
      </c>
      <c r="Q439" s="48" t="s">
        <v>75</v>
      </c>
      <c r="R439" s="48">
        <f>HEX2DEC(RIGHT(Table13232127535868[[#This Row],[h2]],8))</f>
        <v>0</v>
      </c>
    </row>
    <row r="440" spans="1:18">
      <c r="A440" s="15" t="str">
        <f t="shared" si="11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8" t="s">
        <v>75</v>
      </c>
      <c r="P440" s="48">
        <f>HEX2DEC(RIGHT(Table13232127535868[[#This Row],[h1]],8))</f>
        <v>0</v>
      </c>
      <c r="Q440" s="48" t="s">
        <v>75</v>
      </c>
      <c r="R440" s="48">
        <f>HEX2DEC(RIGHT(Table13232127535868[[#This Row],[h2]],8))</f>
        <v>0</v>
      </c>
    </row>
    <row r="441" spans="1:18">
      <c r="A441" s="15" t="str">
        <f t="shared" si="11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8" t="s">
        <v>75</v>
      </c>
      <c r="P441" s="48">
        <f>HEX2DEC(RIGHT(Table13232127535868[[#This Row],[h1]],8))</f>
        <v>0</v>
      </c>
      <c r="Q441" s="48" t="s">
        <v>75</v>
      </c>
      <c r="R441" s="48">
        <f>HEX2DEC(RIGHT(Table13232127535868[[#This Row],[h2]],8))</f>
        <v>0</v>
      </c>
    </row>
    <row r="442" spans="1:18">
      <c r="A442" s="15" t="str">
        <f t="shared" si="11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8" t="s">
        <v>75</v>
      </c>
      <c r="P442" s="48">
        <f>HEX2DEC(RIGHT(Table13232127535868[[#This Row],[h1]],8))</f>
        <v>0</v>
      </c>
      <c r="Q442" s="48" t="s">
        <v>75</v>
      </c>
      <c r="R442" s="48">
        <f>HEX2DEC(RIGHT(Table13232127535868[[#This Row],[h2]],8))</f>
        <v>0</v>
      </c>
    </row>
    <row r="443" spans="1:18">
      <c r="A443" s="15" t="str">
        <f t="shared" si="11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8" t="s">
        <v>75</v>
      </c>
      <c r="P443" s="48">
        <f>HEX2DEC(RIGHT(Table13232127535868[[#This Row],[h1]],8))</f>
        <v>0</v>
      </c>
      <c r="Q443" s="48" t="s">
        <v>75</v>
      </c>
      <c r="R443" s="48">
        <f>HEX2DEC(RIGHT(Table13232127535868[[#This Row],[h2]],8))</f>
        <v>0</v>
      </c>
    </row>
    <row r="444" spans="1:18">
      <c r="A444" s="15" t="str">
        <f t="shared" si="11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8" t="s">
        <v>75</v>
      </c>
      <c r="P444" s="48">
        <f>HEX2DEC(RIGHT(Table13232127535868[[#This Row],[h1]],8))</f>
        <v>0</v>
      </c>
      <c r="Q444" s="48" t="s">
        <v>75</v>
      </c>
      <c r="R444" s="48">
        <f>HEX2DEC(RIGHT(Table13232127535868[[#This Row],[h2]],8))</f>
        <v>0</v>
      </c>
    </row>
    <row r="445" spans="1:18">
      <c r="A445" s="15" t="str">
        <f t="shared" si="11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8" t="s">
        <v>75</v>
      </c>
      <c r="P445" s="48">
        <f>HEX2DEC(RIGHT(Table13232127535868[[#This Row],[h1]],8))</f>
        <v>0</v>
      </c>
      <c r="Q445" s="48" t="s">
        <v>75</v>
      </c>
      <c r="R445" s="48">
        <f>HEX2DEC(RIGHT(Table13232127535868[[#This Row],[h2]],8))</f>
        <v>0</v>
      </c>
    </row>
    <row r="446" spans="1:18">
      <c r="A446" s="15" t="str">
        <f t="shared" si="11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8" t="s">
        <v>75</v>
      </c>
      <c r="P446" s="48">
        <f>HEX2DEC(RIGHT(Table13232127535868[[#This Row],[h1]],8))</f>
        <v>0</v>
      </c>
      <c r="Q446" s="48" t="s">
        <v>75</v>
      </c>
      <c r="R446" s="48">
        <f>HEX2DEC(RIGHT(Table13232127535868[[#This Row],[h2]],8))</f>
        <v>0</v>
      </c>
    </row>
    <row r="447" spans="1:18">
      <c r="A447" s="15" t="str">
        <f t="shared" si="11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8" t="s">
        <v>75</v>
      </c>
      <c r="P447" s="48">
        <f>HEX2DEC(RIGHT(Table13232127535868[[#This Row],[h1]],8))</f>
        <v>0</v>
      </c>
      <c r="Q447" s="48" t="s">
        <v>75</v>
      </c>
      <c r="R447" s="48">
        <f>HEX2DEC(RIGHT(Table13232127535868[[#This Row],[h2]],8))</f>
        <v>0</v>
      </c>
    </row>
    <row r="448" spans="1:18">
      <c r="A448" s="15" t="str">
        <f t="shared" si="11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8" t="s">
        <v>75</v>
      </c>
      <c r="P448" s="48">
        <f>HEX2DEC(RIGHT(Table13232127535868[[#This Row],[h1]],8))</f>
        <v>0</v>
      </c>
      <c r="Q448" s="48" t="s">
        <v>75</v>
      </c>
      <c r="R448" s="48">
        <f>HEX2DEC(RIGHT(Table13232127535868[[#This Row],[h2]],8))</f>
        <v>0</v>
      </c>
    </row>
    <row r="449" spans="1:18">
      <c r="A449" s="15" t="str">
        <f t="shared" si="11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8" t="s">
        <v>75</v>
      </c>
      <c r="P449" s="48">
        <f>HEX2DEC(RIGHT(Table13232127535868[[#This Row],[h1]],8))</f>
        <v>0</v>
      </c>
      <c r="Q449" s="48" t="s">
        <v>75</v>
      </c>
      <c r="R449" s="48">
        <f>HEX2DEC(RIGHT(Table13232127535868[[#This Row],[h2]],8))</f>
        <v>0</v>
      </c>
    </row>
    <row r="450" spans="1:18">
      <c r="A450" s="15" t="str">
        <f t="shared" si="11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8" t="s">
        <v>75</v>
      </c>
      <c r="P450" s="48">
        <f>HEX2DEC(RIGHT(Table13232127535868[[#This Row],[h1]],8))</f>
        <v>0</v>
      </c>
      <c r="Q450" s="48" t="s">
        <v>75</v>
      </c>
      <c r="R450" s="48">
        <f>HEX2DEC(RIGHT(Table13232127535868[[#This Row],[h2]],8))</f>
        <v>0</v>
      </c>
    </row>
    <row r="451" spans="1:18">
      <c r="A451" s="15" t="str">
        <f t="shared" si="11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8" t="s">
        <v>75</v>
      </c>
      <c r="P451" s="48">
        <f>HEX2DEC(RIGHT(Table13232127535868[[#This Row],[h1]],8))</f>
        <v>0</v>
      </c>
      <c r="Q451" s="48" t="s">
        <v>75</v>
      </c>
      <c r="R451" s="48">
        <f>HEX2DEC(RIGHT(Table13232127535868[[#This Row],[h2]],8))</f>
        <v>0</v>
      </c>
    </row>
    <row r="452" spans="1:18">
      <c r="A452" s="15" t="str">
        <f t="shared" si="11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8" t="s">
        <v>75</v>
      </c>
      <c r="P452" s="48">
        <f>HEX2DEC(RIGHT(Table13232127535868[[#This Row],[h1]],8))</f>
        <v>0</v>
      </c>
      <c r="Q452" s="48" t="s">
        <v>75</v>
      </c>
      <c r="R452" s="48">
        <f>HEX2DEC(RIGHT(Table13232127535868[[#This Row],[h2]],8))</f>
        <v>0</v>
      </c>
    </row>
    <row r="453" spans="1:18">
      <c r="A453" s="15" t="str">
        <f t="shared" si="11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8" t="s">
        <v>75</v>
      </c>
      <c r="P453" s="48">
        <f>HEX2DEC(RIGHT(Table13232127535868[[#This Row],[h1]],8))</f>
        <v>0</v>
      </c>
      <c r="Q453" s="48" t="s">
        <v>75</v>
      </c>
      <c r="R453" s="48">
        <f>HEX2DEC(RIGHT(Table13232127535868[[#This Row],[h2]],8))</f>
        <v>0</v>
      </c>
    </row>
    <row r="454" spans="1:18">
      <c r="A454" s="15" t="str">
        <f t="shared" si="11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8" t="s">
        <v>75</v>
      </c>
      <c r="P454" s="48">
        <f>HEX2DEC(RIGHT(Table13232127535868[[#This Row],[h1]],8))</f>
        <v>0</v>
      </c>
      <c r="Q454" s="48" t="s">
        <v>75</v>
      </c>
      <c r="R454" s="48">
        <f>HEX2DEC(RIGHT(Table13232127535868[[#This Row],[h2]],8))</f>
        <v>0</v>
      </c>
    </row>
    <row r="455" spans="1:18">
      <c r="A455" s="15" t="str">
        <f t="shared" si="11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8" t="s">
        <v>75</v>
      </c>
      <c r="P455" s="48">
        <f>HEX2DEC(RIGHT(Table13232127535868[[#This Row],[h1]],8))</f>
        <v>0</v>
      </c>
      <c r="Q455" s="48" t="s">
        <v>75</v>
      </c>
      <c r="R455" s="48">
        <f>HEX2DEC(RIGHT(Table13232127535868[[#This Row],[h2]],8))</f>
        <v>0</v>
      </c>
    </row>
    <row r="456" spans="1:18">
      <c r="A456" s="15" t="str">
        <f t="shared" si="11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8" t="s">
        <v>75</v>
      </c>
      <c r="P456" s="48">
        <f>HEX2DEC(RIGHT(Table13232127535868[[#This Row],[h1]],8))</f>
        <v>0</v>
      </c>
      <c r="Q456" s="48" t="s">
        <v>75</v>
      </c>
      <c r="R456" s="48">
        <f>HEX2DEC(RIGHT(Table13232127535868[[#This Row],[h2]],8))</f>
        <v>0</v>
      </c>
    </row>
    <row r="457" spans="1:18">
      <c r="A457" s="15" t="str">
        <f t="shared" si="11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8" t="s">
        <v>75</v>
      </c>
      <c r="P457" s="48">
        <f>HEX2DEC(RIGHT(Table13232127535868[[#This Row],[h1]],8))</f>
        <v>0</v>
      </c>
      <c r="Q457" s="48" t="s">
        <v>75</v>
      </c>
      <c r="R457" s="48">
        <f>HEX2DEC(RIGHT(Table13232127535868[[#This Row],[h2]],8))</f>
        <v>0</v>
      </c>
    </row>
    <row r="458" spans="1:18">
      <c r="A458" s="15" t="str">
        <f t="shared" si="11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8" t="s">
        <v>75</v>
      </c>
      <c r="P458" s="48">
        <f>HEX2DEC(RIGHT(Table13232127535868[[#This Row],[h1]],8))</f>
        <v>0</v>
      </c>
      <c r="Q458" s="48" t="s">
        <v>75</v>
      </c>
      <c r="R458" s="48">
        <f>HEX2DEC(RIGHT(Table13232127535868[[#This Row],[h2]],8))</f>
        <v>0</v>
      </c>
    </row>
    <row r="459" spans="1:18">
      <c r="A459" s="15" t="str">
        <f t="shared" ref="A459:A522" si="12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8" t="s">
        <v>75</v>
      </c>
      <c r="P459" s="48">
        <f>HEX2DEC(RIGHT(Table13232127535868[[#This Row],[h1]],8))</f>
        <v>0</v>
      </c>
      <c r="Q459" s="48" t="s">
        <v>75</v>
      </c>
      <c r="R459" s="48">
        <f>HEX2DEC(RIGHT(Table13232127535868[[#This Row],[h2]],8))</f>
        <v>0</v>
      </c>
    </row>
    <row r="460" spans="1:18">
      <c r="A460" s="15" t="str">
        <f t="shared" si="12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8" t="s">
        <v>75</v>
      </c>
      <c r="P460" s="48">
        <f>HEX2DEC(RIGHT(Table13232127535868[[#This Row],[h1]],8))</f>
        <v>0</v>
      </c>
      <c r="Q460" s="48" t="s">
        <v>75</v>
      </c>
      <c r="R460" s="48">
        <f>HEX2DEC(RIGHT(Table13232127535868[[#This Row],[h2]],8))</f>
        <v>0</v>
      </c>
    </row>
    <row r="461" spans="1:18">
      <c r="A461" s="15" t="str">
        <f t="shared" si="12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8" t="s">
        <v>75</v>
      </c>
      <c r="P461" s="48">
        <f>HEX2DEC(RIGHT(Table13232127535868[[#This Row],[h1]],8))</f>
        <v>0</v>
      </c>
      <c r="Q461" s="48" t="s">
        <v>75</v>
      </c>
      <c r="R461" s="48">
        <f>HEX2DEC(RIGHT(Table13232127535868[[#This Row],[h2]],8))</f>
        <v>0</v>
      </c>
    </row>
    <row r="462" spans="1:18">
      <c r="A462" s="15" t="str">
        <f t="shared" si="12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8" t="s">
        <v>75</v>
      </c>
      <c r="P462" s="48">
        <f>HEX2DEC(RIGHT(Table13232127535868[[#This Row],[h1]],8))</f>
        <v>0</v>
      </c>
      <c r="Q462" s="48" t="s">
        <v>75</v>
      </c>
      <c r="R462" s="48">
        <f>HEX2DEC(RIGHT(Table13232127535868[[#This Row],[h2]],8))</f>
        <v>0</v>
      </c>
    </row>
    <row r="463" spans="1:18">
      <c r="A463" s="15" t="str">
        <f t="shared" si="12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8" t="s">
        <v>75</v>
      </c>
      <c r="P463" s="48">
        <f>HEX2DEC(RIGHT(Table13232127535868[[#This Row],[h1]],8))</f>
        <v>0</v>
      </c>
      <c r="Q463" s="48" t="s">
        <v>75</v>
      </c>
      <c r="R463" s="48">
        <f>HEX2DEC(RIGHT(Table13232127535868[[#This Row],[h2]],8))</f>
        <v>0</v>
      </c>
    </row>
    <row r="464" spans="1:18">
      <c r="A464" s="15" t="str">
        <f t="shared" si="12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8" t="s">
        <v>75</v>
      </c>
      <c r="P464" s="48">
        <f>HEX2DEC(RIGHT(Table13232127535868[[#This Row],[h1]],8))</f>
        <v>0</v>
      </c>
      <c r="Q464" s="48" t="s">
        <v>75</v>
      </c>
      <c r="R464" s="48">
        <f>HEX2DEC(RIGHT(Table13232127535868[[#This Row],[h2]],8))</f>
        <v>0</v>
      </c>
    </row>
    <row r="465" spans="1:18">
      <c r="A465" s="15" t="str">
        <f t="shared" si="12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8" t="s">
        <v>75</v>
      </c>
      <c r="P465" s="48">
        <f>HEX2DEC(RIGHT(Table13232127535868[[#This Row],[h1]],8))</f>
        <v>0</v>
      </c>
      <c r="Q465" s="48" t="s">
        <v>75</v>
      </c>
      <c r="R465" s="48">
        <f>HEX2DEC(RIGHT(Table13232127535868[[#This Row],[h2]],8))</f>
        <v>0</v>
      </c>
    </row>
    <row r="466" spans="1:18">
      <c r="A466" s="15" t="str">
        <f t="shared" si="12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8" t="s">
        <v>75</v>
      </c>
      <c r="P466" s="48">
        <f>HEX2DEC(RIGHT(Table13232127535868[[#This Row],[h1]],8))</f>
        <v>0</v>
      </c>
      <c r="Q466" s="48" t="s">
        <v>75</v>
      </c>
      <c r="R466" s="48">
        <f>HEX2DEC(RIGHT(Table13232127535868[[#This Row],[h2]],8))</f>
        <v>0</v>
      </c>
    </row>
    <row r="467" spans="1:18">
      <c r="A467" s="15" t="str">
        <f t="shared" si="12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8" t="s">
        <v>75</v>
      </c>
      <c r="P467" s="48">
        <f>HEX2DEC(RIGHT(Table13232127535868[[#This Row],[h1]],8))</f>
        <v>0</v>
      </c>
      <c r="Q467" s="48" t="s">
        <v>75</v>
      </c>
      <c r="R467" s="48">
        <f>HEX2DEC(RIGHT(Table13232127535868[[#This Row],[h2]],8))</f>
        <v>0</v>
      </c>
    </row>
    <row r="468" spans="1:18">
      <c r="A468" s="15" t="str">
        <f t="shared" si="12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8" t="s">
        <v>75</v>
      </c>
      <c r="P468" s="48">
        <f>HEX2DEC(RIGHT(Table13232127535868[[#This Row],[h1]],8))</f>
        <v>0</v>
      </c>
      <c r="Q468" s="48" t="s">
        <v>75</v>
      </c>
      <c r="R468" s="48">
        <f>HEX2DEC(RIGHT(Table13232127535868[[#This Row],[h2]],8))</f>
        <v>0</v>
      </c>
    </row>
    <row r="469" spans="1:18">
      <c r="A469" s="15" t="str">
        <f t="shared" si="12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8" t="s">
        <v>75</v>
      </c>
      <c r="P469" s="48">
        <f>HEX2DEC(RIGHT(Table13232127535868[[#This Row],[h1]],8))</f>
        <v>0</v>
      </c>
      <c r="Q469" s="48" t="s">
        <v>75</v>
      </c>
      <c r="R469" s="48">
        <f>HEX2DEC(RIGHT(Table13232127535868[[#This Row],[h2]],8))</f>
        <v>0</v>
      </c>
    </row>
    <row r="470" spans="1:18">
      <c r="A470" s="15" t="str">
        <f t="shared" si="12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8" t="s">
        <v>75</v>
      </c>
      <c r="P470" s="48">
        <f>HEX2DEC(RIGHT(Table13232127535868[[#This Row],[h1]],8))</f>
        <v>0</v>
      </c>
      <c r="Q470" s="48" t="s">
        <v>75</v>
      </c>
      <c r="R470" s="48">
        <f>HEX2DEC(RIGHT(Table13232127535868[[#This Row],[h2]],8))</f>
        <v>0</v>
      </c>
    </row>
    <row r="471" spans="1:18">
      <c r="A471" s="15" t="str">
        <f t="shared" si="12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8" t="s">
        <v>75</v>
      </c>
      <c r="P471" s="48">
        <f>HEX2DEC(RIGHT(Table13232127535868[[#This Row],[h1]],8))</f>
        <v>0</v>
      </c>
      <c r="Q471" s="48" t="s">
        <v>75</v>
      </c>
      <c r="R471" s="48">
        <f>HEX2DEC(RIGHT(Table13232127535868[[#This Row],[h2]],8))</f>
        <v>0</v>
      </c>
    </row>
    <row r="472" spans="1:18">
      <c r="A472" s="15" t="str">
        <f t="shared" si="12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8" t="s">
        <v>75</v>
      </c>
      <c r="P472" s="48">
        <f>HEX2DEC(RIGHT(Table13232127535868[[#This Row],[h1]],8))</f>
        <v>0</v>
      </c>
      <c r="Q472" s="48" t="s">
        <v>75</v>
      </c>
      <c r="R472" s="48">
        <f>HEX2DEC(RIGHT(Table13232127535868[[#This Row],[h2]],8))</f>
        <v>0</v>
      </c>
    </row>
    <row r="473" spans="1:18">
      <c r="A473" s="15" t="str">
        <f t="shared" si="12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8" t="s">
        <v>75</v>
      </c>
      <c r="P473" s="48">
        <f>HEX2DEC(RIGHT(Table13232127535868[[#This Row],[h1]],8))</f>
        <v>0</v>
      </c>
      <c r="Q473" s="48" t="s">
        <v>75</v>
      </c>
      <c r="R473" s="48">
        <f>HEX2DEC(RIGHT(Table13232127535868[[#This Row],[h2]],8))</f>
        <v>0</v>
      </c>
    </row>
    <row r="474" spans="1:18">
      <c r="A474" s="15" t="str">
        <f t="shared" si="12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8" t="s">
        <v>75</v>
      </c>
      <c r="P474" s="48">
        <f>HEX2DEC(RIGHT(Table13232127535868[[#This Row],[h1]],8))</f>
        <v>0</v>
      </c>
      <c r="Q474" s="48" t="s">
        <v>75</v>
      </c>
      <c r="R474" s="48">
        <f>HEX2DEC(RIGHT(Table13232127535868[[#This Row],[h2]],8))</f>
        <v>0</v>
      </c>
    </row>
    <row r="475" spans="1:18">
      <c r="A475" s="15" t="str">
        <f t="shared" si="12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8" t="s">
        <v>75</v>
      </c>
      <c r="P475" s="48">
        <f>HEX2DEC(RIGHT(Table13232127535868[[#This Row],[h1]],8))</f>
        <v>0</v>
      </c>
      <c r="Q475" s="48" t="s">
        <v>75</v>
      </c>
      <c r="R475" s="48">
        <f>HEX2DEC(RIGHT(Table13232127535868[[#This Row],[h2]],8))</f>
        <v>0</v>
      </c>
    </row>
    <row r="476" spans="1:18">
      <c r="A476" s="15" t="str">
        <f t="shared" si="12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8" t="s">
        <v>75</v>
      </c>
      <c r="P476" s="48">
        <f>HEX2DEC(RIGHT(Table13232127535868[[#This Row],[h1]],8))</f>
        <v>0</v>
      </c>
      <c r="Q476" s="48" t="s">
        <v>75</v>
      </c>
      <c r="R476" s="48">
        <f>HEX2DEC(RIGHT(Table13232127535868[[#This Row],[h2]],8))</f>
        <v>0</v>
      </c>
    </row>
    <row r="477" spans="1:18">
      <c r="A477" s="15" t="str">
        <f t="shared" si="12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8" t="s">
        <v>75</v>
      </c>
      <c r="P477" s="48">
        <f>HEX2DEC(RIGHT(Table13232127535868[[#This Row],[h1]],8))</f>
        <v>0</v>
      </c>
      <c r="Q477" s="48" t="s">
        <v>75</v>
      </c>
      <c r="R477" s="48">
        <f>HEX2DEC(RIGHT(Table13232127535868[[#This Row],[h2]],8))</f>
        <v>0</v>
      </c>
    </row>
    <row r="478" spans="1:18">
      <c r="A478" s="15" t="str">
        <f t="shared" si="12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8" t="s">
        <v>75</v>
      </c>
      <c r="P478" s="48">
        <f>HEX2DEC(RIGHT(Table13232127535868[[#This Row],[h1]],8))</f>
        <v>0</v>
      </c>
      <c r="Q478" s="48" t="s">
        <v>75</v>
      </c>
      <c r="R478" s="48">
        <f>HEX2DEC(RIGHT(Table13232127535868[[#This Row],[h2]],8))</f>
        <v>0</v>
      </c>
    </row>
    <row r="479" spans="1:18">
      <c r="A479" s="15" t="str">
        <f t="shared" si="12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8" t="s">
        <v>75</v>
      </c>
      <c r="P479" s="48">
        <f>HEX2DEC(RIGHT(Table13232127535868[[#This Row],[h1]],8))</f>
        <v>0</v>
      </c>
      <c r="Q479" s="48" t="s">
        <v>75</v>
      </c>
      <c r="R479" s="48">
        <f>HEX2DEC(RIGHT(Table13232127535868[[#This Row],[h2]],8))</f>
        <v>0</v>
      </c>
    </row>
    <row r="480" spans="1:18">
      <c r="A480" s="15" t="str">
        <f t="shared" si="12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8" t="s">
        <v>75</v>
      </c>
      <c r="P480" s="48">
        <f>HEX2DEC(RIGHT(Table13232127535868[[#This Row],[h1]],8))</f>
        <v>0</v>
      </c>
      <c r="Q480" s="48" t="s">
        <v>75</v>
      </c>
      <c r="R480" s="48">
        <f>HEX2DEC(RIGHT(Table13232127535868[[#This Row],[h2]],8))</f>
        <v>0</v>
      </c>
    </row>
    <row r="481" spans="1:18">
      <c r="A481" s="15" t="str">
        <f t="shared" si="12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8" t="s">
        <v>75</v>
      </c>
      <c r="P481" s="48">
        <f>HEX2DEC(RIGHT(Table13232127535868[[#This Row],[h1]],8))</f>
        <v>0</v>
      </c>
      <c r="Q481" s="48" t="s">
        <v>75</v>
      </c>
      <c r="R481" s="48">
        <f>HEX2DEC(RIGHT(Table13232127535868[[#This Row],[h2]],8))</f>
        <v>0</v>
      </c>
    </row>
    <row r="482" spans="1:18">
      <c r="A482" s="15" t="str">
        <f t="shared" si="12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8" t="s">
        <v>75</v>
      </c>
      <c r="P482" s="48">
        <f>HEX2DEC(RIGHT(Table13232127535868[[#This Row],[h1]],8))</f>
        <v>0</v>
      </c>
      <c r="Q482" s="48" t="s">
        <v>75</v>
      </c>
      <c r="R482" s="48">
        <f>HEX2DEC(RIGHT(Table13232127535868[[#This Row],[h2]],8))</f>
        <v>0</v>
      </c>
    </row>
    <row r="483" spans="1:18">
      <c r="A483" s="15" t="str">
        <f t="shared" si="12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8" t="s">
        <v>75</v>
      </c>
      <c r="P483" s="48">
        <f>HEX2DEC(RIGHT(Table13232127535868[[#This Row],[h1]],8))</f>
        <v>0</v>
      </c>
      <c r="Q483" s="48" t="s">
        <v>75</v>
      </c>
      <c r="R483" s="48">
        <f>HEX2DEC(RIGHT(Table13232127535868[[#This Row],[h2]],8))</f>
        <v>0</v>
      </c>
    </row>
    <row r="484" spans="1:18">
      <c r="A484" s="15" t="str">
        <f t="shared" si="12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8" t="s">
        <v>75</v>
      </c>
      <c r="P484" s="48">
        <f>HEX2DEC(RIGHT(Table13232127535868[[#This Row],[h1]],8))</f>
        <v>0</v>
      </c>
      <c r="Q484" s="48" t="s">
        <v>75</v>
      </c>
      <c r="R484" s="48">
        <f>HEX2DEC(RIGHT(Table13232127535868[[#This Row],[h2]],8))</f>
        <v>0</v>
      </c>
    </row>
    <row r="485" spans="1:18">
      <c r="A485" s="15" t="str">
        <f t="shared" si="12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8" t="s">
        <v>75</v>
      </c>
      <c r="P485" s="48">
        <f>HEX2DEC(RIGHT(Table13232127535868[[#This Row],[h1]],8))</f>
        <v>0</v>
      </c>
      <c r="Q485" s="48" t="s">
        <v>75</v>
      </c>
      <c r="R485" s="48">
        <f>HEX2DEC(RIGHT(Table13232127535868[[#This Row],[h2]],8))</f>
        <v>0</v>
      </c>
    </row>
    <row r="486" spans="1:18">
      <c r="A486" s="15" t="str">
        <f t="shared" si="12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8" t="s">
        <v>75</v>
      </c>
      <c r="P486" s="48">
        <f>HEX2DEC(RIGHT(Table13232127535868[[#This Row],[h1]],8))</f>
        <v>0</v>
      </c>
      <c r="Q486" s="48" t="s">
        <v>75</v>
      </c>
      <c r="R486" s="48">
        <f>HEX2DEC(RIGHT(Table13232127535868[[#This Row],[h2]],8))</f>
        <v>0</v>
      </c>
    </row>
    <row r="487" spans="1:18">
      <c r="A487" s="15" t="str">
        <f t="shared" si="12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8" t="s">
        <v>75</v>
      </c>
      <c r="P487" s="48">
        <f>HEX2DEC(RIGHT(Table13232127535868[[#This Row],[h1]],8))</f>
        <v>0</v>
      </c>
      <c r="Q487" s="48" t="s">
        <v>75</v>
      </c>
      <c r="R487" s="48">
        <f>HEX2DEC(RIGHT(Table13232127535868[[#This Row],[h2]],8))</f>
        <v>0</v>
      </c>
    </row>
    <row r="488" spans="1:18">
      <c r="A488" s="15" t="str">
        <f t="shared" si="12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8" t="s">
        <v>75</v>
      </c>
      <c r="P488" s="48">
        <f>HEX2DEC(RIGHT(Table13232127535868[[#This Row],[h1]],8))</f>
        <v>0</v>
      </c>
      <c r="Q488" s="48" t="s">
        <v>75</v>
      </c>
      <c r="R488" s="48">
        <f>HEX2DEC(RIGHT(Table13232127535868[[#This Row],[h2]],8))</f>
        <v>0</v>
      </c>
    </row>
    <row r="489" spans="1:18">
      <c r="A489" s="15" t="str">
        <f t="shared" si="12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8" t="s">
        <v>75</v>
      </c>
      <c r="P489" s="48">
        <f>HEX2DEC(RIGHT(Table13232127535868[[#This Row],[h1]],8))</f>
        <v>0</v>
      </c>
      <c r="Q489" s="48" t="s">
        <v>75</v>
      </c>
      <c r="R489" s="48">
        <f>HEX2DEC(RIGHT(Table13232127535868[[#This Row],[h2]],8))</f>
        <v>0</v>
      </c>
    </row>
    <row r="490" spans="1:18">
      <c r="A490" s="15" t="str">
        <f t="shared" si="12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8" t="s">
        <v>75</v>
      </c>
      <c r="P490" s="48">
        <f>HEX2DEC(RIGHT(Table13232127535868[[#This Row],[h1]],8))</f>
        <v>0</v>
      </c>
      <c r="Q490" s="48" t="s">
        <v>75</v>
      </c>
      <c r="R490" s="48">
        <f>HEX2DEC(RIGHT(Table13232127535868[[#This Row],[h2]],8))</f>
        <v>0</v>
      </c>
    </row>
    <row r="491" spans="1:18">
      <c r="A491" s="15" t="str">
        <f t="shared" si="12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8" t="s">
        <v>75</v>
      </c>
      <c r="P491" s="48">
        <f>HEX2DEC(RIGHT(Table13232127535868[[#This Row],[h1]],8))</f>
        <v>0</v>
      </c>
      <c r="Q491" s="48" t="s">
        <v>75</v>
      </c>
      <c r="R491" s="48">
        <f>HEX2DEC(RIGHT(Table13232127535868[[#This Row],[h2]],8))</f>
        <v>0</v>
      </c>
    </row>
    <row r="492" spans="1:18">
      <c r="A492" s="15" t="str">
        <f t="shared" si="12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8" t="s">
        <v>75</v>
      </c>
      <c r="P492" s="48">
        <f>HEX2DEC(RIGHT(Table13232127535868[[#This Row],[h1]],8))</f>
        <v>0</v>
      </c>
      <c r="Q492" s="48" t="s">
        <v>75</v>
      </c>
      <c r="R492" s="48">
        <f>HEX2DEC(RIGHT(Table13232127535868[[#This Row],[h2]],8))</f>
        <v>0</v>
      </c>
    </row>
    <row r="493" spans="1:18">
      <c r="A493" s="15" t="str">
        <f t="shared" si="12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8" t="s">
        <v>75</v>
      </c>
      <c r="P493" s="48">
        <f>HEX2DEC(RIGHT(Table13232127535868[[#This Row],[h1]],8))</f>
        <v>0</v>
      </c>
      <c r="Q493" s="48" t="s">
        <v>75</v>
      </c>
      <c r="R493" s="48">
        <f>HEX2DEC(RIGHT(Table13232127535868[[#This Row],[h2]],8))</f>
        <v>0</v>
      </c>
    </row>
    <row r="494" spans="1:18">
      <c r="A494" s="15" t="str">
        <f t="shared" si="12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8" t="s">
        <v>75</v>
      </c>
      <c r="P494" s="48">
        <f>HEX2DEC(RIGHT(Table13232127535868[[#This Row],[h1]],8))</f>
        <v>0</v>
      </c>
      <c r="Q494" s="48" t="s">
        <v>75</v>
      </c>
      <c r="R494" s="48">
        <f>HEX2DEC(RIGHT(Table13232127535868[[#This Row],[h2]],8))</f>
        <v>0</v>
      </c>
    </row>
    <row r="495" spans="1:18">
      <c r="A495" s="15" t="str">
        <f t="shared" si="12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8" t="s">
        <v>75</v>
      </c>
      <c r="P495" s="48">
        <f>HEX2DEC(RIGHT(Table13232127535868[[#This Row],[h1]],8))</f>
        <v>0</v>
      </c>
      <c r="Q495" s="48" t="s">
        <v>75</v>
      </c>
      <c r="R495" s="48">
        <f>HEX2DEC(RIGHT(Table13232127535868[[#This Row],[h2]],8))</f>
        <v>0</v>
      </c>
    </row>
    <row r="496" spans="1:18">
      <c r="A496" s="15" t="str">
        <f t="shared" si="12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8" t="s">
        <v>75</v>
      </c>
      <c r="P496" s="48">
        <f>HEX2DEC(RIGHT(Table13232127535868[[#This Row],[h1]],8))</f>
        <v>0</v>
      </c>
      <c r="Q496" s="48" t="s">
        <v>75</v>
      </c>
      <c r="R496" s="48">
        <f>HEX2DEC(RIGHT(Table13232127535868[[#This Row],[h2]],8))</f>
        <v>0</v>
      </c>
    </row>
    <row r="497" spans="1:18">
      <c r="A497" s="15" t="str">
        <f t="shared" si="12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8" t="s">
        <v>75</v>
      </c>
      <c r="P497" s="48">
        <f>HEX2DEC(RIGHT(Table13232127535868[[#This Row],[h1]],8))</f>
        <v>0</v>
      </c>
      <c r="Q497" s="48" t="s">
        <v>75</v>
      </c>
      <c r="R497" s="48">
        <f>HEX2DEC(RIGHT(Table13232127535868[[#This Row],[h2]],8))</f>
        <v>0</v>
      </c>
    </row>
    <row r="498" spans="1:18">
      <c r="A498" s="15" t="str">
        <f t="shared" si="12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8" t="s">
        <v>75</v>
      </c>
      <c r="P498" s="48">
        <f>HEX2DEC(RIGHT(Table13232127535868[[#This Row],[h1]],8))</f>
        <v>0</v>
      </c>
      <c r="Q498" s="48" t="s">
        <v>75</v>
      </c>
      <c r="R498" s="48">
        <f>HEX2DEC(RIGHT(Table13232127535868[[#This Row],[h2]],8))</f>
        <v>0</v>
      </c>
    </row>
    <row r="499" spans="1:18">
      <c r="A499" s="15" t="str">
        <f t="shared" si="12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8" t="s">
        <v>75</v>
      </c>
      <c r="P499" s="48">
        <f>HEX2DEC(RIGHT(Table13232127535868[[#This Row],[h1]],8))</f>
        <v>0</v>
      </c>
      <c r="Q499" s="48" t="s">
        <v>75</v>
      </c>
      <c r="R499" s="48">
        <f>HEX2DEC(RIGHT(Table13232127535868[[#This Row],[h2]],8))</f>
        <v>0</v>
      </c>
    </row>
    <row r="500" spans="1:18">
      <c r="A500" s="15" t="str">
        <f t="shared" si="12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8" t="s">
        <v>75</v>
      </c>
      <c r="P500" s="48">
        <f>HEX2DEC(RIGHT(Table13232127535868[[#This Row],[h1]],8))</f>
        <v>0</v>
      </c>
      <c r="Q500" s="48" t="s">
        <v>75</v>
      </c>
      <c r="R500" s="48">
        <f>HEX2DEC(RIGHT(Table13232127535868[[#This Row],[h2]],8))</f>
        <v>0</v>
      </c>
    </row>
    <row r="501" spans="1:18">
      <c r="A501" s="15" t="str">
        <f t="shared" si="12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8" t="s">
        <v>75</v>
      </c>
      <c r="P501" s="48">
        <f>HEX2DEC(RIGHT(Table13232127535868[[#This Row],[h1]],8))</f>
        <v>0</v>
      </c>
      <c r="Q501" s="48" t="s">
        <v>75</v>
      </c>
      <c r="R501" s="48">
        <f>HEX2DEC(RIGHT(Table13232127535868[[#This Row],[h2]],8))</f>
        <v>0</v>
      </c>
    </row>
    <row r="502" spans="1:18">
      <c r="A502" s="15" t="str">
        <f t="shared" si="12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8" t="s">
        <v>75</v>
      </c>
      <c r="P502" s="48">
        <f>HEX2DEC(RIGHT(Table13232127535868[[#This Row],[h1]],8))</f>
        <v>0</v>
      </c>
      <c r="Q502" s="48" t="s">
        <v>75</v>
      </c>
      <c r="R502" s="48">
        <f>HEX2DEC(RIGHT(Table13232127535868[[#This Row],[h2]],8))</f>
        <v>0</v>
      </c>
    </row>
    <row r="503" spans="1:18">
      <c r="A503" s="15" t="str">
        <f t="shared" si="12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8" t="s">
        <v>75</v>
      </c>
      <c r="P503" s="48">
        <f>HEX2DEC(RIGHT(Table13232127535868[[#This Row],[h1]],8))</f>
        <v>0</v>
      </c>
      <c r="Q503" s="48" t="s">
        <v>75</v>
      </c>
      <c r="R503" s="48">
        <f>HEX2DEC(RIGHT(Table13232127535868[[#This Row],[h2]],8))</f>
        <v>0</v>
      </c>
    </row>
    <row r="504" spans="1:18">
      <c r="A504" s="15" t="str">
        <f t="shared" si="12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8" t="s">
        <v>75</v>
      </c>
      <c r="P504" s="48">
        <f>HEX2DEC(RIGHT(Table13232127535868[[#This Row],[h1]],8))</f>
        <v>0</v>
      </c>
      <c r="Q504" s="48" t="s">
        <v>75</v>
      </c>
      <c r="R504" s="48">
        <f>HEX2DEC(RIGHT(Table13232127535868[[#This Row],[h2]],8))</f>
        <v>0</v>
      </c>
    </row>
    <row r="505" spans="1:18">
      <c r="A505" s="15" t="str">
        <f t="shared" si="12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8" t="s">
        <v>75</v>
      </c>
      <c r="P505" s="48">
        <f>HEX2DEC(RIGHT(Table13232127535868[[#This Row],[h1]],8))</f>
        <v>0</v>
      </c>
      <c r="Q505" s="48" t="s">
        <v>75</v>
      </c>
      <c r="R505" s="48">
        <f>HEX2DEC(RIGHT(Table13232127535868[[#This Row],[h2]],8))</f>
        <v>0</v>
      </c>
    </row>
    <row r="506" spans="1:18">
      <c r="A506" s="15" t="str">
        <f t="shared" si="12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8" t="s">
        <v>75</v>
      </c>
      <c r="P506" s="48">
        <f>HEX2DEC(RIGHT(Table13232127535868[[#This Row],[h1]],8))</f>
        <v>0</v>
      </c>
      <c r="Q506" s="48" t="s">
        <v>75</v>
      </c>
      <c r="R506" s="48">
        <f>HEX2DEC(RIGHT(Table13232127535868[[#This Row],[h2]],8))</f>
        <v>0</v>
      </c>
    </row>
    <row r="507" spans="1:18">
      <c r="A507" s="15" t="str">
        <f t="shared" si="12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8" t="s">
        <v>75</v>
      </c>
      <c r="P507" s="48">
        <f>HEX2DEC(RIGHT(Table13232127535868[[#This Row],[h1]],8))</f>
        <v>0</v>
      </c>
      <c r="Q507" s="48" t="s">
        <v>75</v>
      </c>
      <c r="R507" s="48">
        <f>HEX2DEC(RIGHT(Table13232127535868[[#This Row],[h2]],8))</f>
        <v>0</v>
      </c>
    </row>
    <row r="508" spans="1:18">
      <c r="A508" s="15" t="str">
        <f t="shared" si="12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8" t="s">
        <v>75</v>
      </c>
      <c r="P508" s="48">
        <f>HEX2DEC(RIGHT(Table13232127535868[[#This Row],[h1]],8))</f>
        <v>0</v>
      </c>
      <c r="Q508" s="48" t="s">
        <v>75</v>
      </c>
      <c r="R508" s="48">
        <f>HEX2DEC(RIGHT(Table13232127535868[[#This Row],[h2]],8))</f>
        <v>0</v>
      </c>
    </row>
    <row r="509" spans="1:18">
      <c r="A509" s="15" t="str">
        <f t="shared" si="12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8" t="s">
        <v>75</v>
      </c>
      <c r="P509" s="48">
        <f>HEX2DEC(RIGHT(Table13232127535868[[#This Row],[h1]],8))</f>
        <v>0</v>
      </c>
      <c r="Q509" s="48" t="s">
        <v>75</v>
      </c>
      <c r="R509" s="48">
        <f>HEX2DEC(RIGHT(Table13232127535868[[#This Row],[h2]],8))</f>
        <v>0</v>
      </c>
    </row>
    <row r="510" spans="1:18">
      <c r="A510" s="15" t="str">
        <f t="shared" si="12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8" t="s">
        <v>75</v>
      </c>
      <c r="P510" s="48">
        <f>HEX2DEC(RIGHT(Table13232127535868[[#This Row],[h1]],8))</f>
        <v>0</v>
      </c>
      <c r="Q510" s="48" t="s">
        <v>75</v>
      </c>
      <c r="R510" s="48">
        <f>HEX2DEC(RIGHT(Table13232127535868[[#This Row],[h2]],8))</f>
        <v>0</v>
      </c>
    </row>
    <row r="511" spans="1:18">
      <c r="A511" s="15" t="str">
        <f t="shared" si="12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8" t="s">
        <v>75</v>
      </c>
      <c r="P511" s="48">
        <f>HEX2DEC(RIGHT(Table13232127535868[[#This Row],[h1]],8))</f>
        <v>0</v>
      </c>
      <c r="Q511" s="48" t="s">
        <v>75</v>
      </c>
      <c r="R511" s="48">
        <f>HEX2DEC(RIGHT(Table13232127535868[[#This Row],[h2]],8))</f>
        <v>0</v>
      </c>
    </row>
    <row r="512" spans="1:18">
      <c r="A512" s="15" t="str">
        <f t="shared" si="12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8" t="s">
        <v>75</v>
      </c>
      <c r="P512" s="48">
        <f>HEX2DEC(RIGHT(Table13232127535868[[#This Row],[h1]],8))</f>
        <v>0</v>
      </c>
      <c r="Q512" s="48" t="s">
        <v>75</v>
      </c>
      <c r="R512" s="48">
        <f>HEX2DEC(RIGHT(Table13232127535868[[#This Row],[h2]],8))</f>
        <v>0</v>
      </c>
    </row>
    <row r="513" spans="1:18">
      <c r="A513" s="15" t="str">
        <f t="shared" si="12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8" t="s">
        <v>75</v>
      </c>
      <c r="P513" s="48">
        <f>HEX2DEC(RIGHT(Table13232127535868[[#This Row],[h1]],8))</f>
        <v>0</v>
      </c>
      <c r="Q513" s="48" t="s">
        <v>75</v>
      </c>
      <c r="R513" s="48">
        <f>HEX2DEC(RIGHT(Table13232127535868[[#This Row],[h2]],8))</f>
        <v>0</v>
      </c>
    </row>
    <row r="514" spans="1:18">
      <c r="A514" s="15" t="str">
        <f t="shared" si="12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8" t="s">
        <v>75</v>
      </c>
      <c r="P514" s="48">
        <f>HEX2DEC(RIGHT(Table13232127535868[[#This Row],[h1]],8))</f>
        <v>0</v>
      </c>
      <c r="Q514" s="48" t="s">
        <v>75</v>
      </c>
      <c r="R514" s="48">
        <f>HEX2DEC(RIGHT(Table13232127535868[[#This Row],[h2]],8))</f>
        <v>0</v>
      </c>
    </row>
    <row r="515" spans="1:18">
      <c r="A515" s="15" t="str">
        <f t="shared" si="12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8" t="s">
        <v>75</v>
      </c>
      <c r="P515" s="48">
        <f>HEX2DEC(RIGHT(Table13232127535868[[#This Row],[h1]],8))</f>
        <v>0</v>
      </c>
      <c r="Q515" s="48" t="s">
        <v>75</v>
      </c>
      <c r="R515" s="48">
        <f>HEX2DEC(RIGHT(Table13232127535868[[#This Row],[h2]],8))</f>
        <v>0</v>
      </c>
    </row>
    <row r="516" spans="1:18">
      <c r="A516" s="15" t="str">
        <f t="shared" si="12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8" t="s">
        <v>75</v>
      </c>
      <c r="P516" s="48">
        <f>HEX2DEC(RIGHT(Table13232127535868[[#This Row],[h1]],8))</f>
        <v>0</v>
      </c>
      <c r="Q516" s="48" t="s">
        <v>75</v>
      </c>
      <c r="R516" s="48">
        <f>HEX2DEC(RIGHT(Table13232127535868[[#This Row],[h2]],8))</f>
        <v>0</v>
      </c>
    </row>
    <row r="517" spans="1:18">
      <c r="A517" s="15" t="str">
        <f t="shared" si="12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8" t="s">
        <v>75</v>
      </c>
      <c r="P517" s="48">
        <f>HEX2DEC(RIGHT(Table13232127535868[[#This Row],[h1]],8))</f>
        <v>0</v>
      </c>
      <c r="Q517" s="48" t="s">
        <v>75</v>
      </c>
      <c r="R517" s="48">
        <f>HEX2DEC(RIGHT(Table13232127535868[[#This Row],[h2]],8))</f>
        <v>0</v>
      </c>
    </row>
    <row r="518" spans="1:18">
      <c r="A518" s="15" t="str">
        <f t="shared" si="12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8" t="s">
        <v>75</v>
      </c>
      <c r="P518" s="48">
        <f>HEX2DEC(RIGHT(Table13232127535868[[#This Row],[h1]],8))</f>
        <v>0</v>
      </c>
      <c r="Q518" s="48" t="s">
        <v>75</v>
      </c>
      <c r="R518" s="48">
        <f>HEX2DEC(RIGHT(Table13232127535868[[#This Row],[h2]],8))</f>
        <v>0</v>
      </c>
    </row>
    <row r="519" spans="1:18">
      <c r="A519" s="15" t="str">
        <f t="shared" si="12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8" t="s">
        <v>75</v>
      </c>
      <c r="P519" s="48">
        <f>HEX2DEC(RIGHT(Table13232127535868[[#This Row],[h1]],8))</f>
        <v>0</v>
      </c>
      <c r="Q519" s="48" t="s">
        <v>75</v>
      </c>
      <c r="R519" s="48">
        <f>HEX2DEC(RIGHT(Table13232127535868[[#This Row],[h2]],8))</f>
        <v>0</v>
      </c>
    </row>
    <row r="520" spans="1:18">
      <c r="A520" s="15" t="str">
        <f t="shared" si="12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8" t="s">
        <v>75</v>
      </c>
      <c r="P520" s="48">
        <f>HEX2DEC(RIGHT(Table13232127535868[[#This Row],[h1]],8))</f>
        <v>0</v>
      </c>
      <c r="Q520" s="48" t="s">
        <v>75</v>
      </c>
      <c r="R520" s="48">
        <f>HEX2DEC(RIGHT(Table13232127535868[[#This Row],[h2]],8))</f>
        <v>0</v>
      </c>
    </row>
    <row r="521" spans="1:18">
      <c r="A521" s="15" t="str">
        <f t="shared" si="12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8" t="s">
        <v>75</v>
      </c>
      <c r="P521" s="48">
        <f>HEX2DEC(RIGHT(Table13232127535868[[#This Row],[h1]],8))</f>
        <v>0</v>
      </c>
      <c r="Q521" s="48" t="s">
        <v>75</v>
      </c>
      <c r="R521" s="48">
        <f>HEX2DEC(RIGHT(Table13232127535868[[#This Row],[h2]],8))</f>
        <v>0</v>
      </c>
    </row>
    <row r="522" spans="1:18">
      <c r="A522" s="15" t="str">
        <f t="shared" si="12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8" t="s">
        <v>75</v>
      </c>
      <c r="P522" s="48">
        <f>HEX2DEC(RIGHT(Table13232127535868[[#This Row],[h1]],8))</f>
        <v>0</v>
      </c>
      <c r="Q522" s="48" t="s">
        <v>75</v>
      </c>
      <c r="R522" s="48">
        <f>HEX2DEC(RIGHT(Table13232127535868[[#This Row],[h2]],8))</f>
        <v>0</v>
      </c>
    </row>
    <row r="523" spans="1:18">
      <c r="A523" s="15" t="str">
        <f t="shared" ref="A523:A586" si="13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8" t="s">
        <v>75</v>
      </c>
      <c r="P523" s="48">
        <f>HEX2DEC(RIGHT(Table13232127535868[[#This Row],[h1]],8))</f>
        <v>0</v>
      </c>
      <c r="Q523" s="48" t="s">
        <v>75</v>
      </c>
      <c r="R523" s="48">
        <f>HEX2DEC(RIGHT(Table13232127535868[[#This Row],[h2]],8))</f>
        <v>0</v>
      </c>
    </row>
    <row r="524" spans="1:18">
      <c r="A524" s="15" t="str">
        <f t="shared" si="13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8" t="s">
        <v>75</v>
      </c>
      <c r="P524" s="48">
        <f>HEX2DEC(RIGHT(Table13232127535868[[#This Row],[h1]],8))</f>
        <v>0</v>
      </c>
      <c r="Q524" s="48" t="s">
        <v>75</v>
      </c>
      <c r="R524" s="48">
        <f>HEX2DEC(RIGHT(Table13232127535868[[#This Row],[h2]],8))</f>
        <v>0</v>
      </c>
    </row>
    <row r="525" spans="1:18">
      <c r="A525" s="15" t="str">
        <f t="shared" si="13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8" t="s">
        <v>75</v>
      </c>
      <c r="P525" s="48">
        <f>HEX2DEC(RIGHT(Table13232127535868[[#This Row],[h1]],8))</f>
        <v>0</v>
      </c>
      <c r="Q525" s="48" t="s">
        <v>75</v>
      </c>
      <c r="R525" s="48">
        <f>HEX2DEC(RIGHT(Table13232127535868[[#This Row],[h2]],8))</f>
        <v>0</v>
      </c>
    </row>
    <row r="526" spans="1:18">
      <c r="A526" s="15" t="str">
        <f t="shared" si="13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8" t="s">
        <v>75</v>
      </c>
      <c r="P526" s="48">
        <f>HEX2DEC(RIGHT(Table13232127535868[[#This Row],[h1]],8))</f>
        <v>0</v>
      </c>
      <c r="Q526" s="48" t="s">
        <v>75</v>
      </c>
      <c r="R526" s="48">
        <f>HEX2DEC(RIGHT(Table13232127535868[[#This Row],[h2]],8))</f>
        <v>0</v>
      </c>
    </row>
    <row r="527" spans="1:18">
      <c r="A527" s="15" t="str">
        <f t="shared" si="13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8" t="s">
        <v>75</v>
      </c>
      <c r="P527" s="48">
        <f>HEX2DEC(RIGHT(Table13232127535868[[#This Row],[h1]],8))</f>
        <v>0</v>
      </c>
      <c r="Q527" s="48" t="s">
        <v>75</v>
      </c>
      <c r="R527" s="48">
        <f>HEX2DEC(RIGHT(Table13232127535868[[#This Row],[h2]],8))</f>
        <v>0</v>
      </c>
    </row>
    <row r="528" spans="1:18">
      <c r="A528" s="15" t="str">
        <f t="shared" si="13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8" t="s">
        <v>75</v>
      </c>
      <c r="P528" s="48">
        <f>HEX2DEC(RIGHT(Table13232127535868[[#This Row],[h1]],8))</f>
        <v>0</v>
      </c>
      <c r="Q528" s="48" t="s">
        <v>75</v>
      </c>
      <c r="R528" s="48">
        <f>HEX2DEC(RIGHT(Table13232127535868[[#This Row],[h2]],8))</f>
        <v>0</v>
      </c>
    </row>
    <row r="529" spans="1:18">
      <c r="A529" s="15" t="str">
        <f t="shared" si="13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8" t="s">
        <v>75</v>
      </c>
      <c r="P529" s="48">
        <f>HEX2DEC(RIGHT(Table13232127535868[[#This Row],[h1]],8))</f>
        <v>0</v>
      </c>
      <c r="Q529" s="48" t="s">
        <v>75</v>
      </c>
      <c r="R529" s="48">
        <f>HEX2DEC(RIGHT(Table13232127535868[[#This Row],[h2]],8))</f>
        <v>0</v>
      </c>
    </row>
    <row r="530" spans="1:18">
      <c r="A530" s="15" t="str">
        <f t="shared" si="13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8" t="s">
        <v>75</v>
      </c>
      <c r="P530" s="48">
        <f>HEX2DEC(RIGHT(Table13232127535868[[#This Row],[h1]],8))</f>
        <v>0</v>
      </c>
      <c r="Q530" s="48" t="s">
        <v>75</v>
      </c>
      <c r="R530" s="48">
        <f>HEX2DEC(RIGHT(Table13232127535868[[#This Row],[h2]],8))</f>
        <v>0</v>
      </c>
    </row>
    <row r="531" spans="1:18">
      <c r="A531" s="15" t="str">
        <f t="shared" si="13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8" t="s">
        <v>75</v>
      </c>
      <c r="P531" s="48">
        <f>HEX2DEC(RIGHT(Table13232127535868[[#This Row],[h1]],8))</f>
        <v>0</v>
      </c>
      <c r="Q531" s="48" t="s">
        <v>75</v>
      </c>
      <c r="R531" s="48">
        <f>HEX2DEC(RIGHT(Table13232127535868[[#This Row],[h2]],8))</f>
        <v>0</v>
      </c>
    </row>
    <row r="532" spans="1:18">
      <c r="A532" s="15" t="str">
        <f t="shared" si="13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8" t="s">
        <v>75</v>
      </c>
      <c r="P532" s="48">
        <f>HEX2DEC(RIGHT(Table13232127535868[[#This Row],[h1]],8))</f>
        <v>0</v>
      </c>
      <c r="Q532" s="48" t="s">
        <v>75</v>
      </c>
      <c r="R532" s="48">
        <f>HEX2DEC(RIGHT(Table13232127535868[[#This Row],[h2]],8))</f>
        <v>0</v>
      </c>
    </row>
    <row r="533" spans="1:18">
      <c r="A533" s="15" t="str">
        <f t="shared" si="13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8" t="s">
        <v>75</v>
      </c>
      <c r="P533" s="48">
        <f>HEX2DEC(RIGHT(Table13232127535868[[#This Row],[h1]],8))</f>
        <v>0</v>
      </c>
      <c r="Q533" s="48" t="s">
        <v>75</v>
      </c>
      <c r="R533" s="48">
        <f>HEX2DEC(RIGHT(Table13232127535868[[#This Row],[h2]],8))</f>
        <v>0</v>
      </c>
    </row>
    <row r="534" spans="1:18">
      <c r="A534" s="15" t="str">
        <f t="shared" si="13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8" t="s">
        <v>75</v>
      </c>
      <c r="P534" s="48">
        <f>HEX2DEC(RIGHT(Table13232127535868[[#This Row],[h1]],8))</f>
        <v>0</v>
      </c>
      <c r="Q534" s="48" t="s">
        <v>75</v>
      </c>
      <c r="R534" s="48">
        <f>HEX2DEC(RIGHT(Table13232127535868[[#This Row],[h2]],8))</f>
        <v>0</v>
      </c>
    </row>
    <row r="535" spans="1:18">
      <c r="A535" s="15" t="str">
        <f t="shared" si="13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8" t="s">
        <v>75</v>
      </c>
      <c r="P535" s="48">
        <f>HEX2DEC(RIGHT(Table13232127535868[[#This Row],[h1]],8))</f>
        <v>0</v>
      </c>
      <c r="Q535" s="48" t="s">
        <v>75</v>
      </c>
      <c r="R535" s="48">
        <f>HEX2DEC(RIGHT(Table13232127535868[[#This Row],[h2]],8))</f>
        <v>0</v>
      </c>
    </row>
    <row r="536" spans="1:18">
      <c r="A536" s="15" t="str">
        <f t="shared" si="13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8" t="s">
        <v>75</v>
      </c>
      <c r="P536" s="48">
        <f>HEX2DEC(RIGHT(Table13232127535868[[#This Row],[h1]],8))</f>
        <v>0</v>
      </c>
      <c r="Q536" s="48" t="s">
        <v>75</v>
      </c>
      <c r="R536" s="48">
        <f>HEX2DEC(RIGHT(Table13232127535868[[#This Row],[h2]],8))</f>
        <v>0</v>
      </c>
    </row>
    <row r="537" spans="1:18">
      <c r="A537" s="15" t="str">
        <f t="shared" si="13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8" t="s">
        <v>75</v>
      </c>
      <c r="P537" s="48">
        <f>HEX2DEC(RIGHT(Table13232127535868[[#This Row],[h1]],8))</f>
        <v>0</v>
      </c>
      <c r="Q537" s="48" t="s">
        <v>75</v>
      </c>
      <c r="R537" s="48">
        <f>HEX2DEC(RIGHT(Table13232127535868[[#This Row],[h2]],8))</f>
        <v>0</v>
      </c>
    </row>
    <row r="538" spans="1:18">
      <c r="A538" s="15" t="str">
        <f t="shared" si="13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8" t="s">
        <v>75</v>
      </c>
      <c r="P538" s="48">
        <f>HEX2DEC(RIGHT(Table13232127535868[[#This Row],[h1]],8))</f>
        <v>0</v>
      </c>
      <c r="Q538" s="48" t="s">
        <v>75</v>
      </c>
      <c r="R538" s="48">
        <f>HEX2DEC(RIGHT(Table13232127535868[[#This Row],[h2]],8))</f>
        <v>0</v>
      </c>
    </row>
    <row r="539" spans="1:18">
      <c r="A539" s="15" t="str">
        <f t="shared" si="13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8" t="s">
        <v>75</v>
      </c>
      <c r="P539" s="48">
        <f>HEX2DEC(RIGHT(Table13232127535868[[#This Row],[h1]],8))</f>
        <v>0</v>
      </c>
      <c r="Q539" s="48" t="s">
        <v>75</v>
      </c>
      <c r="R539" s="48">
        <f>HEX2DEC(RIGHT(Table13232127535868[[#This Row],[h2]],8))</f>
        <v>0</v>
      </c>
    </row>
    <row r="540" spans="1:18">
      <c r="A540" s="15" t="str">
        <f t="shared" si="13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8" t="s">
        <v>75</v>
      </c>
      <c r="P540" s="48">
        <f>HEX2DEC(RIGHT(Table13232127535868[[#This Row],[h1]],8))</f>
        <v>0</v>
      </c>
      <c r="Q540" s="48" t="s">
        <v>75</v>
      </c>
      <c r="R540" s="48">
        <f>HEX2DEC(RIGHT(Table13232127535868[[#This Row],[h2]],8))</f>
        <v>0</v>
      </c>
    </row>
    <row r="541" spans="1:18">
      <c r="A541" s="15" t="str">
        <f t="shared" si="13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8" t="s">
        <v>75</v>
      </c>
      <c r="P541" s="48">
        <f>HEX2DEC(RIGHT(Table13232127535868[[#This Row],[h1]],8))</f>
        <v>0</v>
      </c>
      <c r="Q541" s="48" t="s">
        <v>75</v>
      </c>
      <c r="R541" s="48">
        <f>HEX2DEC(RIGHT(Table13232127535868[[#This Row],[h2]],8))</f>
        <v>0</v>
      </c>
    </row>
    <row r="542" spans="1:18">
      <c r="A542" s="15" t="str">
        <f t="shared" si="13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8" t="s">
        <v>75</v>
      </c>
      <c r="P542" s="48">
        <f>HEX2DEC(RIGHT(Table13232127535868[[#This Row],[h1]],8))</f>
        <v>0</v>
      </c>
      <c r="Q542" s="48" t="s">
        <v>75</v>
      </c>
      <c r="R542" s="48">
        <f>HEX2DEC(RIGHT(Table13232127535868[[#This Row],[h2]],8))</f>
        <v>0</v>
      </c>
    </row>
    <row r="543" spans="1:18">
      <c r="A543" s="15" t="str">
        <f t="shared" si="13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8" t="s">
        <v>75</v>
      </c>
      <c r="P543" s="48">
        <f>HEX2DEC(RIGHT(Table13232127535868[[#This Row],[h1]],8))</f>
        <v>0</v>
      </c>
      <c r="Q543" s="48" t="s">
        <v>75</v>
      </c>
      <c r="R543" s="48">
        <f>HEX2DEC(RIGHT(Table13232127535868[[#This Row],[h2]],8))</f>
        <v>0</v>
      </c>
    </row>
    <row r="544" spans="1:18">
      <c r="A544" s="15" t="str">
        <f t="shared" si="13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8" t="s">
        <v>75</v>
      </c>
      <c r="P544" s="48">
        <f>HEX2DEC(RIGHT(Table13232127535868[[#This Row],[h1]],8))</f>
        <v>0</v>
      </c>
      <c r="Q544" s="48" t="s">
        <v>75</v>
      </c>
      <c r="R544" s="48">
        <f>HEX2DEC(RIGHT(Table13232127535868[[#This Row],[h2]],8))</f>
        <v>0</v>
      </c>
    </row>
    <row r="545" spans="1:18">
      <c r="A545" s="15" t="str">
        <f t="shared" si="13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8" t="s">
        <v>75</v>
      </c>
      <c r="P545" s="48">
        <f>HEX2DEC(RIGHT(Table13232127535868[[#This Row],[h1]],8))</f>
        <v>0</v>
      </c>
      <c r="Q545" s="48" t="s">
        <v>75</v>
      </c>
      <c r="R545" s="48">
        <f>HEX2DEC(RIGHT(Table13232127535868[[#This Row],[h2]],8))</f>
        <v>0</v>
      </c>
    </row>
    <row r="546" spans="1:18">
      <c r="A546" s="15" t="str">
        <f t="shared" si="13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8" t="s">
        <v>75</v>
      </c>
      <c r="P546" s="48">
        <f>HEX2DEC(RIGHT(Table13232127535868[[#This Row],[h1]],8))</f>
        <v>0</v>
      </c>
      <c r="Q546" s="48" t="s">
        <v>75</v>
      </c>
      <c r="R546" s="48">
        <f>HEX2DEC(RIGHT(Table13232127535868[[#This Row],[h2]],8))</f>
        <v>0</v>
      </c>
    </row>
    <row r="547" spans="1:18">
      <c r="A547" s="15" t="str">
        <f t="shared" si="13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8" t="s">
        <v>75</v>
      </c>
      <c r="P547" s="48">
        <f>HEX2DEC(RIGHT(Table13232127535868[[#This Row],[h1]],8))</f>
        <v>0</v>
      </c>
      <c r="Q547" s="48" t="s">
        <v>75</v>
      </c>
      <c r="R547" s="48">
        <f>HEX2DEC(RIGHT(Table13232127535868[[#This Row],[h2]],8))</f>
        <v>0</v>
      </c>
    </row>
    <row r="548" spans="1:18">
      <c r="A548" s="15" t="str">
        <f t="shared" si="13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8" t="s">
        <v>75</v>
      </c>
      <c r="P548" s="48">
        <f>HEX2DEC(RIGHT(Table13232127535868[[#This Row],[h1]],8))</f>
        <v>0</v>
      </c>
      <c r="Q548" s="48" t="s">
        <v>75</v>
      </c>
      <c r="R548" s="48">
        <f>HEX2DEC(RIGHT(Table13232127535868[[#This Row],[h2]],8))</f>
        <v>0</v>
      </c>
    </row>
    <row r="549" spans="1:18">
      <c r="A549" s="15" t="str">
        <f t="shared" si="13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8" t="s">
        <v>75</v>
      </c>
      <c r="P549" s="48">
        <f>HEX2DEC(RIGHT(Table13232127535868[[#This Row],[h1]],8))</f>
        <v>0</v>
      </c>
      <c r="Q549" s="48" t="s">
        <v>75</v>
      </c>
      <c r="R549" s="48">
        <f>HEX2DEC(RIGHT(Table13232127535868[[#This Row],[h2]],8))</f>
        <v>0</v>
      </c>
    </row>
    <row r="550" spans="1:18">
      <c r="A550" s="15" t="str">
        <f t="shared" si="13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8" t="s">
        <v>75</v>
      </c>
      <c r="P550" s="48">
        <f>HEX2DEC(RIGHT(Table13232127535868[[#This Row],[h1]],8))</f>
        <v>0</v>
      </c>
      <c r="Q550" s="48" t="s">
        <v>75</v>
      </c>
      <c r="R550" s="48">
        <f>HEX2DEC(RIGHT(Table13232127535868[[#This Row],[h2]],8))</f>
        <v>0</v>
      </c>
    </row>
    <row r="551" spans="1:18">
      <c r="A551" s="15" t="str">
        <f t="shared" si="13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8" t="s">
        <v>75</v>
      </c>
      <c r="P551" s="48">
        <f>HEX2DEC(RIGHT(Table13232127535868[[#This Row],[h1]],8))</f>
        <v>0</v>
      </c>
      <c r="Q551" s="48" t="s">
        <v>75</v>
      </c>
      <c r="R551" s="48">
        <f>HEX2DEC(RIGHT(Table13232127535868[[#This Row],[h2]],8))</f>
        <v>0</v>
      </c>
    </row>
    <row r="552" spans="1:18">
      <c r="A552" s="15" t="str">
        <f t="shared" si="13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8" t="s">
        <v>75</v>
      </c>
      <c r="P552" s="48">
        <f>HEX2DEC(RIGHT(Table13232127535868[[#This Row],[h1]],8))</f>
        <v>0</v>
      </c>
      <c r="Q552" s="48" t="s">
        <v>75</v>
      </c>
      <c r="R552" s="48">
        <f>HEX2DEC(RIGHT(Table13232127535868[[#This Row],[h2]],8))</f>
        <v>0</v>
      </c>
    </row>
    <row r="553" spans="1:18">
      <c r="A553" s="15" t="str">
        <f t="shared" si="13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8" t="s">
        <v>75</v>
      </c>
      <c r="P553" s="48">
        <f>HEX2DEC(RIGHT(Table13232127535868[[#This Row],[h1]],8))</f>
        <v>0</v>
      </c>
      <c r="Q553" s="48" t="s">
        <v>75</v>
      </c>
      <c r="R553" s="48">
        <f>HEX2DEC(RIGHT(Table13232127535868[[#This Row],[h2]],8))</f>
        <v>0</v>
      </c>
    </row>
    <row r="554" spans="1:18">
      <c r="A554" s="15" t="str">
        <f t="shared" si="13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8" t="s">
        <v>75</v>
      </c>
      <c r="P554" s="48">
        <f>HEX2DEC(RIGHT(Table13232127535868[[#This Row],[h1]],8))</f>
        <v>0</v>
      </c>
      <c r="Q554" s="48" t="s">
        <v>75</v>
      </c>
      <c r="R554" s="48">
        <f>HEX2DEC(RIGHT(Table13232127535868[[#This Row],[h2]],8))</f>
        <v>0</v>
      </c>
    </row>
    <row r="555" spans="1:18">
      <c r="A555" s="15" t="str">
        <f t="shared" si="13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8" t="s">
        <v>75</v>
      </c>
      <c r="P555" s="48">
        <f>HEX2DEC(RIGHT(Table13232127535868[[#This Row],[h1]],8))</f>
        <v>0</v>
      </c>
      <c r="Q555" s="48" t="s">
        <v>75</v>
      </c>
      <c r="R555" s="48">
        <f>HEX2DEC(RIGHT(Table13232127535868[[#This Row],[h2]],8))</f>
        <v>0</v>
      </c>
    </row>
    <row r="556" spans="1:18">
      <c r="A556" s="15" t="str">
        <f t="shared" si="13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8" t="s">
        <v>75</v>
      </c>
      <c r="P556" s="48">
        <f>HEX2DEC(RIGHT(Table13232127535868[[#This Row],[h1]],8))</f>
        <v>0</v>
      </c>
      <c r="Q556" s="48" t="s">
        <v>75</v>
      </c>
      <c r="R556" s="48">
        <f>HEX2DEC(RIGHT(Table13232127535868[[#This Row],[h2]],8))</f>
        <v>0</v>
      </c>
    </row>
    <row r="557" spans="1:18">
      <c r="A557" s="15" t="str">
        <f t="shared" si="13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8" t="s">
        <v>75</v>
      </c>
      <c r="P557" s="48">
        <f>HEX2DEC(RIGHT(Table13232127535868[[#This Row],[h1]],8))</f>
        <v>0</v>
      </c>
      <c r="Q557" s="48" t="s">
        <v>75</v>
      </c>
      <c r="R557" s="48">
        <f>HEX2DEC(RIGHT(Table13232127535868[[#This Row],[h2]],8))</f>
        <v>0</v>
      </c>
    </row>
    <row r="558" spans="1:18">
      <c r="A558" s="15" t="str">
        <f t="shared" si="13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8" t="s">
        <v>75</v>
      </c>
      <c r="P558" s="48">
        <f>HEX2DEC(RIGHT(Table13232127535868[[#This Row],[h1]],8))</f>
        <v>0</v>
      </c>
      <c r="Q558" s="48" t="s">
        <v>75</v>
      </c>
      <c r="R558" s="48">
        <f>HEX2DEC(RIGHT(Table13232127535868[[#This Row],[h2]],8))</f>
        <v>0</v>
      </c>
    </row>
    <row r="559" spans="1:18">
      <c r="A559" s="15" t="str">
        <f t="shared" si="13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8" t="s">
        <v>75</v>
      </c>
      <c r="P559" s="48">
        <f>HEX2DEC(RIGHT(Table13232127535868[[#This Row],[h1]],8))</f>
        <v>0</v>
      </c>
      <c r="Q559" s="48" t="s">
        <v>75</v>
      </c>
      <c r="R559" s="48">
        <f>HEX2DEC(RIGHT(Table13232127535868[[#This Row],[h2]],8))</f>
        <v>0</v>
      </c>
    </row>
    <row r="560" spans="1:18">
      <c r="A560" s="15" t="str">
        <f t="shared" si="13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8" t="s">
        <v>75</v>
      </c>
      <c r="P560" s="48">
        <f>HEX2DEC(RIGHT(Table13232127535868[[#This Row],[h1]],8))</f>
        <v>0</v>
      </c>
      <c r="Q560" s="48" t="s">
        <v>75</v>
      </c>
      <c r="R560" s="48">
        <f>HEX2DEC(RIGHT(Table13232127535868[[#This Row],[h2]],8))</f>
        <v>0</v>
      </c>
    </row>
    <row r="561" spans="1:18">
      <c r="A561" s="15" t="str">
        <f t="shared" si="13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8" t="s">
        <v>75</v>
      </c>
      <c r="P561" s="48">
        <f>HEX2DEC(RIGHT(Table13232127535868[[#This Row],[h1]],8))</f>
        <v>0</v>
      </c>
      <c r="Q561" s="48" t="s">
        <v>75</v>
      </c>
      <c r="R561" s="48">
        <f>HEX2DEC(RIGHT(Table13232127535868[[#This Row],[h2]],8))</f>
        <v>0</v>
      </c>
    </row>
    <row r="562" spans="1:18">
      <c r="A562" s="15" t="str">
        <f t="shared" si="13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8" t="s">
        <v>75</v>
      </c>
      <c r="P562" s="48">
        <f>HEX2DEC(RIGHT(Table13232127535868[[#This Row],[h1]],8))</f>
        <v>0</v>
      </c>
      <c r="Q562" s="48" t="s">
        <v>75</v>
      </c>
      <c r="R562" s="48">
        <f>HEX2DEC(RIGHT(Table13232127535868[[#This Row],[h2]],8))</f>
        <v>0</v>
      </c>
    </row>
    <row r="563" spans="1:18">
      <c r="A563" s="15" t="str">
        <f t="shared" si="13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8" t="s">
        <v>75</v>
      </c>
      <c r="P563" s="48">
        <f>HEX2DEC(RIGHT(Table13232127535868[[#This Row],[h1]],8))</f>
        <v>0</v>
      </c>
      <c r="Q563" s="48" t="s">
        <v>75</v>
      </c>
      <c r="R563" s="48">
        <f>HEX2DEC(RIGHT(Table13232127535868[[#This Row],[h2]],8))</f>
        <v>0</v>
      </c>
    </row>
    <row r="564" spans="1:18">
      <c r="A564" s="15" t="str">
        <f t="shared" si="13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8" t="s">
        <v>75</v>
      </c>
      <c r="P564" s="48">
        <f>HEX2DEC(RIGHT(Table13232127535868[[#This Row],[h1]],8))</f>
        <v>0</v>
      </c>
      <c r="Q564" s="48" t="s">
        <v>75</v>
      </c>
      <c r="R564" s="48">
        <f>HEX2DEC(RIGHT(Table13232127535868[[#This Row],[h2]],8))</f>
        <v>0</v>
      </c>
    </row>
    <row r="565" spans="1:18">
      <c r="A565" s="15" t="str">
        <f t="shared" si="13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8" t="s">
        <v>75</v>
      </c>
      <c r="P565" s="48">
        <f>HEX2DEC(RIGHT(Table13232127535868[[#This Row],[h1]],8))</f>
        <v>0</v>
      </c>
      <c r="Q565" s="48" t="s">
        <v>75</v>
      </c>
      <c r="R565" s="48">
        <f>HEX2DEC(RIGHT(Table13232127535868[[#This Row],[h2]],8))</f>
        <v>0</v>
      </c>
    </row>
    <row r="566" spans="1:18">
      <c r="A566" s="15" t="str">
        <f t="shared" si="13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8" t="s">
        <v>75</v>
      </c>
      <c r="P566" s="48">
        <f>HEX2DEC(RIGHT(Table13232127535868[[#This Row],[h1]],8))</f>
        <v>0</v>
      </c>
      <c r="Q566" s="48" t="s">
        <v>75</v>
      </c>
      <c r="R566" s="48">
        <f>HEX2DEC(RIGHT(Table13232127535868[[#This Row],[h2]],8))</f>
        <v>0</v>
      </c>
    </row>
    <row r="567" spans="1:18">
      <c r="A567" s="15" t="str">
        <f t="shared" si="13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8" t="s">
        <v>75</v>
      </c>
      <c r="P567" s="48">
        <f>HEX2DEC(RIGHT(Table13232127535868[[#This Row],[h1]],8))</f>
        <v>0</v>
      </c>
      <c r="Q567" s="48" t="s">
        <v>75</v>
      </c>
      <c r="R567" s="48">
        <f>HEX2DEC(RIGHT(Table13232127535868[[#This Row],[h2]],8))</f>
        <v>0</v>
      </c>
    </row>
    <row r="568" spans="1:18">
      <c r="A568" s="15" t="str">
        <f t="shared" si="13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8" t="s">
        <v>75</v>
      </c>
      <c r="P568" s="48">
        <f>HEX2DEC(RIGHT(Table13232127535868[[#This Row],[h1]],8))</f>
        <v>0</v>
      </c>
      <c r="Q568" s="48" t="s">
        <v>75</v>
      </c>
      <c r="R568" s="48">
        <f>HEX2DEC(RIGHT(Table13232127535868[[#This Row],[h2]],8))</f>
        <v>0</v>
      </c>
    </row>
    <row r="569" spans="1:18">
      <c r="A569" s="15" t="str">
        <f t="shared" si="13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8" t="s">
        <v>75</v>
      </c>
      <c r="P569" s="48">
        <f>HEX2DEC(RIGHT(Table13232127535868[[#This Row],[h1]],8))</f>
        <v>0</v>
      </c>
      <c r="Q569" s="48" t="s">
        <v>75</v>
      </c>
      <c r="R569" s="48">
        <f>HEX2DEC(RIGHT(Table13232127535868[[#This Row],[h2]],8))</f>
        <v>0</v>
      </c>
    </row>
    <row r="570" spans="1:18">
      <c r="A570" s="15" t="str">
        <f t="shared" si="13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8" t="s">
        <v>75</v>
      </c>
      <c r="P570" s="48">
        <f>HEX2DEC(RIGHT(Table13232127535868[[#This Row],[h1]],8))</f>
        <v>0</v>
      </c>
      <c r="Q570" s="48" t="s">
        <v>75</v>
      </c>
      <c r="R570" s="48">
        <f>HEX2DEC(RIGHT(Table13232127535868[[#This Row],[h2]],8))</f>
        <v>0</v>
      </c>
    </row>
    <row r="571" spans="1:18">
      <c r="A571" s="15" t="str">
        <f t="shared" si="13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8" t="s">
        <v>75</v>
      </c>
      <c r="P571" s="48">
        <f>HEX2DEC(RIGHT(Table13232127535868[[#This Row],[h1]],8))</f>
        <v>0</v>
      </c>
      <c r="Q571" s="48" t="s">
        <v>75</v>
      </c>
      <c r="R571" s="48">
        <f>HEX2DEC(RIGHT(Table13232127535868[[#This Row],[h2]],8))</f>
        <v>0</v>
      </c>
    </row>
    <row r="572" spans="1:18">
      <c r="A572" s="15" t="str">
        <f t="shared" si="13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8" t="s">
        <v>75</v>
      </c>
      <c r="P572" s="48">
        <f>HEX2DEC(RIGHT(Table13232127535868[[#This Row],[h1]],8))</f>
        <v>0</v>
      </c>
      <c r="Q572" s="48" t="s">
        <v>75</v>
      </c>
      <c r="R572" s="48">
        <f>HEX2DEC(RIGHT(Table13232127535868[[#This Row],[h2]],8))</f>
        <v>0</v>
      </c>
    </row>
    <row r="573" spans="1:18">
      <c r="A573" s="15" t="str">
        <f t="shared" si="13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8" t="s">
        <v>75</v>
      </c>
      <c r="P573" s="48">
        <f>HEX2DEC(RIGHT(Table13232127535868[[#This Row],[h1]],8))</f>
        <v>0</v>
      </c>
      <c r="Q573" s="48" t="s">
        <v>75</v>
      </c>
      <c r="R573" s="48">
        <f>HEX2DEC(RIGHT(Table13232127535868[[#This Row],[h2]],8))</f>
        <v>0</v>
      </c>
    </row>
    <row r="574" spans="1:18">
      <c r="A574" s="15" t="str">
        <f t="shared" si="13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8" t="s">
        <v>75</v>
      </c>
      <c r="P574" s="48">
        <f>HEX2DEC(RIGHT(Table13232127535868[[#This Row],[h1]],8))</f>
        <v>0</v>
      </c>
      <c r="Q574" s="48" t="s">
        <v>75</v>
      </c>
      <c r="R574" s="48">
        <f>HEX2DEC(RIGHT(Table13232127535868[[#This Row],[h2]],8))</f>
        <v>0</v>
      </c>
    </row>
    <row r="575" spans="1:18">
      <c r="A575" s="15" t="str">
        <f t="shared" si="13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8" t="s">
        <v>75</v>
      </c>
      <c r="P575" s="48">
        <f>HEX2DEC(RIGHT(Table13232127535868[[#This Row],[h1]],8))</f>
        <v>0</v>
      </c>
      <c r="Q575" s="48" t="s">
        <v>75</v>
      </c>
      <c r="R575" s="48">
        <f>HEX2DEC(RIGHT(Table13232127535868[[#This Row],[h2]],8))</f>
        <v>0</v>
      </c>
    </row>
    <row r="576" spans="1:18">
      <c r="A576" s="15" t="str">
        <f t="shared" si="13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8" t="s">
        <v>75</v>
      </c>
      <c r="P576" s="48">
        <f>HEX2DEC(RIGHT(Table13232127535868[[#This Row],[h1]],8))</f>
        <v>0</v>
      </c>
      <c r="Q576" s="48" t="s">
        <v>75</v>
      </c>
      <c r="R576" s="48">
        <f>HEX2DEC(RIGHT(Table13232127535868[[#This Row],[h2]],8))</f>
        <v>0</v>
      </c>
    </row>
    <row r="577" spans="1:18">
      <c r="A577" s="15" t="str">
        <f t="shared" si="13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8" t="s">
        <v>75</v>
      </c>
      <c r="P577" s="48">
        <f>HEX2DEC(RIGHT(Table13232127535868[[#This Row],[h1]],8))</f>
        <v>0</v>
      </c>
      <c r="Q577" s="48" t="s">
        <v>75</v>
      </c>
      <c r="R577" s="48">
        <f>HEX2DEC(RIGHT(Table13232127535868[[#This Row],[h2]],8))</f>
        <v>0</v>
      </c>
    </row>
    <row r="578" spans="1:18">
      <c r="A578" s="15" t="str">
        <f t="shared" si="13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8" t="s">
        <v>75</v>
      </c>
      <c r="P578" s="48">
        <f>HEX2DEC(RIGHT(Table13232127535868[[#This Row],[h1]],8))</f>
        <v>0</v>
      </c>
      <c r="Q578" s="48" t="s">
        <v>75</v>
      </c>
      <c r="R578" s="48">
        <f>HEX2DEC(RIGHT(Table13232127535868[[#This Row],[h2]],8))</f>
        <v>0</v>
      </c>
    </row>
    <row r="579" spans="1:18">
      <c r="A579" s="15" t="str">
        <f t="shared" si="13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8" t="s">
        <v>75</v>
      </c>
      <c r="P579" s="48">
        <f>HEX2DEC(RIGHT(Table13232127535868[[#This Row],[h1]],8))</f>
        <v>0</v>
      </c>
      <c r="Q579" s="48" t="s">
        <v>75</v>
      </c>
      <c r="R579" s="48">
        <f>HEX2DEC(RIGHT(Table13232127535868[[#This Row],[h2]],8))</f>
        <v>0</v>
      </c>
    </row>
    <row r="580" spans="1:18">
      <c r="A580" s="15" t="str">
        <f t="shared" si="13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8" t="s">
        <v>75</v>
      </c>
      <c r="P580" s="48">
        <f>HEX2DEC(RIGHT(Table13232127535868[[#This Row],[h1]],8))</f>
        <v>0</v>
      </c>
      <c r="Q580" s="48" t="s">
        <v>75</v>
      </c>
      <c r="R580" s="48">
        <f>HEX2DEC(RIGHT(Table13232127535868[[#This Row],[h2]],8))</f>
        <v>0</v>
      </c>
    </row>
    <row r="581" spans="1:18">
      <c r="A581" s="15" t="str">
        <f t="shared" si="13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8" t="s">
        <v>75</v>
      </c>
      <c r="P581" s="48">
        <f>HEX2DEC(RIGHT(Table13232127535868[[#This Row],[h1]],8))</f>
        <v>0</v>
      </c>
      <c r="Q581" s="48" t="s">
        <v>75</v>
      </c>
      <c r="R581" s="48">
        <f>HEX2DEC(RIGHT(Table13232127535868[[#This Row],[h2]],8))</f>
        <v>0</v>
      </c>
    </row>
    <row r="582" spans="1:18">
      <c r="A582" s="15" t="str">
        <f t="shared" si="13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8" t="s">
        <v>75</v>
      </c>
      <c r="P582" s="48">
        <f>HEX2DEC(RIGHT(Table13232127535868[[#This Row],[h1]],8))</f>
        <v>0</v>
      </c>
      <c r="Q582" s="48" t="s">
        <v>75</v>
      </c>
      <c r="R582" s="48">
        <f>HEX2DEC(RIGHT(Table13232127535868[[#This Row],[h2]],8))</f>
        <v>0</v>
      </c>
    </row>
    <row r="583" spans="1:18">
      <c r="A583" s="15" t="str">
        <f t="shared" si="13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8" t="s">
        <v>75</v>
      </c>
      <c r="P583" s="48">
        <f>HEX2DEC(RIGHT(Table13232127535868[[#This Row],[h1]],8))</f>
        <v>0</v>
      </c>
      <c r="Q583" s="48" t="s">
        <v>75</v>
      </c>
      <c r="R583" s="48">
        <f>HEX2DEC(RIGHT(Table13232127535868[[#This Row],[h2]],8))</f>
        <v>0</v>
      </c>
    </row>
    <row r="584" spans="1:18">
      <c r="A584" s="15" t="str">
        <f t="shared" si="13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8" t="s">
        <v>75</v>
      </c>
      <c r="P584" s="48">
        <f>HEX2DEC(RIGHT(Table13232127535868[[#This Row],[h1]],8))</f>
        <v>0</v>
      </c>
      <c r="Q584" s="48" t="s">
        <v>75</v>
      </c>
      <c r="R584" s="48">
        <f>HEX2DEC(RIGHT(Table13232127535868[[#This Row],[h2]],8))</f>
        <v>0</v>
      </c>
    </row>
    <row r="585" spans="1:18">
      <c r="A585" s="15" t="str">
        <f t="shared" si="13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8" t="s">
        <v>75</v>
      </c>
      <c r="P585" s="48">
        <f>HEX2DEC(RIGHT(Table13232127535868[[#This Row],[h1]],8))</f>
        <v>0</v>
      </c>
      <c r="Q585" s="48" t="s">
        <v>75</v>
      </c>
      <c r="R585" s="48">
        <f>HEX2DEC(RIGHT(Table13232127535868[[#This Row],[h2]],8))</f>
        <v>0</v>
      </c>
    </row>
    <row r="586" spans="1:18">
      <c r="A586" s="15" t="str">
        <f t="shared" si="13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8" t="s">
        <v>75</v>
      </c>
      <c r="P586" s="48">
        <f>HEX2DEC(RIGHT(Table13232127535868[[#This Row],[h1]],8))</f>
        <v>0</v>
      </c>
      <c r="Q586" s="48" t="s">
        <v>75</v>
      </c>
      <c r="R586" s="48">
        <f>HEX2DEC(RIGHT(Table13232127535868[[#This Row],[h2]],8))</f>
        <v>0</v>
      </c>
    </row>
    <row r="587" spans="1:18">
      <c r="A587" s="15" t="str">
        <f t="shared" ref="A587:A650" si="14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8" t="s">
        <v>75</v>
      </c>
      <c r="P587" s="48">
        <f>HEX2DEC(RIGHT(Table13232127535868[[#This Row],[h1]],8))</f>
        <v>0</v>
      </c>
      <c r="Q587" s="48" t="s">
        <v>75</v>
      </c>
      <c r="R587" s="48">
        <f>HEX2DEC(RIGHT(Table13232127535868[[#This Row],[h2]],8))</f>
        <v>0</v>
      </c>
    </row>
    <row r="588" spans="1:18">
      <c r="A588" s="15" t="str">
        <f t="shared" si="14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8" t="s">
        <v>75</v>
      </c>
      <c r="P588" s="48">
        <f>HEX2DEC(RIGHT(Table13232127535868[[#This Row],[h1]],8))</f>
        <v>0</v>
      </c>
      <c r="Q588" s="48" t="s">
        <v>75</v>
      </c>
      <c r="R588" s="48">
        <f>HEX2DEC(RIGHT(Table13232127535868[[#This Row],[h2]],8))</f>
        <v>0</v>
      </c>
    </row>
    <row r="589" spans="1:18">
      <c r="A589" s="15" t="str">
        <f t="shared" si="14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8" t="s">
        <v>75</v>
      </c>
      <c r="P589" s="48">
        <f>HEX2DEC(RIGHT(Table13232127535868[[#This Row],[h1]],8))</f>
        <v>0</v>
      </c>
      <c r="Q589" s="48" t="s">
        <v>75</v>
      </c>
      <c r="R589" s="48">
        <f>HEX2DEC(RIGHT(Table13232127535868[[#This Row],[h2]],8))</f>
        <v>0</v>
      </c>
    </row>
    <row r="590" spans="1:18">
      <c r="A590" s="15" t="str">
        <f t="shared" si="14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8" t="s">
        <v>75</v>
      </c>
      <c r="P590" s="48">
        <f>HEX2DEC(RIGHT(Table13232127535868[[#This Row],[h1]],8))</f>
        <v>0</v>
      </c>
      <c r="Q590" s="48" t="s">
        <v>75</v>
      </c>
      <c r="R590" s="48">
        <f>HEX2DEC(RIGHT(Table13232127535868[[#This Row],[h2]],8))</f>
        <v>0</v>
      </c>
    </row>
    <row r="591" spans="1:18">
      <c r="A591" s="15" t="str">
        <f t="shared" si="14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8" t="s">
        <v>75</v>
      </c>
      <c r="P591" s="48">
        <f>HEX2DEC(RIGHT(Table13232127535868[[#This Row],[h1]],8))</f>
        <v>0</v>
      </c>
      <c r="Q591" s="48" t="s">
        <v>75</v>
      </c>
      <c r="R591" s="48">
        <f>HEX2DEC(RIGHT(Table13232127535868[[#This Row],[h2]],8))</f>
        <v>0</v>
      </c>
    </row>
    <row r="592" spans="1:18">
      <c r="A592" s="15" t="str">
        <f t="shared" si="14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8" t="s">
        <v>75</v>
      </c>
      <c r="P592" s="48">
        <f>HEX2DEC(RIGHT(Table13232127535868[[#This Row],[h1]],8))</f>
        <v>0</v>
      </c>
      <c r="Q592" s="48" t="s">
        <v>75</v>
      </c>
      <c r="R592" s="48">
        <f>HEX2DEC(RIGHT(Table13232127535868[[#This Row],[h2]],8))</f>
        <v>0</v>
      </c>
    </row>
    <row r="593" spans="1:18">
      <c r="A593" s="15" t="str">
        <f t="shared" si="14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8" t="s">
        <v>75</v>
      </c>
      <c r="P593" s="48">
        <f>HEX2DEC(RIGHT(Table13232127535868[[#This Row],[h1]],8))</f>
        <v>0</v>
      </c>
      <c r="Q593" s="48" t="s">
        <v>75</v>
      </c>
      <c r="R593" s="48">
        <f>HEX2DEC(RIGHT(Table13232127535868[[#This Row],[h2]],8))</f>
        <v>0</v>
      </c>
    </row>
    <row r="594" spans="1:18">
      <c r="A594" s="15" t="str">
        <f t="shared" si="14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8" t="s">
        <v>75</v>
      </c>
      <c r="P594" s="48">
        <f>HEX2DEC(RIGHT(Table13232127535868[[#This Row],[h1]],8))</f>
        <v>0</v>
      </c>
      <c r="Q594" s="48" t="s">
        <v>75</v>
      </c>
      <c r="R594" s="48">
        <f>HEX2DEC(RIGHT(Table13232127535868[[#This Row],[h2]],8))</f>
        <v>0</v>
      </c>
    </row>
    <row r="595" spans="1:18">
      <c r="A595" s="15" t="str">
        <f t="shared" si="14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8" t="s">
        <v>75</v>
      </c>
      <c r="P595" s="48">
        <f>HEX2DEC(RIGHT(Table13232127535868[[#This Row],[h1]],8))</f>
        <v>0</v>
      </c>
      <c r="Q595" s="48" t="s">
        <v>75</v>
      </c>
      <c r="R595" s="48">
        <f>HEX2DEC(RIGHT(Table13232127535868[[#This Row],[h2]],8))</f>
        <v>0</v>
      </c>
    </row>
    <row r="596" spans="1:18">
      <c r="A596" s="15" t="str">
        <f t="shared" si="14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8" t="s">
        <v>75</v>
      </c>
      <c r="P596" s="48">
        <f>HEX2DEC(RIGHT(Table13232127535868[[#This Row],[h1]],8))</f>
        <v>0</v>
      </c>
      <c r="Q596" s="48" t="s">
        <v>75</v>
      </c>
      <c r="R596" s="48">
        <f>HEX2DEC(RIGHT(Table13232127535868[[#This Row],[h2]],8))</f>
        <v>0</v>
      </c>
    </row>
    <row r="597" spans="1:18">
      <c r="A597" s="15" t="str">
        <f t="shared" si="14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8" t="s">
        <v>75</v>
      </c>
      <c r="P597" s="48">
        <f>HEX2DEC(RIGHT(Table13232127535868[[#This Row],[h1]],8))</f>
        <v>0</v>
      </c>
      <c r="Q597" s="48" t="s">
        <v>75</v>
      </c>
      <c r="R597" s="48">
        <f>HEX2DEC(RIGHT(Table13232127535868[[#This Row],[h2]],8))</f>
        <v>0</v>
      </c>
    </row>
    <row r="598" spans="1:18">
      <c r="A598" s="15" t="str">
        <f t="shared" si="14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8" t="s">
        <v>75</v>
      </c>
      <c r="P598" s="48">
        <f>HEX2DEC(RIGHT(Table13232127535868[[#This Row],[h1]],8))</f>
        <v>0</v>
      </c>
      <c r="Q598" s="48" t="s">
        <v>75</v>
      </c>
      <c r="R598" s="48">
        <f>HEX2DEC(RIGHT(Table13232127535868[[#This Row],[h2]],8))</f>
        <v>0</v>
      </c>
    </row>
    <row r="599" spans="1:18">
      <c r="A599" s="15" t="str">
        <f t="shared" si="14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8" t="s">
        <v>75</v>
      </c>
      <c r="P599" s="48">
        <f>HEX2DEC(RIGHT(Table13232127535868[[#This Row],[h1]],8))</f>
        <v>0</v>
      </c>
      <c r="Q599" s="48" t="s">
        <v>75</v>
      </c>
      <c r="R599" s="48">
        <f>HEX2DEC(RIGHT(Table13232127535868[[#This Row],[h2]],8))</f>
        <v>0</v>
      </c>
    </row>
    <row r="600" spans="1:18">
      <c r="A600" s="15" t="str">
        <f t="shared" si="14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8" t="s">
        <v>75</v>
      </c>
      <c r="P600" s="48">
        <f>HEX2DEC(RIGHT(Table13232127535868[[#This Row],[h1]],8))</f>
        <v>0</v>
      </c>
      <c r="Q600" s="48" t="s">
        <v>75</v>
      </c>
      <c r="R600" s="48">
        <f>HEX2DEC(RIGHT(Table13232127535868[[#This Row],[h2]],8))</f>
        <v>0</v>
      </c>
    </row>
    <row r="601" spans="1:18">
      <c r="A601" s="15" t="str">
        <f t="shared" si="14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8" t="s">
        <v>75</v>
      </c>
      <c r="P601" s="48">
        <f>HEX2DEC(RIGHT(Table13232127535868[[#This Row],[h1]],8))</f>
        <v>0</v>
      </c>
      <c r="Q601" s="48" t="s">
        <v>75</v>
      </c>
      <c r="R601" s="48">
        <f>HEX2DEC(RIGHT(Table13232127535868[[#This Row],[h2]],8))</f>
        <v>0</v>
      </c>
    </row>
    <row r="602" spans="1:18">
      <c r="A602" s="15" t="str">
        <f t="shared" si="14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8" t="s">
        <v>75</v>
      </c>
      <c r="P602" s="48">
        <f>HEX2DEC(RIGHT(Table13232127535868[[#This Row],[h1]],8))</f>
        <v>0</v>
      </c>
      <c r="Q602" s="48" t="s">
        <v>75</v>
      </c>
      <c r="R602" s="48">
        <f>HEX2DEC(RIGHT(Table13232127535868[[#This Row],[h2]],8))</f>
        <v>0</v>
      </c>
    </row>
    <row r="603" spans="1:18">
      <c r="A603" s="15" t="str">
        <f t="shared" si="14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8" t="s">
        <v>75</v>
      </c>
      <c r="P603" s="48">
        <f>HEX2DEC(RIGHT(Table13232127535868[[#This Row],[h1]],8))</f>
        <v>0</v>
      </c>
      <c r="Q603" s="48" t="s">
        <v>75</v>
      </c>
      <c r="R603" s="48">
        <f>HEX2DEC(RIGHT(Table13232127535868[[#This Row],[h2]],8))</f>
        <v>0</v>
      </c>
    </row>
    <row r="604" spans="1:18">
      <c r="A604" s="15" t="str">
        <f t="shared" si="14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8" t="s">
        <v>75</v>
      </c>
      <c r="P604" s="48">
        <f>HEX2DEC(RIGHT(Table13232127535868[[#This Row],[h1]],8))</f>
        <v>0</v>
      </c>
      <c r="Q604" s="48" t="s">
        <v>75</v>
      </c>
      <c r="R604" s="48">
        <f>HEX2DEC(RIGHT(Table13232127535868[[#This Row],[h2]],8))</f>
        <v>0</v>
      </c>
    </row>
    <row r="605" spans="1:18">
      <c r="A605" s="15" t="str">
        <f t="shared" si="14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8" t="s">
        <v>75</v>
      </c>
      <c r="P605" s="48">
        <f>HEX2DEC(RIGHT(Table13232127535868[[#This Row],[h1]],8))</f>
        <v>0</v>
      </c>
      <c r="Q605" s="48" t="s">
        <v>75</v>
      </c>
      <c r="R605" s="48">
        <f>HEX2DEC(RIGHT(Table13232127535868[[#This Row],[h2]],8))</f>
        <v>0</v>
      </c>
    </row>
    <row r="606" spans="1:18">
      <c r="A606" s="15" t="str">
        <f t="shared" si="14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8" t="s">
        <v>75</v>
      </c>
      <c r="P606" s="48">
        <f>HEX2DEC(RIGHT(Table13232127535868[[#This Row],[h1]],8))</f>
        <v>0</v>
      </c>
      <c r="Q606" s="48" t="s">
        <v>75</v>
      </c>
      <c r="R606" s="48">
        <f>HEX2DEC(RIGHT(Table13232127535868[[#This Row],[h2]],8))</f>
        <v>0</v>
      </c>
    </row>
    <row r="607" spans="1:18">
      <c r="A607" s="15" t="str">
        <f t="shared" si="14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8" t="s">
        <v>75</v>
      </c>
      <c r="P607" s="48">
        <f>HEX2DEC(RIGHT(Table13232127535868[[#This Row],[h1]],8))</f>
        <v>0</v>
      </c>
      <c r="Q607" s="48" t="s">
        <v>75</v>
      </c>
      <c r="R607" s="48">
        <f>HEX2DEC(RIGHT(Table13232127535868[[#This Row],[h2]],8))</f>
        <v>0</v>
      </c>
    </row>
    <row r="608" spans="1:18">
      <c r="A608" s="15" t="str">
        <f t="shared" si="14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8" t="s">
        <v>75</v>
      </c>
      <c r="P608" s="48">
        <f>HEX2DEC(RIGHT(Table13232127535868[[#This Row],[h1]],8))</f>
        <v>0</v>
      </c>
      <c r="Q608" s="48" t="s">
        <v>75</v>
      </c>
      <c r="R608" s="48">
        <f>HEX2DEC(RIGHT(Table13232127535868[[#This Row],[h2]],8))</f>
        <v>0</v>
      </c>
    </row>
    <row r="609" spans="1:18">
      <c r="A609" s="15" t="str">
        <f t="shared" si="14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8" t="s">
        <v>75</v>
      </c>
      <c r="P609" s="48">
        <f>HEX2DEC(RIGHT(Table13232127535868[[#This Row],[h1]],8))</f>
        <v>0</v>
      </c>
      <c r="Q609" s="48" t="s">
        <v>75</v>
      </c>
      <c r="R609" s="48">
        <f>HEX2DEC(RIGHT(Table13232127535868[[#This Row],[h2]],8))</f>
        <v>0</v>
      </c>
    </row>
    <row r="610" spans="1:18">
      <c r="A610" s="15" t="str">
        <f t="shared" si="14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8" t="s">
        <v>75</v>
      </c>
      <c r="P610" s="48">
        <f>HEX2DEC(RIGHT(Table13232127535868[[#This Row],[h1]],8))</f>
        <v>0</v>
      </c>
      <c r="Q610" s="48" t="s">
        <v>75</v>
      </c>
      <c r="R610" s="48">
        <f>HEX2DEC(RIGHT(Table13232127535868[[#This Row],[h2]],8))</f>
        <v>0</v>
      </c>
    </row>
    <row r="611" spans="1:18">
      <c r="A611" s="15" t="str">
        <f t="shared" si="14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8" t="s">
        <v>75</v>
      </c>
      <c r="P611" s="48">
        <f>HEX2DEC(RIGHT(Table13232127535868[[#This Row],[h1]],8))</f>
        <v>0</v>
      </c>
      <c r="Q611" s="48" t="s">
        <v>75</v>
      </c>
      <c r="R611" s="48">
        <f>HEX2DEC(RIGHT(Table13232127535868[[#This Row],[h2]],8))</f>
        <v>0</v>
      </c>
    </row>
    <row r="612" spans="1:18">
      <c r="A612" s="15" t="str">
        <f t="shared" si="14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8" t="s">
        <v>75</v>
      </c>
      <c r="P612" s="48">
        <f>HEX2DEC(RIGHT(Table13232127535868[[#This Row],[h1]],8))</f>
        <v>0</v>
      </c>
      <c r="Q612" s="48" t="s">
        <v>75</v>
      </c>
      <c r="R612" s="48">
        <f>HEX2DEC(RIGHT(Table13232127535868[[#This Row],[h2]],8))</f>
        <v>0</v>
      </c>
    </row>
    <row r="613" spans="1:18">
      <c r="A613" s="15" t="str">
        <f t="shared" si="14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8" t="s">
        <v>75</v>
      </c>
      <c r="P613" s="48">
        <f>HEX2DEC(RIGHT(Table13232127535868[[#This Row],[h1]],8))</f>
        <v>0</v>
      </c>
      <c r="Q613" s="48" t="s">
        <v>75</v>
      </c>
      <c r="R613" s="48">
        <f>HEX2DEC(RIGHT(Table13232127535868[[#This Row],[h2]],8))</f>
        <v>0</v>
      </c>
    </row>
    <row r="614" spans="1:18">
      <c r="A614" s="15" t="str">
        <f t="shared" si="14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8" t="s">
        <v>75</v>
      </c>
      <c r="P614" s="48">
        <f>HEX2DEC(RIGHT(Table13232127535868[[#This Row],[h1]],8))</f>
        <v>0</v>
      </c>
      <c r="Q614" s="48" t="s">
        <v>75</v>
      </c>
      <c r="R614" s="48">
        <f>HEX2DEC(RIGHT(Table13232127535868[[#This Row],[h2]],8))</f>
        <v>0</v>
      </c>
    </row>
    <row r="615" spans="1:18">
      <c r="A615" s="15" t="str">
        <f t="shared" si="14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8" t="s">
        <v>75</v>
      </c>
      <c r="P615" s="48">
        <f>HEX2DEC(RIGHT(Table13232127535868[[#This Row],[h1]],8))</f>
        <v>0</v>
      </c>
      <c r="Q615" s="48" t="s">
        <v>75</v>
      </c>
      <c r="R615" s="48">
        <f>HEX2DEC(RIGHT(Table13232127535868[[#This Row],[h2]],8))</f>
        <v>0</v>
      </c>
    </row>
    <row r="616" spans="1:18">
      <c r="A616" s="15" t="str">
        <f t="shared" si="14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8" t="s">
        <v>75</v>
      </c>
      <c r="P616" s="48">
        <f>HEX2DEC(RIGHT(Table13232127535868[[#This Row],[h1]],8))</f>
        <v>0</v>
      </c>
      <c r="Q616" s="48" t="s">
        <v>75</v>
      </c>
      <c r="R616" s="48">
        <f>HEX2DEC(RIGHT(Table13232127535868[[#This Row],[h2]],8))</f>
        <v>0</v>
      </c>
    </row>
    <row r="617" spans="1:18">
      <c r="A617" s="15" t="str">
        <f t="shared" si="14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8" t="s">
        <v>75</v>
      </c>
      <c r="P617" s="48">
        <f>HEX2DEC(RIGHT(Table13232127535868[[#This Row],[h1]],8))</f>
        <v>0</v>
      </c>
      <c r="Q617" s="48" t="s">
        <v>75</v>
      </c>
      <c r="R617" s="48">
        <f>HEX2DEC(RIGHT(Table13232127535868[[#This Row],[h2]],8))</f>
        <v>0</v>
      </c>
    </row>
    <row r="618" spans="1:18">
      <c r="A618" s="15" t="str">
        <f t="shared" si="14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8" t="s">
        <v>75</v>
      </c>
      <c r="P618" s="48">
        <f>HEX2DEC(RIGHT(Table13232127535868[[#This Row],[h1]],8))</f>
        <v>0</v>
      </c>
      <c r="Q618" s="48" t="s">
        <v>75</v>
      </c>
      <c r="R618" s="48">
        <f>HEX2DEC(RIGHT(Table13232127535868[[#This Row],[h2]],8))</f>
        <v>0</v>
      </c>
    </row>
    <row r="619" spans="1:18">
      <c r="A619" s="15" t="str">
        <f t="shared" si="14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8" t="s">
        <v>75</v>
      </c>
      <c r="P619" s="48">
        <f>HEX2DEC(RIGHT(Table13232127535868[[#This Row],[h1]],8))</f>
        <v>0</v>
      </c>
      <c r="Q619" s="48" t="s">
        <v>75</v>
      </c>
      <c r="R619" s="48">
        <f>HEX2DEC(RIGHT(Table13232127535868[[#This Row],[h2]],8))</f>
        <v>0</v>
      </c>
    </row>
    <row r="620" spans="1:18">
      <c r="A620" s="15" t="str">
        <f t="shared" si="14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8" t="s">
        <v>75</v>
      </c>
      <c r="P620" s="48">
        <f>HEX2DEC(RIGHT(Table13232127535868[[#This Row],[h1]],8))</f>
        <v>0</v>
      </c>
      <c r="Q620" s="48" t="s">
        <v>75</v>
      </c>
      <c r="R620" s="48">
        <f>HEX2DEC(RIGHT(Table13232127535868[[#This Row],[h2]],8))</f>
        <v>0</v>
      </c>
    </row>
    <row r="621" spans="1:18">
      <c r="A621" s="15" t="str">
        <f t="shared" si="14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8" t="s">
        <v>75</v>
      </c>
      <c r="P621" s="48">
        <f>HEX2DEC(RIGHT(Table13232127535868[[#This Row],[h1]],8))</f>
        <v>0</v>
      </c>
      <c r="Q621" s="48" t="s">
        <v>75</v>
      </c>
      <c r="R621" s="48">
        <f>HEX2DEC(RIGHT(Table13232127535868[[#This Row],[h2]],8))</f>
        <v>0</v>
      </c>
    </row>
    <row r="622" spans="1:18">
      <c r="A622" s="15" t="str">
        <f t="shared" si="14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8" t="s">
        <v>75</v>
      </c>
      <c r="P622" s="48">
        <f>HEX2DEC(RIGHT(Table13232127535868[[#This Row],[h1]],8))</f>
        <v>0</v>
      </c>
      <c r="Q622" s="48" t="s">
        <v>75</v>
      </c>
      <c r="R622" s="48">
        <f>HEX2DEC(RIGHT(Table13232127535868[[#This Row],[h2]],8))</f>
        <v>0</v>
      </c>
    </row>
    <row r="623" spans="1:18">
      <c r="A623" s="15" t="str">
        <f t="shared" si="14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8" t="s">
        <v>75</v>
      </c>
      <c r="P623" s="48">
        <f>HEX2DEC(RIGHT(Table13232127535868[[#This Row],[h1]],8))</f>
        <v>0</v>
      </c>
      <c r="Q623" s="48" t="s">
        <v>75</v>
      </c>
      <c r="R623" s="48">
        <f>HEX2DEC(RIGHT(Table13232127535868[[#This Row],[h2]],8))</f>
        <v>0</v>
      </c>
    </row>
    <row r="624" spans="1:18">
      <c r="A624" s="15" t="str">
        <f t="shared" si="14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8" t="s">
        <v>75</v>
      </c>
      <c r="P624" s="48">
        <f>HEX2DEC(RIGHT(Table13232127535868[[#This Row],[h1]],8))</f>
        <v>0</v>
      </c>
      <c r="Q624" s="48" t="s">
        <v>75</v>
      </c>
      <c r="R624" s="48">
        <f>HEX2DEC(RIGHT(Table13232127535868[[#This Row],[h2]],8))</f>
        <v>0</v>
      </c>
    </row>
    <row r="625" spans="1:18">
      <c r="A625" s="15" t="str">
        <f t="shared" si="14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8" t="s">
        <v>75</v>
      </c>
      <c r="P625" s="48">
        <f>HEX2DEC(RIGHT(Table13232127535868[[#This Row],[h1]],8))</f>
        <v>0</v>
      </c>
      <c r="Q625" s="48" t="s">
        <v>75</v>
      </c>
      <c r="R625" s="48">
        <f>HEX2DEC(RIGHT(Table13232127535868[[#This Row],[h2]],8))</f>
        <v>0</v>
      </c>
    </row>
    <row r="626" spans="1:18">
      <c r="A626" s="15" t="str">
        <f t="shared" si="14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8" t="s">
        <v>75</v>
      </c>
      <c r="P626" s="48">
        <f>HEX2DEC(RIGHT(Table13232127535868[[#This Row],[h1]],8))</f>
        <v>0</v>
      </c>
      <c r="Q626" s="48" t="s">
        <v>75</v>
      </c>
      <c r="R626" s="48">
        <f>HEX2DEC(RIGHT(Table13232127535868[[#This Row],[h2]],8))</f>
        <v>0</v>
      </c>
    </row>
    <row r="627" spans="1:18">
      <c r="A627" s="15" t="str">
        <f t="shared" si="14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8" t="s">
        <v>75</v>
      </c>
      <c r="P627" s="48">
        <f>HEX2DEC(RIGHT(Table13232127535868[[#This Row],[h1]],8))</f>
        <v>0</v>
      </c>
      <c r="Q627" s="48" t="s">
        <v>75</v>
      </c>
      <c r="R627" s="48">
        <f>HEX2DEC(RIGHT(Table13232127535868[[#This Row],[h2]],8))</f>
        <v>0</v>
      </c>
    </row>
    <row r="628" spans="1:18">
      <c r="A628" s="15" t="str">
        <f t="shared" si="14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8" t="s">
        <v>75</v>
      </c>
      <c r="P628" s="48">
        <f>HEX2DEC(RIGHT(Table13232127535868[[#This Row],[h1]],8))</f>
        <v>0</v>
      </c>
      <c r="Q628" s="48" t="s">
        <v>75</v>
      </c>
      <c r="R628" s="48">
        <f>HEX2DEC(RIGHT(Table13232127535868[[#This Row],[h2]],8))</f>
        <v>0</v>
      </c>
    </row>
    <row r="629" spans="1:18">
      <c r="A629" s="15" t="str">
        <f t="shared" si="14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8" t="s">
        <v>75</v>
      </c>
      <c r="P629" s="48">
        <f>HEX2DEC(RIGHT(Table13232127535868[[#This Row],[h1]],8))</f>
        <v>0</v>
      </c>
      <c r="Q629" s="48" t="s">
        <v>75</v>
      </c>
      <c r="R629" s="48">
        <f>HEX2DEC(RIGHT(Table13232127535868[[#This Row],[h2]],8))</f>
        <v>0</v>
      </c>
    </row>
    <row r="630" spans="1:18">
      <c r="A630" s="15" t="str">
        <f t="shared" si="14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8" t="s">
        <v>75</v>
      </c>
      <c r="P630" s="48">
        <f>HEX2DEC(RIGHT(Table13232127535868[[#This Row],[h1]],8))</f>
        <v>0</v>
      </c>
      <c r="Q630" s="48" t="s">
        <v>75</v>
      </c>
      <c r="R630" s="48">
        <f>HEX2DEC(RIGHT(Table13232127535868[[#This Row],[h2]],8))</f>
        <v>0</v>
      </c>
    </row>
    <row r="631" spans="1:18">
      <c r="A631" s="15" t="str">
        <f t="shared" si="14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8" t="s">
        <v>75</v>
      </c>
      <c r="P631" s="48">
        <f>HEX2DEC(RIGHT(Table13232127535868[[#This Row],[h1]],8))</f>
        <v>0</v>
      </c>
      <c r="Q631" s="48" t="s">
        <v>75</v>
      </c>
      <c r="R631" s="48">
        <f>HEX2DEC(RIGHT(Table13232127535868[[#This Row],[h2]],8))</f>
        <v>0</v>
      </c>
    </row>
    <row r="632" spans="1:18">
      <c r="A632" s="15" t="str">
        <f t="shared" si="14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8" t="s">
        <v>75</v>
      </c>
      <c r="P632" s="48">
        <f>HEX2DEC(RIGHT(Table13232127535868[[#This Row],[h1]],8))</f>
        <v>0</v>
      </c>
      <c r="Q632" s="48" t="s">
        <v>75</v>
      </c>
      <c r="R632" s="48">
        <f>HEX2DEC(RIGHT(Table13232127535868[[#This Row],[h2]],8))</f>
        <v>0</v>
      </c>
    </row>
    <row r="633" spans="1:18">
      <c r="A633" s="15" t="str">
        <f t="shared" si="14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8" t="s">
        <v>75</v>
      </c>
      <c r="P633" s="48">
        <f>HEX2DEC(RIGHT(Table13232127535868[[#This Row],[h1]],8))</f>
        <v>0</v>
      </c>
      <c r="Q633" s="48" t="s">
        <v>75</v>
      </c>
      <c r="R633" s="48">
        <f>HEX2DEC(RIGHT(Table13232127535868[[#This Row],[h2]],8))</f>
        <v>0</v>
      </c>
    </row>
    <row r="634" spans="1:18">
      <c r="A634" s="15" t="str">
        <f t="shared" si="14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8" t="s">
        <v>75</v>
      </c>
      <c r="P634" s="48">
        <f>HEX2DEC(RIGHT(Table13232127535868[[#This Row],[h1]],8))</f>
        <v>0</v>
      </c>
      <c r="Q634" s="48" t="s">
        <v>75</v>
      </c>
      <c r="R634" s="48">
        <f>HEX2DEC(RIGHT(Table13232127535868[[#This Row],[h2]],8))</f>
        <v>0</v>
      </c>
    </row>
    <row r="635" spans="1:18">
      <c r="A635" s="15" t="str">
        <f t="shared" si="14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8" t="s">
        <v>75</v>
      </c>
      <c r="P635" s="48">
        <f>HEX2DEC(RIGHT(Table13232127535868[[#This Row],[h1]],8))</f>
        <v>0</v>
      </c>
      <c r="Q635" s="48" t="s">
        <v>75</v>
      </c>
      <c r="R635" s="48">
        <f>HEX2DEC(RIGHT(Table13232127535868[[#This Row],[h2]],8))</f>
        <v>0</v>
      </c>
    </row>
    <row r="636" spans="1:18">
      <c r="A636" s="15" t="str">
        <f t="shared" si="14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8" t="s">
        <v>75</v>
      </c>
      <c r="P636" s="48">
        <f>HEX2DEC(RIGHT(Table13232127535868[[#This Row],[h1]],8))</f>
        <v>0</v>
      </c>
      <c r="Q636" s="48" t="s">
        <v>75</v>
      </c>
      <c r="R636" s="48">
        <f>HEX2DEC(RIGHT(Table13232127535868[[#This Row],[h2]],8))</f>
        <v>0</v>
      </c>
    </row>
    <row r="637" spans="1:18">
      <c r="A637" s="15" t="str">
        <f t="shared" si="14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8" t="s">
        <v>75</v>
      </c>
      <c r="P637" s="48">
        <f>HEX2DEC(RIGHT(Table13232127535868[[#This Row],[h1]],8))</f>
        <v>0</v>
      </c>
      <c r="Q637" s="48" t="s">
        <v>75</v>
      </c>
      <c r="R637" s="48">
        <f>HEX2DEC(RIGHT(Table13232127535868[[#This Row],[h2]],8))</f>
        <v>0</v>
      </c>
    </row>
    <row r="638" spans="1:18">
      <c r="A638" s="15" t="str">
        <f t="shared" si="14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8" t="s">
        <v>75</v>
      </c>
      <c r="P638" s="48">
        <f>HEX2DEC(RIGHT(Table13232127535868[[#This Row],[h1]],8))</f>
        <v>0</v>
      </c>
      <c r="Q638" s="48" t="s">
        <v>75</v>
      </c>
      <c r="R638" s="48">
        <f>HEX2DEC(RIGHT(Table13232127535868[[#This Row],[h2]],8))</f>
        <v>0</v>
      </c>
    </row>
    <row r="639" spans="1:18">
      <c r="A639" s="15" t="str">
        <f t="shared" si="14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8" t="s">
        <v>75</v>
      </c>
      <c r="P639" s="48">
        <f>HEX2DEC(RIGHT(Table13232127535868[[#This Row],[h1]],8))</f>
        <v>0</v>
      </c>
      <c r="Q639" s="48" t="s">
        <v>75</v>
      </c>
      <c r="R639" s="48">
        <f>HEX2DEC(RIGHT(Table13232127535868[[#This Row],[h2]],8))</f>
        <v>0</v>
      </c>
    </row>
    <row r="640" spans="1:18">
      <c r="A640" s="15" t="str">
        <f t="shared" si="14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8" t="s">
        <v>75</v>
      </c>
      <c r="P640" s="48">
        <f>HEX2DEC(RIGHT(Table13232127535868[[#This Row],[h1]],8))</f>
        <v>0</v>
      </c>
      <c r="Q640" s="48" t="s">
        <v>75</v>
      </c>
      <c r="R640" s="48">
        <f>HEX2DEC(RIGHT(Table13232127535868[[#This Row],[h2]],8))</f>
        <v>0</v>
      </c>
    </row>
    <row r="641" spans="1:18">
      <c r="A641" s="15" t="str">
        <f t="shared" si="14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8" t="s">
        <v>75</v>
      </c>
      <c r="P641" s="48">
        <f>HEX2DEC(RIGHT(Table13232127535868[[#This Row],[h1]],8))</f>
        <v>0</v>
      </c>
      <c r="Q641" s="48" t="s">
        <v>75</v>
      </c>
      <c r="R641" s="48">
        <f>HEX2DEC(RIGHT(Table13232127535868[[#This Row],[h2]],8))</f>
        <v>0</v>
      </c>
    </row>
    <row r="642" spans="1:18">
      <c r="A642" s="15" t="str">
        <f t="shared" si="14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8" t="s">
        <v>75</v>
      </c>
      <c r="P642" s="48">
        <f>HEX2DEC(RIGHT(Table13232127535868[[#This Row],[h1]],8))</f>
        <v>0</v>
      </c>
      <c r="Q642" s="48" t="s">
        <v>75</v>
      </c>
      <c r="R642" s="48">
        <f>HEX2DEC(RIGHT(Table13232127535868[[#This Row],[h2]],8))</f>
        <v>0</v>
      </c>
    </row>
    <row r="643" spans="1:18">
      <c r="A643" s="15" t="str">
        <f t="shared" si="14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8" t="s">
        <v>75</v>
      </c>
      <c r="P643" s="48">
        <f>HEX2DEC(RIGHT(Table13232127535868[[#This Row],[h1]],8))</f>
        <v>0</v>
      </c>
      <c r="Q643" s="48" t="s">
        <v>75</v>
      </c>
      <c r="R643" s="48">
        <f>HEX2DEC(RIGHT(Table13232127535868[[#This Row],[h2]],8))</f>
        <v>0</v>
      </c>
    </row>
    <row r="644" spans="1:18">
      <c r="A644" s="15" t="str">
        <f t="shared" si="14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8" t="s">
        <v>75</v>
      </c>
      <c r="P644" s="48">
        <f>HEX2DEC(RIGHT(Table13232127535868[[#This Row],[h1]],8))</f>
        <v>0</v>
      </c>
      <c r="Q644" s="48" t="s">
        <v>75</v>
      </c>
      <c r="R644" s="48">
        <f>HEX2DEC(RIGHT(Table13232127535868[[#This Row],[h2]],8))</f>
        <v>0</v>
      </c>
    </row>
    <row r="645" spans="1:18">
      <c r="A645" s="15" t="str">
        <f t="shared" si="14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8" t="s">
        <v>75</v>
      </c>
      <c r="P645" s="48">
        <f>HEX2DEC(RIGHT(Table13232127535868[[#This Row],[h1]],8))</f>
        <v>0</v>
      </c>
      <c r="Q645" s="48" t="s">
        <v>75</v>
      </c>
      <c r="R645" s="48">
        <f>HEX2DEC(RIGHT(Table13232127535868[[#This Row],[h2]],8))</f>
        <v>0</v>
      </c>
    </row>
    <row r="646" spans="1:18">
      <c r="A646" s="15" t="str">
        <f t="shared" si="14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8" t="s">
        <v>75</v>
      </c>
      <c r="P646" s="48">
        <f>HEX2DEC(RIGHT(Table13232127535868[[#This Row],[h1]],8))</f>
        <v>0</v>
      </c>
      <c r="Q646" s="48" t="s">
        <v>75</v>
      </c>
      <c r="R646" s="48">
        <f>HEX2DEC(RIGHT(Table13232127535868[[#This Row],[h2]],8))</f>
        <v>0</v>
      </c>
    </row>
    <row r="647" spans="1:18">
      <c r="A647" s="15" t="str">
        <f t="shared" si="14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8" t="s">
        <v>75</v>
      </c>
      <c r="P647" s="48">
        <f>HEX2DEC(RIGHT(Table13232127535868[[#This Row],[h1]],8))</f>
        <v>0</v>
      </c>
      <c r="Q647" s="48" t="s">
        <v>75</v>
      </c>
      <c r="R647" s="48">
        <f>HEX2DEC(RIGHT(Table13232127535868[[#This Row],[h2]],8))</f>
        <v>0</v>
      </c>
    </row>
    <row r="648" spans="1:18">
      <c r="A648" s="15" t="str">
        <f t="shared" si="14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8" t="s">
        <v>75</v>
      </c>
      <c r="P648" s="48">
        <f>HEX2DEC(RIGHT(Table13232127535868[[#This Row],[h1]],8))</f>
        <v>0</v>
      </c>
      <c r="Q648" s="48" t="s">
        <v>75</v>
      </c>
      <c r="R648" s="48">
        <f>HEX2DEC(RIGHT(Table13232127535868[[#This Row],[h2]],8))</f>
        <v>0</v>
      </c>
    </row>
    <row r="649" spans="1:18">
      <c r="A649" s="15" t="str">
        <f t="shared" si="14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8" t="s">
        <v>75</v>
      </c>
      <c r="P649" s="48">
        <f>HEX2DEC(RIGHT(Table13232127535868[[#This Row],[h1]],8))</f>
        <v>0</v>
      </c>
      <c r="Q649" s="48" t="s">
        <v>75</v>
      </c>
      <c r="R649" s="48">
        <f>HEX2DEC(RIGHT(Table13232127535868[[#This Row],[h2]],8))</f>
        <v>0</v>
      </c>
    </row>
    <row r="650" spans="1:18">
      <c r="A650" s="15" t="str">
        <f t="shared" si="14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8" t="s">
        <v>75</v>
      </c>
      <c r="P650" s="48">
        <f>HEX2DEC(RIGHT(Table13232127535868[[#This Row],[h1]],8))</f>
        <v>0</v>
      </c>
      <c r="Q650" s="48" t="s">
        <v>75</v>
      </c>
      <c r="R650" s="48">
        <f>HEX2DEC(RIGHT(Table13232127535868[[#This Row],[h2]],8))</f>
        <v>0</v>
      </c>
    </row>
    <row r="651" spans="1:18">
      <c r="A651" s="15" t="str">
        <f t="shared" ref="A651:A714" si="15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8" t="s">
        <v>75</v>
      </c>
      <c r="P651" s="48">
        <f>HEX2DEC(RIGHT(Table13232127535868[[#This Row],[h1]],8))</f>
        <v>0</v>
      </c>
      <c r="Q651" s="48" t="s">
        <v>75</v>
      </c>
      <c r="R651" s="48">
        <f>HEX2DEC(RIGHT(Table13232127535868[[#This Row],[h2]],8))</f>
        <v>0</v>
      </c>
    </row>
    <row r="652" spans="1:18">
      <c r="A652" s="15" t="str">
        <f t="shared" si="15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8" t="s">
        <v>75</v>
      </c>
      <c r="P652" s="48">
        <f>HEX2DEC(RIGHT(Table13232127535868[[#This Row],[h1]],8))</f>
        <v>0</v>
      </c>
      <c r="Q652" s="48" t="s">
        <v>75</v>
      </c>
      <c r="R652" s="48">
        <f>HEX2DEC(RIGHT(Table13232127535868[[#This Row],[h2]],8))</f>
        <v>0</v>
      </c>
    </row>
    <row r="653" spans="1:18">
      <c r="A653" s="15" t="str">
        <f t="shared" si="15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8" t="s">
        <v>75</v>
      </c>
      <c r="P653" s="48">
        <f>HEX2DEC(RIGHT(Table13232127535868[[#This Row],[h1]],8))</f>
        <v>0</v>
      </c>
      <c r="Q653" s="48" t="s">
        <v>75</v>
      </c>
      <c r="R653" s="48">
        <f>HEX2DEC(RIGHT(Table13232127535868[[#This Row],[h2]],8))</f>
        <v>0</v>
      </c>
    </row>
    <row r="654" spans="1:18">
      <c r="A654" s="15" t="str">
        <f t="shared" si="15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8" t="s">
        <v>75</v>
      </c>
      <c r="P654" s="48">
        <f>HEX2DEC(RIGHT(Table13232127535868[[#This Row],[h1]],8))</f>
        <v>0</v>
      </c>
      <c r="Q654" s="48" t="s">
        <v>75</v>
      </c>
      <c r="R654" s="48">
        <f>HEX2DEC(RIGHT(Table13232127535868[[#This Row],[h2]],8))</f>
        <v>0</v>
      </c>
    </row>
    <row r="655" spans="1:18">
      <c r="A655" s="15" t="str">
        <f t="shared" si="15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8" t="s">
        <v>75</v>
      </c>
      <c r="P655" s="48">
        <f>HEX2DEC(RIGHT(Table13232127535868[[#This Row],[h1]],8))</f>
        <v>0</v>
      </c>
      <c r="Q655" s="48" t="s">
        <v>75</v>
      </c>
      <c r="R655" s="48">
        <f>HEX2DEC(RIGHT(Table13232127535868[[#This Row],[h2]],8))</f>
        <v>0</v>
      </c>
    </row>
    <row r="656" spans="1:18">
      <c r="A656" s="15" t="str">
        <f t="shared" si="15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8" t="s">
        <v>75</v>
      </c>
      <c r="P656" s="48">
        <f>HEX2DEC(RIGHT(Table13232127535868[[#This Row],[h1]],8))</f>
        <v>0</v>
      </c>
      <c r="Q656" s="48" t="s">
        <v>75</v>
      </c>
      <c r="R656" s="48">
        <f>HEX2DEC(RIGHT(Table13232127535868[[#This Row],[h2]],8))</f>
        <v>0</v>
      </c>
    </row>
    <row r="657" spans="1:18">
      <c r="A657" s="15" t="str">
        <f t="shared" si="15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8" t="s">
        <v>75</v>
      </c>
      <c r="P657" s="48">
        <f>HEX2DEC(RIGHT(Table13232127535868[[#This Row],[h1]],8))</f>
        <v>0</v>
      </c>
      <c r="Q657" s="48" t="s">
        <v>75</v>
      </c>
      <c r="R657" s="48">
        <f>HEX2DEC(RIGHT(Table13232127535868[[#This Row],[h2]],8))</f>
        <v>0</v>
      </c>
    </row>
    <row r="658" spans="1:18">
      <c r="A658" s="15" t="str">
        <f t="shared" si="15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8" t="s">
        <v>75</v>
      </c>
      <c r="P658" s="48">
        <f>HEX2DEC(RIGHT(Table13232127535868[[#This Row],[h1]],8))</f>
        <v>0</v>
      </c>
      <c r="Q658" s="48" t="s">
        <v>75</v>
      </c>
      <c r="R658" s="48">
        <f>HEX2DEC(RIGHT(Table13232127535868[[#This Row],[h2]],8))</f>
        <v>0</v>
      </c>
    </row>
    <row r="659" spans="1:18">
      <c r="A659" s="15" t="str">
        <f t="shared" si="15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8" t="s">
        <v>75</v>
      </c>
      <c r="P659" s="48">
        <f>HEX2DEC(RIGHT(Table13232127535868[[#This Row],[h1]],8))</f>
        <v>0</v>
      </c>
      <c r="Q659" s="48" t="s">
        <v>75</v>
      </c>
      <c r="R659" s="48">
        <f>HEX2DEC(RIGHT(Table13232127535868[[#This Row],[h2]],8))</f>
        <v>0</v>
      </c>
    </row>
    <row r="660" spans="1:18">
      <c r="A660" s="15" t="str">
        <f t="shared" si="15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8" t="s">
        <v>75</v>
      </c>
      <c r="P660" s="48">
        <f>HEX2DEC(RIGHT(Table13232127535868[[#This Row],[h1]],8))</f>
        <v>0</v>
      </c>
      <c r="Q660" s="48" t="s">
        <v>75</v>
      </c>
      <c r="R660" s="48">
        <f>HEX2DEC(RIGHT(Table13232127535868[[#This Row],[h2]],8))</f>
        <v>0</v>
      </c>
    </row>
    <row r="661" spans="1:18">
      <c r="A661" s="15" t="str">
        <f t="shared" si="15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8" t="s">
        <v>75</v>
      </c>
      <c r="P661" s="48">
        <f>HEX2DEC(RIGHT(Table13232127535868[[#This Row],[h1]],8))</f>
        <v>0</v>
      </c>
      <c r="Q661" s="48" t="s">
        <v>75</v>
      </c>
      <c r="R661" s="48">
        <f>HEX2DEC(RIGHT(Table13232127535868[[#This Row],[h2]],8))</f>
        <v>0</v>
      </c>
    </row>
    <row r="662" spans="1:18">
      <c r="A662" s="15" t="str">
        <f t="shared" si="15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8" t="s">
        <v>75</v>
      </c>
      <c r="P662" s="48">
        <f>HEX2DEC(RIGHT(Table13232127535868[[#This Row],[h1]],8))</f>
        <v>0</v>
      </c>
      <c r="Q662" s="48" t="s">
        <v>75</v>
      </c>
      <c r="R662" s="48">
        <f>HEX2DEC(RIGHT(Table13232127535868[[#This Row],[h2]],8))</f>
        <v>0</v>
      </c>
    </row>
    <row r="663" spans="1:18">
      <c r="A663" s="15" t="str">
        <f t="shared" si="15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8" t="s">
        <v>75</v>
      </c>
      <c r="P663" s="48">
        <f>HEX2DEC(RIGHT(Table13232127535868[[#This Row],[h1]],8))</f>
        <v>0</v>
      </c>
      <c r="Q663" s="48" t="s">
        <v>75</v>
      </c>
      <c r="R663" s="48">
        <f>HEX2DEC(RIGHT(Table13232127535868[[#This Row],[h2]],8))</f>
        <v>0</v>
      </c>
    </row>
    <row r="664" spans="1:18">
      <c r="A664" s="15" t="str">
        <f t="shared" si="15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8" t="s">
        <v>75</v>
      </c>
      <c r="P664" s="48">
        <f>HEX2DEC(RIGHT(Table13232127535868[[#This Row],[h1]],8))</f>
        <v>0</v>
      </c>
      <c r="Q664" s="48" t="s">
        <v>75</v>
      </c>
      <c r="R664" s="48">
        <f>HEX2DEC(RIGHT(Table13232127535868[[#This Row],[h2]],8))</f>
        <v>0</v>
      </c>
    </row>
    <row r="665" spans="1:18">
      <c r="A665" s="15" t="str">
        <f t="shared" si="15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8" t="s">
        <v>75</v>
      </c>
      <c r="P665" s="48">
        <f>HEX2DEC(RIGHT(Table13232127535868[[#This Row],[h1]],8))</f>
        <v>0</v>
      </c>
      <c r="Q665" s="48" t="s">
        <v>75</v>
      </c>
      <c r="R665" s="48">
        <f>HEX2DEC(RIGHT(Table13232127535868[[#This Row],[h2]],8))</f>
        <v>0</v>
      </c>
    </row>
    <row r="666" spans="1:18">
      <c r="A666" s="15" t="str">
        <f t="shared" si="15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8" t="s">
        <v>75</v>
      </c>
      <c r="P666" s="48">
        <f>HEX2DEC(RIGHT(Table13232127535868[[#This Row],[h1]],8))</f>
        <v>0</v>
      </c>
      <c r="Q666" s="48" t="s">
        <v>75</v>
      </c>
      <c r="R666" s="48">
        <f>HEX2DEC(RIGHT(Table13232127535868[[#This Row],[h2]],8))</f>
        <v>0</v>
      </c>
    </row>
    <row r="667" spans="1:18">
      <c r="A667" s="15" t="str">
        <f t="shared" si="15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8" t="s">
        <v>75</v>
      </c>
      <c r="P667" s="48">
        <f>HEX2DEC(RIGHT(Table13232127535868[[#This Row],[h1]],8))</f>
        <v>0</v>
      </c>
      <c r="Q667" s="48" t="s">
        <v>75</v>
      </c>
      <c r="R667" s="48">
        <f>HEX2DEC(RIGHT(Table13232127535868[[#This Row],[h2]],8))</f>
        <v>0</v>
      </c>
    </row>
    <row r="668" spans="1:18">
      <c r="A668" s="15" t="str">
        <f t="shared" si="15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8" t="s">
        <v>75</v>
      </c>
      <c r="P668" s="48">
        <f>HEX2DEC(RIGHT(Table13232127535868[[#This Row],[h1]],8))</f>
        <v>0</v>
      </c>
      <c r="Q668" s="48" t="s">
        <v>75</v>
      </c>
      <c r="R668" s="48">
        <f>HEX2DEC(RIGHT(Table13232127535868[[#This Row],[h2]],8))</f>
        <v>0</v>
      </c>
    </row>
    <row r="669" spans="1:18">
      <c r="A669" s="15" t="str">
        <f t="shared" si="15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8" t="s">
        <v>75</v>
      </c>
      <c r="P669" s="48">
        <f>HEX2DEC(RIGHT(Table13232127535868[[#This Row],[h1]],8))</f>
        <v>0</v>
      </c>
      <c r="Q669" s="48" t="s">
        <v>75</v>
      </c>
      <c r="R669" s="48">
        <f>HEX2DEC(RIGHT(Table13232127535868[[#This Row],[h2]],8))</f>
        <v>0</v>
      </c>
    </row>
    <row r="670" spans="1:18">
      <c r="A670" s="15" t="str">
        <f t="shared" si="15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8" t="s">
        <v>75</v>
      </c>
      <c r="P670" s="48">
        <f>HEX2DEC(RIGHT(Table13232127535868[[#This Row],[h1]],8))</f>
        <v>0</v>
      </c>
      <c r="Q670" s="48" t="s">
        <v>75</v>
      </c>
      <c r="R670" s="48">
        <f>HEX2DEC(RIGHT(Table13232127535868[[#This Row],[h2]],8))</f>
        <v>0</v>
      </c>
    </row>
    <row r="671" spans="1:18">
      <c r="A671" s="15" t="str">
        <f t="shared" si="15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8" t="s">
        <v>75</v>
      </c>
      <c r="P671" s="48">
        <f>HEX2DEC(RIGHT(Table13232127535868[[#This Row],[h1]],8))</f>
        <v>0</v>
      </c>
      <c r="Q671" s="48" t="s">
        <v>75</v>
      </c>
      <c r="R671" s="48">
        <f>HEX2DEC(RIGHT(Table13232127535868[[#This Row],[h2]],8))</f>
        <v>0</v>
      </c>
    </row>
    <row r="672" spans="1:18">
      <c r="A672" s="15" t="str">
        <f t="shared" si="15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8" t="s">
        <v>75</v>
      </c>
      <c r="P672" s="48">
        <f>HEX2DEC(RIGHT(Table13232127535868[[#This Row],[h1]],8))</f>
        <v>0</v>
      </c>
      <c r="Q672" s="48" t="s">
        <v>75</v>
      </c>
      <c r="R672" s="48">
        <f>HEX2DEC(RIGHT(Table13232127535868[[#This Row],[h2]],8))</f>
        <v>0</v>
      </c>
    </row>
    <row r="673" spans="1:18">
      <c r="A673" s="15" t="str">
        <f t="shared" si="15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8" t="s">
        <v>75</v>
      </c>
      <c r="P673" s="48">
        <f>HEX2DEC(RIGHT(Table13232127535868[[#This Row],[h1]],8))</f>
        <v>0</v>
      </c>
      <c r="Q673" s="48" t="s">
        <v>75</v>
      </c>
      <c r="R673" s="48">
        <f>HEX2DEC(RIGHT(Table13232127535868[[#This Row],[h2]],8))</f>
        <v>0</v>
      </c>
    </row>
    <row r="674" spans="1:18">
      <c r="A674" s="15" t="str">
        <f t="shared" si="15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8" t="s">
        <v>75</v>
      </c>
      <c r="P674" s="48">
        <f>HEX2DEC(RIGHT(Table13232127535868[[#This Row],[h1]],8))</f>
        <v>0</v>
      </c>
      <c r="Q674" s="48" t="s">
        <v>75</v>
      </c>
      <c r="R674" s="48">
        <f>HEX2DEC(RIGHT(Table13232127535868[[#This Row],[h2]],8))</f>
        <v>0</v>
      </c>
    </row>
    <row r="675" spans="1:18">
      <c r="A675" s="15" t="str">
        <f t="shared" si="15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8" t="s">
        <v>75</v>
      </c>
      <c r="P675" s="48">
        <f>HEX2DEC(RIGHT(Table13232127535868[[#This Row],[h1]],8))</f>
        <v>0</v>
      </c>
      <c r="Q675" s="48" t="s">
        <v>75</v>
      </c>
      <c r="R675" s="48">
        <f>HEX2DEC(RIGHT(Table13232127535868[[#This Row],[h2]],8))</f>
        <v>0</v>
      </c>
    </row>
    <row r="676" spans="1:18">
      <c r="A676" s="15" t="str">
        <f t="shared" si="15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8" t="s">
        <v>75</v>
      </c>
      <c r="P676" s="48">
        <f>HEX2DEC(RIGHT(Table13232127535868[[#This Row],[h1]],8))</f>
        <v>0</v>
      </c>
      <c r="Q676" s="48" t="s">
        <v>75</v>
      </c>
      <c r="R676" s="48">
        <f>HEX2DEC(RIGHT(Table13232127535868[[#This Row],[h2]],8))</f>
        <v>0</v>
      </c>
    </row>
    <row r="677" spans="1:18">
      <c r="A677" s="15" t="str">
        <f t="shared" si="15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8" t="s">
        <v>75</v>
      </c>
      <c r="P677" s="48">
        <f>HEX2DEC(RIGHT(Table13232127535868[[#This Row],[h1]],8))</f>
        <v>0</v>
      </c>
      <c r="Q677" s="48" t="s">
        <v>75</v>
      </c>
      <c r="R677" s="48">
        <f>HEX2DEC(RIGHT(Table13232127535868[[#This Row],[h2]],8))</f>
        <v>0</v>
      </c>
    </row>
    <row r="678" spans="1:18">
      <c r="A678" s="15" t="str">
        <f t="shared" si="15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8" t="s">
        <v>75</v>
      </c>
      <c r="P678" s="48">
        <f>HEX2DEC(RIGHT(Table13232127535868[[#This Row],[h1]],8))</f>
        <v>0</v>
      </c>
      <c r="Q678" s="48" t="s">
        <v>75</v>
      </c>
      <c r="R678" s="48">
        <f>HEX2DEC(RIGHT(Table13232127535868[[#This Row],[h2]],8))</f>
        <v>0</v>
      </c>
    </row>
    <row r="679" spans="1:18">
      <c r="A679" s="15" t="str">
        <f t="shared" si="15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8" t="s">
        <v>75</v>
      </c>
      <c r="P679" s="48">
        <f>HEX2DEC(RIGHT(Table13232127535868[[#This Row],[h1]],8))</f>
        <v>0</v>
      </c>
      <c r="Q679" s="48" t="s">
        <v>75</v>
      </c>
      <c r="R679" s="48">
        <f>HEX2DEC(RIGHT(Table13232127535868[[#This Row],[h2]],8))</f>
        <v>0</v>
      </c>
    </row>
    <row r="680" spans="1:18">
      <c r="A680" s="15" t="str">
        <f t="shared" si="15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8" t="s">
        <v>75</v>
      </c>
      <c r="P680" s="48">
        <f>HEX2DEC(RIGHT(Table13232127535868[[#This Row],[h1]],8))</f>
        <v>0</v>
      </c>
      <c r="Q680" s="48" t="s">
        <v>75</v>
      </c>
      <c r="R680" s="48">
        <f>HEX2DEC(RIGHT(Table13232127535868[[#This Row],[h2]],8))</f>
        <v>0</v>
      </c>
    </row>
    <row r="681" spans="1:18">
      <c r="A681" s="15" t="str">
        <f t="shared" si="15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8" t="s">
        <v>75</v>
      </c>
      <c r="P681" s="48">
        <f>HEX2DEC(RIGHT(Table13232127535868[[#This Row],[h1]],8))</f>
        <v>0</v>
      </c>
      <c r="Q681" s="48" t="s">
        <v>75</v>
      </c>
      <c r="R681" s="48">
        <f>HEX2DEC(RIGHT(Table13232127535868[[#This Row],[h2]],8))</f>
        <v>0</v>
      </c>
    </row>
    <row r="682" spans="1:18">
      <c r="A682" s="15" t="str">
        <f t="shared" si="15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8" t="s">
        <v>75</v>
      </c>
      <c r="P682" s="48">
        <f>HEX2DEC(RIGHT(Table13232127535868[[#This Row],[h1]],8))</f>
        <v>0</v>
      </c>
      <c r="Q682" s="48" t="s">
        <v>75</v>
      </c>
      <c r="R682" s="48">
        <f>HEX2DEC(RIGHT(Table13232127535868[[#This Row],[h2]],8))</f>
        <v>0</v>
      </c>
    </row>
    <row r="683" spans="1:18">
      <c r="A683" s="15" t="str">
        <f t="shared" si="15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8" t="s">
        <v>75</v>
      </c>
      <c r="P683" s="48">
        <f>HEX2DEC(RIGHT(Table13232127535868[[#This Row],[h1]],8))</f>
        <v>0</v>
      </c>
      <c r="Q683" s="48" t="s">
        <v>75</v>
      </c>
      <c r="R683" s="48">
        <f>HEX2DEC(RIGHT(Table13232127535868[[#This Row],[h2]],8))</f>
        <v>0</v>
      </c>
    </row>
    <row r="684" spans="1:18">
      <c r="A684" s="15" t="str">
        <f t="shared" si="15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8" t="s">
        <v>75</v>
      </c>
      <c r="P684" s="48">
        <f>HEX2DEC(RIGHT(Table13232127535868[[#This Row],[h1]],8))</f>
        <v>0</v>
      </c>
      <c r="Q684" s="48" t="s">
        <v>75</v>
      </c>
      <c r="R684" s="48">
        <f>HEX2DEC(RIGHT(Table13232127535868[[#This Row],[h2]],8))</f>
        <v>0</v>
      </c>
    </row>
    <row r="685" spans="1:18">
      <c r="A685" s="15" t="str">
        <f t="shared" si="15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8" t="s">
        <v>75</v>
      </c>
      <c r="P685" s="48">
        <f>HEX2DEC(RIGHT(Table13232127535868[[#This Row],[h1]],8))</f>
        <v>0</v>
      </c>
      <c r="Q685" s="48" t="s">
        <v>75</v>
      </c>
      <c r="R685" s="48">
        <f>HEX2DEC(RIGHT(Table13232127535868[[#This Row],[h2]],8))</f>
        <v>0</v>
      </c>
    </row>
    <row r="686" spans="1:18">
      <c r="A686" s="15" t="str">
        <f t="shared" si="15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8" t="s">
        <v>75</v>
      </c>
      <c r="P686" s="48">
        <f>HEX2DEC(RIGHT(Table13232127535868[[#This Row],[h1]],8))</f>
        <v>0</v>
      </c>
      <c r="Q686" s="48" t="s">
        <v>75</v>
      </c>
      <c r="R686" s="48">
        <f>HEX2DEC(RIGHT(Table13232127535868[[#This Row],[h2]],8))</f>
        <v>0</v>
      </c>
    </row>
    <row r="687" spans="1:18">
      <c r="A687" s="15" t="str">
        <f t="shared" si="15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8" t="s">
        <v>75</v>
      </c>
      <c r="P687" s="48">
        <f>HEX2DEC(RIGHT(Table13232127535868[[#This Row],[h1]],8))</f>
        <v>0</v>
      </c>
      <c r="Q687" s="48" t="s">
        <v>75</v>
      </c>
      <c r="R687" s="48">
        <f>HEX2DEC(RIGHT(Table13232127535868[[#This Row],[h2]],8))</f>
        <v>0</v>
      </c>
    </row>
    <row r="688" spans="1:18">
      <c r="A688" s="15" t="str">
        <f t="shared" si="15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8" t="s">
        <v>75</v>
      </c>
      <c r="P688" s="48">
        <f>HEX2DEC(RIGHT(Table13232127535868[[#This Row],[h1]],8))</f>
        <v>0</v>
      </c>
      <c r="Q688" s="48" t="s">
        <v>75</v>
      </c>
      <c r="R688" s="48">
        <f>HEX2DEC(RIGHT(Table13232127535868[[#This Row],[h2]],8))</f>
        <v>0</v>
      </c>
    </row>
    <row r="689" spans="1:18">
      <c r="A689" s="15" t="str">
        <f t="shared" si="15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8" t="s">
        <v>75</v>
      </c>
      <c r="P689" s="48">
        <f>HEX2DEC(RIGHT(Table13232127535868[[#This Row],[h1]],8))</f>
        <v>0</v>
      </c>
      <c r="Q689" s="48" t="s">
        <v>75</v>
      </c>
      <c r="R689" s="48">
        <f>HEX2DEC(RIGHT(Table13232127535868[[#This Row],[h2]],8))</f>
        <v>0</v>
      </c>
    </row>
    <row r="690" spans="1:18">
      <c r="A690" s="15" t="str">
        <f t="shared" si="15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8" t="s">
        <v>75</v>
      </c>
      <c r="P690" s="48">
        <f>HEX2DEC(RIGHT(Table13232127535868[[#This Row],[h1]],8))</f>
        <v>0</v>
      </c>
      <c r="Q690" s="48" t="s">
        <v>75</v>
      </c>
      <c r="R690" s="48">
        <f>HEX2DEC(RIGHT(Table13232127535868[[#This Row],[h2]],8))</f>
        <v>0</v>
      </c>
    </row>
    <row r="691" spans="1:18">
      <c r="A691" s="15" t="str">
        <f t="shared" si="15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8" t="s">
        <v>75</v>
      </c>
      <c r="P691" s="48">
        <f>HEX2DEC(RIGHT(Table13232127535868[[#This Row],[h1]],8))</f>
        <v>0</v>
      </c>
      <c r="Q691" s="48" t="s">
        <v>75</v>
      </c>
      <c r="R691" s="48">
        <f>HEX2DEC(RIGHT(Table13232127535868[[#This Row],[h2]],8))</f>
        <v>0</v>
      </c>
    </row>
    <row r="692" spans="1:18">
      <c r="A692" s="15" t="str">
        <f t="shared" si="15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8" t="s">
        <v>75</v>
      </c>
      <c r="P692" s="48">
        <f>HEX2DEC(RIGHT(Table13232127535868[[#This Row],[h1]],8))</f>
        <v>0</v>
      </c>
      <c r="Q692" s="48" t="s">
        <v>75</v>
      </c>
      <c r="R692" s="48">
        <f>HEX2DEC(RIGHT(Table13232127535868[[#This Row],[h2]],8))</f>
        <v>0</v>
      </c>
    </row>
    <row r="693" spans="1:18">
      <c r="A693" s="15" t="str">
        <f t="shared" si="15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8" t="s">
        <v>75</v>
      </c>
      <c r="P693" s="48">
        <f>HEX2DEC(RIGHT(Table13232127535868[[#This Row],[h1]],8))</f>
        <v>0</v>
      </c>
      <c r="Q693" s="48" t="s">
        <v>75</v>
      </c>
      <c r="R693" s="48">
        <f>HEX2DEC(RIGHT(Table13232127535868[[#This Row],[h2]],8))</f>
        <v>0</v>
      </c>
    </row>
    <row r="694" spans="1:18">
      <c r="A694" s="15" t="str">
        <f t="shared" si="15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8" t="s">
        <v>75</v>
      </c>
      <c r="P694" s="48">
        <f>HEX2DEC(RIGHT(Table13232127535868[[#This Row],[h1]],8))</f>
        <v>0</v>
      </c>
      <c r="Q694" s="48" t="s">
        <v>75</v>
      </c>
      <c r="R694" s="48">
        <f>HEX2DEC(RIGHT(Table13232127535868[[#This Row],[h2]],8))</f>
        <v>0</v>
      </c>
    </row>
    <row r="695" spans="1:18">
      <c r="A695" s="15" t="str">
        <f t="shared" si="15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8" t="s">
        <v>75</v>
      </c>
      <c r="P695" s="48">
        <f>HEX2DEC(RIGHT(Table13232127535868[[#This Row],[h1]],8))</f>
        <v>0</v>
      </c>
      <c r="Q695" s="48" t="s">
        <v>75</v>
      </c>
      <c r="R695" s="48">
        <f>HEX2DEC(RIGHT(Table13232127535868[[#This Row],[h2]],8))</f>
        <v>0</v>
      </c>
    </row>
    <row r="696" spans="1:18">
      <c r="A696" s="15" t="str">
        <f t="shared" si="15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8" t="s">
        <v>75</v>
      </c>
      <c r="P696" s="48">
        <f>HEX2DEC(RIGHT(Table13232127535868[[#This Row],[h1]],8))</f>
        <v>0</v>
      </c>
      <c r="Q696" s="48" t="s">
        <v>75</v>
      </c>
      <c r="R696" s="48">
        <f>HEX2DEC(RIGHT(Table13232127535868[[#This Row],[h2]],8))</f>
        <v>0</v>
      </c>
    </row>
    <row r="697" spans="1:18">
      <c r="A697" s="15" t="str">
        <f t="shared" si="15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8" t="s">
        <v>75</v>
      </c>
      <c r="P697" s="48">
        <f>HEX2DEC(RIGHT(Table13232127535868[[#This Row],[h1]],8))</f>
        <v>0</v>
      </c>
      <c r="Q697" s="48" t="s">
        <v>75</v>
      </c>
      <c r="R697" s="48">
        <f>HEX2DEC(RIGHT(Table13232127535868[[#This Row],[h2]],8))</f>
        <v>0</v>
      </c>
    </row>
    <row r="698" spans="1:18">
      <c r="A698" s="15" t="str">
        <f t="shared" si="15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8" t="s">
        <v>75</v>
      </c>
      <c r="P698" s="48">
        <f>HEX2DEC(RIGHT(Table13232127535868[[#This Row],[h1]],8))</f>
        <v>0</v>
      </c>
      <c r="Q698" s="48" t="s">
        <v>75</v>
      </c>
      <c r="R698" s="48">
        <f>HEX2DEC(RIGHT(Table13232127535868[[#This Row],[h2]],8))</f>
        <v>0</v>
      </c>
    </row>
    <row r="699" spans="1:18">
      <c r="A699" s="15" t="str">
        <f t="shared" si="15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8" t="s">
        <v>75</v>
      </c>
      <c r="P699" s="48">
        <f>HEX2DEC(RIGHT(Table13232127535868[[#This Row],[h1]],8))</f>
        <v>0</v>
      </c>
      <c r="Q699" s="48" t="s">
        <v>75</v>
      </c>
      <c r="R699" s="48">
        <f>HEX2DEC(RIGHT(Table13232127535868[[#This Row],[h2]],8))</f>
        <v>0</v>
      </c>
    </row>
    <row r="700" spans="1:18">
      <c r="A700" s="15" t="str">
        <f t="shared" si="15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8" t="s">
        <v>75</v>
      </c>
      <c r="P700" s="48">
        <f>HEX2DEC(RIGHT(Table13232127535868[[#This Row],[h1]],8))</f>
        <v>0</v>
      </c>
      <c r="Q700" s="48" t="s">
        <v>75</v>
      </c>
      <c r="R700" s="48">
        <f>HEX2DEC(RIGHT(Table13232127535868[[#This Row],[h2]],8))</f>
        <v>0</v>
      </c>
    </row>
    <row r="701" spans="1:18">
      <c r="A701" s="15" t="str">
        <f t="shared" si="15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8" t="s">
        <v>75</v>
      </c>
      <c r="P701" s="48">
        <f>HEX2DEC(RIGHT(Table13232127535868[[#This Row],[h1]],8))</f>
        <v>0</v>
      </c>
      <c r="Q701" s="48" t="s">
        <v>75</v>
      </c>
      <c r="R701" s="48">
        <f>HEX2DEC(RIGHT(Table13232127535868[[#This Row],[h2]],8))</f>
        <v>0</v>
      </c>
    </row>
    <row r="702" spans="1:18">
      <c r="A702" s="15" t="str">
        <f t="shared" si="15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8" t="s">
        <v>75</v>
      </c>
      <c r="P702" s="48">
        <f>HEX2DEC(RIGHT(Table13232127535868[[#This Row],[h1]],8))</f>
        <v>0</v>
      </c>
      <c r="Q702" s="48" t="s">
        <v>75</v>
      </c>
      <c r="R702" s="48">
        <f>HEX2DEC(RIGHT(Table13232127535868[[#This Row],[h2]],8))</f>
        <v>0</v>
      </c>
    </row>
    <row r="703" spans="1:18">
      <c r="A703" s="15" t="str">
        <f t="shared" si="15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8" t="s">
        <v>75</v>
      </c>
      <c r="P703" s="48">
        <f>HEX2DEC(RIGHT(Table13232127535868[[#This Row],[h1]],8))</f>
        <v>0</v>
      </c>
      <c r="Q703" s="48" t="s">
        <v>75</v>
      </c>
      <c r="R703" s="48">
        <f>HEX2DEC(RIGHT(Table13232127535868[[#This Row],[h2]],8))</f>
        <v>0</v>
      </c>
    </row>
    <row r="704" spans="1:18">
      <c r="A704" s="15" t="str">
        <f t="shared" si="15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8" t="s">
        <v>75</v>
      </c>
      <c r="P704" s="48">
        <f>HEX2DEC(RIGHT(Table13232127535868[[#This Row],[h1]],8))</f>
        <v>0</v>
      </c>
      <c r="Q704" s="48" t="s">
        <v>75</v>
      </c>
      <c r="R704" s="48">
        <f>HEX2DEC(RIGHT(Table13232127535868[[#This Row],[h2]],8))</f>
        <v>0</v>
      </c>
    </row>
    <row r="705" spans="1:18">
      <c r="A705" s="15" t="str">
        <f t="shared" si="15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8" t="s">
        <v>75</v>
      </c>
      <c r="P705" s="48">
        <f>HEX2DEC(RIGHT(Table13232127535868[[#This Row],[h1]],8))</f>
        <v>0</v>
      </c>
      <c r="Q705" s="48" t="s">
        <v>75</v>
      </c>
      <c r="R705" s="48">
        <f>HEX2DEC(RIGHT(Table13232127535868[[#This Row],[h2]],8))</f>
        <v>0</v>
      </c>
    </row>
    <row r="706" spans="1:18">
      <c r="A706" s="15" t="str">
        <f t="shared" si="15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8" t="s">
        <v>75</v>
      </c>
      <c r="P706" s="48">
        <f>HEX2DEC(RIGHT(Table13232127535868[[#This Row],[h1]],8))</f>
        <v>0</v>
      </c>
      <c r="Q706" s="48" t="s">
        <v>75</v>
      </c>
      <c r="R706" s="48">
        <f>HEX2DEC(RIGHT(Table13232127535868[[#This Row],[h2]],8))</f>
        <v>0</v>
      </c>
    </row>
    <row r="707" spans="1:18">
      <c r="A707" s="15" t="str">
        <f t="shared" si="15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8" t="s">
        <v>75</v>
      </c>
      <c r="P707" s="48">
        <f>HEX2DEC(RIGHT(Table13232127535868[[#This Row],[h1]],8))</f>
        <v>0</v>
      </c>
      <c r="Q707" s="48" t="s">
        <v>75</v>
      </c>
      <c r="R707" s="48">
        <f>HEX2DEC(RIGHT(Table13232127535868[[#This Row],[h2]],8))</f>
        <v>0</v>
      </c>
    </row>
    <row r="708" spans="1:18">
      <c r="A708" s="15" t="str">
        <f t="shared" si="15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8" t="s">
        <v>75</v>
      </c>
      <c r="P708" s="48">
        <f>HEX2DEC(RIGHT(Table13232127535868[[#This Row],[h1]],8))</f>
        <v>0</v>
      </c>
      <c r="Q708" s="48" t="s">
        <v>75</v>
      </c>
      <c r="R708" s="48">
        <f>HEX2DEC(RIGHT(Table13232127535868[[#This Row],[h2]],8))</f>
        <v>0</v>
      </c>
    </row>
    <row r="709" spans="1:18">
      <c r="A709" s="15" t="str">
        <f t="shared" si="15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8" t="s">
        <v>75</v>
      </c>
      <c r="P709" s="48">
        <f>HEX2DEC(RIGHT(Table13232127535868[[#This Row],[h1]],8))</f>
        <v>0</v>
      </c>
      <c r="Q709" s="48" t="s">
        <v>75</v>
      </c>
      <c r="R709" s="48">
        <f>HEX2DEC(RIGHT(Table13232127535868[[#This Row],[h2]],8))</f>
        <v>0</v>
      </c>
    </row>
    <row r="710" spans="1:18">
      <c r="A710" s="15" t="str">
        <f t="shared" si="15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8" t="s">
        <v>75</v>
      </c>
      <c r="P710" s="48">
        <f>HEX2DEC(RIGHT(Table13232127535868[[#This Row],[h1]],8))</f>
        <v>0</v>
      </c>
      <c r="Q710" s="48" t="s">
        <v>75</v>
      </c>
      <c r="R710" s="48">
        <f>HEX2DEC(RIGHT(Table13232127535868[[#This Row],[h2]],8))</f>
        <v>0</v>
      </c>
    </row>
    <row r="711" spans="1:18">
      <c r="A711" s="15" t="str">
        <f t="shared" si="15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8" t="s">
        <v>75</v>
      </c>
      <c r="P711" s="48">
        <f>HEX2DEC(RIGHT(Table13232127535868[[#This Row],[h1]],8))</f>
        <v>0</v>
      </c>
      <c r="Q711" s="48" t="s">
        <v>75</v>
      </c>
      <c r="R711" s="48">
        <f>HEX2DEC(RIGHT(Table13232127535868[[#This Row],[h2]],8))</f>
        <v>0</v>
      </c>
    </row>
    <row r="712" spans="1:18">
      <c r="A712" s="15" t="str">
        <f t="shared" si="15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8" t="s">
        <v>75</v>
      </c>
      <c r="P712" s="48">
        <f>HEX2DEC(RIGHT(Table13232127535868[[#This Row],[h1]],8))</f>
        <v>0</v>
      </c>
      <c r="Q712" s="48" t="s">
        <v>75</v>
      </c>
      <c r="R712" s="48">
        <f>HEX2DEC(RIGHT(Table13232127535868[[#This Row],[h2]],8))</f>
        <v>0</v>
      </c>
    </row>
    <row r="713" spans="1:18">
      <c r="A713" s="15" t="str">
        <f t="shared" si="15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8" t="s">
        <v>75</v>
      </c>
      <c r="P713" s="48">
        <f>HEX2DEC(RIGHT(Table13232127535868[[#This Row],[h1]],8))</f>
        <v>0</v>
      </c>
      <c r="Q713" s="48" t="s">
        <v>75</v>
      </c>
      <c r="R713" s="48">
        <f>HEX2DEC(RIGHT(Table13232127535868[[#This Row],[h2]],8))</f>
        <v>0</v>
      </c>
    </row>
    <row r="714" spans="1:18">
      <c r="A714" s="15" t="str">
        <f t="shared" si="15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8" t="s">
        <v>75</v>
      </c>
      <c r="P714" s="48">
        <f>HEX2DEC(RIGHT(Table13232127535868[[#This Row],[h1]],8))</f>
        <v>0</v>
      </c>
      <c r="Q714" s="48" t="s">
        <v>75</v>
      </c>
      <c r="R714" s="48">
        <f>HEX2DEC(RIGHT(Table13232127535868[[#This Row],[h2]],8))</f>
        <v>0</v>
      </c>
    </row>
    <row r="715" spans="1:18">
      <c r="A715" s="15" t="str">
        <f t="shared" ref="A715:A778" si="16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8" t="s">
        <v>75</v>
      </c>
      <c r="P715" s="48">
        <f>HEX2DEC(RIGHT(Table13232127535868[[#This Row],[h1]],8))</f>
        <v>0</v>
      </c>
      <c r="Q715" s="48" t="s">
        <v>75</v>
      </c>
      <c r="R715" s="48">
        <f>HEX2DEC(RIGHT(Table13232127535868[[#This Row],[h2]],8))</f>
        <v>0</v>
      </c>
    </row>
    <row r="716" spans="1:18">
      <c r="A716" s="15" t="str">
        <f t="shared" si="16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8" t="s">
        <v>75</v>
      </c>
      <c r="P716" s="48">
        <f>HEX2DEC(RIGHT(Table13232127535868[[#This Row],[h1]],8))</f>
        <v>0</v>
      </c>
      <c r="Q716" s="48" t="s">
        <v>75</v>
      </c>
      <c r="R716" s="48">
        <f>HEX2DEC(RIGHT(Table13232127535868[[#This Row],[h2]],8))</f>
        <v>0</v>
      </c>
    </row>
    <row r="717" spans="1:18">
      <c r="A717" s="15" t="str">
        <f t="shared" si="16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8" t="s">
        <v>75</v>
      </c>
      <c r="P717" s="48">
        <f>HEX2DEC(RIGHT(Table13232127535868[[#This Row],[h1]],8))</f>
        <v>0</v>
      </c>
      <c r="Q717" s="48" t="s">
        <v>75</v>
      </c>
      <c r="R717" s="48">
        <f>HEX2DEC(RIGHT(Table13232127535868[[#This Row],[h2]],8))</f>
        <v>0</v>
      </c>
    </row>
    <row r="718" spans="1:18">
      <c r="A718" s="15" t="str">
        <f t="shared" si="16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8" t="s">
        <v>75</v>
      </c>
      <c r="P718" s="48">
        <f>HEX2DEC(RIGHT(Table13232127535868[[#This Row],[h1]],8))</f>
        <v>0</v>
      </c>
      <c r="Q718" s="48" t="s">
        <v>75</v>
      </c>
      <c r="R718" s="48">
        <f>HEX2DEC(RIGHT(Table13232127535868[[#This Row],[h2]],8))</f>
        <v>0</v>
      </c>
    </row>
    <row r="719" spans="1:18">
      <c r="A719" s="15" t="str">
        <f t="shared" si="16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8" t="s">
        <v>75</v>
      </c>
      <c r="P719" s="48">
        <f>HEX2DEC(RIGHT(Table13232127535868[[#This Row],[h1]],8))</f>
        <v>0</v>
      </c>
      <c r="Q719" s="48" t="s">
        <v>75</v>
      </c>
      <c r="R719" s="48">
        <f>HEX2DEC(RIGHT(Table13232127535868[[#This Row],[h2]],8))</f>
        <v>0</v>
      </c>
    </row>
    <row r="720" spans="1:18">
      <c r="A720" s="15" t="str">
        <f t="shared" si="16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8" t="s">
        <v>75</v>
      </c>
      <c r="P720" s="48">
        <f>HEX2DEC(RIGHT(Table13232127535868[[#This Row],[h1]],8))</f>
        <v>0</v>
      </c>
      <c r="Q720" s="48" t="s">
        <v>75</v>
      </c>
      <c r="R720" s="48">
        <f>HEX2DEC(RIGHT(Table13232127535868[[#This Row],[h2]],8))</f>
        <v>0</v>
      </c>
    </row>
    <row r="721" spans="1:18">
      <c r="A721" s="15" t="str">
        <f t="shared" si="16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8" t="s">
        <v>75</v>
      </c>
      <c r="P721" s="48">
        <f>HEX2DEC(RIGHT(Table13232127535868[[#This Row],[h1]],8))</f>
        <v>0</v>
      </c>
      <c r="Q721" s="48" t="s">
        <v>75</v>
      </c>
      <c r="R721" s="48">
        <f>HEX2DEC(RIGHT(Table13232127535868[[#This Row],[h2]],8))</f>
        <v>0</v>
      </c>
    </row>
    <row r="722" spans="1:18">
      <c r="A722" s="15" t="str">
        <f t="shared" si="16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8" t="s">
        <v>75</v>
      </c>
      <c r="P722" s="48">
        <f>HEX2DEC(RIGHT(Table13232127535868[[#This Row],[h1]],8))</f>
        <v>0</v>
      </c>
      <c r="Q722" s="48" t="s">
        <v>75</v>
      </c>
      <c r="R722" s="48">
        <f>HEX2DEC(RIGHT(Table13232127535868[[#This Row],[h2]],8))</f>
        <v>0</v>
      </c>
    </row>
    <row r="723" spans="1:18">
      <c r="A723" s="15" t="str">
        <f t="shared" si="16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8" t="s">
        <v>75</v>
      </c>
      <c r="P723" s="48">
        <f>HEX2DEC(RIGHT(Table13232127535868[[#This Row],[h1]],8))</f>
        <v>0</v>
      </c>
      <c r="Q723" s="48" t="s">
        <v>75</v>
      </c>
      <c r="R723" s="48">
        <f>HEX2DEC(RIGHT(Table13232127535868[[#This Row],[h2]],8))</f>
        <v>0</v>
      </c>
    </row>
    <row r="724" spans="1:18">
      <c r="A724" s="15" t="str">
        <f t="shared" si="16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8" t="s">
        <v>75</v>
      </c>
      <c r="P724" s="48">
        <f>HEX2DEC(RIGHT(Table13232127535868[[#This Row],[h1]],8))</f>
        <v>0</v>
      </c>
      <c r="Q724" s="48" t="s">
        <v>75</v>
      </c>
      <c r="R724" s="48">
        <f>HEX2DEC(RIGHT(Table13232127535868[[#This Row],[h2]],8))</f>
        <v>0</v>
      </c>
    </row>
    <row r="725" spans="1:18">
      <c r="A725" s="15" t="str">
        <f t="shared" si="16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8" t="s">
        <v>75</v>
      </c>
      <c r="P725" s="48">
        <f>HEX2DEC(RIGHT(Table13232127535868[[#This Row],[h1]],8))</f>
        <v>0</v>
      </c>
      <c r="Q725" s="48" t="s">
        <v>75</v>
      </c>
      <c r="R725" s="48">
        <f>HEX2DEC(RIGHT(Table13232127535868[[#This Row],[h2]],8))</f>
        <v>0</v>
      </c>
    </row>
    <row r="726" spans="1:18">
      <c r="A726" s="15" t="str">
        <f t="shared" si="16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8" t="s">
        <v>75</v>
      </c>
      <c r="P726" s="48">
        <f>HEX2DEC(RIGHT(Table13232127535868[[#This Row],[h1]],8))</f>
        <v>0</v>
      </c>
      <c r="Q726" s="48" t="s">
        <v>75</v>
      </c>
      <c r="R726" s="48">
        <f>HEX2DEC(RIGHT(Table13232127535868[[#This Row],[h2]],8))</f>
        <v>0</v>
      </c>
    </row>
    <row r="727" spans="1:18">
      <c r="A727" s="15" t="str">
        <f t="shared" si="16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8" t="s">
        <v>75</v>
      </c>
      <c r="P727" s="48">
        <f>HEX2DEC(RIGHT(Table13232127535868[[#This Row],[h1]],8))</f>
        <v>0</v>
      </c>
      <c r="Q727" s="48" t="s">
        <v>75</v>
      </c>
      <c r="R727" s="48">
        <f>HEX2DEC(RIGHT(Table13232127535868[[#This Row],[h2]],8))</f>
        <v>0</v>
      </c>
    </row>
    <row r="728" spans="1:18">
      <c r="A728" s="15" t="str">
        <f t="shared" si="16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8" t="s">
        <v>75</v>
      </c>
      <c r="P728" s="48">
        <f>HEX2DEC(RIGHT(Table13232127535868[[#This Row],[h1]],8))</f>
        <v>0</v>
      </c>
      <c r="Q728" s="48" t="s">
        <v>75</v>
      </c>
      <c r="R728" s="48">
        <f>HEX2DEC(RIGHT(Table13232127535868[[#This Row],[h2]],8))</f>
        <v>0</v>
      </c>
    </row>
    <row r="729" spans="1:18">
      <c r="A729" s="15" t="str">
        <f t="shared" si="16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8" t="s">
        <v>75</v>
      </c>
      <c r="P729" s="48">
        <f>HEX2DEC(RIGHT(Table13232127535868[[#This Row],[h1]],8))</f>
        <v>0</v>
      </c>
      <c r="Q729" s="48" t="s">
        <v>75</v>
      </c>
      <c r="R729" s="48">
        <f>HEX2DEC(RIGHT(Table13232127535868[[#This Row],[h2]],8))</f>
        <v>0</v>
      </c>
    </row>
    <row r="730" spans="1:18">
      <c r="A730" s="15" t="str">
        <f t="shared" si="16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8" t="s">
        <v>75</v>
      </c>
      <c r="P730" s="48">
        <f>HEX2DEC(RIGHT(Table13232127535868[[#This Row],[h1]],8))</f>
        <v>0</v>
      </c>
      <c r="Q730" s="48" t="s">
        <v>75</v>
      </c>
      <c r="R730" s="48">
        <f>HEX2DEC(RIGHT(Table13232127535868[[#This Row],[h2]],8))</f>
        <v>0</v>
      </c>
    </row>
    <row r="731" spans="1:18">
      <c r="A731" s="15" t="str">
        <f t="shared" si="16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8" t="s">
        <v>75</v>
      </c>
      <c r="P731" s="48">
        <f>HEX2DEC(RIGHT(Table13232127535868[[#This Row],[h1]],8))</f>
        <v>0</v>
      </c>
      <c r="Q731" s="48" t="s">
        <v>75</v>
      </c>
      <c r="R731" s="48">
        <f>HEX2DEC(RIGHT(Table13232127535868[[#This Row],[h2]],8))</f>
        <v>0</v>
      </c>
    </row>
    <row r="732" spans="1:18">
      <c r="A732" s="15" t="str">
        <f t="shared" si="16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8" t="s">
        <v>75</v>
      </c>
      <c r="P732" s="48">
        <f>HEX2DEC(RIGHT(Table13232127535868[[#This Row],[h1]],8))</f>
        <v>0</v>
      </c>
      <c r="Q732" s="48" t="s">
        <v>75</v>
      </c>
      <c r="R732" s="48">
        <f>HEX2DEC(RIGHT(Table13232127535868[[#This Row],[h2]],8))</f>
        <v>0</v>
      </c>
    </row>
    <row r="733" spans="1:18">
      <c r="A733" s="15" t="str">
        <f t="shared" si="16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8" t="s">
        <v>75</v>
      </c>
      <c r="P733" s="48">
        <f>HEX2DEC(RIGHT(Table13232127535868[[#This Row],[h1]],8))</f>
        <v>0</v>
      </c>
      <c r="Q733" s="48" t="s">
        <v>75</v>
      </c>
      <c r="R733" s="48">
        <f>HEX2DEC(RIGHT(Table13232127535868[[#This Row],[h2]],8))</f>
        <v>0</v>
      </c>
    </row>
    <row r="734" spans="1:18">
      <c r="A734" s="15" t="str">
        <f t="shared" si="16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8" t="s">
        <v>75</v>
      </c>
      <c r="P734" s="48">
        <f>HEX2DEC(RIGHT(Table13232127535868[[#This Row],[h1]],8))</f>
        <v>0</v>
      </c>
      <c r="Q734" s="48" t="s">
        <v>75</v>
      </c>
      <c r="R734" s="48">
        <f>HEX2DEC(RIGHT(Table13232127535868[[#This Row],[h2]],8))</f>
        <v>0</v>
      </c>
    </row>
    <row r="735" spans="1:18">
      <c r="A735" s="15" t="str">
        <f t="shared" si="16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8" t="s">
        <v>75</v>
      </c>
      <c r="P735" s="48">
        <f>HEX2DEC(RIGHT(Table13232127535868[[#This Row],[h1]],8))</f>
        <v>0</v>
      </c>
      <c r="Q735" s="48" t="s">
        <v>75</v>
      </c>
      <c r="R735" s="48">
        <f>HEX2DEC(RIGHT(Table13232127535868[[#This Row],[h2]],8))</f>
        <v>0</v>
      </c>
    </row>
    <row r="736" spans="1:18">
      <c r="A736" s="15" t="str">
        <f t="shared" si="16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8" t="s">
        <v>75</v>
      </c>
      <c r="P736" s="48">
        <f>HEX2DEC(RIGHT(Table13232127535868[[#This Row],[h1]],8))</f>
        <v>0</v>
      </c>
      <c r="Q736" s="48" t="s">
        <v>75</v>
      </c>
      <c r="R736" s="48">
        <f>HEX2DEC(RIGHT(Table13232127535868[[#This Row],[h2]],8))</f>
        <v>0</v>
      </c>
    </row>
    <row r="737" spans="1:18">
      <c r="A737" s="15" t="str">
        <f t="shared" si="16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8" t="s">
        <v>75</v>
      </c>
      <c r="P737" s="48">
        <f>HEX2DEC(RIGHT(Table13232127535868[[#This Row],[h1]],8))</f>
        <v>0</v>
      </c>
      <c r="Q737" s="48" t="s">
        <v>75</v>
      </c>
      <c r="R737" s="48">
        <f>HEX2DEC(RIGHT(Table13232127535868[[#This Row],[h2]],8))</f>
        <v>0</v>
      </c>
    </row>
    <row r="738" spans="1:18">
      <c r="A738" s="15" t="str">
        <f t="shared" si="16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8" t="s">
        <v>75</v>
      </c>
      <c r="P738" s="48">
        <f>HEX2DEC(RIGHT(Table13232127535868[[#This Row],[h1]],8))</f>
        <v>0</v>
      </c>
      <c r="Q738" s="48" t="s">
        <v>75</v>
      </c>
      <c r="R738" s="48">
        <f>HEX2DEC(RIGHT(Table13232127535868[[#This Row],[h2]],8))</f>
        <v>0</v>
      </c>
    </row>
    <row r="739" spans="1:18">
      <c r="A739" s="15" t="str">
        <f t="shared" si="16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8" t="s">
        <v>75</v>
      </c>
      <c r="P739" s="48">
        <f>HEX2DEC(RIGHT(Table13232127535868[[#This Row],[h1]],8))</f>
        <v>0</v>
      </c>
      <c r="Q739" s="48" t="s">
        <v>75</v>
      </c>
      <c r="R739" s="48">
        <f>HEX2DEC(RIGHT(Table13232127535868[[#This Row],[h2]],8))</f>
        <v>0</v>
      </c>
    </row>
    <row r="740" spans="1:18">
      <c r="A740" s="15" t="str">
        <f t="shared" si="16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8" t="s">
        <v>75</v>
      </c>
      <c r="P740" s="48">
        <f>HEX2DEC(RIGHT(Table13232127535868[[#This Row],[h1]],8))</f>
        <v>0</v>
      </c>
      <c r="Q740" s="48" t="s">
        <v>75</v>
      </c>
      <c r="R740" s="48">
        <f>HEX2DEC(RIGHT(Table13232127535868[[#This Row],[h2]],8))</f>
        <v>0</v>
      </c>
    </row>
    <row r="741" spans="1:18">
      <c r="A741" s="15" t="str">
        <f t="shared" si="16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8" t="s">
        <v>75</v>
      </c>
      <c r="P741" s="48">
        <f>HEX2DEC(RIGHT(Table13232127535868[[#This Row],[h1]],8))</f>
        <v>0</v>
      </c>
      <c r="Q741" s="48" t="s">
        <v>75</v>
      </c>
      <c r="R741" s="48">
        <f>HEX2DEC(RIGHT(Table13232127535868[[#This Row],[h2]],8))</f>
        <v>0</v>
      </c>
    </row>
    <row r="742" spans="1:18">
      <c r="A742" s="15" t="str">
        <f t="shared" si="16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8" t="s">
        <v>75</v>
      </c>
      <c r="P742" s="48">
        <f>HEX2DEC(RIGHT(Table13232127535868[[#This Row],[h1]],8))</f>
        <v>0</v>
      </c>
      <c r="Q742" s="48" t="s">
        <v>75</v>
      </c>
      <c r="R742" s="48">
        <f>HEX2DEC(RIGHT(Table13232127535868[[#This Row],[h2]],8))</f>
        <v>0</v>
      </c>
    </row>
    <row r="743" spans="1:18">
      <c r="A743" s="15" t="str">
        <f t="shared" si="16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8" t="s">
        <v>75</v>
      </c>
      <c r="P743" s="48">
        <f>HEX2DEC(RIGHT(Table13232127535868[[#This Row],[h1]],8))</f>
        <v>0</v>
      </c>
      <c r="Q743" s="48" t="s">
        <v>75</v>
      </c>
      <c r="R743" s="48">
        <f>HEX2DEC(RIGHT(Table13232127535868[[#This Row],[h2]],8))</f>
        <v>0</v>
      </c>
    </row>
    <row r="744" spans="1:18">
      <c r="A744" s="15" t="str">
        <f t="shared" si="16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8" t="s">
        <v>75</v>
      </c>
      <c r="P744" s="48">
        <f>HEX2DEC(RIGHT(Table13232127535868[[#This Row],[h1]],8))</f>
        <v>0</v>
      </c>
      <c r="Q744" s="48" t="s">
        <v>75</v>
      </c>
      <c r="R744" s="48">
        <f>HEX2DEC(RIGHT(Table13232127535868[[#This Row],[h2]],8))</f>
        <v>0</v>
      </c>
    </row>
    <row r="745" spans="1:18">
      <c r="A745" s="15" t="str">
        <f t="shared" si="16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8" t="s">
        <v>75</v>
      </c>
      <c r="P745" s="48">
        <f>HEX2DEC(RIGHT(Table13232127535868[[#This Row],[h1]],8))</f>
        <v>0</v>
      </c>
      <c r="Q745" s="48" t="s">
        <v>75</v>
      </c>
      <c r="R745" s="48">
        <f>HEX2DEC(RIGHT(Table13232127535868[[#This Row],[h2]],8))</f>
        <v>0</v>
      </c>
    </row>
    <row r="746" spans="1:18">
      <c r="A746" s="15" t="str">
        <f t="shared" si="16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8" t="s">
        <v>75</v>
      </c>
      <c r="P746" s="48">
        <f>HEX2DEC(RIGHT(Table13232127535868[[#This Row],[h1]],8))</f>
        <v>0</v>
      </c>
      <c r="Q746" s="48" t="s">
        <v>75</v>
      </c>
      <c r="R746" s="48">
        <f>HEX2DEC(RIGHT(Table13232127535868[[#This Row],[h2]],8))</f>
        <v>0</v>
      </c>
    </row>
    <row r="747" spans="1:18">
      <c r="A747" s="15" t="str">
        <f t="shared" si="16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8" t="s">
        <v>75</v>
      </c>
      <c r="P747" s="48">
        <f>HEX2DEC(RIGHT(Table13232127535868[[#This Row],[h1]],8))</f>
        <v>0</v>
      </c>
      <c r="Q747" s="48" t="s">
        <v>75</v>
      </c>
      <c r="R747" s="48">
        <f>HEX2DEC(RIGHT(Table13232127535868[[#This Row],[h2]],8))</f>
        <v>0</v>
      </c>
    </row>
    <row r="748" spans="1:18">
      <c r="A748" s="15" t="str">
        <f t="shared" si="16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8" t="s">
        <v>75</v>
      </c>
      <c r="P748" s="48">
        <f>HEX2DEC(RIGHT(Table13232127535868[[#This Row],[h1]],8))</f>
        <v>0</v>
      </c>
      <c r="Q748" s="48" t="s">
        <v>75</v>
      </c>
      <c r="R748" s="48">
        <f>HEX2DEC(RIGHT(Table13232127535868[[#This Row],[h2]],8))</f>
        <v>0</v>
      </c>
    </row>
    <row r="749" spans="1:18">
      <c r="A749" s="15" t="str">
        <f t="shared" si="16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8" t="s">
        <v>75</v>
      </c>
      <c r="P749" s="48">
        <f>HEX2DEC(RIGHT(Table13232127535868[[#This Row],[h1]],8))</f>
        <v>0</v>
      </c>
      <c r="Q749" s="48" t="s">
        <v>75</v>
      </c>
      <c r="R749" s="48">
        <f>HEX2DEC(RIGHT(Table13232127535868[[#This Row],[h2]],8))</f>
        <v>0</v>
      </c>
    </row>
    <row r="750" spans="1:18">
      <c r="A750" s="15" t="str">
        <f t="shared" si="16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8" t="s">
        <v>75</v>
      </c>
      <c r="P750" s="48">
        <f>HEX2DEC(RIGHT(Table13232127535868[[#This Row],[h1]],8))</f>
        <v>0</v>
      </c>
      <c r="Q750" s="48" t="s">
        <v>75</v>
      </c>
      <c r="R750" s="48">
        <f>HEX2DEC(RIGHT(Table13232127535868[[#This Row],[h2]],8))</f>
        <v>0</v>
      </c>
    </row>
    <row r="751" spans="1:18">
      <c r="A751" s="15" t="str">
        <f t="shared" si="16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8" t="s">
        <v>75</v>
      </c>
      <c r="P751" s="48">
        <f>HEX2DEC(RIGHT(Table13232127535868[[#This Row],[h1]],8))</f>
        <v>0</v>
      </c>
      <c r="Q751" s="48" t="s">
        <v>75</v>
      </c>
      <c r="R751" s="48">
        <f>HEX2DEC(RIGHT(Table13232127535868[[#This Row],[h2]],8))</f>
        <v>0</v>
      </c>
    </row>
    <row r="752" spans="1:18">
      <c r="A752" s="15" t="str">
        <f t="shared" si="16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8" t="s">
        <v>75</v>
      </c>
      <c r="P752" s="48">
        <f>HEX2DEC(RIGHT(Table13232127535868[[#This Row],[h1]],8))</f>
        <v>0</v>
      </c>
      <c r="Q752" s="48" t="s">
        <v>75</v>
      </c>
      <c r="R752" s="48">
        <f>HEX2DEC(RIGHT(Table13232127535868[[#This Row],[h2]],8))</f>
        <v>0</v>
      </c>
    </row>
    <row r="753" spans="1:18">
      <c r="A753" s="15" t="str">
        <f t="shared" si="16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8" t="s">
        <v>75</v>
      </c>
      <c r="P753" s="48">
        <f>HEX2DEC(RIGHT(Table13232127535868[[#This Row],[h1]],8))</f>
        <v>0</v>
      </c>
      <c r="Q753" s="48" t="s">
        <v>75</v>
      </c>
      <c r="R753" s="48">
        <f>HEX2DEC(RIGHT(Table13232127535868[[#This Row],[h2]],8))</f>
        <v>0</v>
      </c>
    </row>
    <row r="754" spans="1:18">
      <c r="A754" s="15" t="str">
        <f t="shared" si="16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8" t="s">
        <v>75</v>
      </c>
      <c r="P754" s="48">
        <f>HEX2DEC(RIGHT(Table13232127535868[[#This Row],[h1]],8))</f>
        <v>0</v>
      </c>
      <c r="Q754" s="48" t="s">
        <v>75</v>
      </c>
      <c r="R754" s="48">
        <f>HEX2DEC(RIGHT(Table13232127535868[[#This Row],[h2]],8))</f>
        <v>0</v>
      </c>
    </row>
    <row r="755" spans="1:18">
      <c r="A755" s="15" t="str">
        <f t="shared" si="16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8" t="s">
        <v>75</v>
      </c>
      <c r="P755" s="48">
        <f>HEX2DEC(RIGHT(Table13232127535868[[#This Row],[h1]],8))</f>
        <v>0</v>
      </c>
      <c r="Q755" s="48" t="s">
        <v>75</v>
      </c>
      <c r="R755" s="48">
        <f>HEX2DEC(RIGHT(Table13232127535868[[#This Row],[h2]],8))</f>
        <v>0</v>
      </c>
    </row>
    <row r="756" spans="1:18">
      <c r="A756" s="15" t="str">
        <f t="shared" si="16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8" t="s">
        <v>75</v>
      </c>
      <c r="P756" s="48">
        <f>HEX2DEC(RIGHT(Table13232127535868[[#This Row],[h1]],8))</f>
        <v>0</v>
      </c>
      <c r="Q756" s="48" t="s">
        <v>75</v>
      </c>
      <c r="R756" s="48">
        <f>HEX2DEC(RIGHT(Table13232127535868[[#This Row],[h2]],8))</f>
        <v>0</v>
      </c>
    </row>
    <row r="757" spans="1:18">
      <c r="A757" s="15" t="str">
        <f t="shared" si="16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8" t="s">
        <v>75</v>
      </c>
      <c r="P757" s="48">
        <f>HEX2DEC(RIGHT(Table13232127535868[[#This Row],[h1]],8))</f>
        <v>0</v>
      </c>
      <c r="Q757" s="48" t="s">
        <v>75</v>
      </c>
      <c r="R757" s="48">
        <f>HEX2DEC(RIGHT(Table13232127535868[[#This Row],[h2]],8))</f>
        <v>0</v>
      </c>
    </row>
    <row r="758" spans="1:18">
      <c r="A758" s="15" t="str">
        <f t="shared" si="16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8" t="s">
        <v>75</v>
      </c>
      <c r="P758" s="48">
        <f>HEX2DEC(RIGHT(Table13232127535868[[#This Row],[h1]],8))</f>
        <v>0</v>
      </c>
      <c r="Q758" s="48" t="s">
        <v>75</v>
      </c>
      <c r="R758" s="48">
        <f>HEX2DEC(RIGHT(Table13232127535868[[#This Row],[h2]],8))</f>
        <v>0</v>
      </c>
    </row>
    <row r="759" spans="1:18">
      <c r="A759" s="15" t="str">
        <f t="shared" si="16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8" t="s">
        <v>75</v>
      </c>
      <c r="P759" s="48">
        <f>HEX2DEC(RIGHT(Table13232127535868[[#This Row],[h1]],8))</f>
        <v>0</v>
      </c>
      <c r="Q759" s="48" t="s">
        <v>75</v>
      </c>
      <c r="R759" s="48">
        <f>HEX2DEC(RIGHT(Table13232127535868[[#This Row],[h2]],8))</f>
        <v>0</v>
      </c>
    </row>
    <row r="760" spans="1:18">
      <c r="A760" s="15" t="str">
        <f t="shared" si="16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8" t="s">
        <v>75</v>
      </c>
      <c r="P760" s="48">
        <f>HEX2DEC(RIGHT(Table13232127535868[[#This Row],[h1]],8))</f>
        <v>0</v>
      </c>
      <c r="Q760" s="48" t="s">
        <v>75</v>
      </c>
      <c r="R760" s="48">
        <f>HEX2DEC(RIGHT(Table13232127535868[[#This Row],[h2]],8))</f>
        <v>0</v>
      </c>
    </row>
    <row r="761" spans="1:18">
      <c r="A761" s="15" t="str">
        <f t="shared" si="16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8" t="s">
        <v>75</v>
      </c>
      <c r="P761" s="48">
        <f>HEX2DEC(RIGHT(Table13232127535868[[#This Row],[h1]],8))</f>
        <v>0</v>
      </c>
      <c r="Q761" s="48" t="s">
        <v>75</v>
      </c>
      <c r="R761" s="48">
        <f>HEX2DEC(RIGHT(Table13232127535868[[#This Row],[h2]],8))</f>
        <v>0</v>
      </c>
    </row>
    <row r="762" spans="1:18">
      <c r="A762" s="15" t="str">
        <f t="shared" si="16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8" t="s">
        <v>75</v>
      </c>
      <c r="P762" s="48">
        <f>HEX2DEC(RIGHT(Table13232127535868[[#This Row],[h1]],8))</f>
        <v>0</v>
      </c>
      <c r="Q762" s="48" t="s">
        <v>75</v>
      </c>
      <c r="R762" s="48">
        <f>HEX2DEC(RIGHT(Table13232127535868[[#This Row],[h2]],8))</f>
        <v>0</v>
      </c>
    </row>
    <row r="763" spans="1:18">
      <c r="A763" s="15" t="str">
        <f t="shared" si="16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8" t="s">
        <v>75</v>
      </c>
      <c r="P763" s="48">
        <f>HEX2DEC(RIGHT(Table13232127535868[[#This Row],[h1]],8))</f>
        <v>0</v>
      </c>
      <c r="Q763" s="48" t="s">
        <v>75</v>
      </c>
      <c r="R763" s="48">
        <f>HEX2DEC(RIGHT(Table13232127535868[[#This Row],[h2]],8))</f>
        <v>0</v>
      </c>
    </row>
    <row r="764" spans="1:18">
      <c r="A764" s="15" t="str">
        <f t="shared" si="16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8" t="s">
        <v>75</v>
      </c>
      <c r="P764" s="48">
        <f>HEX2DEC(RIGHT(Table13232127535868[[#This Row],[h1]],8))</f>
        <v>0</v>
      </c>
      <c r="Q764" s="48" t="s">
        <v>75</v>
      </c>
      <c r="R764" s="48">
        <f>HEX2DEC(RIGHT(Table13232127535868[[#This Row],[h2]],8))</f>
        <v>0</v>
      </c>
    </row>
    <row r="765" spans="1:18">
      <c r="A765" s="15" t="str">
        <f t="shared" si="16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8" t="s">
        <v>75</v>
      </c>
      <c r="P765" s="48">
        <f>HEX2DEC(RIGHT(Table13232127535868[[#This Row],[h1]],8))</f>
        <v>0</v>
      </c>
      <c r="Q765" s="48" t="s">
        <v>75</v>
      </c>
      <c r="R765" s="48">
        <f>HEX2DEC(RIGHT(Table13232127535868[[#This Row],[h2]],8))</f>
        <v>0</v>
      </c>
    </row>
    <row r="766" spans="1:18">
      <c r="A766" s="15" t="str">
        <f t="shared" si="16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8" t="s">
        <v>75</v>
      </c>
      <c r="P766" s="48">
        <f>HEX2DEC(RIGHT(Table13232127535868[[#This Row],[h1]],8))</f>
        <v>0</v>
      </c>
      <c r="Q766" s="48" t="s">
        <v>75</v>
      </c>
      <c r="R766" s="48">
        <f>HEX2DEC(RIGHT(Table13232127535868[[#This Row],[h2]],8))</f>
        <v>0</v>
      </c>
    </row>
    <row r="767" spans="1:18">
      <c r="A767" s="15" t="str">
        <f t="shared" si="16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8" t="s">
        <v>75</v>
      </c>
      <c r="P767" s="48">
        <f>HEX2DEC(RIGHT(Table13232127535868[[#This Row],[h1]],8))</f>
        <v>0</v>
      </c>
      <c r="Q767" s="48" t="s">
        <v>75</v>
      </c>
      <c r="R767" s="48">
        <f>HEX2DEC(RIGHT(Table13232127535868[[#This Row],[h2]],8))</f>
        <v>0</v>
      </c>
    </row>
    <row r="768" spans="1:18">
      <c r="A768" s="15" t="str">
        <f t="shared" si="16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8" t="s">
        <v>75</v>
      </c>
      <c r="P768" s="48">
        <f>HEX2DEC(RIGHT(Table13232127535868[[#This Row],[h1]],8))</f>
        <v>0</v>
      </c>
      <c r="Q768" s="48" t="s">
        <v>75</v>
      </c>
      <c r="R768" s="48">
        <f>HEX2DEC(RIGHT(Table13232127535868[[#This Row],[h2]],8))</f>
        <v>0</v>
      </c>
    </row>
    <row r="769" spans="1:18">
      <c r="A769" s="15" t="str">
        <f t="shared" si="16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8" t="s">
        <v>75</v>
      </c>
      <c r="P769" s="48">
        <f>HEX2DEC(RIGHT(Table13232127535868[[#This Row],[h1]],8))</f>
        <v>0</v>
      </c>
      <c r="Q769" s="48" t="s">
        <v>75</v>
      </c>
      <c r="R769" s="48">
        <f>HEX2DEC(RIGHT(Table13232127535868[[#This Row],[h2]],8))</f>
        <v>0</v>
      </c>
    </row>
    <row r="770" spans="1:18">
      <c r="A770" s="15" t="str">
        <f t="shared" si="16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8" t="s">
        <v>75</v>
      </c>
      <c r="P770" s="48">
        <f>HEX2DEC(RIGHT(Table13232127535868[[#This Row],[h1]],8))</f>
        <v>0</v>
      </c>
      <c r="Q770" s="48" t="s">
        <v>75</v>
      </c>
      <c r="R770" s="48">
        <f>HEX2DEC(RIGHT(Table13232127535868[[#This Row],[h2]],8))</f>
        <v>0</v>
      </c>
    </row>
    <row r="771" spans="1:18">
      <c r="A771" s="15" t="str">
        <f t="shared" si="16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8" t="s">
        <v>75</v>
      </c>
      <c r="P771" s="48">
        <f>HEX2DEC(RIGHT(Table13232127535868[[#This Row],[h1]],8))</f>
        <v>0</v>
      </c>
      <c r="Q771" s="48" t="s">
        <v>75</v>
      </c>
      <c r="R771" s="48">
        <f>HEX2DEC(RIGHT(Table13232127535868[[#This Row],[h2]],8))</f>
        <v>0</v>
      </c>
    </row>
    <row r="772" spans="1:18">
      <c r="A772" s="15" t="str">
        <f t="shared" si="16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8" t="s">
        <v>75</v>
      </c>
      <c r="P772" s="48">
        <f>HEX2DEC(RIGHT(Table13232127535868[[#This Row],[h1]],8))</f>
        <v>0</v>
      </c>
      <c r="Q772" s="48" t="s">
        <v>75</v>
      </c>
      <c r="R772" s="48">
        <f>HEX2DEC(RIGHT(Table13232127535868[[#This Row],[h2]],8))</f>
        <v>0</v>
      </c>
    </row>
    <row r="773" spans="1:18">
      <c r="A773" s="15" t="str">
        <f t="shared" si="16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8" t="s">
        <v>75</v>
      </c>
      <c r="P773" s="48">
        <f>HEX2DEC(RIGHT(Table13232127535868[[#This Row],[h1]],8))</f>
        <v>0</v>
      </c>
      <c r="Q773" s="48" t="s">
        <v>75</v>
      </c>
      <c r="R773" s="48">
        <f>HEX2DEC(RIGHT(Table13232127535868[[#This Row],[h2]],8))</f>
        <v>0</v>
      </c>
    </row>
    <row r="774" spans="1:18">
      <c r="A774" s="15" t="str">
        <f t="shared" si="16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8" t="s">
        <v>75</v>
      </c>
      <c r="P774" s="48">
        <f>HEX2DEC(RIGHT(Table13232127535868[[#This Row],[h1]],8))</f>
        <v>0</v>
      </c>
      <c r="Q774" s="48" t="s">
        <v>75</v>
      </c>
      <c r="R774" s="48">
        <f>HEX2DEC(RIGHT(Table13232127535868[[#This Row],[h2]],8))</f>
        <v>0</v>
      </c>
    </row>
    <row r="775" spans="1:18">
      <c r="A775" s="15" t="str">
        <f t="shared" si="16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8" t="s">
        <v>75</v>
      </c>
      <c r="P775" s="48">
        <f>HEX2DEC(RIGHT(Table13232127535868[[#This Row],[h1]],8))</f>
        <v>0</v>
      </c>
      <c r="Q775" s="48" t="s">
        <v>75</v>
      </c>
      <c r="R775" s="48">
        <f>HEX2DEC(RIGHT(Table13232127535868[[#This Row],[h2]],8))</f>
        <v>0</v>
      </c>
    </row>
    <row r="776" spans="1:18">
      <c r="A776" s="15" t="str">
        <f t="shared" si="16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8" t="s">
        <v>75</v>
      </c>
      <c r="P776" s="48">
        <f>HEX2DEC(RIGHT(Table13232127535868[[#This Row],[h1]],8))</f>
        <v>0</v>
      </c>
      <c r="Q776" s="48" t="s">
        <v>75</v>
      </c>
      <c r="R776" s="48">
        <f>HEX2DEC(RIGHT(Table13232127535868[[#This Row],[h2]],8))</f>
        <v>0</v>
      </c>
    </row>
    <row r="777" spans="1:18">
      <c r="A777" s="15" t="str">
        <f t="shared" si="16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8" t="s">
        <v>75</v>
      </c>
      <c r="P777" s="48">
        <f>HEX2DEC(RIGHT(Table13232127535868[[#This Row],[h1]],8))</f>
        <v>0</v>
      </c>
      <c r="Q777" s="48" t="s">
        <v>75</v>
      </c>
      <c r="R777" s="48">
        <f>HEX2DEC(RIGHT(Table13232127535868[[#This Row],[h2]],8))</f>
        <v>0</v>
      </c>
    </row>
    <row r="778" spans="1:18">
      <c r="A778" s="15" t="str">
        <f t="shared" si="16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8" t="s">
        <v>75</v>
      </c>
      <c r="P778" s="48">
        <f>HEX2DEC(RIGHT(Table13232127535868[[#This Row],[h1]],8))</f>
        <v>0</v>
      </c>
      <c r="Q778" s="48" t="s">
        <v>75</v>
      </c>
      <c r="R778" s="48">
        <f>HEX2DEC(RIGHT(Table13232127535868[[#This Row],[h2]],8))</f>
        <v>0</v>
      </c>
    </row>
    <row r="779" spans="1:18">
      <c r="A779" s="15" t="str">
        <f t="shared" ref="A779:A842" si="17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8" t="s">
        <v>75</v>
      </c>
      <c r="P779" s="48">
        <f>HEX2DEC(RIGHT(Table13232127535868[[#This Row],[h1]],8))</f>
        <v>0</v>
      </c>
      <c r="Q779" s="48" t="s">
        <v>75</v>
      </c>
      <c r="R779" s="48">
        <f>HEX2DEC(RIGHT(Table13232127535868[[#This Row],[h2]],8))</f>
        <v>0</v>
      </c>
    </row>
    <row r="780" spans="1:18">
      <c r="A780" s="15" t="str">
        <f t="shared" si="17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8" t="s">
        <v>75</v>
      </c>
      <c r="P780" s="48">
        <f>HEX2DEC(RIGHT(Table13232127535868[[#This Row],[h1]],8))</f>
        <v>0</v>
      </c>
      <c r="Q780" s="48" t="s">
        <v>75</v>
      </c>
      <c r="R780" s="48">
        <f>HEX2DEC(RIGHT(Table13232127535868[[#This Row],[h2]],8))</f>
        <v>0</v>
      </c>
    </row>
    <row r="781" spans="1:18">
      <c r="A781" s="15" t="str">
        <f t="shared" si="17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8" t="s">
        <v>75</v>
      </c>
      <c r="P781" s="48">
        <f>HEX2DEC(RIGHT(Table13232127535868[[#This Row],[h1]],8))</f>
        <v>0</v>
      </c>
      <c r="Q781" s="48" t="s">
        <v>75</v>
      </c>
      <c r="R781" s="48">
        <f>HEX2DEC(RIGHT(Table13232127535868[[#This Row],[h2]],8))</f>
        <v>0</v>
      </c>
    </row>
    <row r="782" spans="1:18">
      <c r="A782" s="15" t="str">
        <f t="shared" si="17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8" t="s">
        <v>75</v>
      </c>
      <c r="P782" s="48">
        <f>HEX2DEC(RIGHT(Table13232127535868[[#This Row],[h1]],8))</f>
        <v>0</v>
      </c>
      <c r="Q782" s="48" t="s">
        <v>75</v>
      </c>
      <c r="R782" s="48">
        <f>HEX2DEC(RIGHT(Table13232127535868[[#This Row],[h2]],8))</f>
        <v>0</v>
      </c>
    </row>
    <row r="783" spans="1:18">
      <c r="A783" s="15" t="str">
        <f t="shared" si="17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8" t="s">
        <v>75</v>
      </c>
      <c r="P783" s="48">
        <f>HEX2DEC(RIGHT(Table13232127535868[[#This Row],[h1]],8))</f>
        <v>0</v>
      </c>
      <c r="Q783" s="48" t="s">
        <v>75</v>
      </c>
      <c r="R783" s="48">
        <f>HEX2DEC(RIGHT(Table13232127535868[[#This Row],[h2]],8))</f>
        <v>0</v>
      </c>
    </row>
    <row r="784" spans="1:18">
      <c r="A784" s="15" t="str">
        <f t="shared" si="17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8" t="s">
        <v>75</v>
      </c>
      <c r="P784" s="48">
        <f>HEX2DEC(RIGHT(Table13232127535868[[#This Row],[h1]],8))</f>
        <v>0</v>
      </c>
      <c r="Q784" s="48" t="s">
        <v>75</v>
      </c>
      <c r="R784" s="48">
        <f>HEX2DEC(RIGHT(Table13232127535868[[#This Row],[h2]],8))</f>
        <v>0</v>
      </c>
    </row>
    <row r="785" spans="1:18">
      <c r="A785" s="15" t="str">
        <f t="shared" si="17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8" t="s">
        <v>75</v>
      </c>
      <c r="P785" s="48">
        <f>HEX2DEC(RIGHT(Table13232127535868[[#This Row],[h1]],8))</f>
        <v>0</v>
      </c>
      <c r="Q785" s="48" t="s">
        <v>75</v>
      </c>
      <c r="R785" s="48">
        <f>HEX2DEC(RIGHT(Table13232127535868[[#This Row],[h2]],8))</f>
        <v>0</v>
      </c>
    </row>
    <row r="786" spans="1:18">
      <c r="A786" s="15" t="str">
        <f t="shared" si="17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8" t="s">
        <v>75</v>
      </c>
      <c r="P786" s="48">
        <f>HEX2DEC(RIGHT(Table13232127535868[[#This Row],[h1]],8))</f>
        <v>0</v>
      </c>
      <c r="Q786" s="48" t="s">
        <v>75</v>
      </c>
      <c r="R786" s="48">
        <f>HEX2DEC(RIGHT(Table13232127535868[[#This Row],[h2]],8))</f>
        <v>0</v>
      </c>
    </row>
    <row r="787" spans="1:18">
      <c r="A787" s="15" t="str">
        <f t="shared" si="17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8" t="s">
        <v>75</v>
      </c>
      <c r="P787" s="48">
        <f>HEX2DEC(RIGHT(Table13232127535868[[#This Row],[h1]],8))</f>
        <v>0</v>
      </c>
      <c r="Q787" s="48" t="s">
        <v>75</v>
      </c>
      <c r="R787" s="48">
        <f>HEX2DEC(RIGHT(Table13232127535868[[#This Row],[h2]],8))</f>
        <v>0</v>
      </c>
    </row>
    <row r="788" spans="1:18">
      <c r="A788" s="15" t="str">
        <f t="shared" si="17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8" t="s">
        <v>75</v>
      </c>
      <c r="P788" s="48">
        <f>HEX2DEC(RIGHT(Table13232127535868[[#This Row],[h1]],8))</f>
        <v>0</v>
      </c>
      <c r="Q788" s="48" t="s">
        <v>75</v>
      </c>
      <c r="R788" s="48">
        <f>HEX2DEC(RIGHT(Table13232127535868[[#This Row],[h2]],8))</f>
        <v>0</v>
      </c>
    </row>
    <row r="789" spans="1:18">
      <c r="A789" s="15" t="str">
        <f t="shared" si="17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8" t="s">
        <v>75</v>
      </c>
      <c r="P789" s="48">
        <f>HEX2DEC(RIGHT(Table13232127535868[[#This Row],[h1]],8))</f>
        <v>0</v>
      </c>
      <c r="Q789" s="48" t="s">
        <v>75</v>
      </c>
      <c r="R789" s="48">
        <f>HEX2DEC(RIGHT(Table13232127535868[[#This Row],[h2]],8))</f>
        <v>0</v>
      </c>
    </row>
    <row r="790" spans="1:18">
      <c r="A790" s="15" t="str">
        <f t="shared" si="17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8" t="s">
        <v>75</v>
      </c>
      <c r="P790" s="48">
        <f>HEX2DEC(RIGHT(Table13232127535868[[#This Row],[h1]],8))</f>
        <v>0</v>
      </c>
      <c r="Q790" s="48" t="s">
        <v>75</v>
      </c>
      <c r="R790" s="48">
        <f>HEX2DEC(RIGHT(Table13232127535868[[#This Row],[h2]],8))</f>
        <v>0</v>
      </c>
    </row>
    <row r="791" spans="1:18">
      <c r="A791" s="15" t="str">
        <f t="shared" si="17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8" t="s">
        <v>75</v>
      </c>
      <c r="P791" s="48">
        <f>HEX2DEC(RIGHT(Table13232127535868[[#This Row],[h1]],8))</f>
        <v>0</v>
      </c>
      <c r="Q791" s="48" t="s">
        <v>75</v>
      </c>
      <c r="R791" s="48">
        <f>HEX2DEC(RIGHT(Table13232127535868[[#This Row],[h2]],8))</f>
        <v>0</v>
      </c>
    </row>
    <row r="792" spans="1:18">
      <c r="A792" s="15" t="str">
        <f t="shared" si="17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8" t="s">
        <v>75</v>
      </c>
      <c r="P792" s="48">
        <f>HEX2DEC(RIGHT(Table13232127535868[[#This Row],[h1]],8))</f>
        <v>0</v>
      </c>
      <c r="Q792" s="48" t="s">
        <v>75</v>
      </c>
      <c r="R792" s="48">
        <f>HEX2DEC(RIGHT(Table13232127535868[[#This Row],[h2]],8))</f>
        <v>0</v>
      </c>
    </row>
    <row r="793" spans="1:18">
      <c r="A793" s="15" t="str">
        <f t="shared" si="17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8" t="s">
        <v>75</v>
      </c>
      <c r="P793" s="48">
        <f>HEX2DEC(RIGHT(Table13232127535868[[#This Row],[h1]],8))</f>
        <v>0</v>
      </c>
      <c r="Q793" s="48" t="s">
        <v>75</v>
      </c>
      <c r="R793" s="48">
        <f>HEX2DEC(RIGHT(Table13232127535868[[#This Row],[h2]],8))</f>
        <v>0</v>
      </c>
    </row>
    <row r="794" spans="1:18">
      <c r="A794" s="15" t="str">
        <f t="shared" si="17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8" t="s">
        <v>75</v>
      </c>
      <c r="P794" s="48">
        <f>HEX2DEC(RIGHT(Table13232127535868[[#This Row],[h1]],8))</f>
        <v>0</v>
      </c>
      <c r="Q794" s="48" t="s">
        <v>75</v>
      </c>
      <c r="R794" s="48">
        <f>HEX2DEC(RIGHT(Table13232127535868[[#This Row],[h2]],8))</f>
        <v>0</v>
      </c>
    </row>
    <row r="795" spans="1:18">
      <c r="A795" s="15" t="str">
        <f t="shared" si="17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8" t="s">
        <v>75</v>
      </c>
      <c r="P795" s="48">
        <f>HEX2DEC(RIGHT(Table13232127535868[[#This Row],[h1]],8))</f>
        <v>0</v>
      </c>
      <c r="Q795" s="48" t="s">
        <v>75</v>
      </c>
      <c r="R795" s="48">
        <f>HEX2DEC(RIGHT(Table13232127535868[[#This Row],[h2]],8))</f>
        <v>0</v>
      </c>
    </row>
    <row r="796" spans="1:18">
      <c r="A796" s="15" t="str">
        <f t="shared" si="17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8" t="s">
        <v>75</v>
      </c>
      <c r="P796" s="48">
        <f>HEX2DEC(RIGHT(Table13232127535868[[#This Row],[h1]],8))</f>
        <v>0</v>
      </c>
      <c r="Q796" s="48" t="s">
        <v>75</v>
      </c>
      <c r="R796" s="48">
        <f>HEX2DEC(RIGHT(Table13232127535868[[#This Row],[h2]],8))</f>
        <v>0</v>
      </c>
    </row>
    <row r="797" spans="1:18">
      <c r="A797" s="15" t="str">
        <f t="shared" si="17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8" t="s">
        <v>75</v>
      </c>
      <c r="P797" s="48">
        <f>HEX2DEC(RIGHT(Table13232127535868[[#This Row],[h1]],8))</f>
        <v>0</v>
      </c>
      <c r="Q797" s="48" t="s">
        <v>75</v>
      </c>
      <c r="R797" s="48">
        <f>HEX2DEC(RIGHT(Table13232127535868[[#This Row],[h2]],8))</f>
        <v>0</v>
      </c>
    </row>
    <row r="798" spans="1:18">
      <c r="A798" s="15" t="str">
        <f t="shared" si="17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8" t="s">
        <v>75</v>
      </c>
      <c r="P798" s="48">
        <f>HEX2DEC(RIGHT(Table13232127535868[[#This Row],[h1]],8))</f>
        <v>0</v>
      </c>
      <c r="Q798" s="48" t="s">
        <v>75</v>
      </c>
      <c r="R798" s="48">
        <f>HEX2DEC(RIGHT(Table13232127535868[[#This Row],[h2]],8))</f>
        <v>0</v>
      </c>
    </row>
    <row r="799" spans="1:18">
      <c r="A799" s="15" t="str">
        <f t="shared" si="17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8" t="s">
        <v>75</v>
      </c>
      <c r="P799" s="48">
        <f>HEX2DEC(RIGHT(Table13232127535868[[#This Row],[h1]],8))</f>
        <v>0</v>
      </c>
      <c r="Q799" s="48" t="s">
        <v>75</v>
      </c>
      <c r="R799" s="48">
        <f>HEX2DEC(RIGHT(Table13232127535868[[#This Row],[h2]],8))</f>
        <v>0</v>
      </c>
    </row>
    <row r="800" spans="1:18">
      <c r="A800" s="15" t="str">
        <f t="shared" si="17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8" t="s">
        <v>75</v>
      </c>
      <c r="P800" s="48">
        <f>HEX2DEC(RIGHT(Table13232127535868[[#This Row],[h1]],8))</f>
        <v>0</v>
      </c>
      <c r="Q800" s="48" t="s">
        <v>75</v>
      </c>
      <c r="R800" s="48">
        <f>HEX2DEC(RIGHT(Table13232127535868[[#This Row],[h2]],8))</f>
        <v>0</v>
      </c>
    </row>
    <row r="801" spans="1:18">
      <c r="A801" s="15" t="str">
        <f t="shared" si="17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8" t="s">
        <v>75</v>
      </c>
      <c r="P801" s="48">
        <f>HEX2DEC(RIGHT(Table13232127535868[[#This Row],[h1]],8))</f>
        <v>0</v>
      </c>
      <c r="Q801" s="48" t="s">
        <v>75</v>
      </c>
      <c r="R801" s="48">
        <f>HEX2DEC(RIGHT(Table13232127535868[[#This Row],[h2]],8))</f>
        <v>0</v>
      </c>
    </row>
    <row r="802" spans="1:18">
      <c r="A802" s="15" t="str">
        <f t="shared" si="17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8" t="s">
        <v>75</v>
      </c>
      <c r="P802" s="48">
        <f>HEX2DEC(RIGHT(Table13232127535868[[#This Row],[h1]],8))</f>
        <v>0</v>
      </c>
      <c r="Q802" s="48" t="s">
        <v>75</v>
      </c>
      <c r="R802" s="48">
        <f>HEX2DEC(RIGHT(Table13232127535868[[#This Row],[h2]],8))</f>
        <v>0</v>
      </c>
    </row>
    <row r="803" spans="1:18">
      <c r="A803" s="15" t="str">
        <f t="shared" si="17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8" t="s">
        <v>75</v>
      </c>
      <c r="P803" s="48">
        <f>HEX2DEC(RIGHT(Table13232127535868[[#This Row],[h1]],8))</f>
        <v>0</v>
      </c>
      <c r="Q803" s="48" t="s">
        <v>75</v>
      </c>
      <c r="R803" s="48">
        <f>HEX2DEC(RIGHT(Table13232127535868[[#This Row],[h2]],8))</f>
        <v>0</v>
      </c>
    </row>
    <row r="804" spans="1:18">
      <c r="A804" s="15" t="str">
        <f t="shared" si="17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8" t="s">
        <v>75</v>
      </c>
      <c r="P804" s="48">
        <f>HEX2DEC(RIGHT(Table13232127535868[[#This Row],[h1]],8))</f>
        <v>0</v>
      </c>
      <c r="Q804" s="48" t="s">
        <v>75</v>
      </c>
      <c r="R804" s="48">
        <f>HEX2DEC(RIGHT(Table13232127535868[[#This Row],[h2]],8))</f>
        <v>0</v>
      </c>
    </row>
    <row r="805" spans="1:18">
      <c r="A805" s="15" t="str">
        <f t="shared" si="17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8" t="s">
        <v>75</v>
      </c>
      <c r="P805" s="48">
        <f>HEX2DEC(RIGHT(Table13232127535868[[#This Row],[h1]],8))</f>
        <v>0</v>
      </c>
      <c r="Q805" s="48" t="s">
        <v>75</v>
      </c>
      <c r="R805" s="48">
        <f>HEX2DEC(RIGHT(Table13232127535868[[#This Row],[h2]],8))</f>
        <v>0</v>
      </c>
    </row>
    <row r="806" spans="1:18">
      <c r="A806" s="15" t="str">
        <f t="shared" si="17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8" t="s">
        <v>75</v>
      </c>
      <c r="P806" s="48">
        <f>HEX2DEC(RIGHT(Table13232127535868[[#This Row],[h1]],8))</f>
        <v>0</v>
      </c>
      <c r="Q806" s="48" t="s">
        <v>75</v>
      </c>
      <c r="R806" s="48">
        <f>HEX2DEC(RIGHT(Table13232127535868[[#This Row],[h2]],8))</f>
        <v>0</v>
      </c>
    </row>
    <row r="807" spans="1:18">
      <c r="A807" s="15" t="str">
        <f t="shared" si="17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8" t="s">
        <v>75</v>
      </c>
      <c r="P807" s="48">
        <f>HEX2DEC(RIGHT(Table13232127535868[[#This Row],[h1]],8))</f>
        <v>0</v>
      </c>
      <c r="Q807" s="48" t="s">
        <v>75</v>
      </c>
      <c r="R807" s="48">
        <f>HEX2DEC(RIGHT(Table13232127535868[[#This Row],[h2]],8))</f>
        <v>0</v>
      </c>
    </row>
    <row r="808" spans="1:18">
      <c r="A808" s="15" t="str">
        <f t="shared" si="17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8" t="s">
        <v>75</v>
      </c>
      <c r="P808" s="48">
        <f>HEX2DEC(RIGHT(Table13232127535868[[#This Row],[h1]],8))</f>
        <v>0</v>
      </c>
      <c r="Q808" s="48" t="s">
        <v>75</v>
      </c>
      <c r="R808" s="48">
        <f>HEX2DEC(RIGHT(Table13232127535868[[#This Row],[h2]],8))</f>
        <v>0</v>
      </c>
    </row>
    <row r="809" spans="1:18">
      <c r="A809" s="15" t="str">
        <f t="shared" si="17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8" t="s">
        <v>75</v>
      </c>
      <c r="P809" s="48">
        <f>HEX2DEC(RIGHT(Table13232127535868[[#This Row],[h1]],8))</f>
        <v>0</v>
      </c>
      <c r="Q809" s="48" t="s">
        <v>75</v>
      </c>
      <c r="R809" s="48">
        <f>HEX2DEC(RIGHT(Table13232127535868[[#This Row],[h2]],8))</f>
        <v>0</v>
      </c>
    </row>
    <row r="810" spans="1:18">
      <c r="A810" s="15" t="str">
        <f t="shared" si="17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8" t="s">
        <v>75</v>
      </c>
      <c r="P810" s="48">
        <f>HEX2DEC(RIGHT(Table13232127535868[[#This Row],[h1]],8))</f>
        <v>0</v>
      </c>
      <c r="Q810" s="48" t="s">
        <v>75</v>
      </c>
      <c r="R810" s="48">
        <f>HEX2DEC(RIGHT(Table13232127535868[[#This Row],[h2]],8))</f>
        <v>0</v>
      </c>
    </row>
    <row r="811" spans="1:18">
      <c r="A811" s="15" t="str">
        <f t="shared" si="17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8" t="s">
        <v>75</v>
      </c>
      <c r="P811" s="48">
        <f>HEX2DEC(RIGHT(Table13232127535868[[#This Row],[h1]],8))</f>
        <v>0</v>
      </c>
      <c r="Q811" s="48" t="s">
        <v>75</v>
      </c>
      <c r="R811" s="48">
        <f>HEX2DEC(RIGHT(Table13232127535868[[#This Row],[h2]],8))</f>
        <v>0</v>
      </c>
    </row>
    <row r="812" spans="1:18">
      <c r="A812" s="15" t="str">
        <f t="shared" si="17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8" t="s">
        <v>75</v>
      </c>
      <c r="P812" s="48">
        <f>HEX2DEC(RIGHT(Table13232127535868[[#This Row],[h1]],8))</f>
        <v>0</v>
      </c>
      <c r="Q812" s="48" t="s">
        <v>75</v>
      </c>
      <c r="R812" s="48">
        <f>HEX2DEC(RIGHT(Table13232127535868[[#This Row],[h2]],8))</f>
        <v>0</v>
      </c>
    </row>
    <row r="813" spans="1:18">
      <c r="A813" s="15" t="str">
        <f t="shared" si="17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8" t="s">
        <v>75</v>
      </c>
      <c r="P813" s="48">
        <f>HEX2DEC(RIGHT(Table13232127535868[[#This Row],[h1]],8))</f>
        <v>0</v>
      </c>
      <c r="Q813" s="48" t="s">
        <v>75</v>
      </c>
      <c r="R813" s="48">
        <f>HEX2DEC(RIGHT(Table13232127535868[[#This Row],[h2]],8))</f>
        <v>0</v>
      </c>
    </row>
    <row r="814" spans="1:18">
      <c r="A814" s="15" t="str">
        <f t="shared" si="17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8" t="s">
        <v>75</v>
      </c>
      <c r="P814" s="48">
        <f>HEX2DEC(RIGHT(Table13232127535868[[#This Row],[h1]],8))</f>
        <v>0</v>
      </c>
      <c r="Q814" s="48" t="s">
        <v>75</v>
      </c>
      <c r="R814" s="48">
        <f>HEX2DEC(RIGHT(Table13232127535868[[#This Row],[h2]],8))</f>
        <v>0</v>
      </c>
    </row>
    <row r="815" spans="1:18">
      <c r="A815" s="15" t="str">
        <f t="shared" si="17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8" t="s">
        <v>75</v>
      </c>
      <c r="P815" s="48">
        <f>HEX2DEC(RIGHT(Table13232127535868[[#This Row],[h1]],8))</f>
        <v>0</v>
      </c>
      <c r="Q815" s="48" t="s">
        <v>75</v>
      </c>
      <c r="R815" s="48">
        <f>HEX2DEC(RIGHT(Table13232127535868[[#This Row],[h2]],8))</f>
        <v>0</v>
      </c>
    </row>
    <row r="816" spans="1:18">
      <c r="A816" s="15" t="str">
        <f t="shared" si="17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8" t="s">
        <v>75</v>
      </c>
      <c r="P816" s="48">
        <f>HEX2DEC(RIGHT(Table13232127535868[[#This Row],[h1]],8))</f>
        <v>0</v>
      </c>
      <c r="Q816" s="48" t="s">
        <v>75</v>
      </c>
      <c r="R816" s="48">
        <f>HEX2DEC(RIGHT(Table13232127535868[[#This Row],[h2]],8))</f>
        <v>0</v>
      </c>
    </row>
    <row r="817" spans="1:18">
      <c r="A817" s="15" t="str">
        <f t="shared" si="17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8" t="s">
        <v>75</v>
      </c>
      <c r="P817" s="48">
        <f>HEX2DEC(RIGHT(Table13232127535868[[#This Row],[h1]],8))</f>
        <v>0</v>
      </c>
      <c r="Q817" s="48" t="s">
        <v>75</v>
      </c>
      <c r="R817" s="48">
        <f>HEX2DEC(RIGHT(Table13232127535868[[#This Row],[h2]],8))</f>
        <v>0</v>
      </c>
    </row>
    <row r="818" spans="1:18">
      <c r="A818" s="15" t="str">
        <f t="shared" si="17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8" t="s">
        <v>75</v>
      </c>
      <c r="P818" s="48">
        <f>HEX2DEC(RIGHT(Table13232127535868[[#This Row],[h1]],8))</f>
        <v>0</v>
      </c>
      <c r="Q818" s="48" t="s">
        <v>75</v>
      </c>
      <c r="R818" s="48">
        <f>HEX2DEC(RIGHT(Table13232127535868[[#This Row],[h2]],8))</f>
        <v>0</v>
      </c>
    </row>
    <row r="819" spans="1:18">
      <c r="A819" s="15" t="str">
        <f t="shared" si="17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8" t="s">
        <v>75</v>
      </c>
      <c r="P819" s="48">
        <f>HEX2DEC(RIGHT(Table13232127535868[[#This Row],[h1]],8))</f>
        <v>0</v>
      </c>
      <c r="Q819" s="48" t="s">
        <v>75</v>
      </c>
      <c r="R819" s="48">
        <f>HEX2DEC(RIGHT(Table13232127535868[[#This Row],[h2]],8))</f>
        <v>0</v>
      </c>
    </row>
    <row r="820" spans="1:18">
      <c r="A820" s="15" t="str">
        <f t="shared" si="17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8" t="s">
        <v>75</v>
      </c>
      <c r="P820" s="48">
        <f>HEX2DEC(RIGHT(Table13232127535868[[#This Row],[h1]],8))</f>
        <v>0</v>
      </c>
      <c r="Q820" s="48" t="s">
        <v>75</v>
      </c>
      <c r="R820" s="48">
        <f>HEX2DEC(RIGHT(Table13232127535868[[#This Row],[h2]],8))</f>
        <v>0</v>
      </c>
    </row>
    <row r="821" spans="1:18">
      <c r="A821" s="15" t="str">
        <f t="shared" si="17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8" t="s">
        <v>75</v>
      </c>
      <c r="P821" s="48">
        <f>HEX2DEC(RIGHT(Table13232127535868[[#This Row],[h1]],8))</f>
        <v>0</v>
      </c>
      <c r="Q821" s="48" t="s">
        <v>75</v>
      </c>
      <c r="R821" s="48">
        <f>HEX2DEC(RIGHT(Table13232127535868[[#This Row],[h2]],8))</f>
        <v>0</v>
      </c>
    </row>
    <row r="822" spans="1:18">
      <c r="A822" s="15" t="str">
        <f t="shared" si="17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8" t="s">
        <v>75</v>
      </c>
      <c r="P822" s="48">
        <f>HEX2DEC(RIGHT(Table13232127535868[[#This Row],[h1]],8))</f>
        <v>0</v>
      </c>
      <c r="Q822" s="48" t="s">
        <v>75</v>
      </c>
      <c r="R822" s="48">
        <f>HEX2DEC(RIGHT(Table13232127535868[[#This Row],[h2]],8))</f>
        <v>0</v>
      </c>
    </row>
    <row r="823" spans="1:18">
      <c r="A823" s="15" t="str">
        <f t="shared" si="17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8" t="s">
        <v>75</v>
      </c>
      <c r="P823" s="48">
        <f>HEX2DEC(RIGHT(Table13232127535868[[#This Row],[h1]],8))</f>
        <v>0</v>
      </c>
      <c r="Q823" s="48" t="s">
        <v>75</v>
      </c>
      <c r="R823" s="48">
        <f>HEX2DEC(RIGHT(Table13232127535868[[#This Row],[h2]],8))</f>
        <v>0</v>
      </c>
    </row>
    <row r="824" spans="1:18">
      <c r="A824" s="15" t="str">
        <f t="shared" si="17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8" t="s">
        <v>75</v>
      </c>
      <c r="P824" s="48">
        <f>HEX2DEC(RIGHT(Table13232127535868[[#This Row],[h1]],8))</f>
        <v>0</v>
      </c>
      <c r="Q824" s="48" t="s">
        <v>75</v>
      </c>
      <c r="R824" s="48">
        <f>HEX2DEC(RIGHT(Table13232127535868[[#This Row],[h2]],8))</f>
        <v>0</v>
      </c>
    </row>
    <row r="825" spans="1:18">
      <c r="A825" s="15" t="str">
        <f t="shared" si="17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8" t="s">
        <v>75</v>
      </c>
      <c r="P825" s="48">
        <f>HEX2DEC(RIGHT(Table13232127535868[[#This Row],[h1]],8))</f>
        <v>0</v>
      </c>
      <c r="Q825" s="48" t="s">
        <v>75</v>
      </c>
      <c r="R825" s="48">
        <f>HEX2DEC(RIGHT(Table13232127535868[[#This Row],[h2]],8))</f>
        <v>0</v>
      </c>
    </row>
    <row r="826" spans="1:18">
      <c r="A826" s="15" t="str">
        <f t="shared" si="17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8" t="s">
        <v>75</v>
      </c>
      <c r="P826" s="48">
        <f>HEX2DEC(RIGHT(Table13232127535868[[#This Row],[h1]],8))</f>
        <v>0</v>
      </c>
      <c r="Q826" s="48" t="s">
        <v>75</v>
      </c>
      <c r="R826" s="48">
        <f>HEX2DEC(RIGHT(Table13232127535868[[#This Row],[h2]],8))</f>
        <v>0</v>
      </c>
    </row>
    <row r="827" spans="1:18">
      <c r="A827" s="15" t="str">
        <f t="shared" si="17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8" t="s">
        <v>75</v>
      </c>
      <c r="P827" s="48">
        <f>HEX2DEC(RIGHT(Table13232127535868[[#This Row],[h1]],8))</f>
        <v>0</v>
      </c>
      <c r="Q827" s="48" t="s">
        <v>75</v>
      </c>
      <c r="R827" s="48">
        <f>HEX2DEC(RIGHT(Table13232127535868[[#This Row],[h2]],8))</f>
        <v>0</v>
      </c>
    </row>
    <row r="828" spans="1:18">
      <c r="A828" s="15" t="str">
        <f t="shared" si="17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8" t="s">
        <v>75</v>
      </c>
      <c r="P828" s="48">
        <f>HEX2DEC(RIGHT(Table13232127535868[[#This Row],[h1]],8))</f>
        <v>0</v>
      </c>
      <c r="Q828" s="48" t="s">
        <v>75</v>
      </c>
      <c r="R828" s="48">
        <f>HEX2DEC(RIGHT(Table13232127535868[[#This Row],[h2]],8))</f>
        <v>0</v>
      </c>
    </row>
    <row r="829" spans="1:18">
      <c r="A829" s="15" t="str">
        <f t="shared" si="17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8" t="s">
        <v>75</v>
      </c>
      <c r="P829" s="48">
        <f>HEX2DEC(RIGHT(Table13232127535868[[#This Row],[h1]],8))</f>
        <v>0</v>
      </c>
      <c r="Q829" s="48" t="s">
        <v>75</v>
      </c>
      <c r="R829" s="48">
        <f>HEX2DEC(RIGHT(Table13232127535868[[#This Row],[h2]],8))</f>
        <v>0</v>
      </c>
    </row>
    <row r="830" spans="1:18">
      <c r="A830" s="15" t="str">
        <f t="shared" si="17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8" t="s">
        <v>75</v>
      </c>
      <c r="P830" s="48">
        <f>HEX2DEC(RIGHT(Table13232127535868[[#This Row],[h1]],8))</f>
        <v>0</v>
      </c>
      <c r="Q830" s="48" t="s">
        <v>75</v>
      </c>
      <c r="R830" s="48">
        <f>HEX2DEC(RIGHT(Table13232127535868[[#This Row],[h2]],8))</f>
        <v>0</v>
      </c>
    </row>
    <row r="831" spans="1:18">
      <c r="A831" s="15" t="str">
        <f t="shared" si="17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8" t="s">
        <v>75</v>
      </c>
      <c r="P831" s="48">
        <f>HEX2DEC(RIGHT(Table13232127535868[[#This Row],[h1]],8))</f>
        <v>0</v>
      </c>
      <c r="Q831" s="48" t="s">
        <v>75</v>
      </c>
      <c r="R831" s="48">
        <f>HEX2DEC(RIGHT(Table13232127535868[[#This Row],[h2]],8))</f>
        <v>0</v>
      </c>
    </row>
    <row r="832" spans="1:18">
      <c r="A832" s="15" t="str">
        <f t="shared" si="17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8" t="s">
        <v>75</v>
      </c>
      <c r="P832" s="48">
        <f>HEX2DEC(RIGHT(Table13232127535868[[#This Row],[h1]],8))</f>
        <v>0</v>
      </c>
      <c r="Q832" s="48" t="s">
        <v>75</v>
      </c>
      <c r="R832" s="48">
        <f>HEX2DEC(RIGHT(Table13232127535868[[#This Row],[h2]],8))</f>
        <v>0</v>
      </c>
    </row>
    <row r="833" spans="1:18">
      <c r="A833" s="15" t="str">
        <f t="shared" si="17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8" t="s">
        <v>75</v>
      </c>
      <c r="P833" s="48">
        <f>HEX2DEC(RIGHT(Table13232127535868[[#This Row],[h1]],8))</f>
        <v>0</v>
      </c>
      <c r="Q833" s="48" t="s">
        <v>75</v>
      </c>
      <c r="R833" s="48">
        <f>HEX2DEC(RIGHT(Table13232127535868[[#This Row],[h2]],8))</f>
        <v>0</v>
      </c>
    </row>
    <row r="834" spans="1:18">
      <c r="A834" s="15" t="str">
        <f t="shared" si="17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8" t="s">
        <v>75</v>
      </c>
      <c r="P834" s="48">
        <f>HEX2DEC(RIGHT(Table13232127535868[[#This Row],[h1]],8))</f>
        <v>0</v>
      </c>
      <c r="Q834" s="48" t="s">
        <v>75</v>
      </c>
      <c r="R834" s="48">
        <f>HEX2DEC(RIGHT(Table13232127535868[[#This Row],[h2]],8))</f>
        <v>0</v>
      </c>
    </row>
    <row r="835" spans="1:18">
      <c r="A835" s="15" t="str">
        <f t="shared" si="17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8" t="s">
        <v>75</v>
      </c>
      <c r="P835" s="48">
        <f>HEX2DEC(RIGHT(Table13232127535868[[#This Row],[h1]],8))</f>
        <v>0</v>
      </c>
      <c r="Q835" s="48" t="s">
        <v>75</v>
      </c>
      <c r="R835" s="48">
        <f>HEX2DEC(RIGHT(Table13232127535868[[#This Row],[h2]],8))</f>
        <v>0</v>
      </c>
    </row>
    <row r="836" spans="1:18">
      <c r="A836" s="15" t="str">
        <f t="shared" si="17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8" t="s">
        <v>75</v>
      </c>
      <c r="P836" s="48">
        <f>HEX2DEC(RIGHT(Table13232127535868[[#This Row],[h1]],8))</f>
        <v>0</v>
      </c>
      <c r="Q836" s="48" t="s">
        <v>75</v>
      </c>
      <c r="R836" s="48">
        <f>HEX2DEC(RIGHT(Table13232127535868[[#This Row],[h2]],8))</f>
        <v>0</v>
      </c>
    </row>
    <row r="837" spans="1:18">
      <c r="A837" s="15" t="str">
        <f t="shared" si="17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8" t="s">
        <v>75</v>
      </c>
      <c r="P837" s="48">
        <f>HEX2DEC(RIGHT(Table13232127535868[[#This Row],[h1]],8))</f>
        <v>0</v>
      </c>
      <c r="Q837" s="48" t="s">
        <v>75</v>
      </c>
      <c r="R837" s="48">
        <f>HEX2DEC(RIGHT(Table13232127535868[[#This Row],[h2]],8))</f>
        <v>0</v>
      </c>
    </row>
    <row r="838" spans="1:18">
      <c r="A838" s="15" t="str">
        <f t="shared" si="17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8" t="s">
        <v>75</v>
      </c>
      <c r="P838" s="48">
        <f>HEX2DEC(RIGHT(Table13232127535868[[#This Row],[h1]],8))</f>
        <v>0</v>
      </c>
      <c r="Q838" s="48" t="s">
        <v>75</v>
      </c>
      <c r="R838" s="48">
        <f>HEX2DEC(RIGHT(Table13232127535868[[#This Row],[h2]],8))</f>
        <v>0</v>
      </c>
    </row>
    <row r="839" spans="1:18">
      <c r="A839" s="15" t="str">
        <f t="shared" si="17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8" t="s">
        <v>75</v>
      </c>
      <c r="P839" s="48">
        <f>HEX2DEC(RIGHT(Table13232127535868[[#This Row],[h1]],8))</f>
        <v>0</v>
      </c>
      <c r="Q839" s="48" t="s">
        <v>75</v>
      </c>
      <c r="R839" s="48">
        <f>HEX2DEC(RIGHT(Table13232127535868[[#This Row],[h2]],8))</f>
        <v>0</v>
      </c>
    </row>
    <row r="840" spans="1:18">
      <c r="A840" s="15" t="str">
        <f t="shared" si="17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8" t="s">
        <v>75</v>
      </c>
      <c r="P840" s="48">
        <f>HEX2DEC(RIGHT(Table13232127535868[[#This Row],[h1]],8))</f>
        <v>0</v>
      </c>
      <c r="Q840" s="48" t="s">
        <v>75</v>
      </c>
      <c r="R840" s="48">
        <f>HEX2DEC(RIGHT(Table13232127535868[[#This Row],[h2]],8))</f>
        <v>0</v>
      </c>
    </row>
    <row r="841" spans="1:18">
      <c r="A841" s="15" t="str">
        <f t="shared" si="17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8" t="s">
        <v>75</v>
      </c>
      <c r="P841" s="48">
        <f>HEX2DEC(RIGHT(Table13232127535868[[#This Row],[h1]],8))</f>
        <v>0</v>
      </c>
      <c r="Q841" s="48" t="s">
        <v>75</v>
      </c>
      <c r="R841" s="48">
        <f>HEX2DEC(RIGHT(Table13232127535868[[#This Row],[h2]],8))</f>
        <v>0</v>
      </c>
    </row>
    <row r="842" spans="1:18">
      <c r="A842" s="15" t="str">
        <f t="shared" si="17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8" t="s">
        <v>75</v>
      </c>
      <c r="P842" s="48">
        <f>HEX2DEC(RIGHT(Table13232127535868[[#This Row],[h1]],8))</f>
        <v>0</v>
      </c>
      <c r="Q842" s="48" t="s">
        <v>75</v>
      </c>
      <c r="R842" s="48">
        <f>HEX2DEC(RIGHT(Table13232127535868[[#This Row],[h2]],8))</f>
        <v>0</v>
      </c>
    </row>
    <row r="843" spans="1:18">
      <c r="A843" s="15" t="str">
        <f t="shared" ref="A843:A906" si="18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8" t="s">
        <v>75</v>
      </c>
      <c r="P843" s="48">
        <f>HEX2DEC(RIGHT(Table13232127535868[[#This Row],[h1]],8))</f>
        <v>0</v>
      </c>
      <c r="Q843" s="48" t="s">
        <v>75</v>
      </c>
      <c r="R843" s="48">
        <f>HEX2DEC(RIGHT(Table13232127535868[[#This Row],[h2]],8))</f>
        <v>0</v>
      </c>
    </row>
    <row r="844" spans="1:18">
      <c r="A844" s="15" t="str">
        <f t="shared" si="18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8" t="s">
        <v>75</v>
      </c>
      <c r="P844" s="48">
        <f>HEX2DEC(RIGHT(Table13232127535868[[#This Row],[h1]],8))</f>
        <v>0</v>
      </c>
      <c r="Q844" s="48" t="s">
        <v>75</v>
      </c>
      <c r="R844" s="48">
        <f>HEX2DEC(RIGHT(Table13232127535868[[#This Row],[h2]],8))</f>
        <v>0</v>
      </c>
    </row>
    <row r="845" spans="1:18">
      <c r="A845" s="15" t="str">
        <f t="shared" si="18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8" t="s">
        <v>75</v>
      </c>
      <c r="P845" s="48">
        <f>HEX2DEC(RIGHT(Table13232127535868[[#This Row],[h1]],8))</f>
        <v>0</v>
      </c>
      <c r="Q845" s="48" t="s">
        <v>75</v>
      </c>
      <c r="R845" s="48">
        <f>HEX2DEC(RIGHT(Table13232127535868[[#This Row],[h2]],8))</f>
        <v>0</v>
      </c>
    </row>
    <row r="846" spans="1:18">
      <c r="A846" s="15" t="str">
        <f t="shared" si="18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8" t="s">
        <v>75</v>
      </c>
      <c r="P846" s="48">
        <f>HEX2DEC(RIGHT(Table13232127535868[[#This Row],[h1]],8))</f>
        <v>0</v>
      </c>
      <c r="Q846" s="48" t="s">
        <v>75</v>
      </c>
      <c r="R846" s="48">
        <f>HEX2DEC(RIGHT(Table13232127535868[[#This Row],[h2]],8))</f>
        <v>0</v>
      </c>
    </row>
    <row r="847" spans="1:18">
      <c r="A847" s="15" t="str">
        <f t="shared" si="18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8" t="s">
        <v>75</v>
      </c>
      <c r="P847" s="48">
        <f>HEX2DEC(RIGHT(Table13232127535868[[#This Row],[h1]],8))</f>
        <v>0</v>
      </c>
      <c r="Q847" s="48" t="s">
        <v>75</v>
      </c>
      <c r="R847" s="48">
        <f>HEX2DEC(RIGHT(Table13232127535868[[#This Row],[h2]],8))</f>
        <v>0</v>
      </c>
    </row>
    <row r="848" spans="1:18">
      <c r="A848" s="15" t="str">
        <f t="shared" si="18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8" t="s">
        <v>75</v>
      </c>
      <c r="P848" s="48">
        <f>HEX2DEC(RIGHT(Table13232127535868[[#This Row],[h1]],8))</f>
        <v>0</v>
      </c>
      <c r="Q848" s="48" t="s">
        <v>75</v>
      </c>
      <c r="R848" s="48">
        <f>HEX2DEC(RIGHT(Table13232127535868[[#This Row],[h2]],8))</f>
        <v>0</v>
      </c>
    </row>
    <row r="849" spans="1:18">
      <c r="A849" s="15" t="str">
        <f t="shared" si="18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8" t="s">
        <v>75</v>
      </c>
      <c r="P849" s="48">
        <f>HEX2DEC(RIGHT(Table13232127535868[[#This Row],[h1]],8))</f>
        <v>0</v>
      </c>
      <c r="Q849" s="48" t="s">
        <v>75</v>
      </c>
      <c r="R849" s="48">
        <f>HEX2DEC(RIGHT(Table13232127535868[[#This Row],[h2]],8))</f>
        <v>0</v>
      </c>
    </row>
    <row r="850" spans="1:18">
      <c r="A850" s="15" t="str">
        <f t="shared" si="18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8" t="s">
        <v>75</v>
      </c>
      <c r="P850" s="48">
        <f>HEX2DEC(RIGHT(Table13232127535868[[#This Row],[h1]],8))</f>
        <v>0</v>
      </c>
      <c r="Q850" s="48" t="s">
        <v>75</v>
      </c>
      <c r="R850" s="48">
        <f>HEX2DEC(RIGHT(Table13232127535868[[#This Row],[h2]],8))</f>
        <v>0</v>
      </c>
    </row>
    <row r="851" spans="1:18">
      <c r="A851" s="15" t="str">
        <f t="shared" si="18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8" t="s">
        <v>75</v>
      </c>
      <c r="P851" s="48">
        <f>HEX2DEC(RIGHT(Table13232127535868[[#This Row],[h1]],8))</f>
        <v>0</v>
      </c>
      <c r="Q851" s="48" t="s">
        <v>75</v>
      </c>
      <c r="R851" s="48">
        <f>HEX2DEC(RIGHT(Table13232127535868[[#This Row],[h2]],8))</f>
        <v>0</v>
      </c>
    </row>
    <row r="852" spans="1:18">
      <c r="A852" s="15" t="str">
        <f t="shared" si="18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8" t="s">
        <v>75</v>
      </c>
      <c r="P852" s="48">
        <f>HEX2DEC(RIGHT(Table13232127535868[[#This Row],[h1]],8))</f>
        <v>0</v>
      </c>
      <c r="Q852" s="48" t="s">
        <v>75</v>
      </c>
      <c r="R852" s="48">
        <f>HEX2DEC(RIGHT(Table13232127535868[[#This Row],[h2]],8))</f>
        <v>0</v>
      </c>
    </row>
    <row r="853" spans="1:18">
      <c r="A853" s="15" t="str">
        <f t="shared" si="18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8" t="s">
        <v>75</v>
      </c>
      <c r="P853" s="48">
        <f>HEX2DEC(RIGHT(Table13232127535868[[#This Row],[h1]],8))</f>
        <v>0</v>
      </c>
      <c r="Q853" s="48" t="s">
        <v>75</v>
      </c>
      <c r="R853" s="48">
        <f>HEX2DEC(RIGHT(Table13232127535868[[#This Row],[h2]],8))</f>
        <v>0</v>
      </c>
    </row>
    <row r="854" spans="1:18">
      <c r="A854" s="15" t="str">
        <f t="shared" si="18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8" t="s">
        <v>75</v>
      </c>
      <c r="P854" s="48">
        <f>HEX2DEC(RIGHT(Table13232127535868[[#This Row],[h1]],8))</f>
        <v>0</v>
      </c>
      <c r="Q854" s="48" t="s">
        <v>75</v>
      </c>
      <c r="R854" s="48">
        <f>HEX2DEC(RIGHT(Table13232127535868[[#This Row],[h2]],8))</f>
        <v>0</v>
      </c>
    </row>
    <row r="855" spans="1:18">
      <c r="A855" s="15" t="str">
        <f t="shared" si="18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8" t="s">
        <v>75</v>
      </c>
      <c r="P855" s="48">
        <f>HEX2DEC(RIGHT(Table13232127535868[[#This Row],[h1]],8))</f>
        <v>0</v>
      </c>
      <c r="Q855" s="48" t="s">
        <v>75</v>
      </c>
      <c r="R855" s="48">
        <f>HEX2DEC(RIGHT(Table13232127535868[[#This Row],[h2]],8))</f>
        <v>0</v>
      </c>
    </row>
    <row r="856" spans="1:18">
      <c r="A856" s="15" t="str">
        <f t="shared" si="18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8" t="s">
        <v>75</v>
      </c>
      <c r="P856" s="48">
        <f>HEX2DEC(RIGHT(Table13232127535868[[#This Row],[h1]],8))</f>
        <v>0</v>
      </c>
      <c r="Q856" s="48" t="s">
        <v>75</v>
      </c>
      <c r="R856" s="48">
        <f>HEX2DEC(RIGHT(Table13232127535868[[#This Row],[h2]],8))</f>
        <v>0</v>
      </c>
    </row>
    <row r="857" spans="1:18">
      <c r="A857" s="15" t="str">
        <f t="shared" si="18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8" t="s">
        <v>75</v>
      </c>
      <c r="P857" s="48">
        <f>HEX2DEC(RIGHT(Table13232127535868[[#This Row],[h1]],8))</f>
        <v>0</v>
      </c>
      <c r="Q857" s="48" t="s">
        <v>75</v>
      </c>
      <c r="R857" s="48">
        <f>HEX2DEC(RIGHT(Table13232127535868[[#This Row],[h2]],8))</f>
        <v>0</v>
      </c>
    </row>
    <row r="858" spans="1:18">
      <c r="A858" s="15" t="str">
        <f t="shared" si="18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8" t="s">
        <v>75</v>
      </c>
      <c r="P858" s="48">
        <f>HEX2DEC(RIGHT(Table13232127535868[[#This Row],[h1]],8))</f>
        <v>0</v>
      </c>
      <c r="Q858" s="48" t="s">
        <v>75</v>
      </c>
      <c r="R858" s="48">
        <f>HEX2DEC(RIGHT(Table13232127535868[[#This Row],[h2]],8))</f>
        <v>0</v>
      </c>
    </row>
    <row r="859" spans="1:18">
      <c r="A859" s="15" t="str">
        <f t="shared" si="18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8" t="s">
        <v>75</v>
      </c>
      <c r="P859" s="48">
        <f>HEX2DEC(RIGHT(Table13232127535868[[#This Row],[h1]],8))</f>
        <v>0</v>
      </c>
      <c r="Q859" s="48" t="s">
        <v>75</v>
      </c>
      <c r="R859" s="48">
        <f>HEX2DEC(RIGHT(Table13232127535868[[#This Row],[h2]],8))</f>
        <v>0</v>
      </c>
    </row>
    <row r="860" spans="1:18">
      <c r="A860" s="15" t="str">
        <f t="shared" si="18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8" t="s">
        <v>75</v>
      </c>
      <c r="P860" s="48">
        <f>HEX2DEC(RIGHT(Table13232127535868[[#This Row],[h1]],8))</f>
        <v>0</v>
      </c>
      <c r="Q860" s="48" t="s">
        <v>75</v>
      </c>
      <c r="R860" s="48">
        <f>HEX2DEC(RIGHT(Table13232127535868[[#This Row],[h2]],8))</f>
        <v>0</v>
      </c>
    </row>
    <row r="861" spans="1:18">
      <c r="A861" s="15" t="str">
        <f t="shared" si="18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8" t="s">
        <v>75</v>
      </c>
      <c r="P861" s="48">
        <f>HEX2DEC(RIGHT(Table13232127535868[[#This Row],[h1]],8))</f>
        <v>0</v>
      </c>
      <c r="Q861" s="48" t="s">
        <v>75</v>
      </c>
      <c r="R861" s="48">
        <f>HEX2DEC(RIGHT(Table13232127535868[[#This Row],[h2]],8))</f>
        <v>0</v>
      </c>
    </row>
    <row r="862" spans="1:18">
      <c r="A862" s="15" t="str">
        <f t="shared" si="18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8" t="s">
        <v>75</v>
      </c>
      <c r="P862" s="48">
        <f>HEX2DEC(RIGHT(Table13232127535868[[#This Row],[h1]],8))</f>
        <v>0</v>
      </c>
      <c r="Q862" s="48" t="s">
        <v>75</v>
      </c>
      <c r="R862" s="48">
        <f>HEX2DEC(RIGHT(Table13232127535868[[#This Row],[h2]],8))</f>
        <v>0</v>
      </c>
    </row>
    <row r="863" spans="1:18">
      <c r="A863" s="15" t="str">
        <f t="shared" si="18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8" t="s">
        <v>75</v>
      </c>
      <c r="P863" s="48">
        <f>HEX2DEC(RIGHT(Table13232127535868[[#This Row],[h1]],8))</f>
        <v>0</v>
      </c>
      <c r="Q863" s="48" t="s">
        <v>75</v>
      </c>
      <c r="R863" s="48">
        <f>HEX2DEC(RIGHT(Table13232127535868[[#This Row],[h2]],8))</f>
        <v>0</v>
      </c>
    </row>
    <row r="864" spans="1:18">
      <c r="A864" s="15" t="str">
        <f t="shared" si="18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8" t="s">
        <v>75</v>
      </c>
      <c r="P864" s="48">
        <f>HEX2DEC(RIGHT(Table13232127535868[[#This Row],[h1]],8))</f>
        <v>0</v>
      </c>
      <c r="Q864" s="48" t="s">
        <v>75</v>
      </c>
      <c r="R864" s="48">
        <f>HEX2DEC(RIGHT(Table13232127535868[[#This Row],[h2]],8))</f>
        <v>0</v>
      </c>
    </row>
    <row r="865" spans="1:18">
      <c r="A865" s="15" t="str">
        <f t="shared" si="18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8" t="s">
        <v>75</v>
      </c>
      <c r="P865" s="48">
        <f>HEX2DEC(RIGHT(Table13232127535868[[#This Row],[h1]],8))</f>
        <v>0</v>
      </c>
      <c r="Q865" s="48" t="s">
        <v>75</v>
      </c>
      <c r="R865" s="48">
        <f>HEX2DEC(RIGHT(Table13232127535868[[#This Row],[h2]],8))</f>
        <v>0</v>
      </c>
    </row>
    <row r="866" spans="1:18">
      <c r="A866" s="15" t="str">
        <f t="shared" si="18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8" t="s">
        <v>75</v>
      </c>
      <c r="P866" s="48">
        <f>HEX2DEC(RIGHT(Table13232127535868[[#This Row],[h1]],8))</f>
        <v>0</v>
      </c>
      <c r="Q866" s="48" t="s">
        <v>75</v>
      </c>
      <c r="R866" s="48">
        <f>HEX2DEC(RIGHT(Table13232127535868[[#This Row],[h2]],8))</f>
        <v>0</v>
      </c>
    </row>
    <row r="867" spans="1:18">
      <c r="A867" s="15" t="str">
        <f t="shared" si="18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8" t="s">
        <v>75</v>
      </c>
      <c r="P867" s="48">
        <f>HEX2DEC(RIGHT(Table13232127535868[[#This Row],[h1]],8))</f>
        <v>0</v>
      </c>
      <c r="Q867" s="48" t="s">
        <v>75</v>
      </c>
      <c r="R867" s="48">
        <f>HEX2DEC(RIGHT(Table13232127535868[[#This Row],[h2]],8))</f>
        <v>0</v>
      </c>
    </row>
    <row r="868" spans="1:18">
      <c r="A868" s="15" t="str">
        <f t="shared" si="18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8" t="s">
        <v>75</v>
      </c>
      <c r="P868" s="48">
        <f>HEX2DEC(RIGHT(Table13232127535868[[#This Row],[h1]],8))</f>
        <v>0</v>
      </c>
      <c r="Q868" s="48" t="s">
        <v>75</v>
      </c>
      <c r="R868" s="48">
        <f>HEX2DEC(RIGHT(Table13232127535868[[#This Row],[h2]],8))</f>
        <v>0</v>
      </c>
    </row>
    <row r="869" spans="1:18">
      <c r="A869" s="15" t="str">
        <f t="shared" si="18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8" t="s">
        <v>75</v>
      </c>
      <c r="P869" s="48">
        <f>HEX2DEC(RIGHT(Table13232127535868[[#This Row],[h1]],8))</f>
        <v>0</v>
      </c>
      <c r="Q869" s="48" t="s">
        <v>75</v>
      </c>
      <c r="R869" s="48">
        <f>HEX2DEC(RIGHT(Table13232127535868[[#This Row],[h2]],8))</f>
        <v>0</v>
      </c>
    </row>
    <row r="870" spans="1:18">
      <c r="A870" s="15" t="str">
        <f t="shared" si="18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8" t="s">
        <v>75</v>
      </c>
      <c r="P870" s="48">
        <f>HEX2DEC(RIGHT(Table13232127535868[[#This Row],[h1]],8))</f>
        <v>0</v>
      </c>
      <c r="Q870" s="48" t="s">
        <v>75</v>
      </c>
      <c r="R870" s="48">
        <f>HEX2DEC(RIGHT(Table13232127535868[[#This Row],[h2]],8))</f>
        <v>0</v>
      </c>
    </row>
    <row r="871" spans="1:18">
      <c r="A871" s="15" t="str">
        <f t="shared" si="18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8" t="s">
        <v>75</v>
      </c>
      <c r="P871" s="48">
        <f>HEX2DEC(RIGHT(Table13232127535868[[#This Row],[h1]],8))</f>
        <v>0</v>
      </c>
      <c r="Q871" s="48" t="s">
        <v>75</v>
      </c>
      <c r="R871" s="48">
        <f>HEX2DEC(RIGHT(Table13232127535868[[#This Row],[h2]],8))</f>
        <v>0</v>
      </c>
    </row>
    <row r="872" spans="1:18">
      <c r="A872" s="15" t="str">
        <f t="shared" si="18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8" t="s">
        <v>75</v>
      </c>
      <c r="P872" s="48">
        <f>HEX2DEC(RIGHT(Table13232127535868[[#This Row],[h1]],8))</f>
        <v>0</v>
      </c>
      <c r="Q872" s="48" t="s">
        <v>75</v>
      </c>
      <c r="R872" s="48">
        <f>HEX2DEC(RIGHT(Table13232127535868[[#This Row],[h2]],8))</f>
        <v>0</v>
      </c>
    </row>
    <row r="873" spans="1:18">
      <c r="A873" s="15" t="str">
        <f t="shared" si="18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8" t="s">
        <v>75</v>
      </c>
      <c r="P873" s="48">
        <f>HEX2DEC(RIGHT(Table13232127535868[[#This Row],[h1]],8))</f>
        <v>0</v>
      </c>
      <c r="Q873" s="48" t="s">
        <v>75</v>
      </c>
      <c r="R873" s="48">
        <f>HEX2DEC(RIGHT(Table13232127535868[[#This Row],[h2]],8))</f>
        <v>0</v>
      </c>
    </row>
    <row r="874" spans="1:18">
      <c r="A874" s="15" t="str">
        <f t="shared" si="18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8" t="s">
        <v>75</v>
      </c>
      <c r="P874" s="48">
        <f>HEX2DEC(RIGHT(Table13232127535868[[#This Row],[h1]],8))</f>
        <v>0</v>
      </c>
      <c r="Q874" s="48" t="s">
        <v>75</v>
      </c>
      <c r="R874" s="48">
        <f>HEX2DEC(RIGHT(Table13232127535868[[#This Row],[h2]],8))</f>
        <v>0</v>
      </c>
    </row>
    <row r="875" spans="1:18">
      <c r="A875" s="15" t="str">
        <f t="shared" si="18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8" t="s">
        <v>75</v>
      </c>
      <c r="P875" s="48">
        <f>HEX2DEC(RIGHT(Table13232127535868[[#This Row],[h1]],8))</f>
        <v>0</v>
      </c>
      <c r="Q875" s="48" t="s">
        <v>75</v>
      </c>
      <c r="R875" s="48">
        <f>HEX2DEC(RIGHT(Table13232127535868[[#This Row],[h2]],8))</f>
        <v>0</v>
      </c>
    </row>
    <row r="876" spans="1:18">
      <c r="A876" s="15" t="str">
        <f t="shared" si="18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8" t="s">
        <v>75</v>
      </c>
      <c r="P876" s="48">
        <f>HEX2DEC(RIGHT(Table13232127535868[[#This Row],[h1]],8))</f>
        <v>0</v>
      </c>
      <c r="Q876" s="48" t="s">
        <v>75</v>
      </c>
      <c r="R876" s="48">
        <f>HEX2DEC(RIGHT(Table13232127535868[[#This Row],[h2]],8))</f>
        <v>0</v>
      </c>
    </row>
    <row r="877" spans="1:18">
      <c r="A877" s="15" t="str">
        <f t="shared" si="18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8" t="s">
        <v>75</v>
      </c>
      <c r="P877" s="48">
        <f>HEX2DEC(RIGHT(Table13232127535868[[#This Row],[h1]],8))</f>
        <v>0</v>
      </c>
      <c r="Q877" s="48" t="s">
        <v>75</v>
      </c>
      <c r="R877" s="48">
        <f>HEX2DEC(RIGHT(Table13232127535868[[#This Row],[h2]],8))</f>
        <v>0</v>
      </c>
    </row>
    <row r="878" spans="1:18">
      <c r="A878" s="15" t="str">
        <f t="shared" si="18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8" t="s">
        <v>75</v>
      </c>
      <c r="P878" s="48">
        <f>HEX2DEC(RIGHT(Table13232127535868[[#This Row],[h1]],8))</f>
        <v>0</v>
      </c>
      <c r="Q878" s="48" t="s">
        <v>75</v>
      </c>
      <c r="R878" s="48">
        <f>HEX2DEC(RIGHT(Table13232127535868[[#This Row],[h2]],8))</f>
        <v>0</v>
      </c>
    </row>
    <row r="879" spans="1:18">
      <c r="A879" s="15" t="str">
        <f t="shared" si="18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8" t="s">
        <v>75</v>
      </c>
      <c r="P879" s="48">
        <f>HEX2DEC(RIGHT(Table13232127535868[[#This Row],[h1]],8))</f>
        <v>0</v>
      </c>
      <c r="Q879" s="48" t="s">
        <v>75</v>
      </c>
      <c r="R879" s="48">
        <f>HEX2DEC(RIGHT(Table13232127535868[[#This Row],[h2]],8))</f>
        <v>0</v>
      </c>
    </row>
    <row r="880" spans="1:18">
      <c r="A880" s="15" t="str">
        <f t="shared" si="18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8" t="s">
        <v>75</v>
      </c>
      <c r="P880" s="48">
        <f>HEX2DEC(RIGHT(Table13232127535868[[#This Row],[h1]],8))</f>
        <v>0</v>
      </c>
      <c r="Q880" s="48" t="s">
        <v>75</v>
      </c>
      <c r="R880" s="48">
        <f>HEX2DEC(RIGHT(Table13232127535868[[#This Row],[h2]],8))</f>
        <v>0</v>
      </c>
    </row>
    <row r="881" spans="1:18">
      <c r="A881" s="15" t="str">
        <f t="shared" si="18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8" t="s">
        <v>75</v>
      </c>
      <c r="P881" s="48">
        <f>HEX2DEC(RIGHT(Table13232127535868[[#This Row],[h1]],8))</f>
        <v>0</v>
      </c>
      <c r="Q881" s="48" t="s">
        <v>75</v>
      </c>
      <c r="R881" s="48">
        <f>HEX2DEC(RIGHT(Table13232127535868[[#This Row],[h2]],8))</f>
        <v>0</v>
      </c>
    </row>
    <row r="882" spans="1:18">
      <c r="A882" s="15" t="str">
        <f t="shared" si="18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8" t="s">
        <v>75</v>
      </c>
      <c r="P882" s="48">
        <f>HEX2DEC(RIGHT(Table13232127535868[[#This Row],[h1]],8))</f>
        <v>0</v>
      </c>
      <c r="Q882" s="48" t="s">
        <v>75</v>
      </c>
      <c r="R882" s="48">
        <f>HEX2DEC(RIGHT(Table13232127535868[[#This Row],[h2]],8))</f>
        <v>0</v>
      </c>
    </row>
    <row r="883" spans="1:18">
      <c r="A883" s="15" t="str">
        <f t="shared" si="18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8" t="s">
        <v>75</v>
      </c>
      <c r="P883" s="48">
        <f>HEX2DEC(RIGHT(Table13232127535868[[#This Row],[h1]],8))</f>
        <v>0</v>
      </c>
      <c r="Q883" s="48" t="s">
        <v>75</v>
      </c>
      <c r="R883" s="48">
        <f>HEX2DEC(RIGHT(Table13232127535868[[#This Row],[h2]],8))</f>
        <v>0</v>
      </c>
    </row>
    <row r="884" spans="1:18">
      <c r="A884" s="15" t="str">
        <f t="shared" si="18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8" t="s">
        <v>75</v>
      </c>
      <c r="P884" s="48">
        <f>HEX2DEC(RIGHT(Table13232127535868[[#This Row],[h1]],8))</f>
        <v>0</v>
      </c>
      <c r="Q884" s="48" t="s">
        <v>75</v>
      </c>
      <c r="R884" s="48">
        <f>HEX2DEC(RIGHT(Table13232127535868[[#This Row],[h2]],8))</f>
        <v>0</v>
      </c>
    </row>
    <row r="885" spans="1:18">
      <c r="A885" s="15" t="str">
        <f t="shared" si="18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8" t="s">
        <v>75</v>
      </c>
      <c r="P885" s="48">
        <f>HEX2DEC(RIGHT(Table13232127535868[[#This Row],[h1]],8))</f>
        <v>0</v>
      </c>
      <c r="Q885" s="48" t="s">
        <v>75</v>
      </c>
      <c r="R885" s="48">
        <f>HEX2DEC(RIGHT(Table13232127535868[[#This Row],[h2]],8))</f>
        <v>0</v>
      </c>
    </row>
    <row r="886" spans="1:18">
      <c r="A886" s="15" t="str">
        <f t="shared" si="18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8" t="s">
        <v>75</v>
      </c>
      <c r="P886" s="48">
        <f>HEX2DEC(RIGHT(Table13232127535868[[#This Row],[h1]],8))</f>
        <v>0</v>
      </c>
      <c r="Q886" s="48" t="s">
        <v>75</v>
      </c>
      <c r="R886" s="48">
        <f>HEX2DEC(RIGHT(Table13232127535868[[#This Row],[h2]],8))</f>
        <v>0</v>
      </c>
    </row>
    <row r="887" spans="1:18">
      <c r="A887" s="15" t="str">
        <f t="shared" si="18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8" t="s">
        <v>75</v>
      </c>
      <c r="P887" s="48">
        <f>HEX2DEC(RIGHT(Table13232127535868[[#This Row],[h1]],8))</f>
        <v>0</v>
      </c>
      <c r="Q887" s="48" t="s">
        <v>75</v>
      </c>
      <c r="R887" s="48">
        <f>HEX2DEC(RIGHT(Table13232127535868[[#This Row],[h2]],8))</f>
        <v>0</v>
      </c>
    </row>
    <row r="888" spans="1:18">
      <c r="A888" s="15" t="str">
        <f t="shared" si="18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8" t="s">
        <v>75</v>
      </c>
      <c r="P888" s="48">
        <f>HEX2DEC(RIGHT(Table13232127535868[[#This Row],[h1]],8))</f>
        <v>0</v>
      </c>
      <c r="Q888" s="48" t="s">
        <v>75</v>
      </c>
      <c r="R888" s="48">
        <f>HEX2DEC(RIGHT(Table13232127535868[[#This Row],[h2]],8))</f>
        <v>0</v>
      </c>
    </row>
    <row r="889" spans="1:18">
      <c r="A889" s="15" t="str">
        <f t="shared" si="18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8" t="s">
        <v>75</v>
      </c>
      <c r="P889" s="48">
        <f>HEX2DEC(RIGHT(Table13232127535868[[#This Row],[h1]],8))</f>
        <v>0</v>
      </c>
      <c r="Q889" s="48" t="s">
        <v>75</v>
      </c>
      <c r="R889" s="48">
        <f>HEX2DEC(RIGHT(Table13232127535868[[#This Row],[h2]],8))</f>
        <v>0</v>
      </c>
    </row>
    <row r="890" spans="1:18">
      <c r="A890" s="15" t="str">
        <f t="shared" si="18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8" t="s">
        <v>75</v>
      </c>
      <c r="P890" s="48">
        <f>HEX2DEC(RIGHT(Table13232127535868[[#This Row],[h1]],8))</f>
        <v>0</v>
      </c>
      <c r="Q890" s="48" t="s">
        <v>75</v>
      </c>
      <c r="R890" s="48">
        <f>HEX2DEC(RIGHT(Table13232127535868[[#This Row],[h2]],8))</f>
        <v>0</v>
      </c>
    </row>
    <row r="891" spans="1:18">
      <c r="A891" s="15" t="str">
        <f t="shared" si="18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8" t="s">
        <v>75</v>
      </c>
      <c r="P891" s="48">
        <f>HEX2DEC(RIGHT(Table13232127535868[[#This Row],[h1]],8))</f>
        <v>0</v>
      </c>
      <c r="Q891" s="48" t="s">
        <v>75</v>
      </c>
      <c r="R891" s="48">
        <f>HEX2DEC(RIGHT(Table13232127535868[[#This Row],[h2]],8))</f>
        <v>0</v>
      </c>
    </row>
    <row r="892" spans="1:18">
      <c r="A892" s="15" t="str">
        <f t="shared" si="18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8" t="s">
        <v>75</v>
      </c>
      <c r="P892" s="48">
        <f>HEX2DEC(RIGHT(Table13232127535868[[#This Row],[h1]],8))</f>
        <v>0</v>
      </c>
      <c r="Q892" s="48" t="s">
        <v>75</v>
      </c>
      <c r="R892" s="48">
        <f>HEX2DEC(RIGHT(Table13232127535868[[#This Row],[h2]],8))</f>
        <v>0</v>
      </c>
    </row>
    <row r="893" spans="1:18">
      <c r="A893" s="15" t="str">
        <f t="shared" si="18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8" t="s">
        <v>75</v>
      </c>
      <c r="P893" s="48">
        <f>HEX2DEC(RIGHT(Table13232127535868[[#This Row],[h1]],8))</f>
        <v>0</v>
      </c>
      <c r="Q893" s="48" t="s">
        <v>75</v>
      </c>
      <c r="R893" s="48">
        <f>HEX2DEC(RIGHT(Table13232127535868[[#This Row],[h2]],8))</f>
        <v>0</v>
      </c>
    </row>
    <row r="894" spans="1:18">
      <c r="A894" s="15" t="str">
        <f t="shared" si="18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8" t="s">
        <v>75</v>
      </c>
      <c r="P894" s="48">
        <f>HEX2DEC(RIGHT(Table13232127535868[[#This Row],[h1]],8))</f>
        <v>0</v>
      </c>
      <c r="Q894" s="48" t="s">
        <v>75</v>
      </c>
      <c r="R894" s="48">
        <f>HEX2DEC(RIGHT(Table13232127535868[[#This Row],[h2]],8))</f>
        <v>0</v>
      </c>
    </row>
    <row r="895" spans="1:18">
      <c r="A895" s="15" t="str">
        <f t="shared" si="18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8" t="s">
        <v>75</v>
      </c>
      <c r="P895" s="48">
        <f>HEX2DEC(RIGHT(Table13232127535868[[#This Row],[h1]],8))</f>
        <v>0</v>
      </c>
      <c r="Q895" s="48" t="s">
        <v>75</v>
      </c>
      <c r="R895" s="48">
        <f>HEX2DEC(RIGHT(Table13232127535868[[#This Row],[h2]],8))</f>
        <v>0</v>
      </c>
    </row>
    <row r="896" spans="1:18">
      <c r="A896" s="15" t="str">
        <f t="shared" si="18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8" t="s">
        <v>75</v>
      </c>
      <c r="P896" s="48">
        <f>HEX2DEC(RIGHT(Table13232127535868[[#This Row],[h1]],8))</f>
        <v>0</v>
      </c>
      <c r="Q896" s="48" t="s">
        <v>75</v>
      </c>
      <c r="R896" s="48">
        <f>HEX2DEC(RIGHT(Table13232127535868[[#This Row],[h2]],8))</f>
        <v>0</v>
      </c>
    </row>
    <row r="897" spans="1:18">
      <c r="A897" s="15" t="str">
        <f t="shared" si="18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8" t="s">
        <v>75</v>
      </c>
      <c r="P897" s="48">
        <f>HEX2DEC(RIGHT(Table13232127535868[[#This Row],[h1]],8))</f>
        <v>0</v>
      </c>
      <c r="Q897" s="48" t="s">
        <v>75</v>
      </c>
      <c r="R897" s="48">
        <f>HEX2DEC(RIGHT(Table13232127535868[[#This Row],[h2]],8))</f>
        <v>0</v>
      </c>
    </row>
    <row r="898" spans="1:18">
      <c r="A898" s="15" t="str">
        <f t="shared" si="18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8" t="s">
        <v>75</v>
      </c>
      <c r="P898" s="48">
        <f>HEX2DEC(RIGHT(Table13232127535868[[#This Row],[h1]],8))</f>
        <v>0</v>
      </c>
      <c r="Q898" s="48" t="s">
        <v>75</v>
      </c>
      <c r="R898" s="48">
        <f>HEX2DEC(RIGHT(Table13232127535868[[#This Row],[h2]],8))</f>
        <v>0</v>
      </c>
    </row>
    <row r="899" spans="1:18">
      <c r="A899" s="15" t="str">
        <f t="shared" si="18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8" t="s">
        <v>75</v>
      </c>
      <c r="P899" s="48">
        <f>HEX2DEC(RIGHT(Table13232127535868[[#This Row],[h1]],8))</f>
        <v>0</v>
      </c>
      <c r="Q899" s="48" t="s">
        <v>75</v>
      </c>
      <c r="R899" s="48">
        <f>HEX2DEC(RIGHT(Table13232127535868[[#This Row],[h2]],8))</f>
        <v>0</v>
      </c>
    </row>
    <row r="900" spans="1:18">
      <c r="A900" s="15" t="str">
        <f t="shared" si="18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8" t="s">
        <v>75</v>
      </c>
      <c r="P900" s="48">
        <f>HEX2DEC(RIGHT(Table13232127535868[[#This Row],[h1]],8))</f>
        <v>0</v>
      </c>
      <c r="Q900" s="48" t="s">
        <v>75</v>
      </c>
      <c r="R900" s="48">
        <f>HEX2DEC(RIGHT(Table13232127535868[[#This Row],[h2]],8))</f>
        <v>0</v>
      </c>
    </row>
    <row r="901" spans="1:18">
      <c r="A901" s="15" t="str">
        <f t="shared" si="18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8" t="s">
        <v>75</v>
      </c>
      <c r="P901" s="48">
        <f>HEX2DEC(RIGHT(Table13232127535868[[#This Row],[h1]],8))</f>
        <v>0</v>
      </c>
      <c r="Q901" s="48" t="s">
        <v>75</v>
      </c>
      <c r="R901" s="48">
        <f>HEX2DEC(RIGHT(Table13232127535868[[#This Row],[h2]],8))</f>
        <v>0</v>
      </c>
    </row>
    <row r="902" spans="1:18">
      <c r="A902" s="15" t="str">
        <f t="shared" si="18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8" t="s">
        <v>75</v>
      </c>
      <c r="P902" s="48">
        <f>HEX2DEC(RIGHT(Table13232127535868[[#This Row],[h1]],8))</f>
        <v>0</v>
      </c>
      <c r="Q902" s="48" t="s">
        <v>75</v>
      </c>
      <c r="R902" s="48">
        <f>HEX2DEC(RIGHT(Table13232127535868[[#This Row],[h2]],8))</f>
        <v>0</v>
      </c>
    </row>
    <row r="903" spans="1:18">
      <c r="A903" s="15" t="str">
        <f t="shared" si="18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8" t="s">
        <v>75</v>
      </c>
      <c r="P903" s="48">
        <f>HEX2DEC(RIGHT(Table13232127535868[[#This Row],[h1]],8))</f>
        <v>0</v>
      </c>
      <c r="Q903" s="48" t="s">
        <v>75</v>
      </c>
      <c r="R903" s="48">
        <f>HEX2DEC(RIGHT(Table13232127535868[[#This Row],[h2]],8))</f>
        <v>0</v>
      </c>
    </row>
    <row r="904" spans="1:18">
      <c r="A904" s="15" t="str">
        <f t="shared" si="18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8" t="s">
        <v>75</v>
      </c>
      <c r="P904" s="48">
        <f>HEX2DEC(RIGHT(Table13232127535868[[#This Row],[h1]],8))</f>
        <v>0</v>
      </c>
      <c r="Q904" s="48" t="s">
        <v>75</v>
      </c>
      <c r="R904" s="48">
        <f>HEX2DEC(RIGHT(Table13232127535868[[#This Row],[h2]],8))</f>
        <v>0</v>
      </c>
    </row>
    <row r="905" spans="1:18">
      <c r="A905" s="15" t="str">
        <f t="shared" si="18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8" t="s">
        <v>75</v>
      </c>
      <c r="P905" s="48">
        <f>HEX2DEC(RIGHT(Table13232127535868[[#This Row],[h1]],8))</f>
        <v>0</v>
      </c>
      <c r="Q905" s="48" t="s">
        <v>75</v>
      </c>
      <c r="R905" s="48">
        <f>HEX2DEC(RIGHT(Table13232127535868[[#This Row],[h2]],8))</f>
        <v>0</v>
      </c>
    </row>
    <row r="906" spans="1:18">
      <c r="A906" s="15" t="str">
        <f t="shared" si="18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8" t="s">
        <v>75</v>
      </c>
      <c r="P906" s="48">
        <f>HEX2DEC(RIGHT(Table13232127535868[[#This Row],[h1]],8))</f>
        <v>0</v>
      </c>
      <c r="Q906" s="48" t="s">
        <v>75</v>
      </c>
      <c r="R906" s="48">
        <f>HEX2DEC(RIGHT(Table13232127535868[[#This Row],[h2]],8))</f>
        <v>0</v>
      </c>
    </row>
    <row r="907" spans="1:18">
      <c r="A907" s="15" t="str">
        <f t="shared" ref="A907:A970" si="19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8" t="s">
        <v>75</v>
      </c>
      <c r="P907" s="48">
        <f>HEX2DEC(RIGHT(Table13232127535868[[#This Row],[h1]],8))</f>
        <v>0</v>
      </c>
      <c r="Q907" s="48" t="s">
        <v>75</v>
      </c>
      <c r="R907" s="48">
        <f>HEX2DEC(RIGHT(Table13232127535868[[#This Row],[h2]],8))</f>
        <v>0</v>
      </c>
    </row>
    <row r="908" spans="1:18">
      <c r="A908" s="15" t="str">
        <f t="shared" si="19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8" t="s">
        <v>75</v>
      </c>
      <c r="P908" s="48">
        <f>HEX2DEC(RIGHT(Table13232127535868[[#This Row],[h1]],8))</f>
        <v>0</v>
      </c>
      <c r="Q908" s="48" t="s">
        <v>75</v>
      </c>
      <c r="R908" s="48">
        <f>HEX2DEC(RIGHT(Table13232127535868[[#This Row],[h2]],8))</f>
        <v>0</v>
      </c>
    </row>
    <row r="909" spans="1:18">
      <c r="A909" s="15" t="str">
        <f t="shared" si="19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8" t="s">
        <v>75</v>
      </c>
      <c r="P909" s="48">
        <f>HEX2DEC(RIGHT(Table13232127535868[[#This Row],[h1]],8))</f>
        <v>0</v>
      </c>
      <c r="Q909" s="48" t="s">
        <v>75</v>
      </c>
      <c r="R909" s="48">
        <f>HEX2DEC(RIGHT(Table13232127535868[[#This Row],[h2]],8))</f>
        <v>0</v>
      </c>
    </row>
    <row r="910" spans="1:18">
      <c r="A910" s="15" t="str">
        <f t="shared" si="19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8" t="s">
        <v>75</v>
      </c>
      <c r="P910" s="48">
        <f>HEX2DEC(RIGHT(Table13232127535868[[#This Row],[h1]],8))</f>
        <v>0</v>
      </c>
      <c r="Q910" s="48" t="s">
        <v>75</v>
      </c>
      <c r="R910" s="48">
        <f>HEX2DEC(RIGHT(Table13232127535868[[#This Row],[h2]],8))</f>
        <v>0</v>
      </c>
    </row>
    <row r="911" spans="1:18">
      <c r="A911" s="15" t="str">
        <f t="shared" si="19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8" t="s">
        <v>75</v>
      </c>
      <c r="P911" s="48">
        <f>HEX2DEC(RIGHT(Table13232127535868[[#This Row],[h1]],8))</f>
        <v>0</v>
      </c>
      <c r="Q911" s="48" t="s">
        <v>75</v>
      </c>
      <c r="R911" s="48">
        <f>HEX2DEC(RIGHT(Table13232127535868[[#This Row],[h2]],8))</f>
        <v>0</v>
      </c>
    </row>
    <row r="912" spans="1:18">
      <c r="A912" s="15" t="str">
        <f t="shared" si="19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8" t="s">
        <v>75</v>
      </c>
      <c r="P912" s="48">
        <f>HEX2DEC(RIGHT(Table13232127535868[[#This Row],[h1]],8))</f>
        <v>0</v>
      </c>
      <c r="Q912" s="48" t="s">
        <v>75</v>
      </c>
      <c r="R912" s="48">
        <f>HEX2DEC(RIGHT(Table13232127535868[[#This Row],[h2]],8))</f>
        <v>0</v>
      </c>
    </row>
    <row r="913" spans="1:18">
      <c r="A913" s="15" t="str">
        <f t="shared" si="19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8" t="s">
        <v>75</v>
      </c>
      <c r="P913" s="48">
        <f>HEX2DEC(RIGHT(Table13232127535868[[#This Row],[h1]],8))</f>
        <v>0</v>
      </c>
      <c r="Q913" s="48" t="s">
        <v>75</v>
      </c>
      <c r="R913" s="48">
        <f>HEX2DEC(RIGHT(Table13232127535868[[#This Row],[h2]],8))</f>
        <v>0</v>
      </c>
    </row>
    <row r="914" spans="1:18">
      <c r="A914" s="15" t="str">
        <f t="shared" si="19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8" t="s">
        <v>75</v>
      </c>
      <c r="P914" s="48">
        <f>HEX2DEC(RIGHT(Table13232127535868[[#This Row],[h1]],8))</f>
        <v>0</v>
      </c>
      <c r="Q914" s="48" t="s">
        <v>75</v>
      </c>
      <c r="R914" s="48">
        <f>HEX2DEC(RIGHT(Table13232127535868[[#This Row],[h2]],8))</f>
        <v>0</v>
      </c>
    </row>
    <row r="915" spans="1:18">
      <c r="A915" s="15" t="str">
        <f t="shared" si="19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8" t="s">
        <v>75</v>
      </c>
      <c r="P915" s="48">
        <f>HEX2DEC(RIGHT(Table13232127535868[[#This Row],[h1]],8))</f>
        <v>0</v>
      </c>
      <c r="Q915" s="48" t="s">
        <v>75</v>
      </c>
      <c r="R915" s="48">
        <f>HEX2DEC(RIGHT(Table13232127535868[[#This Row],[h2]],8))</f>
        <v>0</v>
      </c>
    </row>
    <row r="916" spans="1:18">
      <c r="A916" s="15" t="str">
        <f t="shared" si="19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8" t="s">
        <v>75</v>
      </c>
      <c r="P916" s="48">
        <f>HEX2DEC(RIGHT(Table13232127535868[[#This Row],[h1]],8))</f>
        <v>0</v>
      </c>
      <c r="Q916" s="48" t="s">
        <v>75</v>
      </c>
      <c r="R916" s="48">
        <f>HEX2DEC(RIGHT(Table13232127535868[[#This Row],[h2]],8))</f>
        <v>0</v>
      </c>
    </row>
    <row r="917" spans="1:18">
      <c r="A917" s="15" t="str">
        <f t="shared" si="19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8" t="s">
        <v>75</v>
      </c>
      <c r="P917" s="48">
        <f>HEX2DEC(RIGHT(Table13232127535868[[#This Row],[h1]],8))</f>
        <v>0</v>
      </c>
      <c r="Q917" s="48" t="s">
        <v>75</v>
      </c>
      <c r="R917" s="48">
        <f>HEX2DEC(RIGHT(Table13232127535868[[#This Row],[h2]],8))</f>
        <v>0</v>
      </c>
    </row>
    <row r="918" spans="1:18">
      <c r="A918" s="15" t="str">
        <f t="shared" si="19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8" t="s">
        <v>75</v>
      </c>
      <c r="P918" s="48">
        <f>HEX2DEC(RIGHT(Table13232127535868[[#This Row],[h1]],8))</f>
        <v>0</v>
      </c>
      <c r="Q918" s="48" t="s">
        <v>75</v>
      </c>
      <c r="R918" s="48">
        <f>HEX2DEC(RIGHT(Table13232127535868[[#This Row],[h2]],8))</f>
        <v>0</v>
      </c>
    </row>
    <row r="919" spans="1:18">
      <c r="A919" s="15" t="str">
        <f t="shared" si="19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8" t="s">
        <v>75</v>
      </c>
      <c r="P919" s="48">
        <f>HEX2DEC(RIGHT(Table13232127535868[[#This Row],[h1]],8))</f>
        <v>0</v>
      </c>
      <c r="Q919" s="48" t="s">
        <v>75</v>
      </c>
      <c r="R919" s="48">
        <f>HEX2DEC(RIGHT(Table13232127535868[[#This Row],[h2]],8))</f>
        <v>0</v>
      </c>
    </row>
    <row r="920" spans="1:18">
      <c r="A920" s="15" t="str">
        <f t="shared" si="19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8" t="s">
        <v>75</v>
      </c>
      <c r="P920" s="48">
        <f>HEX2DEC(RIGHT(Table13232127535868[[#This Row],[h1]],8))</f>
        <v>0</v>
      </c>
      <c r="Q920" s="48" t="s">
        <v>75</v>
      </c>
      <c r="R920" s="48">
        <f>HEX2DEC(RIGHT(Table13232127535868[[#This Row],[h2]],8))</f>
        <v>0</v>
      </c>
    </row>
    <row r="921" spans="1:18">
      <c r="A921" s="15" t="str">
        <f t="shared" si="19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8" t="s">
        <v>75</v>
      </c>
      <c r="P921" s="48">
        <f>HEX2DEC(RIGHT(Table13232127535868[[#This Row],[h1]],8))</f>
        <v>0</v>
      </c>
      <c r="Q921" s="48" t="s">
        <v>75</v>
      </c>
      <c r="R921" s="48">
        <f>HEX2DEC(RIGHT(Table13232127535868[[#This Row],[h2]],8))</f>
        <v>0</v>
      </c>
    </row>
    <row r="922" spans="1:18">
      <c r="A922" s="15" t="str">
        <f t="shared" si="19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8" t="s">
        <v>75</v>
      </c>
      <c r="P922" s="48">
        <f>HEX2DEC(RIGHT(Table13232127535868[[#This Row],[h1]],8))</f>
        <v>0</v>
      </c>
      <c r="Q922" s="48" t="s">
        <v>75</v>
      </c>
      <c r="R922" s="48">
        <f>HEX2DEC(RIGHT(Table13232127535868[[#This Row],[h2]],8))</f>
        <v>0</v>
      </c>
    </row>
    <row r="923" spans="1:18">
      <c r="A923" s="15" t="str">
        <f t="shared" si="19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8" t="s">
        <v>75</v>
      </c>
      <c r="P923" s="48">
        <f>HEX2DEC(RIGHT(Table13232127535868[[#This Row],[h1]],8))</f>
        <v>0</v>
      </c>
      <c r="Q923" s="48" t="s">
        <v>75</v>
      </c>
      <c r="R923" s="48">
        <f>HEX2DEC(RIGHT(Table13232127535868[[#This Row],[h2]],8))</f>
        <v>0</v>
      </c>
    </row>
    <row r="924" spans="1:18">
      <c r="A924" s="15" t="str">
        <f t="shared" si="19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8" t="s">
        <v>75</v>
      </c>
      <c r="P924" s="48">
        <f>HEX2DEC(RIGHT(Table13232127535868[[#This Row],[h1]],8))</f>
        <v>0</v>
      </c>
      <c r="Q924" s="48" t="s">
        <v>75</v>
      </c>
      <c r="R924" s="48">
        <f>HEX2DEC(RIGHT(Table13232127535868[[#This Row],[h2]],8))</f>
        <v>0</v>
      </c>
    </row>
    <row r="925" spans="1:18">
      <c r="A925" s="15" t="str">
        <f t="shared" si="19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8" t="s">
        <v>75</v>
      </c>
      <c r="P925" s="48">
        <f>HEX2DEC(RIGHT(Table13232127535868[[#This Row],[h1]],8))</f>
        <v>0</v>
      </c>
      <c r="Q925" s="48" t="s">
        <v>75</v>
      </c>
      <c r="R925" s="48">
        <f>HEX2DEC(RIGHT(Table13232127535868[[#This Row],[h2]],8))</f>
        <v>0</v>
      </c>
    </row>
    <row r="926" spans="1:18">
      <c r="A926" s="15" t="str">
        <f t="shared" si="19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8" t="s">
        <v>75</v>
      </c>
      <c r="P926" s="48">
        <f>HEX2DEC(RIGHT(Table13232127535868[[#This Row],[h1]],8))</f>
        <v>0</v>
      </c>
      <c r="Q926" s="48" t="s">
        <v>75</v>
      </c>
      <c r="R926" s="48">
        <f>HEX2DEC(RIGHT(Table13232127535868[[#This Row],[h2]],8))</f>
        <v>0</v>
      </c>
    </row>
    <row r="927" spans="1:18">
      <c r="A927" s="15" t="str">
        <f t="shared" si="19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8" t="s">
        <v>75</v>
      </c>
      <c r="P927" s="48">
        <f>HEX2DEC(RIGHT(Table13232127535868[[#This Row],[h1]],8))</f>
        <v>0</v>
      </c>
      <c r="Q927" s="48" t="s">
        <v>75</v>
      </c>
      <c r="R927" s="48">
        <f>HEX2DEC(RIGHT(Table13232127535868[[#This Row],[h2]],8))</f>
        <v>0</v>
      </c>
    </row>
    <row r="928" spans="1:18">
      <c r="A928" s="15" t="str">
        <f t="shared" si="19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8" t="s">
        <v>75</v>
      </c>
      <c r="P928" s="48">
        <f>HEX2DEC(RIGHT(Table13232127535868[[#This Row],[h1]],8))</f>
        <v>0</v>
      </c>
      <c r="Q928" s="48" t="s">
        <v>75</v>
      </c>
      <c r="R928" s="48">
        <f>HEX2DEC(RIGHT(Table13232127535868[[#This Row],[h2]],8))</f>
        <v>0</v>
      </c>
    </row>
    <row r="929" spans="1:18">
      <c r="A929" s="15" t="str">
        <f t="shared" si="19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8" t="s">
        <v>75</v>
      </c>
      <c r="P929" s="48">
        <f>HEX2DEC(RIGHT(Table13232127535868[[#This Row],[h1]],8))</f>
        <v>0</v>
      </c>
      <c r="Q929" s="48" t="s">
        <v>75</v>
      </c>
      <c r="R929" s="48">
        <f>HEX2DEC(RIGHT(Table13232127535868[[#This Row],[h2]],8))</f>
        <v>0</v>
      </c>
    </row>
    <row r="930" spans="1:18">
      <c r="A930" s="15" t="str">
        <f t="shared" si="19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8" t="s">
        <v>75</v>
      </c>
      <c r="P930" s="48">
        <f>HEX2DEC(RIGHT(Table13232127535868[[#This Row],[h1]],8))</f>
        <v>0</v>
      </c>
      <c r="Q930" s="48" t="s">
        <v>75</v>
      </c>
      <c r="R930" s="48">
        <f>HEX2DEC(RIGHT(Table13232127535868[[#This Row],[h2]],8))</f>
        <v>0</v>
      </c>
    </row>
    <row r="931" spans="1:18">
      <c r="A931" s="15" t="str">
        <f t="shared" si="19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8" t="s">
        <v>75</v>
      </c>
      <c r="P931" s="48">
        <f>HEX2DEC(RIGHT(Table13232127535868[[#This Row],[h1]],8))</f>
        <v>0</v>
      </c>
      <c r="Q931" s="48" t="s">
        <v>75</v>
      </c>
      <c r="R931" s="48">
        <f>HEX2DEC(RIGHT(Table13232127535868[[#This Row],[h2]],8))</f>
        <v>0</v>
      </c>
    </row>
    <row r="932" spans="1:18">
      <c r="A932" s="15" t="str">
        <f t="shared" si="19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8" t="s">
        <v>75</v>
      </c>
      <c r="P932" s="48">
        <f>HEX2DEC(RIGHT(Table13232127535868[[#This Row],[h1]],8))</f>
        <v>0</v>
      </c>
      <c r="Q932" s="48" t="s">
        <v>75</v>
      </c>
      <c r="R932" s="48">
        <f>HEX2DEC(RIGHT(Table13232127535868[[#This Row],[h2]],8))</f>
        <v>0</v>
      </c>
    </row>
    <row r="933" spans="1:18">
      <c r="A933" s="15" t="str">
        <f t="shared" si="19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8" t="s">
        <v>75</v>
      </c>
      <c r="P933" s="48">
        <f>HEX2DEC(RIGHT(Table13232127535868[[#This Row],[h1]],8))</f>
        <v>0</v>
      </c>
      <c r="Q933" s="48" t="s">
        <v>75</v>
      </c>
      <c r="R933" s="48">
        <f>HEX2DEC(RIGHT(Table13232127535868[[#This Row],[h2]],8))</f>
        <v>0</v>
      </c>
    </row>
    <row r="934" spans="1:18">
      <c r="A934" s="15" t="str">
        <f t="shared" si="19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8" t="s">
        <v>75</v>
      </c>
      <c r="P934" s="48">
        <f>HEX2DEC(RIGHT(Table13232127535868[[#This Row],[h1]],8))</f>
        <v>0</v>
      </c>
      <c r="Q934" s="48" t="s">
        <v>75</v>
      </c>
      <c r="R934" s="48">
        <f>HEX2DEC(RIGHT(Table13232127535868[[#This Row],[h2]],8))</f>
        <v>0</v>
      </c>
    </row>
    <row r="935" spans="1:18">
      <c r="A935" s="15" t="str">
        <f t="shared" si="19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8" t="s">
        <v>75</v>
      </c>
      <c r="P935" s="48">
        <f>HEX2DEC(RIGHT(Table13232127535868[[#This Row],[h1]],8))</f>
        <v>0</v>
      </c>
      <c r="Q935" s="48" t="s">
        <v>75</v>
      </c>
      <c r="R935" s="48">
        <f>HEX2DEC(RIGHT(Table13232127535868[[#This Row],[h2]],8))</f>
        <v>0</v>
      </c>
    </row>
    <row r="936" spans="1:18">
      <c r="A936" s="15" t="str">
        <f t="shared" si="19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8" t="s">
        <v>75</v>
      </c>
      <c r="P936" s="48">
        <f>HEX2DEC(RIGHT(Table13232127535868[[#This Row],[h1]],8))</f>
        <v>0</v>
      </c>
      <c r="Q936" s="48" t="s">
        <v>75</v>
      </c>
      <c r="R936" s="48">
        <f>HEX2DEC(RIGHT(Table13232127535868[[#This Row],[h2]],8))</f>
        <v>0</v>
      </c>
    </row>
    <row r="937" spans="1:18">
      <c r="A937" s="15" t="str">
        <f t="shared" si="19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8" t="s">
        <v>75</v>
      </c>
      <c r="P937" s="48">
        <f>HEX2DEC(RIGHT(Table13232127535868[[#This Row],[h1]],8))</f>
        <v>0</v>
      </c>
      <c r="Q937" s="48" t="s">
        <v>75</v>
      </c>
      <c r="R937" s="48">
        <f>HEX2DEC(RIGHT(Table13232127535868[[#This Row],[h2]],8))</f>
        <v>0</v>
      </c>
    </row>
    <row r="938" spans="1:18">
      <c r="A938" s="15" t="str">
        <f t="shared" si="19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8" t="s">
        <v>75</v>
      </c>
      <c r="P938" s="48">
        <f>HEX2DEC(RIGHT(Table13232127535868[[#This Row],[h1]],8))</f>
        <v>0</v>
      </c>
      <c r="Q938" s="48" t="s">
        <v>75</v>
      </c>
      <c r="R938" s="48">
        <f>HEX2DEC(RIGHT(Table13232127535868[[#This Row],[h2]],8))</f>
        <v>0</v>
      </c>
    </row>
    <row r="939" spans="1:18">
      <c r="A939" s="15" t="str">
        <f t="shared" si="19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8" t="s">
        <v>75</v>
      </c>
      <c r="P939" s="48">
        <f>HEX2DEC(RIGHT(Table13232127535868[[#This Row],[h1]],8))</f>
        <v>0</v>
      </c>
      <c r="Q939" s="48" t="s">
        <v>75</v>
      </c>
      <c r="R939" s="48">
        <f>HEX2DEC(RIGHT(Table13232127535868[[#This Row],[h2]],8))</f>
        <v>0</v>
      </c>
    </row>
    <row r="940" spans="1:18">
      <c r="A940" s="15" t="str">
        <f t="shared" si="19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8" t="s">
        <v>75</v>
      </c>
      <c r="P940" s="48">
        <f>HEX2DEC(RIGHT(Table13232127535868[[#This Row],[h1]],8))</f>
        <v>0</v>
      </c>
      <c r="Q940" s="48" t="s">
        <v>75</v>
      </c>
      <c r="R940" s="48">
        <f>HEX2DEC(RIGHT(Table13232127535868[[#This Row],[h2]],8))</f>
        <v>0</v>
      </c>
    </row>
    <row r="941" spans="1:18">
      <c r="A941" s="15" t="str">
        <f t="shared" si="19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8" t="s">
        <v>75</v>
      </c>
      <c r="P941" s="48">
        <f>HEX2DEC(RIGHT(Table13232127535868[[#This Row],[h1]],8))</f>
        <v>0</v>
      </c>
      <c r="Q941" s="48" t="s">
        <v>75</v>
      </c>
      <c r="R941" s="48">
        <f>HEX2DEC(RIGHT(Table13232127535868[[#This Row],[h2]],8))</f>
        <v>0</v>
      </c>
    </row>
    <row r="942" spans="1:18">
      <c r="A942" s="15" t="str">
        <f t="shared" si="19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8" t="s">
        <v>75</v>
      </c>
      <c r="P942" s="48">
        <f>HEX2DEC(RIGHT(Table13232127535868[[#This Row],[h1]],8))</f>
        <v>0</v>
      </c>
      <c r="Q942" s="48" t="s">
        <v>75</v>
      </c>
      <c r="R942" s="48">
        <f>HEX2DEC(RIGHT(Table13232127535868[[#This Row],[h2]],8))</f>
        <v>0</v>
      </c>
    </row>
    <row r="943" spans="1:18">
      <c r="A943" s="15" t="str">
        <f t="shared" si="19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8" t="s">
        <v>75</v>
      </c>
      <c r="P943" s="48">
        <f>HEX2DEC(RIGHT(Table13232127535868[[#This Row],[h1]],8))</f>
        <v>0</v>
      </c>
      <c r="Q943" s="48" t="s">
        <v>75</v>
      </c>
      <c r="R943" s="48">
        <f>HEX2DEC(RIGHT(Table13232127535868[[#This Row],[h2]],8))</f>
        <v>0</v>
      </c>
    </row>
    <row r="944" spans="1:18">
      <c r="A944" s="15" t="str">
        <f t="shared" si="19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8" t="s">
        <v>75</v>
      </c>
      <c r="P944" s="48">
        <f>HEX2DEC(RIGHT(Table13232127535868[[#This Row],[h1]],8))</f>
        <v>0</v>
      </c>
      <c r="Q944" s="48" t="s">
        <v>75</v>
      </c>
      <c r="R944" s="48">
        <f>HEX2DEC(RIGHT(Table13232127535868[[#This Row],[h2]],8))</f>
        <v>0</v>
      </c>
    </row>
    <row r="945" spans="1:18">
      <c r="A945" s="15" t="str">
        <f t="shared" si="19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8" t="s">
        <v>75</v>
      </c>
      <c r="P945" s="48">
        <f>HEX2DEC(RIGHT(Table13232127535868[[#This Row],[h1]],8))</f>
        <v>0</v>
      </c>
      <c r="Q945" s="48" t="s">
        <v>75</v>
      </c>
      <c r="R945" s="48">
        <f>HEX2DEC(RIGHT(Table13232127535868[[#This Row],[h2]],8))</f>
        <v>0</v>
      </c>
    </row>
    <row r="946" spans="1:18">
      <c r="A946" s="15" t="str">
        <f t="shared" si="19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8" t="s">
        <v>75</v>
      </c>
      <c r="P946" s="48">
        <f>HEX2DEC(RIGHT(Table13232127535868[[#This Row],[h1]],8))</f>
        <v>0</v>
      </c>
      <c r="Q946" s="48" t="s">
        <v>75</v>
      </c>
      <c r="R946" s="48">
        <f>HEX2DEC(RIGHT(Table13232127535868[[#This Row],[h2]],8))</f>
        <v>0</v>
      </c>
    </row>
    <row r="947" spans="1:18">
      <c r="A947" s="15" t="str">
        <f t="shared" si="19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8" t="s">
        <v>75</v>
      </c>
      <c r="P947" s="48">
        <f>HEX2DEC(RIGHT(Table13232127535868[[#This Row],[h1]],8))</f>
        <v>0</v>
      </c>
      <c r="Q947" s="48" t="s">
        <v>75</v>
      </c>
      <c r="R947" s="48">
        <f>HEX2DEC(RIGHT(Table13232127535868[[#This Row],[h2]],8))</f>
        <v>0</v>
      </c>
    </row>
    <row r="948" spans="1:18">
      <c r="A948" s="15" t="str">
        <f t="shared" si="19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8" t="s">
        <v>75</v>
      </c>
      <c r="P948" s="48">
        <f>HEX2DEC(RIGHT(Table13232127535868[[#This Row],[h1]],8))</f>
        <v>0</v>
      </c>
      <c r="Q948" s="48" t="s">
        <v>75</v>
      </c>
      <c r="R948" s="48">
        <f>HEX2DEC(RIGHT(Table13232127535868[[#This Row],[h2]],8))</f>
        <v>0</v>
      </c>
    </row>
    <row r="949" spans="1:18">
      <c r="A949" s="15" t="str">
        <f t="shared" si="19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8" t="s">
        <v>75</v>
      </c>
      <c r="P949" s="48">
        <f>HEX2DEC(RIGHT(Table13232127535868[[#This Row],[h1]],8))</f>
        <v>0</v>
      </c>
      <c r="Q949" s="48" t="s">
        <v>75</v>
      </c>
      <c r="R949" s="48">
        <f>HEX2DEC(RIGHT(Table13232127535868[[#This Row],[h2]],8))</f>
        <v>0</v>
      </c>
    </row>
    <row r="950" spans="1:18">
      <c r="A950" s="15" t="str">
        <f t="shared" si="19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8" t="s">
        <v>75</v>
      </c>
      <c r="P950" s="48">
        <f>HEX2DEC(RIGHT(Table13232127535868[[#This Row],[h1]],8))</f>
        <v>0</v>
      </c>
      <c r="Q950" s="48" t="s">
        <v>75</v>
      </c>
      <c r="R950" s="48">
        <f>HEX2DEC(RIGHT(Table13232127535868[[#This Row],[h2]],8))</f>
        <v>0</v>
      </c>
    </row>
    <row r="951" spans="1:18">
      <c r="A951" s="15" t="str">
        <f t="shared" si="19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8" t="s">
        <v>75</v>
      </c>
      <c r="P951" s="48">
        <f>HEX2DEC(RIGHT(Table13232127535868[[#This Row],[h1]],8))</f>
        <v>0</v>
      </c>
      <c r="Q951" s="48" t="s">
        <v>75</v>
      </c>
      <c r="R951" s="48">
        <f>HEX2DEC(RIGHT(Table13232127535868[[#This Row],[h2]],8))</f>
        <v>0</v>
      </c>
    </row>
    <row r="952" spans="1:18">
      <c r="A952" s="15" t="str">
        <f t="shared" si="19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8" t="s">
        <v>75</v>
      </c>
      <c r="P952" s="48">
        <f>HEX2DEC(RIGHT(Table13232127535868[[#This Row],[h1]],8))</f>
        <v>0</v>
      </c>
      <c r="Q952" s="48" t="s">
        <v>75</v>
      </c>
      <c r="R952" s="48">
        <f>HEX2DEC(RIGHT(Table13232127535868[[#This Row],[h2]],8))</f>
        <v>0</v>
      </c>
    </row>
    <row r="953" spans="1:18">
      <c r="A953" s="15" t="str">
        <f t="shared" si="19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8" t="s">
        <v>75</v>
      </c>
      <c r="P953" s="48">
        <f>HEX2DEC(RIGHT(Table13232127535868[[#This Row],[h1]],8))</f>
        <v>0</v>
      </c>
      <c r="Q953" s="48" t="s">
        <v>75</v>
      </c>
      <c r="R953" s="48">
        <f>HEX2DEC(RIGHT(Table13232127535868[[#This Row],[h2]],8))</f>
        <v>0</v>
      </c>
    </row>
    <row r="954" spans="1:18">
      <c r="A954" s="15" t="str">
        <f t="shared" si="19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8" t="s">
        <v>75</v>
      </c>
      <c r="P954" s="48">
        <f>HEX2DEC(RIGHT(Table13232127535868[[#This Row],[h1]],8))</f>
        <v>0</v>
      </c>
      <c r="Q954" s="48" t="s">
        <v>75</v>
      </c>
      <c r="R954" s="48">
        <f>HEX2DEC(RIGHT(Table13232127535868[[#This Row],[h2]],8))</f>
        <v>0</v>
      </c>
    </row>
    <row r="955" spans="1:18">
      <c r="A955" s="15" t="str">
        <f t="shared" si="19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8" t="s">
        <v>75</v>
      </c>
      <c r="P955" s="48">
        <f>HEX2DEC(RIGHT(Table13232127535868[[#This Row],[h1]],8))</f>
        <v>0</v>
      </c>
      <c r="Q955" s="48" t="s">
        <v>75</v>
      </c>
      <c r="R955" s="48">
        <f>HEX2DEC(RIGHT(Table13232127535868[[#This Row],[h2]],8))</f>
        <v>0</v>
      </c>
    </row>
    <row r="956" spans="1:18">
      <c r="A956" s="15" t="str">
        <f t="shared" si="19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8" t="s">
        <v>75</v>
      </c>
      <c r="P956" s="48">
        <f>HEX2DEC(RIGHT(Table13232127535868[[#This Row],[h1]],8))</f>
        <v>0</v>
      </c>
      <c r="Q956" s="48" t="s">
        <v>75</v>
      </c>
      <c r="R956" s="48">
        <f>HEX2DEC(RIGHT(Table13232127535868[[#This Row],[h2]],8))</f>
        <v>0</v>
      </c>
    </row>
    <row r="957" spans="1:18">
      <c r="A957" s="15" t="str">
        <f t="shared" si="19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8" t="s">
        <v>75</v>
      </c>
      <c r="P957" s="48">
        <f>HEX2DEC(RIGHT(Table13232127535868[[#This Row],[h1]],8))</f>
        <v>0</v>
      </c>
      <c r="Q957" s="48" t="s">
        <v>75</v>
      </c>
      <c r="R957" s="48">
        <f>HEX2DEC(RIGHT(Table13232127535868[[#This Row],[h2]],8))</f>
        <v>0</v>
      </c>
    </row>
    <row r="958" spans="1:18">
      <c r="A958" s="15" t="str">
        <f t="shared" si="19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8" t="s">
        <v>75</v>
      </c>
      <c r="P958" s="48">
        <f>HEX2DEC(RIGHT(Table13232127535868[[#This Row],[h1]],8))</f>
        <v>0</v>
      </c>
      <c r="Q958" s="48" t="s">
        <v>75</v>
      </c>
      <c r="R958" s="48">
        <f>HEX2DEC(RIGHT(Table13232127535868[[#This Row],[h2]],8))</f>
        <v>0</v>
      </c>
    </row>
    <row r="959" spans="1:18">
      <c r="A959" s="15" t="str">
        <f t="shared" si="19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8" t="s">
        <v>75</v>
      </c>
      <c r="P959" s="48">
        <f>HEX2DEC(RIGHT(Table13232127535868[[#This Row],[h1]],8))</f>
        <v>0</v>
      </c>
      <c r="Q959" s="48" t="s">
        <v>75</v>
      </c>
      <c r="R959" s="48">
        <f>HEX2DEC(RIGHT(Table13232127535868[[#This Row],[h2]],8))</f>
        <v>0</v>
      </c>
    </row>
    <row r="960" spans="1:18">
      <c r="A960" s="15" t="str">
        <f t="shared" si="19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8" t="s">
        <v>75</v>
      </c>
      <c r="P960" s="48">
        <f>HEX2DEC(RIGHT(Table13232127535868[[#This Row],[h1]],8))</f>
        <v>0</v>
      </c>
      <c r="Q960" s="48" t="s">
        <v>75</v>
      </c>
      <c r="R960" s="48">
        <f>HEX2DEC(RIGHT(Table13232127535868[[#This Row],[h2]],8))</f>
        <v>0</v>
      </c>
    </row>
    <row r="961" spans="1:18">
      <c r="A961" s="15" t="str">
        <f t="shared" si="19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8" t="s">
        <v>75</v>
      </c>
      <c r="P961" s="48">
        <f>HEX2DEC(RIGHT(Table13232127535868[[#This Row],[h1]],8))</f>
        <v>0</v>
      </c>
      <c r="Q961" s="48" t="s">
        <v>75</v>
      </c>
      <c r="R961" s="48">
        <f>HEX2DEC(RIGHT(Table13232127535868[[#This Row],[h2]],8))</f>
        <v>0</v>
      </c>
    </row>
    <row r="962" spans="1:18">
      <c r="A962" s="15" t="str">
        <f t="shared" si="19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8" t="s">
        <v>75</v>
      </c>
      <c r="P962" s="48">
        <f>HEX2DEC(RIGHT(Table13232127535868[[#This Row],[h1]],8))</f>
        <v>0</v>
      </c>
      <c r="Q962" s="48" t="s">
        <v>75</v>
      </c>
      <c r="R962" s="48">
        <f>HEX2DEC(RIGHT(Table13232127535868[[#This Row],[h2]],8))</f>
        <v>0</v>
      </c>
    </row>
    <row r="963" spans="1:18">
      <c r="A963" s="15" t="str">
        <f t="shared" si="19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8" t="s">
        <v>75</v>
      </c>
      <c r="P963" s="48">
        <f>HEX2DEC(RIGHT(Table13232127535868[[#This Row],[h1]],8))</f>
        <v>0</v>
      </c>
      <c r="Q963" s="48" t="s">
        <v>75</v>
      </c>
      <c r="R963" s="48">
        <f>HEX2DEC(RIGHT(Table13232127535868[[#This Row],[h2]],8))</f>
        <v>0</v>
      </c>
    </row>
    <row r="964" spans="1:18">
      <c r="A964" s="15" t="str">
        <f t="shared" si="19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8" t="s">
        <v>75</v>
      </c>
      <c r="P964" s="48">
        <f>HEX2DEC(RIGHT(Table13232127535868[[#This Row],[h1]],8))</f>
        <v>0</v>
      </c>
      <c r="Q964" s="48" t="s">
        <v>75</v>
      </c>
      <c r="R964" s="48">
        <f>HEX2DEC(RIGHT(Table13232127535868[[#This Row],[h2]],8))</f>
        <v>0</v>
      </c>
    </row>
    <row r="965" spans="1:18">
      <c r="A965" s="15" t="str">
        <f t="shared" si="19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8" t="s">
        <v>75</v>
      </c>
      <c r="P965" s="48">
        <f>HEX2DEC(RIGHT(Table13232127535868[[#This Row],[h1]],8))</f>
        <v>0</v>
      </c>
      <c r="Q965" s="48" t="s">
        <v>75</v>
      </c>
      <c r="R965" s="48">
        <f>HEX2DEC(RIGHT(Table13232127535868[[#This Row],[h2]],8))</f>
        <v>0</v>
      </c>
    </row>
    <row r="966" spans="1:18">
      <c r="A966" s="15" t="str">
        <f t="shared" si="19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8" t="s">
        <v>75</v>
      </c>
      <c r="P966" s="48">
        <f>HEX2DEC(RIGHT(Table13232127535868[[#This Row],[h1]],8))</f>
        <v>0</v>
      </c>
      <c r="Q966" s="48" t="s">
        <v>75</v>
      </c>
      <c r="R966" s="48">
        <f>HEX2DEC(RIGHT(Table13232127535868[[#This Row],[h2]],8))</f>
        <v>0</v>
      </c>
    </row>
    <row r="967" spans="1:18">
      <c r="A967" s="15" t="str">
        <f t="shared" si="19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8" t="s">
        <v>75</v>
      </c>
      <c r="P967" s="48">
        <f>HEX2DEC(RIGHT(Table13232127535868[[#This Row],[h1]],8))</f>
        <v>0</v>
      </c>
      <c r="Q967" s="48" t="s">
        <v>75</v>
      </c>
      <c r="R967" s="48">
        <f>HEX2DEC(RIGHT(Table13232127535868[[#This Row],[h2]],8))</f>
        <v>0</v>
      </c>
    </row>
    <row r="968" spans="1:18">
      <c r="A968" s="15" t="str">
        <f t="shared" si="19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8" t="s">
        <v>75</v>
      </c>
      <c r="P968" s="48">
        <f>HEX2DEC(RIGHT(Table13232127535868[[#This Row],[h1]],8))</f>
        <v>0</v>
      </c>
      <c r="Q968" s="48" t="s">
        <v>75</v>
      </c>
      <c r="R968" s="48">
        <f>HEX2DEC(RIGHT(Table13232127535868[[#This Row],[h2]],8))</f>
        <v>0</v>
      </c>
    </row>
    <row r="969" spans="1:18">
      <c r="A969" s="15" t="str">
        <f t="shared" si="19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8" t="s">
        <v>75</v>
      </c>
      <c r="P969" s="48">
        <f>HEX2DEC(RIGHT(Table13232127535868[[#This Row],[h1]],8))</f>
        <v>0</v>
      </c>
      <c r="Q969" s="48" t="s">
        <v>75</v>
      </c>
      <c r="R969" s="48">
        <f>HEX2DEC(RIGHT(Table13232127535868[[#This Row],[h2]],8))</f>
        <v>0</v>
      </c>
    </row>
    <row r="970" spans="1:18">
      <c r="A970" s="15" t="str">
        <f t="shared" si="19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8" t="s">
        <v>75</v>
      </c>
      <c r="P970" s="48">
        <f>HEX2DEC(RIGHT(Table13232127535868[[#This Row],[h1]],8))</f>
        <v>0</v>
      </c>
      <c r="Q970" s="48" t="s">
        <v>75</v>
      </c>
      <c r="R970" s="48">
        <f>HEX2DEC(RIGHT(Table13232127535868[[#This Row],[h2]],8))</f>
        <v>0</v>
      </c>
    </row>
    <row r="971" spans="1:18">
      <c r="A971" s="15" t="str">
        <f t="shared" ref="A971:A1034" si="20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8" t="s">
        <v>75</v>
      </c>
      <c r="P971" s="48">
        <f>HEX2DEC(RIGHT(Table13232127535868[[#This Row],[h1]],8))</f>
        <v>0</v>
      </c>
      <c r="Q971" s="48" t="s">
        <v>75</v>
      </c>
      <c r="R971" s="48">
        <f>HEX2DEC(RIGHT(Table13232127535868[[#This Row],[h2]],8))</f>
        <v>0</v>
      </c>
    </row>
    <row r="972" spans="1:18">
      <c r="A972" s="15" t="str">
        <f t="shared" si="20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8" t="s">
        <v>75</v>
      </c>
      <c r="P972" s="48">
        <f>HEX2DEC(RIGHT(Table13232127535868[[#This Row],[h1]],8))</f>
        <v>0</v>
      </c>
      <c r="Q972" s="48" t="s">
        <v>75</v>
      </c>
      <c r="R972" s="48">
        <f>HEX2DEC(RIGHT(Table13232127535868[[#This Row],[h2]],8))</f>
        <v>0</v>
      </c>
    </row>
    <row r="973" spans="1:18">
      <c r="A973" s="15" t="str">
        <f t="shared" si="20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8" t="s">
        <v>75</v>
      </c>
      <c r="P973" s="48">
        <f>HEX2DEC(RIGHT(Table13232127535868[[#This Row],[h1]],8))</f>
        <v>0</v>
      </c>
      <c r="Q973" s="48" t="s">
        <v>75</v>
      </c>
      <c r="R973" s="48">
        <f>HEX2DEC(RIGHT(Table13232127535868[[#This Row],[h2]],8))</f>
        <v>0</v>
      </c>
    </row>
    <row r="974" spans="1:18">
      <c r="A974" s="15" t="str">
        <f t="shared" si="20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8" t="s">
        <v>75</v>
      </c>
      <c r="P974" s="48">
        <f>HEX2DEC(RIGHT(Table13232127535868[[#This Row],[h1]],8))</f>
        <v>0</v>
      </c>
      <c r="Q974" s="48" t="s">
        <v>75</v>
      </c>
      <c r="R974" s="48">
        <f>HEX2DEC(RIGHT(Table13232127535868[[#This Row],[h2]],8))</f>
        <v>0</v>
      </c>
    </row>
    <row r="975" spans="1:18">
      <c r="A975" s="15" t="str">
        <f t="shared" si="20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8" t="s">
        <v>75</v>
      </c>
      <c r="P975" s="48">
        <f>HEX2DEC(RIGHT(Table13232127535868[[#This Row],[h1]],8))</f>
        <v>0</v>
      </c>
      <c r="Q975" s="48" t="s">
        <v>75</v>
      </c>
      <c r="R975" s="48">
        <f>HEX2DEC(RIGHT(Table13232127535868[[#This Row],[h2]],8))</f>
        <v>0</v>
      </c>
    </row>
    <row r="976" spans="1:18">
      <c r="A976" s="15" t="str">
        <f t="shared" si="20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8" t="s">
        <v>75</v>
      </c>
      <c r="P976" s="48">
        <f>HEX2DEC(RIGHT(Table13232127535868[[#This Row],[h1]],8))</f>
        <v>0</v>
      </c>
      <c r="Q976" s="48" t="s">
        <v>75</v>
      </c>
      <c r="R976" s="48">
        <f>HEX2DEC(RIGHT(Table13232127535868[[#This Row],[h2]],8))</f>
        <v>0</v>
      </c>
    </row>
    <row r="977" spans="1:18">
      <c r="A977" s="15" t="str">
        <f t="shared" si="20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8" t="s">
        <v>75</v>
      </c>
      <c r="P977" s="48">
        <f>HEX2DEC(RIGHT(Table13232127535868[[#This Row],[h1]],8))</f>
        <v>0</v>
      </c>
      <c r="Q977" s="48" t="s">
        <v>75</v>
      </c>
      <c r="R977" s="48">
        <f>HEX2DEC(RIGHT(Table13232127535868[[#This Row],[h2]],8))</f>
        <v>0</v>
      </c>
    </row>
    <row r="978" spans="1:18">
      <c r="A978" s="15" t="str">
        <f t="shared" si="20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8" t="s">
        <v>75</v>
      </c>
      <c r="P978" s="48">
        <f>HEX2DEC(RIGHT(Table13232127535868[[#This Row],[h1]],8))</f>
        <v>0</v>
      </c>
      <c r="Q978" s="48" t="s">
        <v>75</v>
      </c>
      <c r="R978" s="48">
        <f>HEX2DEC(RIGHT(Table13232127535868[[#This Row],[h2]],8))</f>
        <v>0</v>
      </c>
    </row>
    <row r="979" spans="1:18">
      <c r="A979" s="15" t="str">
        <f t="shared" si="20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8" t="s">
        <v>75</v>
      </c>
      <c r="P979" s="48">
        <f>HEX2DEC(RIGHT(Table13232127535868[[#This Row],[h1]],8))</f>
        <v>0</v>
      </c>
      <c r="Q979" s="48" t="s">
        <v>75</v>
      </c>
      <c r="R979" s="48">
        <f>HEX2DEC(RIGHT(Table13232127535868[[#This Row],[h2]],8))</f>
        <v>0</v>
      </c>
    </row>
    <row r="980" spans="1:18">
      <c r="A980" s="15" t="str">
        <f t="shared" si="20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8" t="s">
        <v>75</v>
      </c>
      <c r="P980" s="48">
        <f>HEX2DEC(RIGHT(Table13232127535868[[#This Row],[h1]],8))</f>
        <v>0</v>
      </c>
      <c r="Q980" s="48" t="s">
        <v>75</v>
      </c>
      <c r="R980" s="48">
        <f>HEX2DEC(RIGHT(Table13232127535868[[#This Row],[h2]],8))</f>
        <v>0</v>
      </c>
    </row>
    <row r="981" spans="1:18">
      <c r="A981" s="15" t="str">
        <f t="shared" si="20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8" t="s">
        <v>75</v>
      </c>
      <c r="P981" s="48">
        <f>HEX2DEC(RIGHT(Table13232127535868[[#This Row],[h1]],8))</f>
        <v>0</v>
      </c>
      <c r="Q981" s="48" t="s">
        <v>75</v>
      </c>
      <c r="R981" s="48">
        <f>HEX2DEC(RIGHT(Table13232127535868[[#This Row],[h2]],8))</f>
        <v>0</v>
      </c>
    </row>
    <row r="982" spans="1:18">
      <c r="A982" s="15" t="str">
        <f t="shared" si="20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8" t="s">
        <v>75</v>
      </c>
      <c r="P982" s="48">
        <f>HEX2DEC(RIGHT(Table13232127535868[[#This Row],[h1]],8))</f>
        <v>0</v>
      </c>
      <c r="Q982" s="48" t="s">
        <v>75</v>
      </c>
      <c r="R982" s="48">
        <f>HEX2DEC(RIGHT(Table13232127535868[[#This Row],[h2]],8))</f>
        <v>0</v>
      </c>
    </row>
    <row r="983" spans="1:18">
      <c r="A983" s="15" t="str">
        <f t="shared" si="20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8" t="s">
        <v>75</v>
      </c>
      <c r="P983" s="48">
        <f>HEX2DEC(RIGHT(Table13232127535868[[#This Row],[h1]],8))</f>
        <v>0</v>
      </c>
      <c r="Q983" s="48" t="s">
        <v>75</v>
      </c>
      <c r="R983" s="48">
        <f>HEX2DEC(RIGHT(Table13232127535868[[#This Row],[h2]],8))</f>
        <v>0</v>
      </c>
    </row>
    <row r="984" spans="1:18">
      <c r="A984" s="15" t="str">
        <f t="shared" si="20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8" t="s">
        <v>75</v>
      </c>
      <c r="P984" s="48">
        <f>HEX2DEC(RIGHT(Table13232127535868[[#This Row],[h1]],8))</f>
        <v>0</v>
      </c>
      <c r="Q984" s="48" t="s">
        <v>75</v>
      </c>
      <c r="R984" s="48">
        <f>HEX2DEC(RIGHT(Table13232127535868[[#This Row],[h2]],8))</f>
        <v>0</v>
      </c>
    </row>
    <row r="985" spans="1:18">
      <c r="A985" s="15" t="str">
        <f t="shared" si="20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8" t="s">
        <v>75</v>
      </c>
      <c r="P985" s="48">
        <f>HEX2DEC(RIGHT(Table13232127535868[[#This Row],[h1]],8))</f>
        <v>0</v>
      </c>
      <c r="Q985" s="48" t="s">
        <v>75</v>
      </c>
      <c r="R985" s="48">
        <f>HEX2DEC(RIGHT(Table13232127535868[[#This Row],[h2]],8))</f>
        <v>0</v>
      </c>
    </row>
    <row r="986" spans="1:18">
      <c r="A986" s="15" t="str">
        <f t="shared" si="20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8" t="s">
        <v>75</v>
      </c>
      <c r="P986" s="48">
        <f>HEX2DEC(RIGHT(Table13232127535868[[#This Row],[h1]],8))</f>
        <v>0</v>
      </c>
      <c r="Q986" s="48" t="s">
        <v>75</v>
      </c>
      <c r="R986" s="48">
        <f>HEX2DEC(RIGHT(Table13232127535868[[#This Row],[h2]],8))</f>
        <v>0</v>
      </c>
    </row>
    <row r="987" spans="1:18">
      <c r="A987" s="15" t="str">
        <f t="shared" si="20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8" t="s">
        <v>75</v>
      </c>
      <c r="P987" s="48">
        <f>HEX2DEC(RIGHT(Table13232127535868[[#This Row],[h1]],8))</f>
        <v>0</v>
      </c>
      <c r="Q987" s="48" t="s">
        <v>75</v>
      </c>
      <c r="R987" s="48">
        <f>HEX2DEC(RIGHT(Table13232127535868[[#This Row],[h2]],8))</f>
        <v>0</v>
      </c>
    </row>
    <row r="988" spans="1:18">
      <c r="A988" s="15" t="str">
        <f t="shared" si="20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8" t="s">
        <v>75</v>
      </c>
      <c r="P988" s="48">
        <f>HEX2DEC(RIGHT(Table13232127535868[[#This Row],[h1]],8))</f>
        <v>0</v>
      </c>
      <c r="Q988" s="48" t="s">
        <v>75</v>
      </c>
      <c r="R988" s="48">
        <f>HEX2DEC(RIGHT(Table13232127535868[[#This Row],[h2]],8))</f>
        <v>0</v>
      </c>
    </row>
    <row r="989" spans="1:18">
      <c r="A989" s="15" t="str">
        <f t="shared" si="20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8" t="s">
        <v>75</v>
      </c>
      <c r="P989" s="48">
        <f>HEX2DEC(RIGHT(Table13232127535868[[#This Row],[h1]],8))</f>
        <v>0</v>
      </c>
      <c r="Q989" s="48" t="s">
        <v>75</v>
      </c>
      <c r="R989" s="48">
        <f>HEX2DEC(RIGHT(Table13232127535868[[#This Row],[h2]],8))</f>
        <v>0</v>
      </c>
    </row>
    <row r="990" spans="1:18">
      <c r="A990" s="15" t="str">
        <f t="shared" si="20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8" t="s">
        <v>75</v>
      </c>
      <c r="P990" s="48">
        <f>HEX2DEC(RIGHT(Table13232127535868[[#This Row],[h1]],8))</f>
        <v>0</v>
      </c>
      <c r="Q990" s="48" t="s">
        <v>75</v>
      </c>
      <c r="R990" s="48">
        <f>HEX2DEC(RIGHT(Table13232127535868[[#This Row],[h2]],8))</f>
        <v>0</v>
      </c>
    </row>
    <row r="991" spans="1:18">
      <c r="A991" s="15" t="str">
        <f t="shared" si="20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8" t="s">
        <v>75</v>
      </c>
      <c r="P991" s="48">
        <f>HEX2DEC(RIGHT(Table13232127535868[[#This Row],[h1]],8))</f>
        <v>0</v>
      </c>
      <c r="Q991" s="48" t="s">
        <v>75</v>
      </c>
      <c r="R991" s="48">
        <f>HEX2DEC(RIGHT(Table13232127535868[[#This Row],[h2]],8))</f>
        <v>0</v>
      </c>
    </row>
    <row r="992" spans="1:18">
      <c r="A992" s="15" t="str">
        <f t="shared" si="20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8" t="s">
        <v>75</v>
      </c>
      <c r="P992" s="48">
        <f>HEX2DEC(RIGHT(Table13232127535868[[#This Row],[h1]],8))</f>
        <v>0</v>
      </c>
      <c r="Q992" s="48" t="s">
        <v>75</v>
      </c>
      <c r="R992" s="48">
        <f>HEX2DEC(RIGHT(Table13232127535868[[#This Row],[h2]],8))</f>
        <v>0</v>
      </c>
    </row>
    <row r="993" spans="1:18">
      <c r="A993" s="15" t="str">
        <f t="shared" si="20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8" t="s">
        <v>75</v>
      </c>
      <c r="P993" s="48">
        <f>HEX2DEC(RIGHT(Table13232127535868[[#This Row],[h1]],8))</f>
        <v>0</v>
      </c>
      <c r="Q993" s="48" t="s">
        <v>75</v>
      </c>
      <c r="R993" s="48">
        <f>HEX2DEC(RIGHT(Table13232127535868[[#This Row],[h2]],8))</f>
        <v>0</v>
      </c>
    </row>
    <row r="994" spans="1:18">
      <c r="A994" s="15" t="str">
        <f t="shared" si="20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8" t="s">
        <v>75</v>
      </c>
      <c r="P994" s="48">
        <f>HEX2DEC(RIGHT(Table13232127535868[[#This Row],[h1]],8))</f>
        <v>0</v>
      </c>
      <c r="Q994" s="48" t="s">
        <v>75</v>
      </c>
      <c r="R994" s="48">
        <f>HEX2DEC(RIGHT(Table13232127535868[[#This Row],[h2]],8))</f>
        <v>0</v>
      </c>
    </row>
    <row r="995" spans="1:18">
      <c r="A995" s="15" t="str">
        <f t="shared" si="20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8" t="s">
        <v>75</v>
      </c>
      <c r="P995" s="48">
        <f>HEX2DEC(RIGHT(Table13232127535868[[#This Row],[h1]],8))</f>
        <v>0</v>
      </c>
      <c r="Q995" s="48" t="s">
        <v>75</v>
      </c>
      <c r="R995" s="48">
        <f>HEX2DEC(RIGHT(Table13232127535868[[#This Row],[h2]],8))</f>
        <v>0</v>
      </c>
    </row>
    <row r="996" spans="1:18">
      <c r="A996" s="15" t="str">
        <f t="shared" si="20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8" t="s">
        <v>75</v>
      </c>
      <c r="P996" s="48">
        <f>HEX2DEC(RIGHT(Table13232127535868[[#This Row],[h1]],8))</f>
        <v>0</v>
      </c>
      <c r="Q996" s="48" t="s">
        <v>75</v>
      </c>
      <c r="R996" s="48">
        <f>HEX2DEC(RIGHT(Table13232127535868[[#This Row],[h2]],8))</f>
        <v>0</v>
      </c>
    </row>
    <row r="997" spans="1:18">
      <c r="A997" s="15" t="str">
        <f t="shared" si="20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8" t="s">
        <v>75</v>
      </c>
      <c r="P997" s="48">
        <f>HEX2DEC(RIGHT(Table13232127535868[[#This Row],[h1]],8))</f>
        <v>0</v>
      </c>
      <c r="Q997" s="48" t="s">
        <v>75</v>
      </c>
      <c r="R997" s="48">
        <f>HEX2DEC(RIGHT(Table13232127535868[[#This Row],[h2]],8))</f>
        <v>0</v>
      </c>
    </row>
    <row r="998" spans="1:18">
      <c r="A998" s="15" t="str">
        <f t="shared" si="20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8" t="s">
        <v>75</v>
      </c>
      <c r="P998" s="48">
        <f>HEX2DEC(RIGHT(Table13232127535868[[#This Row],[h1]],8))</f>
        <v>0</v>
      </c>
      <c r="Q998" s="48" t="s">
        <v>75</v>
      </c>
      <c r="R998" s="48">
        <f>HEX2DEC(RIGHT(Table13232127535868[[#This Row],[h2]],8))</f>
        <v>0</v>
      </c>
    </row>
    <row r="999" spans="1:18">
      <c r="A999" s="15" t="str">
        <f t="shared" si="20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8" t="s">
        <v>75</v>
      </c>
      <c r="P999" s="48">
        <f>HEX2DEC(RIGHT(Table13232127535868[[#This Row],[h1]],8))</f>
        <v>0</v>
      </c>
      <c r="Q999" s="48" t="s">
        <v>75</v>
      </c>
      <c r="R999" s="48">
        <f>HEX2DEC(RIGHT(Table13232127535868[[#This Row],[h2]],8))</f>
        <v>0</v>
      </c>
    </row>
    <row r="1000" spans="1:18">
      <c r="A1000" s="15" t="str">
        <f t="shared" si="20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8" t="s">
        <v>75</v>
      </c>
      <c r="P1000" s="48">
        <f>HEX2DEC(RIGHT(Table13232127535868[[#This Row],[h1]],8))</f>
        <v>0</v>
      </c>
      <c r="Q1000" s="48" t="s">
        <v>75</v>
      </c>
      <c r="R1000" s="48">
        <f>HEX2DEC(RIGHT(Table13232127535868[[#This Row],[h2]],8))</f>
        <v>0</v>
      </c>
    </row>
    <row r="1001" spans="1:18">
      <c r="A1001" s="15" t="str">
        <f t="shared" si="20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8" t="s">
        <v>75</v>
      </c>
      <c r="P1001" s="48">
        <f>HEX2DEC(RIGHT(Table13232127535868[[#This Row],[h1]],8))</f>
        <v>0</v>
      </c>
      <c r="Q1001" s="48" t="s">
        <v>75</v>
      </c>
      <c r="R1001" s="48">
        <f>HEX2DEC(RIGHT(Table13232127535868[[#This Row],[h2]],8))</f>
        <v>0</v>
      </c>
    </row>
    <row r="1002" spans="1:18">
      <c r="A1002" s="15" t="str">
        <f t="shared" si="20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8" t="s">
        <v>75</v>
      </c>
      <c r="P1002" s="48">
        <f>HEX2DEC(RIGHT(Table13232127535868[[#This Row],[h1]],8))</f>
        <v>0</v>
      </c>
      <c r="Q1002" s="48" t="s">
        <v>75</v>
      </c>
      <c r="R1002" s="48">
        <f>HEX2DEC(RIGHT(Table13232127535868[[#This Row],[h2]],8))</f>
        <v>0</v>
      </c>
    </row>
    <row r="1003" spans="1:18">
      <c r="A1003" s="15" t="str">
        <f t="shared" si="20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8" t="s">
        <v>75</v>
      </c>
      <c r="P1003" s="48">
        <f>HEX2DEC(RIGHT(Table13232127535868[[#This Row],[h1]],8))</f>
        <v>0</v>
      </c>
      <c r="Q1003" s="48" t="s">
        <v>75</v>
      </c>
      <c r="R1003" s="48">
        <f>HEX2DEC(RIGHT(Table13232127535868[[#This Row],[h2]],8))</f>
        <v>0</v>
      </c>
    </row>
    <row r="1004" spans="1:18">
      <c r="A1004" s="15" t="str">
        <f t="shared" si="20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8" t="s">
        <v>75</v>
      </c>
      <c r="P1004" s="48">
        <f>HEX2DEC(RIGHT(Table13232127535868[[#This Row],[h1]],8))</f>
        <v>0</v>
      </c>
      <c r="Q1004" s="48" t="s">
        <v>75</v>
      </c>
      <c r="R1004" s="48">
        <f>HEX2DEC(RIGHT(Table13232127535868[[#This Row],[h2]],8))</f>
        <v>0</v>
      </c>
    </row>
    <row r="1005" spans="1:18">
      <c r="A1005" s="15" t="str">
        <f t="shared" si="20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8" t="s">
        <v>75</v>
      </c>
      <c r="P1005" s="48">
        <f>HEX2DEC(RIGHT(Table13232127535868[[#This Row],[h1]],8))</f>
        <v>0</v>
      </c>
      <c r="Q1005" s="48" t="s">
        <v>75</v>
      </c>
      <c r="R1005" s="48">
        <f>HEX2DEC(RIGHT(Table13232127535868[[#This Row],[h2]],8))</f>
        <v>0</v>
      </c>
    </row>
    <row r="1006" spans="1:18">
      <c r="A1006" s="15" t="str">
        <f t="shared" si="20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8" t="s">
        <v>75</v>
      </c>
      <c r="P1006" s="48">
        <f>HEX2DEC(RIGHT(Table13232127535868[[#This Row],[h1]],8))</f>
        <v>0</v>
      </c>
      <c r="Q1006" s="48" t="s">
        <v>75</v>
      </c>
      <c r="R1006" s="48">
        <f>HEX2DEC(RIGHT(Table13232127535868[[#This Row],[h2]],8))</f>
        <v>0</v>
      </c>
    </row>
    <row r="1007" spans="1:18">
      <c r="A1007" s="15" t="str">
        <f t="shared" si="20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8" t="s">
        <v>75</v>
      </c>
      <c r="P1007" s="48">
        <f>HEX2DEC(RIGHT(Table13232127535868[[#This Row],[h1]],8))</f>
        <v>0</v>
      </c>
      <c r="Q1007" s="48" t="s">
        <v>75</v>
      </c>
      <c r="R1007" s="48">
        <f>HEX2DEC(RIGHT(Table13232127535868[[#This Row],[h2]],8))</f>
        <v>0</v>
      </c>
    </row>
    <row r="1008" spans="1:18">
      <c r="A1008" s="15" t="str">
        <f t="shared" si="20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8" t="s">
        <v>75</v>
      </c>
      <c r="P1008" s="48">
        <f>HEX2DEC(RIGHT(Table13232127535868[[#This Row],[h1]],8))</f>
        <v>0</v>
      </c>
      <c r="Q1008" s="48" t="s">
        <v>75</v>
      </c>
      <c r="R1008" s="48">
        <f>HEX2DEC(RIGHT(Table13232127535868[[#This Row],[h2]],8))</f>
        <v>0</v>
      </c>
    </row>
    <row r="1009" spans="1:18">
      <c r="A1009" s="15" t="str">
        <f t="shared" si="20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8" t="s">
        <v>75</v>
      </c>
      <c r="P1009" s="48">
        <f>HEX2DEC(RIGHT(Table13232127535868[[#This Row],[h1]],8))</f>
        <v>0</v>
      </c>
      <c r="Q1009" s="48" t="s">
        <v>75</v>
      </c>
      <c r="R1009" s="48">
        <f>HEX2DEC(RIGHT(Table13232127535868[[#This Row],[h2]],8))</f>
        <v>0</v>
      </c>
    </row>
    <row r="1010" spans="1:18">
      <c r="A1010" s="15" t="str">
        <f t="shared" si="20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8" t="s">
        <v>75</v>
      </c>
      <c r="P1010" s="48">
        <f>HEX2DEC(RIGHT(Table13232127535868[[#This Row],[h1]],8))</f>
        <v>0</v>
      </c>
      <c r="Q1010" s="48" t="s">
        <v>75</v>
      </c>
      <c r="R1010" s="48">
        <f>HEX2DEC(RIGHT(Table13232127535868[[#This Row],[h2]],8))</f>
        <v>0</v>
      </c>
    </row>
    <row r="1011" spans="1:18">
      <c r="A1011" s="15" t="str">
        <f t="shared" si="20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8" t="s">
        <v>75</v>
      </c>
      <c r="P1011" s="48">
        <f>HEX2DEC(RIGHT(Table13232127535868[[#This Row],[h1]],8))</f>
        <v>0</v>
      </c>
      <c r="Q1011" s="48" t="s">
        <v>75</v>
      </c>
      <c r="R1011" s="48">
        <f>HEX2DEC(RIGHT(Table13232127535868[[#This Row],[h2]],8))</f>
        <v>0</v>
      </c>
    </row>
    <row r="1012" spans="1:18">
      <c r="A1012" s="15" t="str">
        <f t="shared" si="20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8" t="s">
        <v>75</v>
      </c>
      <c r="P1012" s="48">
        <f>HEX2DEC(RIGHT(Table13232127535868[[#This Row],[h1]],8))</f>
        <v>0</v>
      </c>
      <c r="Q1012" s="48" t="s">
        <v>75</v>
      </c>
      <c r="R1012" s="48">
        <f>HEX2DEC(RIGHT(Table13232127535868[[#This Row],[h2]],8))</f>
        <v>0</v>
      </c>
    </row>
    <row r="1013" spans="1:18">
      <c r="A1013" s="15" t="str">
        <f t="shared" si="20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8" t="s">
        <v>75</v>
      </c>
      <c r="P1013" s="48">
        <f>HEX2DEC(RIGHT(Table13232127535868[[#This Row],[h1]],8))</f>
        <v>0</v>
      </c>
      <c r="Q1013" s="48" t="s">
        <v>75</v>
      </c>
      <c r="R1013" s="48">
        <f>HEX2DEC(RIGHT(Table13232127535868[[#This Row],[h2]],8))</f>
        <v>0</v>
      </c>
    </row>
    <row r="1014" spans="1:18">
      <c r="A1014" s="15" t="str">
        <f t="shared" si="20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8" t="s">
        <v>75</v>
      </c>
      <c r="P1014" s="48">
        <f>HEX2DEC(RIGHT(Table13232127535868[[#This Row],[h1]],8))</f>
        <v>0</v>
      </c>
      <c r="Q1014" s="48" t="s">
        <v>75</v>
      </c>
      <c r="R1014" s="48">
        <f>HEX2DEC(RIGHT(Table13232127535868[[#This Row],[h2]],8))</f>
        <v>0</v>
      </c>
    </row>
    <row r="1015" spans="1:18">
      <c r="A1015" s="15" t="str">
        <f t="shared" si="20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8" t="s">
        <v>75</v>
      </c>
      <c r="P1015" s="48">
        <f>HEX2DEC(RIGHT(Table13232127535868[[#This Row],[h1]],8))</f>
        <v>0</v>
      </c>
      <c r="Q1015" s="48" t="s">
        <v>75</v>
      </c>
      <c r="R1015" s="48">
        <f>HEX2DEC(RIGHT(Table13232127535868[[#This Row],[h2]],8))</f>
        <v>0</v>
      </c>
    </row>
    <row r="1016" spans="1:18">
      <c r="A1016" s="15" t="str">
        <f t="shared" si="20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8" t="s">
        <v>75</v>
      </c>
      <c r="P1016" s="48">
        <f>HEX2DEC(RIGHT(Table13232127535868[[#This Row],[h1]],8))</f>
        <v>0</v>
      </c>
      <c r="Q1016" s="48" t="s">
        <v>75</v>
      </c>
      <c r="R1016" s="48">
        <f>HEX2DEC(RIGHT(Table13232127535868[[#This Row],[h2]],8))</f>
        <v>0</v>
      </c>
    </row>
    <row r="1017" spans="1:18">
      <c r="A1017" s="15" t="str">
        <f t="shared" si="20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8" t="s">
        <v>75</v>
      </c>
      <c r="P1017" s="48">
        <f>HEX2DEC(RIGHT(Table13232127535868[[#This Row],[h1]],8))</f>
        <v>0</v>
      </c>
      <c r="Q1017" s="48" t="s">
        <v>75</v>
      </c>
      <c r="R1017" s="48">
        <f>HEX2DEC(RIGHT(Table13232127535868[[#This Row],[h2]],8))</f>
        <v>0</v>
      </c>
    </row>
    <row r="1018" spans="1:18">
      <c r="A1018" s="15" t="str">
        <f t="shared" si="20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8" t="s">
        <v>75</v>
      </c>
      <c r="P1018" s="48">
        <f>HEX2DEC(RIGHT(Table13232127535868[[#This Row],[h1]],8))</f>
        <v>0</v>
      </c>
      <c r="Q1018" s="48" t="s">
        <v>75</v>
      </c>
      <c r="R1018" s="48">
        <f>HEX2DEC(RIGHT(Table13232127535868[[#This Row],[h2]],8))</f>
        <v>0</v>
      </c>
    </row>
    <row r="1019" spans="1:18">
      <c r="A1019" s="15" t="str">
        <f t="shared" si="20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8" t="s">
        <v>75</v>
      </c>
      <c r="P1019" s="48">
        <f>HEX2DEC(RIGHT(Table13232127535868[[#This Row],[h1]],8))</f>
        <v>0</v>
      </c>
      <c r="Q1019" s="48" t="s">
        <v>75</v>
      </c>
      <c r="R1019" s="48">
        <f>HEX2DEC(RIGHT(Table13232127535868[[#This Row],[h2]],8))</f>
        <v>0</v>
      </c>
    </row>
    <row r="1020" spans="1:18">
      <c r="A1020" s="15" t="str">
        <f t="shared" si="20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8" t="s">
        <v>75</v>
      </c>
      <c r="P1020" s="48">
        <f>HEX2DEC(RIGHT(Table13232127535868[[#This Row],[h1]],8))</f>
        <v>0</v>
      </c>
      <c r="Q1020" s="48" t="s">
        <v>75</v>
      </c>
      <c r="R1020" s="48">
        <f>HEX2DEC(RIGHT(Table13232127535868[[#This Row],[h2]],8))</f>
        <v>0</v>
      </c>
    </row>
    <row r="1021" spans="1:18">
      <c r="A1021" s="15" t="str">
        <f t="shared" si="20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8" t="s">
        <v>75</v>
      </c>
      <c r="P1021" s="48">
        <f>HEX2DEC(RIGHT(Table13232127535868[[#This Row],[h1]],8))</f>
        <v>0</v>
      </c>
      <c r="Q1021" s="48" t="s">
        <v>75</v>
      </c>
      <c r="R1021" s="48">
        <f>HEX2DEC(RIGHT(Table13232127535868[[#This Row],[h2]],8))</f>
        <v>0</v>
      </c>
    </row>
    <row r="1022" spans="1:18">
      <c r="A1022" s="15" t="str">
        <f t="shared" si="20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8" t="s">
        <v>75</v>
      </c>
      <c r="P1022" s="48">
        <f>HEX2DEC(RIGHT(Table13232127535868[[#This Row],[h1]],8))</f>
        <v>0</v>
      </c>
      <c r="Q1022" s="48" t="s">
        <v>75</v>
      </c>
      <c r="R1022" s="48">
        <f>HEX2DEC(RIGHT(Table13232127535868[[#This Row],[h2]],8))</f>
        <v>0</v>
      </c>
    </row>
    <row r="1023" spans="1:18">
      <c r="A1023" s="15" t="str">
        <f t="shared" si="20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8" t="s">
        <v>75</v>
      </c>
      <c r="P1023" s="48">
        <f>HEX2DEC(RIGHT(Table13232127535868[[#This Row],[h1]],8))</f>
        <v>0</v>
      </c>
      <c r="Q1023" s="48" t="s">
        <v>75</v>
      </c>
      <c r="R1023" s="48">
        <f>HEX2DEC(RIGHT(Table13232127535868[[#This Row],[h2]],8))</f>
        <v>0</v>
      </c>
    </row>
    <row r="1024" spans="1:18">
      <c r="A1024" s="15" t="str">
        <f t="shared" si="20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8" t="s">
        <v>75</v>
      </c>
      <c r="P1024" s="48">
        <f>HEX2DEC(RIGHT(Table13232127535868[[#This Row],[h1]],8))</f>
        <v>0</v>
      </c>
      <c r="Q1024" s="48" t="s">
        <v>75</v>
      </c>
      <c r="R1024" s="48">
        <f>HEX2DEC(RIGHT(Table13232127535868[[#This Row],[h2]],8))</f>
        <v>0</v>
      </c>
    </row>
    <row r="1025" spans="1:18">
      <c r="A1025" s="15" t="str">
        <f t="shared" si="20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8" t="s">
        <v>75</v>
      </c>
      <c r="P1025" s="48">
        <f>HEX2DEC(RIGHT(Table13232127535868[[#This Row],[h1]],8))</f>
        <v>0</v>
      </c>
      <c r="Q1025" s="48" t="s">
        <v>75</v>
      </c>
      <c r="R1025" s="48">
        <f>HEX2DEC(RIGHT(Table13232127535868[[#This Row],[h2]],8))</f>
        <v>0</v>
      </c>
    </row>
    <row r="1026" spans="1:18">
      <c r="A1026" s="15" t="str">
        <f t="shared" si="20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8" t="s">
        <v>75</v>
      </c>
      <c r="P1026" s="48">
        <f>HEX2DEC(RIGHT(Table13232127535868[[#This Row],[h1]],8))</f>
        <v>0</v>
      </c>
      <c r="Q1026" s="48" t="s">
        <v>75</v>
      </c>
      <c r="R1026" s="48">
        <f>HEX2DEC(RIGHT(Table13232127535868[[#This Row],[h2]],8))</f>
        <v>0</v>
      </c>
    </row>
    <row r="1027" spans="1:18">
      <c r="A1027" s="15" t="str">
        <f t="shared" si="20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8" t="s">
        <v>75</v>
      </c>
      <c r="P1027" s="48">
        <f>HEX2DEC(RIGHT(Table13232127535868[[#This Row],[h1]],8))</f>
        <v>0</v>
      </c>
      <c r="Q1027" s="48" t="s">
        <v>75</v>
      </c>
      <c r="R1027" s="48">
        <f>HEX2DEC(RIGHT(Table13232127535868[[#This Row],[h2]],8))</f>
        <v>0</v>
      </c>
    </row>
    <row r="1028" spans="1:18">
      <c r="A1028" s="15" t="str">
        <f t="shared" si="20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8" t="s">
        <v>75</v>
      </c>
      <c r="P1028" s="48">
        <f>HEX2DEC(RIGHT(Table13232127535868[[#This Row],[h1]],8))</f>
        <v>0</v>
      </c>
      <c r="Q1028" s="48" t="s">
        <v>75</v>
      </c>
      <c r="R1028" s="48">
        <f>HEX2DEC(RIGHT(Table13232127535868[[#This Row],[h2]],8))</f>
        <v>0</v>
      </c>
    </row>
    <row r="1029" spans="1:18">
      <c r="A1029" s="15" t="str">
        <f t="shared" si="20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8" t="s">
        <v>75</v>
      </c>
      <c r="P1029" s="48">
        <f>HEX2DEC(RIGHT(Table13232127535868[[#This Row],[h1]],8))</f>
        <v>0</v>
      </c>
      <c r="Q1029" s="48" t="s">
        <v>75</v>
      </c>
      <c r="R1029" s="48">
        <f>HEX2DEC(RIGHT(Table13232127535868[[#This Row],[h2]],8))</f>
        <v>0</v>
      </c>
    </row>
    <row r="1030" spans="1:18">
      <c r="A1030" s="15" t="str">
        <f t="shared" si="20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8" t="s">
        <v>75</v>
      </c>
      <c r="P1030" s="48">
        <f>HEX2DEC(RIGHT(Table13232127535868[[#This Row],[h1]],8))</f>
        <v>0</v>
      </c>
      <c r="Q1030" s="48" t="s">
        <v>75</v>
      </c>
      <c r="R1030" s="48">
        <f>HEX2DEC(RIGHT(Table13232127535868[[#This Row],[h2]],8))</f>
        <v>0</v>
      </c>
    </row>
    <row r="1031" spans="1:18">
      <c r="A1031" s="15" t="str">
        <f t="shared" si="20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8" t="s">
        <v>75</v>
      </c>
      <c r="P1031" s="48">
        <f>HEX2DEC(RIGHT(Table13232127535868[[#This Row],[h1]],8))</f>
        <v>0</v>
      </c>
      <c r="Q1031" s="48" t="s">
        <v>75</v>
      </c>
      <c r="R1031" s="48">
        <f>HEX2DEC(RIGHT(Table13232127535868[[#This Row],[h2]],8))</f>
        <v>0</v>
      </c>
    </row>
    <row r="1032" spans="1:18">
      <c r="A1032" s="15" t="str">
        <f t="shared" si="20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8" t="s">
        <v>75</v>
      </c>
      <c r="P1032" s="48">
        <f>HEX2DEC(RIGHT(Table13232127535868[[#This Row],[h1]],8))</f>
        <v>0</v>
      </c>
      <c r="Q1032" s="48" t="s">
        <v>75</v>
      </c>
      <c r="R1032" s="48">
        <f>HEX2DEC(RIGHT(Table13232127535868[[#This Row],[h2]],8))</f>
        <v>0</v>
      </c>
    </row>
    <row r="1033" spans="1:18">
      <c r="A1033" s="15" t="str">
        <f t="shared" si="20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8" t="s">
        <v>75</v>
      </c>
      <c r="P1033" s="48">
        <f>HEX2DEC(RIGHT(Table13232127535868[[#This Row],[h1]],8))</f>
        <v>0</v>
      </c>
      <c r="Q1033" s="48" t="s">
        <v>75</v>
      </c>
      <c r="R1033" s="48">
        <f>HEX2DEC(RIGHT(Table13232127535868[[#This Row],[h2]],8))</f>
        <v>0</v>
      </c>
    </row>
    <row r="1034" spans="1:18">
      <c r="A1034" s="15" t="str">
        <f t="shared" si="20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8" t="s">
        <v>75</v>
      </c>
      <c r="P1034" s="48">
        <f>HEX2DEC(RIGHT(Table13232127535868[[#This Row],[h1]],8))</f>
        <v>0</v>
      </c>
      <c r="Q1034" s="48" t="s">
        <v>75</v>
      </c>
      <c r="R1034" s="48">
        <f>HEX2DEC(RIGHT(Table13232127535868[[#This Row],[h2]],8))</f>
        <v>0</v>
      </c>
    </row>
    <row r="1035" spans="1:18">
      <c r="A1035" s="15" t="str">
        <f t="shared" ref="A1035:A1098" si="21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8" t="s">
        <v>75</v>
      </c>
      <c r="P1035" s="48">
        <f>HEX2DEC(RIGHT(Table13232127535868[[#This Row],[h1]],8))</f>
        <v>0</v>
      </c>
      <c r="Q1035" s="48" t="s">
        <v>75</v>
      </c>
      <c r="R1035" s="48">
        <f>HEX2DEC(RIGHT(Table13232127535868[[#This Row],[h2]],8))</f>
        <v>0</v>
      </c>
    </row>
    <row r="1036" spans="1:18">
      <c r="A1036" s="15" t="str">
        <f t="shared" si="21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8" t="s">
        <v>75</v>
      </c>
      <c r="P1036" s="48">
        <f>HEX2DEC(RIGHT(Table13232127535868[[#This Row],[h1]],8))</f>
        <v>0</v>
      </c>
      <c r="Q1036" s="48" t="s">
        <v>75</v>
      </c>
      <c r="R1036" s="48">
        <f>HEX2DEC(RIGHT(Table13232127535868[[#This Row],[h2]],8))</f>
        <v>0</v>
      </c>
    </row>
    <row r="1037" spans="1:18">
      <c r="A1037" s="15" t="str">
        <f t="shared" si="21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8" t="s">
        <v>75</v>
      </c>
      <c r="P1037" s="48">
        <f>HEX2DEC(RIGHT(Table13232127535868[[#This Row],[h1]],8))</f>
        <v>0</v>
      </c>
      <c r="Q1037" s="48" t="s">
        <v>75</v>
      </c>
      <c r="R1037" s="48">
        <f>HEX2DEC(RIGHT(Table13232127535868[[#This Row],[h2]],8))</f>
        <v>0</v>
      </c>
    </row>
    <row r="1038" spans="1:18">
      <c r="A1038" s="15" t="str">
        <f t="shared" si="21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8" t="s">
        <v>75</v>
      </c>
      <c r="P1038" s="48">
        <f>HEX2DEC(RIGHT(Table13232127535868[[#This Row],[h1]],8))</f>
        <v>0</v>
      </c>
      <c r="Q1038" s="48" t="s">
        <v>75</v>
      </c>
      <c r="R1038" s="48">
        <f>HEX2DEC(RIGHT(Table13232127535868[[#This Row],[h2]],8))</f>
        <v>0</v>
      </c>
    </row>
    <row r="1039" spans="1:18">
      <c r="A1039" s="15" t="str">
        <f t="shared" si="21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8" t="s">
        <v>75</v>
      </c>
      <c r="P1039" s="48">
        <f>HEX2DEC(RIGHT(Table13232127535868[[#This Row],[h1]],8))</f>
        <v>0</v>
      </c>
      <c r="Q1039" s="48" t="s">
        <v>75</v>
      </c>
      <c r="R1039" s="48">
        <f>HEX2DEC(RIGHT(Table13232127535868[[#This Row],[h2]],8))</f>
        <v>0</v>
      </c>
    </row>
    <row r="1040" spans="1:18">
      <c r="A1040" s="15" t="str">
        <f t="shared" si="21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8" t="s">
        <v>75</v>
      </c>
      <c r="P1040" s="48">
        <f>HEX2DEC(RIGHT(Table13232127535868[[#This Row],[h1]],8))</f>
        <v>0</v>
      </c>
      <c r="Q1040" s="48" t="s">
        <v>75</v>
      </c>
      <c r="R1040" s="48">
        <f>HEX2DEC(RIGHT(Table13232127535868[[#This Row],[h2]],8))</f>
        <v>0</v>
      </c>
    </row>
    <row r="1041" spans="1:18">
      <c r="A1041" s="15" t="str">
        <f t="shared" si="21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8" t="s">
        <v>75</v>
      </c>
      <c r="P1041" s="48">
        <f>HEX2DEC(RIGHT(Table13232127535868[[#This Row],[h1]],8))</f>
        <v>0</v>
      </c>
      <c r="Q1041" s="48" t="s">
        <v>75</v>
      </c>
      <c r="R1041" s="48">
        <f>HEX2DEC(RIGHT(Table13232127535868[[#This Row],[h2]],8))</f>
        <v>0</v>
      </c>
    </row>
    <row r="1042" spans="1:18">
      <c r="A1042" s="15" t="str">
        <f t="shared" si="21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8" t="s">
        <v>75</v>
      </c>
      <c r="P1042" s="48">
        <f>HEX2DEC(RIGHT(Table13232127535868[[#This Row],[h1]],8))</f>
        <v>0</v>
      </c>
      <c r="Q1042" s="48" t="s">
        <v>75</v>
      </c>
      <c r="R1042" s="48">
        <f>HEX2DEC(RIGHT(Table13232127535868[[#This Row],[h2]],8))</f>
        <v>0</v>
      </c>
    </row>
    <row r="1043" spans="1:18">
      <c r="A1043" s="15" t="str">
        <f t="shared" si="21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8" t="s">
        <v>75</v>
      </c>
      <c r="P1043" s="48">
        <f>HEX2DEC(RIGHT(Table13232127535868[[#This Row],[h1]],8))</f>
        <v>0</v>
      </c>
      <c r="Q1043" s="48" t="s">
        <v>75</v>
      </c>
      <c r="R1043" s="48">
        <f>HEX2DEC(RIGHT(Table13232127535868[[#This Row],[h2]],8))</f>
        <v>0</v>
      </c>
    </row>
    <row r="1044" spans="1:18">
      <c r="A1044" s="15" t="str">
        <f t="shared" si="21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8" t="s">
        <v>75</v>
      </c>
      <c r="P1044" s="48">
        <f>HEX2DEC(RIGHT(Table13232127535868[[#This Row],[h1]],8))</f>
        <v>0</v>
      </c>
      <c r="Q1044" s="48" t="s">
        <v>75</v>
      </c>
      <c r="R1044" s="48">
        <f>HEX2DEC(RIGHT(Table13232127535868[[#This Row],[h2]],8))</f>
        <v>0</v>
      </c>
    </row>
    <row r="1045" spans="1:18">
      <c r="A1045" s="15" t="str">
        <f t="shared" si="21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8" t="s">
        <v>75</v>
      </c>
      <c r="P1045" s="48">
        <f>HEX2DEC(RIGHT(Table13232127535868[[#This Row],[h1]],8))</f>
        <v>0</v>
      </c>
      <c r="Q1045" s="48" t="s">
        <v>75</v>
      </c>
      <c r="R1045" s="48">
        <f>HEX2DEC(RIGHT(Table13232127535868[[#This Row],[h2]],8))</f>
        <v>0</v>
      </c>
    </row>
    <row r="1046" spans="1:18">
      <c r="A1046" s="15" t="str">
        <f t="shared" si="21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8" t="s">
        <v>75</v>
      </c>
      <c r="P1046" s="48">
        <f>HEX2DEC(RIGHT(Table13232127535868[[#This Row],[h1]],8))</f>
        <v>0</v>
      </c>
      <c r="Q1046" s="48" t="s">
        <v>75</v>
      </c>
      <c r="R1046" s="48">
        <f>HEX2DEC(RIGHT(Table13232127535868[[#This Row],[h2]],8))</f>
        <v>0</v>
      </c>
    </row>
    <row r="1047" spans="1:18">
      <c r="A1047" s="15" t="str">
        <f t="shared" si="21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8" t="s">
        <v>75</v>
      </c>
      <c r="P1047" s="48">
        <f>HEX2DEC(RIGHT(Table13232127535868[[#This Row],[h1]],8))</f>
        <v>0</v>
      </c>
      <c r="Q1047" s="48" t="s">
        <v>75</v>
      </c>
      <c r="R1047" s="48">
        <f>HEX2DEC(RIGHT(Table13232127535868[[#This Row],[h2]],8))</f>
        <v>0</v>
      </c>
    </row>
    <row r="1048" spans="1:18">
      <c r="A1048" s="15" t="str">
        <f t="shared" si="21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8" t="s">
        <v>75</v>
      </c>
      <c r="P1048" s="48">
        <f>HEX2DEC(RIGHT(Table13232127535868[[#This Row],[h1]],8))</f>
        <v>0</v>
      </c>
      <c r="Q1048" s="48" t="s">
        <v>75</v>
      </c>
      <c r="R1048" s="48">
        <f>HEX2DEC(RIGHT(Table13232127535868[[#This Row],[h2]],8))</f>
        <v>0</v>
      </c>
    </row>
    <row r="1049" spans="1:18">
      <c r="A1049" s="15" t="str">
        <f t="shared" si="21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8" t="s">
        <v>75</v>
      </c>
      <c r="P1049" s="48">
        <f>HEX2DEC(RIGHT(Table13232127535868[[#This Row],[h1]],8))</f>
        <v>0</v>
      </c>
      <c r="Q1049" s="48" t="s">
        <v>75</v>
      </c>
      <c r="R1049" s="48">
        <f>HEX2DEC(RIGHT(Table13232127535868[[#This Row],[h2]],8))</f>
        <v>0</v>
      </c>
    </row>
    <row r="1050" spans="1:18">
      <c r="A1050" s="15" t="str">
        <f t="shared" si="21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8" t="s">
        <v>75</v>
      </c>
      <c r="P1050" s="48">
        <f>HEX2DEC(RIGHT(Table13232127535868[[#This Row],[h1]],8))</f>
        <v>0</v>
      </c>
      <c r="Q1050" s="48" t="s">
        <v>75</v>
      </c>
      <c r="R1050" s="48">
        <f>HEX2DEC(RIGHT(Table13232127535868[[#This Row],[h2]],8))</f>
        <v>0</v>
      </c>
    </row>
    <row r="1051" spans="1:18">
      <c r="A1051" s="15" t="str">
        <f t="shared" si="21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8" t="s">
        <v>75</v>
      </c>
      <c r="P1051" s="48">
        <f>HEX2DEC(RIGHT(Table13232127535868[[#This Row],[h1]],8))</f>
        <v>0</v>
      </c>
      <c r="Q1051" s="48" t="s">
        <v>75</v>
      </c>
      <c r="R1051" s="48">
        <f>HEX2DEC(RIGHT(Table13232127535868[[#This Row],[h2]],8))</f>
        <v>0</v>
      </c>
    </row>
    <row r="1052" spans="1:18">
      <c r="A1052" s="15" t="str">
        <f t="shared" si="21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8" t="s">
        <v>75</v>
      </c>
      <c r="P1052" s="48">
        <f>HEX2DEC(RIGHT(Table13232127535868[[#This Row],[h1]],8))</f>
        <v>0</v>
      </c>
      <c r="Q1052" s="48" t="s">
        <v>75</v>
      </c>
      <c r="R1052" s="48">
        <f>HEX2DEC(RIGHT(Table13232127535868[[#This Row],[h2]],8))</f>
        <v>0</v>
      </c>
    </row>
    <row r="1053" spans="1:18">
      <c r="A1053" s="15" t="str">
        <f t="shared" si="21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8" t="s">
        <v>75</v>
      </c>
      <c r="P1053" s="48">
        <f>HEX2DEC(RIGHT(Table13232127535868[[#This Row],[h1]],8))</f>
        <v>0</v>
      </c>
      <c r="Q1053" s="48" t="s">
        <v>75</v>
      </c>
      <c r="R1053" s="48">
        <f>HEX2DEC(RIGHT(Table13232127535868[[#This Row],[h2]],8))</f>
        <v>0</v>
      </c>
    </row>
    <row r="1054" spans="1:18">
      <c r="A1054" s="15" t="str">
        <f t="shared" si="21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8" t="s">
        <v>75</v>
      </c>
      <c r="P1054" s="48">
        <f>HEX2DEC(RIGHT(Table13232127535868[[#This Row],[h1]],8))</f>
        <v>0</v>
      </c>
      <c r="Q1054" s="48" t="s">
        <v>75</v>
      </c>
      <c r="R1054" s="48">
        <f>HEX2DEC(RIGHT(Table13232127535868[[#This Row],[h2]],8))</f>
        <v>0</v>
      </c>
    </row>
    <row r="1055" spans="1:18">
      <c r="A1055" s="15" t="str">
        <f t="shared" si="21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8" t="s">
        <v>75</v>
      </c>
      <c r="P1055" s="48">
        <f>HEX2DEC(RIGHT(Table13232127535868[[#This Row],[h1]],8))</f>
        <v>0</v>
      </c>
      <c r="Q1055" s="48" t="s">
        <v>75</v>
      </c>
      <c r="R1055" s="48">
        <f>HEX2DEC(RIGHT(Table13232127535868[[#This Row],[h2]],8))</f>
        <v>0</v>
      </c>
    </row>
    <row r="1056" spans="1:18">
      <c r="A1056" s="15" t="str">
        <f t="shared" si="21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8" t="s">
        <v>75</v>
      </c>
      <c r="P1056" s="48">
        <f>HEX2DEC(RIGHT(Table13232127535868[[#This Row],[h1]],8))</f>
        <v>0</v>
      </c>
      <c r="Q1056" s="48" t="s">
        <v>75</v>
      </c>
      <c r="R1056" s="48">
        <f>HEX2DEC(RIGHT(Table13232127535868[[#This Row],[h2]],8))</f>
        <v>0</v>
      </c>
    </row>
    <row r="1057" spans="1:18">
      <c r="A1057" s="15" t="str">
        <f t="shared" si="21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8" t="s">
        <v>75</v>
      </c>
      <c r="P1057" s="48">
        <f>HEX2DEC(RIGHT(Table13232127535868[[#This Row],[h1]],8))</f>
        <v>0</v>
      </c>
      <c r="Q1057" s="48" t="s">
        <v>75</v>
      </c>
      <c r="R1057" s="48">
        <f>HEX2DEC(RIGHT(Table13232127535868[[#This Row],[h2]],8))</f>
        <v>0</v>
      </c>
    </row>
    <row r="1058" spans="1:18">
      <c r="A1058" s="15" t="str">
        <f t="shared" si="21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8" t="s">
        <v>75</v>
      </c>
      <c r="P1058" s="48">
        <f>HEX2DEC(RIGHT(Table13232127535868[[#This Row],[h1]],8))</f>
        <v>0</v>
      </c>
      <c r="Q1058" s="48" t="s">
        <v>75</v>
      </c>
      <c r="R1058" s="48">
        <f>HEX2DEC(RIGHT(Table13232127535868[[#This Row],[h2]],8))</f>
        <v>0</v>
      </c>
    </row>
    <row r="1059" spans="1:18">
      <c r="A1059" s="15" t="str">
        <f t="shared" si="21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8" t="s">
        <v>75</v>
      </c>
      <c r="P1059" s="48">
        <f>HEX2DEC(RIGHT(Table13232127535868[[#This Row],[h1]],8))</f>
        <v>0</v>
      </c>
      <c r="Q1059" s="48" t="s">
        <v>75</v>
      </c>
      <c r="R1059" s="48">
        <f>HEX2DEC(RIGHT(Table13232127535868[[#This Row],[h2]],8))</f>
        <v>0</v>
      </c>
    </row>
    <row r="1060" spans="1:18">
      <c r="A1060" s="15" t="str">
        <f t="shared" si="21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8" t="s">
        <v>75</v>
      </c>
      <c r="P1060" s="48">
        <f>HEX2DEC(RIGHT(Table13232127535868[[#This Row],[h1]],8))</f>
        <v>0</v>
      </c>
      <c r="Q1060" s="48" t="s">
        <v>75</v>
      </c>
      <c r="R1060" s="48">
        <f>HEX2DEC(RIGHT(Table13232127535868[[#This Row],[h2]],8))</f>
        <v>0</v>
      </c>
    </row>
    <row r="1061" spans="1:18">
      <c r="A1061" s="15" t="str">
        <f t="shared" si="21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8" t="s">
        <v>75</v>
      </c>
      <c r="P1061" s="48">
        <f>HEX2DEC(RIGHT(Table13232127535868[[#This Row],[h1]],8))</f>
        <v>0</v>
      </c>
      <c r="Q1061" s="48" t="s">
        <v>75</v>
      </c>
      <c r="R1061" s="48">
        <f>HEX2DEC(RIGHT(Table13232127535868[[#This Row],[h2]],8))</f>
        <v>0</v>
      </c>
    </row>
    <row r="1062" spans="1:18">
      <c r="A1062" s="15" t="str">
        <f t="shared" si="21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8" t="s">
        <v>75</v>
      </c>
      <c r="P1062" s="48">
        <f>HEX2DEC(RIGHT(Table13232127535868[[#This Row],[h1]],8))</f>
        <v>0</v>
      </c>
      <c r="Q1062" s="48" t="s">
        <v>75</v>
      </c>
      <c r="R1062" s="48">
        <f>HEX2DEC(RIGHT(Table13232127535868[[#This Row],[h2]],8))</f>
        <v>0</v>
      </c>
    </row>
    <row r="1063" spans="1:18">
      <c r="A1063" s="15" t="str">
        <f t="shared" si="21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8" t="s">
        <v>75</v>
      </c>
      <c r="P1063" s="48">
        <f>HEX2DEC(RIGHT(Table13232127535868[[#This Row],[h1]],8))</f>
        <v>0</v>
      </c>
      <c r="Q1063" s="48" t="s">
        <v>75</v>
      </c>
      <c r="R1063" s="48">
        <f>HEX2DEC(RIGHT(Table13232127535868[[#This Row],[h2]],8))</f>
        <v>0</v>
      </c>
    </row>
    <row r="1064" spans="1:18">
      <c r="A1064" s="15" t="str">
        <f t="shared" si="21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8" t="s">
        <v>75</v>
      </c>
      <c r="P1064" s="48">
        <f>HEX2DEC(RIGHT(Table13232127535868[[#This Row],[h1]],8))</f>
        <v>0</v>
      </c>
      <c r="Q1064" s="48" t="s">
        <v>75</v>
      </c>
      <c r="R1064" s="48">
        <f>HEX2DEC(RIGHT(Table13232127535868[[#This Row],[h2]],8))</f>
        <v>0</v>
      </c>
    </row>
    <row r="1065" spans="1:18">
      <c r="A1065" s="15" t="str">
        <f t="shared" si="21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8" t="s">
        <v>75</v>
      </c>
      <c r="P1065" s="48">
        <f>HEX2DEC(RIGHT(Table13232127535868[[#This Row],[h1]],8))</f>
        <v>0</v>
      </c>
      <c r="Q1065" s="48" t="s">
        <v>75</v>
      </c>
      <c r="R1065" s="48">
        <f>HEX2DEC(RIGHT(Table13232127535868[[#This Row],[h2]],8))</f>
        <v>0</v>
      </c>
    </row>
    <row r="1066" spans="1:18">
      <c r="A1066" s="15" t="str">
        <f t="shared" si="21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8" t="s">
        <v>75</v>
      </c>
      <c r="P1066" s="48">
        <f>HEX2DEC(RIGHT(Table13232127535868[[#This Row],[h1]],8))</f>
        <v>0</v>
      </c>
      <c r="Q1066" s="48" t="s">
        <v>75</v>
      </c>
      <c r="R1066" s="48">
        <f>HEX2DEC(RIGHT(Table13232127535868[[#This Row],[h2]],8))</f>
        <v>0</v>
      </c>
    </row>
    <row r="1067" spans="1:18">
      <c r="A1067" s="15" t="str">
        <f t="shared" si="21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8" t="s">
        <v>75</v>
      </c>
      <c r="P1067" s="48">
        <f>HEX2DEC(RIGHT(Table13232127535868[[#This Row],[h1]],8))</f>
        <v>0</v>
      </c>
      <c r="Q1067" s="48" t="s">
        <v>75</v>
      </c>
      <c r="R1067" s="48">
        <f>HEX2DEC(RIGHT(Table13232127535868[[#This Row],[h2]],8))</f>
        <v>0</v>
      </c>
    </row>
    <row r="1068" spans="1:18">
      <c r="A1068" s="15" t="str">
        <f t="shared" si="21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8" t="s">
        <v>75</v>
      </c>
      <c r="P1068" s="48">
        <f>HEX2DEC(RIGHT(Table13232127535868[[#This Row],[h1]],8))</f>
        <v>0</v>
      </c>
      <c r="Q1068" s="48" t="s">
        <v>75</v>
      </c>
      <c r="R1068" s="48">
        <f>HEX2DEC(RIGHT(Table13232127535868[[#This Row],[h2]],8))</f>
        <v>0</v>
      </c>
    </row>
    <row r="1069" spans="1:18">
      <c r="A1069" s="15" t="str">
        <f t="shared" si="21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8" t="s">
        <v>75</v>
      </c>
      <c r="P1069" s="48">
        <f>HEX2DEC(RIGHT(Table13232127535868[[#This Row],[h1]],8))</f>
        <v>0</v>
      </c>
      <c r="Q1069" s="48" t="s">
        <v>75</v>
      </c>
      <c r="R1069" s="48">
        <f>HEX2DEC(RIGHT(Table13232127535868[[#This Row],[h2]],8))</f>
        <v>0</v>
      </c>
    </row>
    <row r="1070" spans="1:18">
      <c r="A1070" s="15" t="str">
        <f t="shared" si="21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8" t="s">
        <v>75</v>
      </c>
      <c r="P1070" s="48">
        <f>HEX2DEC(RIGHT(Table13232127535868[[#This Row],[h1]],8))</f>
        <v>0</v>
      </c>
      <c r="Q1070" s="48" t="s">
        <v>75</v>
      </c>
      <c r="R1070" s="48">
        <f>HEX2DEC(RIGHT(Table13232127535868[[#This Row],[h2]],8))</f>
        <v>0</v>
      </c>
    </row>
    <row r="1071" spans="1:18">
      <c r="A1071" s="15" t="str">
        <f t="shared" si="21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8" t="s">
        <v>75</v>
      </c>
      <c r="P1071" s="48">
        <f>HEX2DEC(RIGHT(Table13232127535868[[#This Row],[h1]],8))</f>
        <v>0</v>
      </c>
      <c r="Q1071" s="48" t="s">
        <v>75</v>
      </c>
      <c r="R1071" s="48">
        <f>HEX2DEC(RIGHT(Table13232127535868[[#This Row],[h2]],8))</f>
        <v>0</v>
      </c>
    </row>
    <row r="1072" spans="1:18">
      <c r="A1072" s="15" t="str">
        <f t="shared" si="21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8" t="s">
        <v>75</v>
      </c>
      <c r="P1072" s="48">
        <f>HEX2DEC(RIGHT(Table13232127535868[[#This Row],[h1]],8))</f>
        <v>0</v>
      </c>
      <c r="Q1072" s="48" t="s">
        <v>75</v>
      </c>
      <c r="R1072" s="48">
        <f>HEX2DEC(RIGHT(Table13232127535868[[#This Row],[h2]],8))</f>
        <v>0</v>
      </c>
    </row>
    <row r="1073" spans="1:18">
      <c r="A1073" s="15" t="str">
        <f t="shared" si="21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8" t="s">
        <v>75</v>
      </c>
      <c r="P1073" s="48">
        <f>HEX2DEC(RIGHT(Table13232127535868[[#This Row],[h1]],8))</f>
        <v>0</v>
      </c>
      <c r="Q1073" s="48" t="s">
        <v>75</v>
      </c>
      <c r="R1073" s="48">
        <f>HEX2DEC(RIGHT(Table13232127535868[[#This Row],[h2]],8))</f>
        <v>0</v>
      </c>
    </row>
    <row r="1074" spans="1:18">
      <c r="A1074" s="15" t="str">
        <f t="shared" si="21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8" t="s">
        <v>75</v>
      </c>
      <c r="P1074" s="48">
        <f>HEX2DEC(RIGHT(Table13232127535868[[#This Row],[h1]],8))</f>
        <v>0</v>
      </c>
      <c r="Q1074" s="48" t="s">
        <v>75</v>
      </c>
      <c r="R1074" s="48">
        <f>HEX2DEC(RIGHT(Table13232127535868[[#This Row],[h2]],8))</f>
        <v>0</v>
      </c>
    </row>
    <row r="1075" spans="1:18">
      <c r="A1075" s="15" t="str">
        <f t="shared" si="21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8" t="s">
        <v>75</v>
      </c>
      <c r="P1075" s="48">
        <f>HEX2DEC(RIGHT(Table13232127535868[[#This Row],[h1]],8))</f>
        <v>0</v>
      </c>
      <c r="Q1075" s="48" t="s">
        <v>75</v>
      </c>
      <c r="R1075" s="48">
        <f>HEX2DEC(RIGHT(Table13232127535868[[#This Row],[h2]],8))</f>
        <v>0</v>
      </c>
    </row>
    <row r="1076" spans="1:18">
      <c r="A1076" s="15" t="str">
        <f t="shared" si="21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8" t="s">
        <v>75</v>
      </c>
      <c r="P1076" s="48">
        <f>HEX2DEC(RIGHT(Table13232127535868[[#This Row],[h1]],8))</f>
        <v>0</v>
      </c>
      <c r="Q1076" s="48" t="s">
        <v>75</v>
      </c>
      <c r="R1076" s="48">
        <f>HEX2DEC(RIGHT(Table13232127535868[[#This Row],[h2]],8))</f>
        <v>0</v>
      </c>
    </row>
    <row r="1077" spans="1:18">
      <c r="A1077" s="15" t="str">
        <f t="shared" si="21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8" t="s">
        <v>75</v>
      </c>
      <c r="P1077" s="48">
        <f>HEX2DEC(RIGHT(Table13232127535868[[#This Row],[h1]],8))</f>
        <v>0</v>
      </c>
      <c r="Q1077" s="48" t="s">
        <v>75</v>
      </c>
      <c r="R1077" s="48">
        <f>HEX2DEC(RIGHT(Table13232127535868[[#This Row],[h2]],8))</f>
        <v>0</v>
      </c>
    </row>
    <row r="1078" spans="1:18">
      <c r="A1078" s="15" t="str">
        <f t="shared" si="21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8" t="s">
        <v>75</v>
      </c>
      <c r="P1078" s="48">
        <f>HEX2DEC(RIGHT(Table13232127535868[[#This Row],[h1]],8))</f>
        <v>0</v>
      </c>
      <c r="Q1078" s="48" t="s">
        <v>75</v>
      </c>
      <c r="R1078" s="48">
        <f>HEX2DEC(RIGHT(Table13232127535868[[#This Row],[h2]],8))</f>
        <v>0</v>
      </c>
    </row>
    <row r="1079" spans="1:18">
      <c r="A1079" s="15" t="str">
        <f t="shared" si="21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8" t="s">
        <v>75</v>
      </c>
      <c r="P1079" s="48">
        <f>HEX2DEC(RIGHT(Table13232127535868[[#This Row],[h1]],8))</f>
        <v>0</v>
      </c>
      <c r="Q1079" s="48" t="s">
        <v>75</v>
      </c>
      <c r="R1079" s="48">
        <f>HEX2DEC(RIGHT(Table13232127535868[[#This Row],[h2]],8))</f>
        <v>0</v>
      </c>
    </row>
    <row r="1080" spans="1:18">
      <c r="A1080" s="15" t="str">
        <f t="shared" si="21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8" t="s">
        <v>75</v>
      </c>
      <c r="P1080" s="48">
        <f>HEX2DEC(RIGHT(Table13232127535868[[#This Row],[h1]],8))</f>
        <v>0</v>
      </c>
      <c r="Q1080" s="48" t="s">
        <v>75</v>
      </c>
      <c r="R1080" s="48">
        <f>HEX2DEC(RIGHT(Table13232127535868[[#This Row],[h2]],8))</f>
        <v>0</v>
      </c>
    </row>
    <row r="1081" spans="1:18">
      <c r="A1081" s="15" t="str">
        <f t="shared" si="21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8" t="s">
        <v>75</v>
      </c>
      <c r="P1081" s="48">
        <f>HEX2DEC(RIGHT(Table13232127535868[[#This Row],[h1]],8))</f>
        <v>0</v>
      </c>
      <c r="Q1081" s="48" t="s">
        <v>75</v>
      </c>
      <c r="R1081" s="48">
        <f>HEX2DEC(RIGHT(Table13232127535868[[#This Row],[h2]],8))</f>
        <v>0</v>
      </c>
    </row>
    <row r="1082" spans="1:18">
      <c r="A1082" s="15" t="str">
        <f t="shared" si="21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8" t="s">
        <v>75</v>
      </c>
      <c r="P1082" s="48">
        <f>HEX2DEC(RIGHT(Table13232127535868[[#This Row],[h1]],8))</f>
        <v>0</v>
      </c>
      <c r="Q1082" s="48" t="s">
        <v>75</v>
      </c>
      <c r="R1082" s="48">
        <f>HEX2DEC(RIGHT(Table13232127535868[[#This Row],[h2]],8))</f>
        <v>0</v>
      </c>
    </row>
    <row r="1083" spans="1:18">
      <c r="A1083" s="15" t="str">
        <f t="shared" si="21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8" t="s">
        <v>75</v>
      </c>
      <c r="P1083" s="48">
        <f>HEX2DEC(RIGHT(Table13232127535868[[#This Row],[h1]],8))</f>
        <v>0</v>
      </c>
      <c r="Q1083" s="48" t="s">
        <v>75</v>
      </c>
      <c r="R1083" s="48">
        <f>HEX2DEC(RIGHT(Table13232127535868[[#This Row],[h2]],8))</f>
        <v>0</v>
      </c>
    </row>
    <row r="1084" spans="1:18">
      <c r="A1084" s="15" t="str">
        <f t="shared" si="21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8" t="s">
        <v>75</v>
      </c>
      <c r="P1084" s="48">
        <f>HEX2DEC(RIGHT(Table13232127535868[[#This Row],[h1]],8))</f>
        <v>0</v>
      </c>
      <c r="Q1084" s="48" t="s">
        <v>75</v>
      </c>
      <c r="R1084" s="48">
        <f>HEX2DEC(RIGHT(Table13232127535868[[#This Row],[h2]],8))</f>
        <v>0</v>
      </c>
    </row>
    <row r="1085" spans="1:18">
      <c r="A1085" s="15" t="str">
        <f t="shared" si="21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8" t="s">
        <v>75</v>
      </c>
      <c r="P1085" s="48">
        <f>HEX2DEC(RIGHT(Table13232127535868[[#This Row],[h1]],8))</f>
        <v>0</v>
      </c>
      <c r="Q1085" s="48" t="s">
        <v>75</v>
      </c>
      <c r="R1085" s="48">
        <f>HEX2DEC(RIGHT(Table13232127535868[[#This Row],[h2]],8))</f>
        <v>0</v>
      </c>
    </row>
    <row r="1086" spans="1:18">
      <c r="A1086" s="15" t="str">
        <f t="shared" si="21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8" t="s">
        <v>75</v>
      </c>
      <c r="P1086" s="48">
        <f>HEX2DEC(RIGHT(Table13232127535868[[#This Row],[h1]],8))</f>
        <v>0</v>
      </c>
      <c r="Q1086" s="48" t="s">
        <v>75</v>
      </c>
      <c r="R1086" s="48">
        <f>HEX2DEC(RIGHT(Table13232127535868[[#This Row],[h2]],8))</f>
        <v>0</v>
      </c>
    </row>
    <row r="1087" spans="1:18">
      <c r="A1087" s="15" t="str">
        <f t="shared" si="21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8" t="s">
        <v>75</v>
      </c>
      <c r="P1087" s="48">
        <f>HEX2DEC(RIGHT(Table13232127535868[[#This Row],[h1]],8))</f>
        <v>0</v>
      </c>
      <c r="Q1087" s="48" t="s">
        <v>75</v>
      </c>
      <c r="R1087" s="48">
        <f>HEX2DEC(RIGHT(Table13232127535868[[#This Row],[h2]],8))</f>
        <v>0</v>
      </c>
    </row>
    <row r="1088" spans="1:18">
      <c r="A1088" s="15" t="str">
        <f t="shared" si="21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8" t="s">
        <v>75</v>
      </c>
      <c r="P1088" s="48">
        <f>HEX2DEC(RIGHT(Table13232127535868[[#This Row],[h1]],8))</f>
        <v>0</v>
      </c>
      <c r="Q1088" s="48" t="s">
        <v>75</v>
      </c>
      <c r="R1088" s="48">
        <f>HEX2DEC(RIGHT(Table13232127535868[[#This Row],[h2]],8))</f>
        <v>0</v>
      </c>
    </row>
    <row r="1089" spans="1:18">
      <c r="A1089" s="15" t="str">
        <f t="shared" si="21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8" t="s">
        <v>75</v>
      </c>
      <c r="P1089" s="48">
        <f>HEX2DEC(RIGHT(Table13232127535868[[#This Row],[h1]],8))</f>
        <v>0</v>
      </c>
      <c r="Q1089" s="48" t="s">
        <v>75</v>
      </c>
      <c r="R1089" s="48">
        <f>HEX2DEC(RIGHT(Table13232127535868[[#This Row],[h2]],8))</f>
        <v>0</v>
      </c>
    </row>
    <row r="1090" spans="1:18">
      <c r="A1090" s="15" t="str">
        <f t="shared" si="21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8" t="s">
        <v>75</v>
      </c>
      <c r="P1090" s="48">
        <f>HEX2DEC(RIGHT(Table13232127535868[[#This Row],[h1]],8))</f>
        <v>0</v>
      </c>
      <c r="Q1090" s="48" t="s">
        <v>75</v>
      </c>
      <c r="R1090" s="48">
        <f>HEX2DEC(RIGHT(Table13232127535868[[#This Row],[h2]],8))</f>
        <v>0</v>
      </c>
    </row>
    <row r="1091" spans="1:18">
      <c r="A1091" s="15" t="str">
        <f t="shared" si="21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8" t="s">
        <v>75</v>
      </c>
      <c r="P1091" s="48">
        <f>HEX2DEC(RIGHT(Table13232127535868[[#This Row],[h1]],8))</f>
        <v>0</v>
      </c>
      <c r="Q1091" s="48" t="s">
        <v>75</v>
      </c>
      <c r="R1091" s="48">
        <f>HEX2DEC(RIGHT(Table13232127535868[[#This Row],[h2]],8))</f>
        <v>0</v>
      </c>
    </row>
    <row r="1092" spans="1:18">
      <c r="A1092" s="15" t="str">
        <f t="shared" si="21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8" t="s">
        <v>75</v>
      </c>
      <c r="P1092" s="48">
        <f>HEX2DEC(RIGHT(Table13232127535868[[#This Row],[h1]],8))</f>
        <v>0</v>
      </c>
      <c r="Q1092" s="48" t="s">
        <v>75</v>
      </c>
      <c r="R1092" s="48">
        <f>HEX2DEC(RIGHT(Table13232127535868[[#This Row],[h2]],8))</f>
        <v>0</v>
      </c>
    </row>
    <row r="1093" spans="1:18">
      <c r="A1093" s="15" t="str">
        <f t="shared" si="21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8" t="s">
        <v>75</v>
      </c>
      <c r="P1093" s="48">
        <f>HEX2DEC(RIGHT(Table13232127535868[[#This Row],[h1]],8))</f>
        <v>0</v>
      </c>
      <c r="Q1093" s="48" t="s">
        <v>75</v>
      </c>
      <c r="R1093" s="48">
        <f>HEX2DEC(RIGHT(Table13232127535868[[#This Row],[h2]],8))</f>
        <v>0</v>
      </c>
    </row>
    <row r="1094" spans="1:18">
      <c r="A1094" s="15" t="str">
        <f t="shared" si="21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8" t="s">
        <v>75</v>
      </c>
      <c r="P1094" s="48">
        <f>HEX2DEC(RIGHT(Table13232127535868[[#This Row],[h1]],8))</f>
        <v>0</v>
      </c>
      <c r="Q1094" s="48" t="s">
        <v>75</v>
      </c>
      <c r="R1094" s="48">
        <f>HEX2DEC(RIGHT(Table13232127535868[[#This Row],[h2]],8))</f>
        <v>0</v>
      </c>
    </row>
    <row r="1095" spans="1:18">
      <c r="A1095" s="15" t="str">
        <f t="shared" si="21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8" t="s">
        <v>75</v>
      </c>
      <c r="P1095" s="48">
        <f>HEX2DEC(RIGHT(Table13232127535868[[#This Row],[h1]],8))</f>
        <v>0</v>
      </c>
      <c r="Q1095" s="48" t="s">
        <v>75</v>
      </c>
      <c r="R1095" s="48">
        <f>HEX2DEC(RIGHT(Table13232127535868[[#This Row],[h2]],8))</f>
        <v>0</v>
      </c>
    </row>
    <row r="1096" spans="1:18">
      <c r="A1096" s="15" t="str">
        <f t="shared" si="21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8" t="s">
        <v>75</v>
      </c>
      <c r="P1096" s="48">
        <f>HEX2DEC(RIGHT(Table13232127535868[[#This Row],[h1]],8))</f>
        <v>0</v>
      </c>
      <c r="Q1096" s="48" t="s">
        <v>75</v>
      </c>
      <c r="R1096" s="48">
        <f>HEX2DEC(RIGHT(Table13232127535868[[#This Row],[h2]],8))</f>
        <v>0</v>
      </c>
    </row>
    <row r="1097" spans="1:18">
      <c r="A1097" s="15" t="str">
        <f t="shared" si="21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8" t="s">
        <v>75</v>
      </c>
      <c r="P1097" s="48">
        <f>HEX2DEC(RIGHT(Table13232127535868[[#This Row],[h1]],8))</f>
        <v>0</v>
      </c>
      <c r="Q1097" s="48" t="s">
        <v>75</v>
      </c>
      <c r="R1097" s="48">
        <f>HEX2DEC(RIGHT(Table13232127535868[[#This Row],[h2]],8))</f>
        <v>0</v>
      </c>
    </row>
    <row r="1098" spans="1:18">
      <c r="A1098" s="15" t="str">
        <f t="shared" si="21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8" t="s">
        <v>75</v>
      </c>
      <c r="P1098" s="48">
        <f>HEX2DEC(RIGHT(Table13232127535868[[#This Row],[h1]],8))</f>
        <v>0</v>
      </c>
      <c r="Q1098" s="48" t="s">
        <v>75</v>
      </c>
      <c r="R1098" s="48">
        <f>HEX2DEC(RIGHT(Table13232127535868[[#This Row],[h2]],8))</f>
        <v>0</v>
      </c>
    </row>
    <row r="1099" spans="1:18">
      <c r="A1099" s="15" t="str">
        <f t="shared" ref="A1099:A1162" si="22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8" t="s">
        <v>75</v>
      </c>
      <c r="P1099" s="48">
        <f>HEX2DEC(RIGHT(Table13232127535868[[#This Row],[h1]],8))</f>
        <v>0</v>
      </c>
      <c r="Q1099" s="48" t="s">
        <v>75</v>
      </c>
      <c r="R1099" s="48">
        <f>HEX2DEC(RIGHT(Table13232127535868[[#This Row],[h2]],8))</f>
        <v>0</v>
      </c>
    </row>
    <row r="1100" spans="1:18">
      <c r="A1100" s="15" t="str">
        <f t="shared" si="22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8" t="s">
        <v>75</v>
      </c>
      <c r="P1100" s="48">
        <f>HEX2DEC(RIGHT(Table13232127535868[[#This Row],[h1]],8))</f>
        <v>0</v>
      </c>
      <c r="Q1100" s="48" t="s">
        <v>75</v>
      </c>
      <c r="R1100" s="48">
        <f>HEX2DEC(RIGHT(Table13232127535868[[#This Row],[h2]],8))</f>
        <v>0</v>
      </c>
    </row>
    <row r="1101" spans="1:18">
      <c r="A1101" s="15" t="str">
        <f t="shared" si="22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8" t="s">
        <v>75</v>
      </c>
      <c r="P1101" s="48">
        <f>HEX2DEC(RIGHT(Table13232127535868[[#This Row],[h1]],8))</f>
        <v>0</v>
      </c>
      <c r="Q1101" s="48" t="s">
        <v>75</v>
      </c>
      <c r="R1101" s="48">
        <f>HEX2DEC(RIGHT(Table13232127535868[[#This Row],[h2]],8))</f>
        <v>0</v>
      </c>
    </row>
    <row r="1102" spans="1:18">
      <c r="A1102" s="15" t="str">
        <f t="shared" si="22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8" t="s">
        <v>75</v>
      </c>
      <c r="P1102" s="48">
        <f>HEX2DEC(RIGHT(Table13232127535868[[#This Row],[h1]],8))</f>
        <v>0</v>
      </c>
      <c r="Q1102" s="48" t="s">
        <v>75</v>
      </c>
      <c r="R1102" s="48">
        <f>HEX2DEC(RIGHT(Table13232127535868[[#This Row],[h2]],8))</f>
        <v>0</v>
      </c>
    </row>
    <row r="1103" spans="1:18">
      <c r="A1103" s="15" t="str">
        <f t="shared" si="22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8" t="s">
        <v>75</v>
      </c>
      <c r="P1103" s="48">
        <f>HEX2DEC(RIGHT(Table13232127535868[[#This Row],[h1]],8))</f>
        <v>0</v>
      </c>
      <c r="Q1103" s="48" t="s">
        <v>75</v>
      </c>
      <c r="R1103" s="48">
        <f>HEX2DEC(RIGHT(Table13232127535868[[#This Row],[h2]],8))</f>
        <v>0</v>
      </c>
    </row>
    <row r="1104" spans="1:18">
      <c r="A1104" s="15" t="str">
        <f t="shared" si="22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8" t="s">
        <v>75</v>
      </c>
      <c r="P1104" s="48">
        <f>HEX2DEC(RIGHT(Table13232127535868[[#This Row],[h1]],8))</f>
        <v>0</v>
      </c>
      <c r="Q1104" s="48" t="s">
        <v>75</v>
      </c>
      <c r="R1104" s="48">
        <f>HEX2DEC(RIGHT(Table13232127535868[[#This Row],[h2]],8))</f>
        <v>0</v>
      </c>
    </row>
    <row r="1105" spans="1:18">
      <c r="A1105" s="15" t="str">
        <f t="shared" si="22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8" t="s">
        <v>75</v>
      </c>
      <c r="P1105" s="48">
        <f>HEX2DEC(RIGHT(Table13232127535868[[#This Row],[h1]],8))</f>
        <v>0</v>
      </c>
      <c r="Q1105" s="48" t="s">
        <v>75</v>
      </c>
      <c r="R1105" s="48">
        <f>HEX2DEC(RIGHT(Table13232127535868[[#This Row],[h2]],8))</f>
        <v>0</v>
      </c>
    </row>
    <row r="1106" spans="1:18">
      <c r="A1106" s="15" t="str">
        <f t="shared" si="22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8" t="s">
        <v>75</v>
      </c>
      <c r="P1106" s="48">
        <f>HEX2DEC(RIGHT(Table13232127535868[[#This Row],[h1]],8))</f>
        <v>0</v>
      </c>
      <c r="Q1106" s="48" t="s">
        <v>75</v>
      </c>
      <c r="R1106" s="48">
        <f>HEX2DEC(RIGHT(Table13232127535868[[#This Row],[h2]],8))</f>
        <v>0</v>
      </c>
    </row>
    <row r="1107" spans="1:18">
      <c r="A1107" s="15" t="str">
        <f t="shared" si="22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8" t="s">
        <v>75</v>
      </c>
      <c r="P1107" s="48">
        <f>HEX2DEC(RIGHT(Table13232127535868[[#This Row],[h1]],8))</f>
        <v>0</v>
      </c>
      <c r="Q1107" s="48" t="s">
        <v>75</v>
      </c>
      <c r="R1107" s="48">
        <f>HEX2DEC(RIGHT(Table13232127535868[[#This Row],[h2]],8))</f>
        <v>0</v>
      </c>
    </row>
    <row r="1108" spans="1:18">
      <c r="A1108" s="15" t="str">
        <f t="shared" si="22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8" t="s">
        <v>75</v>
      </c>
      <c r="P1108" s="48">
        <f>HEX2DEC(RIGHT(Table13232127535868[[#This Row],[h1]],8))</f>
        <v>0</v>
      </c>
      <c r="Q1108" s="48" t="s">
        <v>75</v>
      </c>
      <c r="R1108" s="48">
        <f>HEX2DEC(RIGHT(Table13232127535868[[#This Row],[h2]],8))</f>
        <v>0</v>
      </c>
    </row>
    <row r="1109" spans="1:18">
      <c r="A1109" s="15" t="str">
        <f t="shared" si="22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8" t="s">
        <v>75</v>
      </c>
      <c r="P1109" s="48">
        <f>HEX2DEC(RIGHT(Table13232127535868[[#This Row],[h1]],8))</f>
        <v>0</v>
      </c>
      <c r="Q1109" s="48" t="s">
        <v>75</v>
      </c>
      <c r="R1109" s="48">
        <f>HEX2DEC(RIGHT(Table13232127535868[[#This Row],[h2]],8))</f>
        <v>0</v>
      </c>
    </row>
    <row r="1110" spans="1:18">
      <c r="A1110" s="15" t="str">
        <f t="shared" si="22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8" t="s">
        <v>75</v>
      </c>
      <c r="P1110" s="48">
        <f>HEX2DEC(RIGHT(Table13232127535868[[#This Row],[h1]],8))</f>
        <v>0</v>
      </c>
      <c r="Q1110" s="48" t="s">
        <v>75</v>
      </c>
      <c r="R1110" s="48">
        <f>HEX2DEC(RIGHT(Table13232127535868[[#This Row],[h2]],8))</f>
        <v>0</v>
      </c>
    </row>
    <row r="1111" spans="1:18">
      <c r="A1111" s="15" t="str">
        <f t="shared" si="22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8" t="s">
        <v>75</v>
      </c>
      <c r="P1111" s="48">
        <f>HEX2DEC(RIGHT(Table13232127535868[[#This Row],[h1]],8))</f>
        <v>0</v>
      </c>
      <c r="Q1111" s="48" t="s">
        <v>75</v>
      </c>
      <c r="R1111" s="48">
        <f>HEX2DEC(RIGHT(Table13232127535868[[#This Row],[h2]],8))</f>
        <v>0</v>
      </c>
    </row>
    <row r="1112" spans="1:18">
      <c r="A1112" s="15" t="str">
        <f t="shared" si="22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8" t="s">
        <v>75</v>
      </c>
      <c r="P1112" s="48">
        <f>HEX2DEC(RIGHT(Table13232127535868[[#This Row],[h1]],8))</f>
        <v>0</v>
      </c>
      <c r="Q1112" s="48" t="s">
        <v>75</v>
      </c>
      <c r="R1112" s="48">
        <f>HEX2DEC(RIGHT(Table13232127535868[[#This Row],[h2]],8))</f>
        <v>0</v>
      </c>
    </row>
    <row r="1113" spans="1:18">
      <c r="A1113" s="15" t="str">
        <f t="shared" si="22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8" t="s">
        <v>75</v>
      </c>
      <c r="P1113" s="48">
        <f>HEX2DEC(RIGHT(Table13232127535868[[#This Row],[h1]],8))</f>
        <v>0</v>
      </c>
      <c r="Q1113" s="48" t="s">
        <v>75</v>
      </c>
      <c r="R1113" s="48">
        <f>HEX2DEC(RIGHT(Table13232127535868[[#This Row],[h2]],8))</f>
        <v>0</v>
      </c>
    </row>
    <row r="1114" spans="1:18">
      <c r="A1114" s="15" t="str">
        <f t="shared" si="22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8" t="s">
        <v>75</v>
      </c>
      <c r="P1114" s="48">
        <f>HEX2DEC(RIGHT(Table13232127535868[[#This Row],[h1]],8))</f>
        <v>0</v>
      </c>
      <c r="Q1114" s="48" t="s">
        <v>75</v>
      </c>
      <c r="R1114" s="48">
        <f>HEX2DEC(RIGHT(Table13232127535868[[#This Row],[h2]],8))</f>
        <v>0</v>
      </c>
    </row>
    <row r="1115" spans="1:18">
      <c r="A1115" s="15" t="str">
        <f t="shared" si="22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8" t="s">
        <v>75</v>
      </c>
      <c r="P1115" s="48">
        <f>HEX2DEC(RIGHT(Table13232127535868[[#This Row],[h1]],8))</f>
        <v>0</v>
      </c>
      <c r="Q1115" s="48" t="s">
        <v>75</v>
      </c>
      <c r="R1115" s="48">
        <f>HEX2DEC(RIGHT(Table13232127535868[[#This Row],[h2]],8))</f>
        <v>0</v>
      </c>
    </row>
    <row r="1116" spans="1:18">
      <c r="A1116" s="15" t="str">
        <f t="shared" si="22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8" t="s">
        <v>75</v>
      </c>
      <c r="P1116" s="48">
        <f>HEX2DEC(RIGHT(Table13232127535868[[#This Row],[h1]],8))</f>
        <v>0</v>
      </c>
      <c r="Q1116" s="48" t="s">
        <v>75</v>
      </c>
      <c r="R1116" s="48">
        <f>HEX2DEC(RIGHT(Table13232127535868[[#This Row],[h2]],8))</f>
        <v>0</v>
      </c>
    </row>
    <row r="1117" spans="1:18">
      <c r="A1117" s="15" t="str">
        <f t="shared" si="22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8" t="s">
        <v>75</v>
      </c>
      <c r="P1117" s="48">
        <f>HEX2DEC(RIGHT(Table13232127535868[[#This Row],[h1]],8))</f>
        <v>0</v>
      </c>
      <c r="Q1117" s="48" t="s">
        <v>75</v>
      </c>
      <c r="R1117" s="48">
        <f>HEX2DEC(RIGHT(Table13232127535868[[#This Row],[h2]],8))</f>
        <v>0</v>
      </c>
    </row>
    <row r="1118" spans="1:18">
      <c r="A1118" s="15" t="str">
        <f t="shared" si="22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8" t="s">
        <v>75</v>
      </c>
      <c r="P1118" s="48">
        <f>HEX2DEC(RIGHT(Table13232127535868[[#This Row],[h1]],8))</f>
        <v>0</v>
      </c>
      <c r="Q1118" s="48" t="s">
        <v>75</v>
      </c>
      <c r="R1118" s="48">
        <f>HEX2DEC(RIGHT(Table13232127535868[[#This Row],[h2]],8))</f>
        <v>0</v>
      </c>
    </row>
    <row r="1119" spans="1:18">
      <c r="A1119" s="15" t="str">
        <f t="shared" si="22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8" t="s">
        <v>75</v>
      </c>
      <c r="P1119" s="48">
        <f>HEX2DEC(RIGHT(Table13232127535868[[#This Row],[h1]],8))</f>
        <v>0</v>
      </c>
      <c r="Q1119" s="48" t="s">
        <v>75</v>
      </c>
      <c r="R1119" s="48">
        <f>HEX2DEC(RIGHT(Table13232127535868[[#This Row],[h2]],8))</f>
        <v>0</v>
      </c>
    </row>
    <row r="1120" spans="1:18">
      <c r="A1120" s="15" t="str">
        <f t="shared" si="22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8" t="s">
        <v>75</v>
      </c>
      <c r="P1120" s="48">
        <f>HEX2DEC(RIGHT(Table13232127535868[[#This Row],[h1]],8))</f>
        <v>0</v>
      </c>
      <c r="Q1120" s="48" t="s">
        <v>75</v>
      </c>
      <c r="R1120" s="48">
        <f>HEX2DEC(RIGHT(Table13232127535868[[#This Row],[h2]],8))</f>
        <v>0</v>
      </c>
    </row>
    <row r="1121" spans="1:18">
      <c r="A1121" s="15" t="str">
        <f t="shared" si="22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8" t="s">
        <v>75</v>
      </c>
      <c r="P1121" s="48">
        <f>HEX2DEC(RIGHT(Table13232127535868[[#This Row],[h1]],8))</f>
        <v>0</v>
      </c>
      <c r="Q1121" s="48" t="s">
        <v>75</v>
      </c>
      <c r="R1121" s="48">
        <f>HEX2DEC(RIGHT(Table13232127535868[[#This Row],[h2]],8))</f>
        <v>0</v>
      </c>
    </row>
    <row r="1122" spans="1:18">
      <c r="A1122" s="15" t="str">
        <f t="shared" si="22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8" t="s">
        <v>75</v>
      </c>
      <c r="P1122" s="48">
        <f>HEX2DEC(RIGHT(Table13232127535868[[#This Row],[h1]],8))</f>
        <v>0</v>
      </c>
      <c r="Q1122" s="48" t="s">
        <v>75</v>
      </c>
      <c r="R1122" s="48">
        <f>HEX2DEC(RIGHT(Table13232127535868[[#This Row],[h2]],8))</f>
        <v>0</v>
      </c>
    </row>
    <row r="1123" spans="1:18">
      <c r="A1123" s="15" t="str">
        <f t="shared" si="22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8" t="s">
        <v>75</v>
      </c>
      <c r="P1123" s="48">
        <f>HEX2DEC(RIGHT(Table13232127535868[[#This Row],[h1]],8))</f>
        <v>0</v>
      </c>
      <c r="Q1123" s="48" t="s">
        <v>75</v>
      </c>
      <c r="R1123" s="48">
        <f>HEX2DEC(RIGHT(Table13232127535868[[#This Row],[h2]],8))</f>
        <v>0</v>
      </c>
    </row>
    <row r="1124" spans="1:18">
      <c r="A1124" s="15" t="str">
        <f t="shared" si="22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8" t="s">
        <v>75</v>
      </c>
      <c r="P1124" s="48">
        <f>HEX2DEC(RIGHT(Table13232127535868[[#This Row],[h1]],8))</f>
        <v>0</v>
      </c>
      <c r="Q1124" s="48" t="s">
        <v>75</v>
      </c>
      <c r="R1124" s="48">
        <f>HEX2DEC(RIGHT(Table13232127535868[[#This Row],[h2]],8))</f>
        <v>0</v>
      </c>
    </row>
    <row r="1125" spans="1:18">
      <c r="A1125" s="15" t="str">
        <f t="shared" si="22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8" t="s">
        <v>75</v>
      </c>
      <c r="P1125" s="48">
        <f>HEX2DEC(RIGHT(Table13232127535868[[#This Row],[h1]],8))</f>
        <v>0</v>
      </c>
      <c r="Q1125" s="48" t="s">
        <v>75</v>
      </c>
      <c r="R1125" s="48">
        <f>HEX2DEC(RIGHT(Table13232127535868[[#This Row],[h2]],8))</f>
        <v>0</v>
      </c>
    </row>
    <row r="1126" spans="1:18">
      <c r="A1126" s="15" t="str">
        <f t="shared" si="22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8" t="s">
        <v>75</v>
      </c>
      <c r="P1126" s="48">
        <f>HEX2DEC(RIGHT(Table13232127535868[[#This Row],[h1]],8))</f>
        <v>0</v>
      </c>
      <c r="Q1126" s="48" t="s">
        <v>75</v>
      </c>
      <c r="R1126" s="48">
        <f>HEX2DEC(RIGHT(Table13232127535868[[#This Row],[h2]],8))</f>
        <v>0</v>
      </c>
    </row>
    <row r="1127" spans="1:18">
      <c r="A1127" s="15" t="str">
        <f t="shared" si="22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8" t="s">
        <v>75</v>
      </c>
      <c r="P1127" s="48">
        <f>HEX2DEC(RIGHT(Table13232127535868[[#This Row],[h1]],8))</f>
        <v>0</v>
      </c>
      <c r="Q1127" s="48" t="s">
        <v>75</v>
      </c>
      <c r="R1127" s="48">
        <f>HEX2DEC(RIGHT(Table13232127535868[[#This Row],[h2]],8))</f>
        <v>0</v>
      </c>
    </row>
    <row r="1128" spans="1:18">
      <c r="A1128" s="15" t="str">
        <f t="shared" si="22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8" t="s">
        <v>75</v>
      </c>
      <c r="P1128" s="48">
        <f>HEX2DEC(RIGHT(Table13232127535868[[#This Row],[h1]],8))</f>
        <v>0</v>
      </c>
      <c r="Q1128" s="48" t="s">
        <v>75</v>
      </c>
      <c r="R1128" s="48">
        <f>HEX2DEC(RIGHT(Table13232127535868[[#This Row],[h2]],8))</f>
        <v>0</v>
      </c>
    </row>
    <row r="1129" spans="1:18">
      <c r="A1129" s="15" t="str">
        <f t="shared" si="22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8" t="s">
        <v>75</v>
      </c>
      <c r="P1129" s="48">
        <f>HEX2DEC(RIGHT(Table13232127535868[[#This Row],[h1]],8))</f>
        <v>0</v>
      </c>
      <c r="Q1129" s="48" t="s">
        <v>75</v>
      </c>
      <c r="R1129" s="48">
        <f>HEX2DEC(RIGHT(Table13232127535868[[#This Row],[h2]],8))</f>
        <v>0</v>
      </c>
    </row>
    <row r="1130" spans="1:18">
      <c r="A1130" s="15" t="str">
        <f t="shared" si="22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8" t="s">
        <v>75</v>
      </c>
      <c r="P1130" s="48">
        <f>HEX2DEC(RIGHT(Table13232127535868[[#This Row],[h1]],8))</f>
        <v>0</v>
      </c>
      <c r="Q1130" s="48" t="s">
        <v>75</v>
      </c>
      <c r="R1130" s="48">
        <f>HEX2DEC(RIGHT(Table13232127535868[[#This Row],[h2]],8))</f>
        <v>0</v>
      </c>
    </row>
    <row r="1131" spans="1:18">
      <c r="A1131" s="15" t="str">
        <f t="shared" si="22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8" t="s">
        <v>75</v>
      </c>
      <c r="P1131" s="48">
        <f>HEX2DEC(RIGHT(Table13232127535868[[#This Row],[h1]],8))</f>
        <v>0</v>
      </c>
      <c r="Q1131" s="48" t="s">
        <v>75</v>
      </c>
      <c r="R1131" s="48">
        <f>HEX2DEC(RIGHT(Table13232127535868[[#This Row],[h2]],8))</f>
        <v>0</v>
      </c>
    </row>
    <row r="1132" spans="1:18">
      <c r="A1132" s="15" t="str">
        <f t="shared" si="22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8" t="s">
        <v>75</v>
      </c>
      <c r="P1132" s="48">
        <f>HEX2DEC(RIGHT(Table13232127535868[[#This Row],[h1]],8))</f>
        <v>0</v>
      </c>
      <c r="Q1132" s="48" t="s">
        <v>75</v>
      </c>
      <c r="R1132" s="48">
        <f>HEX2DEC(RIGHT(Table13232127535868[[#This Row],[h2]],8))</f>
        <v>0</v>
      </c>
    </row>
    <row r="1133" spans="1:18">
      <c r="A1133" s="15" t="str">
        <f t="shared" si="22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8" t="s">
        <v>75</v>
      </c>
      <c r="P1133" s="48">
        <f>HEX2DEC(RIGHT(Table13232127535868[[#This Row],[h1]],8))</f>
        <v>0</v>
      </c>
      <c r="Q1133" s="48" t="s">
        <v>75</v>
      </c>
      <c r="R1133" s="48">
        <f>HEX2DEC(RIGHT(Table13232127535868[[#This Row],[h2]],8))</f>
        <v>0</v>
      </c>
    </row>
    <row r="1134" spans="1:18">
      <c r="A1134" s="15" t="str">
        <f t="shared" si="22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8" t="s">
        <v>75</v>
      </c>
      <c r="P1134" s="48">
        <f>HEX2DEC(RIGHT(Table13232127535868[[#This Row],[h1]],8))</f>
        <v>0</v>
      </c>
      <c r="Q1134" s="48" t="s">
        <v>75</v>
      </c>
      <c r="R1134" s="48">
        <f>HEX2DEC(RIGHT(Table13232127535868[[#This Row],[h2]],8))</f>
        <v>0</v>
      </c>
    </row>
    <row r="1135" spans="1:18">
      <c r="A1135" s="15" t="str">
        <f t="shared" si="22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8" t="s">
        <v>75</v>
      </c>
      <c r="P1135" s="48">
        <f>HEX2DEC(RIGHT(Table13232127535868[[#This Row],[h1]],8))</f>
        <v>0</v>
      </c>
      <c r="Q1135" s="48" t="s">
        <v>75</v>
      </c>
      <c r="R1135" s="48">
        <f>HEX2DEC(RIGHT(Table13232127535868[[#This Row],[h2]],8))</f>
        <v>0</v>
      </c>
    </row>
    <row r="1136" spans="1:18">
      <c r="A1136" s="15" t="str">
        <f t="shared" si="22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8" t="s">
        <v>75</v>
      </c>
      <c r="P1136" s="48">
        <f>HEX2DEC(RIGHT(Table13232127535868[[#This Row],[h1]],8))</f>
        <v>0</v>
      </c>
      <c r="Q1136" s="48" t="s">
        <v>75</v>
      </c>
      <c r="R1136" s="48">
        <f>HEX2DEC(RIGHT(Table13232127535868[[#This Row],[h2]],8))</f>
        <v>0</v>
      </c>
    </row>
    <row r="1137" spans="1:18">
      <c r="A1137" s="15" t="str">
        <f t="shared" si="22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8" t="s">
        <v>75</v>
      </c>
      <c r="P1137" s="48">
        <f>HEX2DEC(RIGHT(Table13232127535868[[#This Row],[h1]],8))</f>
        <v>0</v>
      </c>
      <c r="Q1137" s="48" t="s">
        <v>75</v>
      </c>
      <c r="R1137" s="48">
        <f>HEX2DEC(RIGHT(Table13232127535868[[#This Row],[h2]],8))</f>
        <v>0</v>
      </c>
    </row>
    <row r="1138" spans="1:18">
      <c r="A1138" s="15" t="str">
        <f t="shared" si="22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8" t="s">
        <v>75</v>
      </c>
      <c r="P1138" s="48">
        <f>HEX2DEC(RIGHT(Table13232127535868[[#This Row],[h1]],8))</f>
        <v>0</v>
      </c>
      <c r="Q1138" s="48" t="s">
        <v>75</v>
      </c>
      <c r="R1138" s="48">
        <f>HEX2DEC(RIGHT(Table13232127535868[[#This Row],[h2]],8))</f>
        <v>0</v>
      </c>
    </row>
    <row r="1139" spans="1:18">
      <c r="A1139" s="15" t="str">
        <f t="shared" si="22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8" t="s">
        <v>75</v>
      </c>
      <c r="P1139" s="48">
        <f>HEX2DEC(RIGHT(Table13232127535868[[#This Row],[h1]],8))</f>
        <v>0</v>
      </c>
      <c r="Q1139" s="48" t="s">
        <v>75</v>
      </c>
      <c r="R1139" s="48">
        <f>HEX2DEC(RIGHT(Table13232127535868[[#This Row],[h2]],8))</f>
        <v>0</v>
      </c>
    </row>
    <row r="1140" spans="1:18">
      <c r="A1140" s="15" t="str">
        <f t="shared" si="22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8" t="s">
        <v>75</v>
      </c>
      <c r="P1140" s="48">
        <f>HEX2DEC(RIGHT(Table13232127535868[[#This Row],[h1]],8))</f>
        <v>0</v>
      </c>
      <c r="Q1140" s="48" t="s">
        <v>75</v>
      </c>
      <c r="R1140" s="48">
        <f>HEX2DEC(RIGHT(Table13232127535868[[#This Row],[h2]],8))</f>
        <v>0</v>
      </c>
    </row>
    <row r="1141" spans="1:18">
      <c r="A1141" s="15" t="str">
        <f t="shared" si="22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8" t="s">
        <v>75</v>
      </c>
      <c r="P1141" s="48">
        <f>HEX2DEC(RIGHT(Table13232127535868[[#This Row],[h1]],8))</f>
        <v>0</v>
      </c>
      <c r="Q1141" s="48" t="s">
        <v>75</v>
      </c>
      <c r="R1141" s="48">
        <f>HEX2DEC(RIGHT(Table13232127535868[[#This Row],[h2]],8))</f>
        <v>0</v>
      </c>
    </row>
    <row r="1142" spans="1:18">
      <c r="A1142" s="15" t="str">
        <f t="shared" si="22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8" t="s">
        <v>75</v>
      </c>
      <c r="P1142" s="48">
        <f>HEX2DEC(RIGHT(Table13232127535868[[#This Row],[h1]],8))</f>
        <v>0</v>
      </c>
      <c r="Q1142" s="48" t="s">
        <v>75</v>
      </c>
      <c r="R1142" s="48">
        <f>HEX2DEC(RIGHT(Table13232127535868[[#This Row],[h2]],8))</f>
        <v>0</v>
      </c>
    </row>
    <row r="1143" spans="1:18">
      <c r="A1143" s="15" t="str">
        <f t="shared" si="22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8" t="s">
        <v>75</v>
      </c>
      <c r="P1143" s="48">
        <f>HEX2DEC(RIGHT(Table13232127535868[[#This Row],[h1]],8))</f>
        <v>0</v>
      </c>
      <c r="Q1143" s="48" t="s">
        <v>75</v>
      </c>
      <c r="R1143" s="48">
        <f>HEX2DEC(RIGHT(Table13232127535868[[#This Row],[h2]],8))</f>
        <v>0</v>
      </c>
    </row>
    <row r="1144" spans="1:18">
      <c r="A1144" s="15" t="str">
        <f t="shared" si="22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8" t="s">
        <v>75</v>
      </c>
      <c r="P1144" s="48">
        <f>HEX2DEC(RIGHT(Table13232127535868[[#This Row],[h1]],8))</f>
        <v>0</v>
      </c>
      <c r="Q1144" s="48" t="s">
        <v>75</v>
      </c>
      <c r="R1144" s="48">
        <f>HEX2DEC(RIGHT(Table13232127535868[[#This Row],[h2]],8))</f>
        <v>0</v>
      </c>
    </row>
    <row r="1145" spans="1:18">
      <c r="A1145" s="15" t="str">
        <f t="shared" si="22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8" t="s">
        <v>75</v>
      </c>
      <c r="P1145" s="48">
        <f>HEX2DEC(RIGHT(Table13232127535868[[#This Row],[h1]],8))</f>
        <v>0</v>
      </c>
      <c r="Q1145" s="48" t="s">
        <v>75</v>
      </c>
      <c r="R1145" s="48">
        <f>HEX2DEC(RIGHT(Table13232127535868[[#This Row],[h2]],8))</f>
        <v>0</v>
      </c>
    </row>
    <row r="1146" spans="1:18">
      <c r="A1146" s="15" t="str">
        <f t="shared" si="22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8" t="s">
        <v>75</v>
      </c>
      <c r="P1146" s="48">
        <f>HEX2DEC(RIGHT(Table13232127535868[[#This Row],[h1]],8))</f>
        <v>0</v>
      </c>
      <c r="Q1146" s="48" t="s">
        <v>75</v>
      </c>
      <c r="R1146" s="48">
        <f>HEX2DEC(RIGHT(Table13232127535868[[#This Row],[h2]],8))</f>
        <v>0</v>
      </c>
    </row>
    <row r="1147" spans="1:18">
      <c r="A1147" s="15" t="str">
        <f t="shared" si="22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8" t="s">
        <v>75</v>
      </c>
      <c r="P1147" s="48">
        <f>HEX2DEC(RIGHT(Table13232127535868[[#This Row],[h1]],8))</f>
        <v>0</v>
      </c>
      <c r="Q1147" s="48" t="s">
        <v>75</v>
      </c>
      <c r="R1147" s="48">
        <f>HEX2DEC(RIGHT(Table13232127535868[[#This Row],[h2]],8))</f>
        <v>0</v>
      </c>
    </row>
    <row r="1148" spans="1:18">
      <c r="A1148" s="15" t="str">
        <f t="shared" si="22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8" t="s">
        <v>75</v>
      </c>
      <c r="P1148" s="48">
        <f>HEX2DEC(RIGHT(Table13232127535868[[#This Row],[h1]],8))</f>
        <v>0</v>
      </c>
      <c r="Q1148" s="48" t="s">
        <v>75</v>
      </c>
      <c r="R1148" s="48">
        <f>HEX2DEC(RIGHT(Table13232127535868[[#This Row],[h2]],8))</f>
        <v>0</v>
      </c>
    </row>
    <row r="1149" spans="1:18">
      <c r="A1149" s="15" t="str">
        <f t="shared" si="22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8" t="s">
        <v>75</v>
      </c>
      <c r="P1149" s="48">
        <f>HEX2DEC(RIGHT(Table13232127535868[[#This Row],[h1]],8))</f>
        <v>0</v>
      </c>
      <c r="Q1149" s="48" t="s">
        <v>75</v>
      </c>
      <c r="R1149" s="48">
        <f>HEX2DEC(RIGHT(Table13232127535868[[#This Row],[h2]],8))</f>
        <v>0</v>
      </c>
    </row>
    <row r="1150" spans="1:18">
      <c r="A1150" s="15" t="str">
        <f t="shared" si="22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8" t="s">
        <v>75</v>
      </c>
      <c r="P1150" s="48">
        <f>HEX2DEC(RIGHT(Table13232127535868[[#This Row],[h1]],8))</f>
        <v>0</v>
      </c>
      <c r="Q1150" s="48" t="s">
        <v>75</v>
      </c>
      <c r="R1150" s="48">
        <f>HEX2DEC(RIGHT(Table13232127535868[[#This Row],[h2]],8))</f>
        <v>0</v>
      </c>
    </row>
    <row r="1151" spans="1:18">
      <c r="A1151" s="15" t="str">
        <f t="shared" si="22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8" t="s">
        <v>75</v>
      </c>
      <c r="P1151" s="48">
        <f>HEX2DEC(RIGHT(Table13232127535868[[#This Row],[h1]],8))</f>
        <v>0</v>
      </c>
      <c r="Q1151" s="48" t="s">
        <v>75</v>
      </c>
      <c r="R1151" s="48">
        <f>HEX2DEC(RIGHT(Table13232127535868[[#This Row],[h2]],8))</f>
        <v>0</v>
      </c>
    </row>
    <row r="1152" spans="1:18">
      <c r="A1152" s="15" t="str">
        <f t="shared" si="22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8" t="s">
        <v>75</v>
      </c>
      <c r="P1152" s="48">
        <f>HEX2DEC(RIGHT(Table13232127535868[[#This Row],[h1]],8))</f>
        <v>0</v>
      </c>
      <c r="Q1152" s="48" t="s">
        <v>75</v>
      </c>
      <c r="R1152" s="48">
        <f>HEX2DEC(RIGHT(Table13232127535868[[#This Row],[h2]],8))</f>
        <v>0</v>
      </c>
    </row>
    <row r="1153" spans="1:18">
      <c r="A1153" s="15" t="str">
        <f t="shared" si="22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8" t="s">
        <v>75</v>
      </c>
      <c r="P1153" s="48">
        <f>HEX2DEC(RIGHT(Table13232127535868[[#This Row],[h1]],8))</f>
        <v>0</v>
      </c>
      <c r="Q1153" s="48" t="s">
        <v>75</v>
      </c>
      <c r="R1153" s="48">
        <f>HEX2DEC(RIGHT(Table13232127535868[[#This Row],[h2]],8))</f>
        <v>0</v>
      </c>
    </row>
    <row r="1154" spans="1:18">
      <c r="A1154" s="15" t="str">
        <f t="shared" si="22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8" t="s">
        <v>75</v>
      </c>
      <c r="P1154" s="48">
        <f>HEX2DEC(RIGHT(Table13232127535868[[#This Row],[h1]],8))</f>
        <v>0</v>
      </c>
      <c r="Q1154" s="48" t="s">
        <v>75</v>
      </c>
      <c r="R1154" s="48">
        <f>HEX2DEC(RIGHT(Table13232127535868[[#This Row],[h2]],8))</f>
        <v>0</v>
      </c>
    </row>
    <row r="1155" spans="1:18">
      <c r="A1155" s="15" t="str">
        <f t="shared" si="22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8" t="s">
        <v>75</v>
      </c>
      <c r="P1155" s="48">
        <f>HEX2DEC(RIGHT(Table13232127535868[[#This Row],[h1]],8))</f>
        <v>0</v>
      </c>
      <c r="Q1155" s="48" t="s">
        <v>75</v>
      </c>
      <c r="R1155" s="48">
        <f>HEX2DEC(RIGHT(Table13232127535868[[#This Row],[h2]],8))</f>
        <v>0</v>
      </c>
    </row>
    <row r="1156" spans="1:18">
      <c r="A1156" s="15" t="str">
        <f t="shared" si="22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8" t="s">
        <v>75</v>
      </c>
      <c r="P1156" s="48">
        <f>HEX2DEC(RIGHT(Table13232127535868[[#This Row],[h1]],8))</f>
        <v>0</v>
      </c>
      <c r="Q1156" s="48" t="s">
        <v>75</v>
      </c>
      <c r="R1156" s="48">
        <f>HEX2DEC(RIGHT(Table13232127535868[[#This Row],[h2]],8))</f>
        <v>0</v>
      </c>
    </row>
    <row r="1157" spans="1:18">
      <c r="A1157" s="15" t="str">
        <f t="shared" si="22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8" t="s">
        <v>75</v>
      </c>
      <c r="P1157" s="48">
        <f>HEX2DEC(RIGHT(Table13232127535868[[#This Row],[h1]],8))</f>
        <v>0</v>
      </c>
      <c r="Q1157" s="48" t="s">
        <v>75</v>
      </c>
      <c r="R1157" s="48">
        <f>HEX2DEC(RIGHT(Table13232127535868[[#This Row],[h2]],8))</f>
        <v>0</v>
      </c>
    </row>
    <row r="1158" spans="1:18">
      <c r="A1158" s="15" t="str">
        <f t="shared" si="22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8" t="s">
        <v>75</v>
      </c>
      <c r="P1158" s="48">
        <f>HEX2DEC(RIGHT(Table13232127535868[[#This Row],[h1]],8))</f>
        <v>0</v>
      </c>
      <c r="Q1158" s="48" t="s">
        <v>75</v>
      </c>
      <c r="R1158" s="48">
        <f>HEX2DEC(RIGHT(Table13232127535868[[#This Row],[h2]],8))</f>
        <v>0</v>
      </c>
    </row>
    <row r="1159" spans="1:18">
      <c r="A1159" s="15" t="str">
        <f t="shared" si="22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8" t="s">
        <v>75</v>
      </c>
      <c r="P1159" s="48">
        <f>HEX2DEC(RIGHT(Table13232127535868[[#This Row],[h1]],8))</f>
        <v>0</v>
      </c>
      <c r="Q1159" s="48" t="s">
        <v>75</v>
      </c>
      <c r="R1159" s="48">
        <f>HEX2DEC(RIGHT(Table13232127535868[[#This Row],[h2]],8))</f>
        <v>0</v>
      </c>
    </row>
    <row r="1160" spans="1:18">
      <c r="A1160" s="15" t="str">
        <f t="shared" si="22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8" t="s">
        <v>75</v>
      </c>
      <c r="P1160" s="48">
        <f>HEX2DEC(RIGHT(Table13232127535868[[#This Row],[h1]],8))</f>
        <v>0</v>
      </c>
      <c r="Q1160" s="48" t="s">
        <v>75</v>
      </c>
      <c r="R1160" s="48">
        <f>HEX2DEC(RIGHT(Table13232127535868[[#This Row],[h2]],8))</f>
        <v>0</v>
      </c>
    </row>
    <row r="1161" spans="1:18">
      <c r="A1161" s="15" t="str">
        <f t="shared" si="22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8" t="s">
        <v>75</v>
      </c>
      <c r="P1161" s="48">
        <f>HEX2DEC(RIGHT(Table13232127535868[[#This Row],[h1]],8))</f>
        <v>0</v>
      </c>
      <c r="Q1161" s="48" t="s">
        <v>75</v>
      </c>
      <c r="R1161" s="48">
        <f>HEX2DEC(RIGHT(Table13232127535868[[#This Row],[h2]],8))</f>
        <v>0</v>
      </c>
    </row>
    <row r="1162" spans="1:18">
      <c r="A1162" s="15" t="str">
        <f t="shared" si="22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8" t="s">
        <v>75</v>
      </c>
      <c r="P1162" s="48">
        <f>HEX2DEC(RIGHT(Table13232127535868[[#This Row],[h1]],8))</f>
        <v>0</v>
      </c>
      <c r="Q1162" s="48" t="s">
        <v>75</v>
      </c>
      <c r="R1162" s="48">
        <f>HEX2DEC(RIGHT(Table13232127535868[[#This Row],[h2]],8))</f>
        <v>0</v>
      </c>
    </row>
    <row r="1163" spans="1:18">
      <c r="A1163" s="15" t="str">
        <f t="shared" ref="A1163:A1226" si="23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8" t="s">
        <v>75</v>
      </c>
      <c r="P1163" s="48">
        <f>HEX2DEC(RIGHT(Table13232127535868[[#This Row],[h1]],8))</f>
        <v>0</v>
      </c>
      <c r="Q1163" s="48" t="s">
        <v>75</v>
      </c>
      <c r="R1163" s="48">
        <f>HEX2DEC(RIGHT(Table13232127535868[[#This Row],[h2]],8))</f>
        <v>0</v>
      </c>
    </row>
    <row r="1164" spans="1:18">
      <c r="A1164" s="15" t="str">
        <f t="shared" si="23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8" t="s">
        <v>75</v>
      </c>
      <c r="P1164" s="48">
        <f>HEX2DEC(RIGHT(Table13232127535868[[#This Row],[h1]],8))</f>
        <v>0</v>
      </c>
      <c r="Q1164" s="48" t="s">
        <v>75</v>
      </c>
      <c r="R1164" s="48">
        <f>HEX2DEC(RIGHT(Table13232127535868[[#This Row],[h2]],8))</f>
        <v>0</v>
      </c>
    </row>
    <row r="1165" spans="1:18">
      <c r="A1165" s="15" t="str">
        <f t="shared" si="23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8" t="s">
        <v>75</v>
      </c>
      <c r="P1165" s="48">
        <f>HEX2DEC(RIGHT(Table13232127535868[[#This Row],[h1]],8))</f>
        <v>0</v>
      </c>
      <c r="Q1165" s="48" t="s">
        <v>75</v>
      </c>
      <c r="R1165" s="48">
        <f>HEX2DEC(RIGHT(Table13232127535868[[#This Row],[h2]],8))</f>
        <v>0</v>
      </c>
    </row>
    <row r="1166" spans="1:18">
      <c r="A1166" s="15" t="str">
        <f t="shared" si="23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8" t="s">
        <v>75</v>
      </c>
      <c r="P1166" s="48">
        <f>HEX2DEC(RIGHT(Table13232127535868[[#This Row],[h1]],8))</f>
        <v>0</v>
      </c>
      <c r="Q1166" s="48" t="s">
        <v>75</v>
      </c>
      <c r="R1166" s="48">
        <f>HEX2DEC(RIGHT(Table13232127535868[[#This Row],[h2]],8))</f>
        <v>0</v>
      </c>
    </row>
    <row r="1167" spans="1:18">
      <c r="A1167" s="15" t="str">
        <f t="shared" si="23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8" t="s">
        <v>75</v>
      </c>
      <c r="P1167" s="48">
        <f>HEX2DEC(RIGHT(Table13232127535868[[#This Row],[h1]],8))</f>
        <v>0</v>
      </c>
      <c r="Q1167" s="48" t="s">
        <v>75</v>
      </c>
      <c r="R1167" s="48">
        <f>HEX2DEC(RIGHT(Table13232127535868[[#This Row],[h2]],8))</f>
        <v>0</v>
      </c>
    </row>
    <row r="1168" spans="1:18">
      <c r="A1168" s="15" t="str">
        <f t="shared" si="23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8" t="s">
        <v>75</v>
      </c>
      <c r="P1168" s="48">
        <f>HEX2DEC(RIGHT(Table13232127535868[[#This Row],[h1]],8))</f>
        <v>0</v>
      </c>
      <c r="Q1168" s="48" t="s">
        <v>75</v>
      </c>
      <c r="R1168" s="48">
        <f>HEX2DEC(RIGHT(Table13232127535868[[#This Row],[h2]],8))</f>
        <v>0</v>
      </c>
    </row>
    <row r="1169" spans="1:18">
      <c r="A1169" s="15" t="str">
        <f t="shared" si="23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8" t="s">
        <v>75</v>
      </c>
      <c r="P1169" s="48">
        <f>HEX2DEC(RIGHT(Table13232127535868[[#This Row],[h1]],8))</f>
        <v>0</v>
      </c>
      <c r="Q1169" s="48" t="s">
        <v>75</v>
      </c>
      <c r="R1169" s="48">
        <f>HEX2DEC(RIGHT(Table13232127535868[[#This Row],[h2]],8))</f>
        <v>0</v>
      </c>
    </row>
    <row r="1170" spans="1:18">
      <c r="A1170" s="15" t="str">
        <f t="shared" si="23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8" t="s">
        <v>75</v>
      </c>
      <c r="P1170" s="48">
        <f>HEX2DEC(RIGHT(Table13232127535868[[#This Row],[h1]],8))</f>
        <v>0</v>
      </c>
      <c r="Q1170" s="48" t="s">
        <v>75</v>
      </c>
      <c r="R1170" s="48">
        <f>HEX2DEC(RIGHT(Table13232127535868[[#This Row],[h2]],8))</f>
        <v>0</v>
      </c>
    </row>
    <row r="1171" spans="1:18">
      <c r="A1171" s="15" t="str">
        <f t="shared" si="23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8" t="s">
        <v>75</v>
      </c>
      <c r="P1171" s="48">
        <f>HEX2DEC(RIGHT(Table13232127535868[[#This Row],[h1]],8))</f>
        <v>0</v>
      </c>
      <c r="Q1171" s="48" t="s">
        <v>75</v>
      </c>
      <c r="R1171" s="48">
        <f>HEX2DEC(RIGHT(Table13232127535868[[#This Row],[h2]],8))</f>
        <v>0</v>
      </c>
    </row>
    <row r="1172" spans="1:18">
      <c r="A1172" s="15" t="str">
        <f t="shared" si="23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8" t="s">
        <v>75</v>
      </c>
      <c r="P1172" s="48">
        <f>HEX2DEC(RIGHT(Table13232127535868[[#This Row],[h1]],8))</f>
        <v>0</v>
      </c>
      <c r="Q1172" s="48" t="s">
        <v>75</v>
      </c>
      <c r="R1172" s="48">
        <f>HEX2DEC(RIGHT(Table13232127535868[[#This Row],[h2]],8))</f>
        <v>0</v>
      </c>
    </row>
    <row r="1173" spans="1:18">
      <c r="A1173" s="15" t="str">
        <f t="shared" si="23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8" t="s">
        <v>75</v>
      </c>
      <c r="P1173" s="48">
        <f>HEX2DEC(RIGHT(Table13232127535868[[#This Row],[h1]],8))</f>
        <v>0</v>
      </c>
      <c r="Q1173" s="48" t="s">
        <v>75</v>
      </c>
      <c r="R1173" s="48">
        <f>HEX2DEC(RIGHT(Table13232127535868[[#This Row],[h2]],8))</f>
        <v>0</v>
      </c>
    </row>
    <row r="1174" spans="1:18">
      <c r="A1174" s="15" t="str">
        <f t="shared" si="23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8" t="s">
        <v>75</v>
      </c>
      <c r="P1174" s="48">
        <f>HEX2DEC(RIGHT(Table13232127535868[[#This Row],[h1]],8))</f>
        <v>0</v>
      </c>
      <c r="Q1174" s="48" t="s">
        <v>75</v>
      </c>
      <c r="R1174" s="48">
        <f>HEX2DEC(RIGHT(Table13232127535868[[#This Row],[h2]],8))</f>
        <v>0</v>
      </c>
    </row>
    <row r="1175" spans="1:18">
      <c r="A1175" s="15" t="str">
        <f t="shared" si="23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8" t="s">
        <v>75</v>
      </c>
      <c r="P1175" s="48">
        <f>HEX2DEC(RIGHT(Table13232127535868[[#This Row],[h1]],8))</f>
        <v>0</v>
      </c>
      <c r="Q1175" s="48" t="s">
        <v>75</v>
      </c>
      <c r="R1175" s="48">
        <f>HEX2DEC(RIGHT(Table13232127535868[[#This Row],[h2]],8))</f>
        <v>0</v>
      </c>
    </row>
    <row r="1176" spans="1:18">
      <c r="A1176" s="15" t="str">
        <f t="shared" si="23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8" t="s">
        <v>75</v>
      </c>
      <c r="P1176" s="48">
        <f>HEX2DEC(RIGHT(Table13232127535868[[#This Row],[h1]],8))</f>
        <v>0</v>
      </c>
      <c r="Q1176" s="48" t="s">
        <v>75</v>
      </c>
      <c r="R1176" s="48">
        <f>HEX2DEC(RIGHT(Table13232127535868[[#This Row],[h2]],8))</f>
        <v>0</v>
      </c>
    </row>
    <row r="1177" spans="1:18">
      <c r="A1177" s="15" t="str">
        <f t="shared" si="23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8" t="s">
        <v>75</v>
      </c>
      <c r="P1177" s="48">
        <f>HEX2DEC(RIGHT(Table13232127535868[[#This Row],[h1]],8))</f>
        <v>0</v>
      </c>
      <c r="Q1177" s="48" t="s">
        <v>75</v>
      </c>
      <c r="R1177" s="48">
        <f>HEX2DEC(RIGHT(Table13232127535868[[#This Row],[h2]],8))</f>
        <v>0</v>
      </c>
    </row>
    <row r="1178" spans="1:18">
      <c r="A1178" s="15" t="str">
        <f t="shared" si="23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8" t="s">
        <v>75</v>
      </c>
      <c r="P1178" s="48">
        <f>HEX2DEC(RIGHT(Table13232127535868[[#This Row],[h1]],8))</f>
        <v>0</v>
      </c>
      <c r="Q1178" s="48" t="s">
        <v>75</v>
      </c>
      <c r="R1178" s="48">
        <f>HEX2DEC(RIGHT(Table13232127535868[[#This Row],[h2]],8))</f>
        <v>0</v>
      </c>
    </row>
    <row r="1179" spans="1:18">
      <c r="A1179" s="15" t="str">
        <f t="shared" si="23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8" t="s">
        <v>75</v>
      </c>
      <c r="P1179" s="48">
        <f>HEX2DEC(RIGHT(Table13232127535868[[#This Row],[h1]],8))</f>
        <v>0</v>
      </c>
      <c r="Q1179" s="48" t="s">
        <v>75</v>
      </c>
      <c r="R1179" s="48">
        <f>HEX2DEC(RIGHT(Table13232127535868[[#This Row],[h2]],8))</f>
        <v>0</v>
      </c>
    </row>
    <row r="1180" spans="1:18">
      <c r="A1180" s="15" t="str">
        <f t="shared" si="23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8" t="s">
        <v>75</v>
      </c>
      <c r="P1180" s="48">
        <f>HEX2DEC(RIGHT(Table13232127535868[[#This Row],[h1]],8))</f>
        <v>0</v>
      </c>
      <c r="Q1180" s="48" t="s">
        <v>75</v>
      </c>
      <c r="R1180" s="48">
        <f>HEX2DEC(RIGHT(Table13232127535868[[#This Row],[h2]],8))</f>
        <v>0</v>
      </c>
    </row>
    <row r="1181" spans="1:18">
      <c r="A1181" s="15" t="str">
        <f t="shared" si="23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8" t="s">
        <v>75</v>
      </c>
      <c r="P1181" s="48">
        <f>HEX2DEC(RIGHT(Table13232127535868[[#This Row],[h1]],8))</f>
        <v>0</v>
      </c>
      <c r="Q1181" s="48" t="s">
        <v>75</v>
      </c>
      <c r="R1181" s="48">
        <f>HEX2DEC(RIGHT(Table13232127535868[[#This Row],[h2]],8))</f>
        <v>0</v>
      </c>
    </row>
    <row r="1182" spans="1:18">
      <c r="A1182" s="15" t="str">
        <f t="shared" si="23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8" t="s">
        <v>75</v>
      </c>
      <c r="P1182" s="48">
        <f>HEX2DEC(RIGHT(Table13232127535868[[#This Row],[h1]],8))</f>
        <v>0</v>
      </c>
      <c r="Q1182" s="48" t="s">
        <v>75</v>
      </c>
      <c r="R1182" s="48">
        <f>HEX2DEC(RIGHT(Table13232127535868[[#This Row],[h2]],8))</f>
        <v>0</v>
      </c>
    </row>
    <row r="1183" spans="1:18">
      <c r="A1183" s="15" t="str">
        <f t="shared" si="23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8" t="s">
        <v>75</v>
      </c>
      <c r="P1183" s="48">
        <f>HEX2DEC(RIGHT(Table13232127535868[[#This Row],[h1]],8))</f>
        <v>0</v>
      </c>
      <c r="Q1183" s="48" t="s">
        <v>75</v>
      </c>
      <c r="R1183" s="48">
        <f>HEX2DEC(RIGHT(Table13232127535868[[#This Row],[h2]],8))</f>
        <v>0</v>
      </c>
    </row>
    <row r="1184" spans="1:18">
      <c r="A1184" s="15" t="str">
        <f t="shared" si="23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8" t="s">
        <v>75</v>
      </c>
      <c r="P1184" s="48">
        <f>HEX2DEC(RIGHT(Table13232127535868[[#This Row],[h1]],8))</f>
        <v>0</v>
      </c>
      <c r="Q1184" s="48" t="s">
        <v>75</v>
      </c>
      <c r="R1184" s="48">
        <f>HEX2DEC(RIGHT(Table13232127535868[[#This Row],[h2]],8))</f>
        <v>0</v>
      </c>
    </row>
    <row r="1185" spans="1:18">
      <c r="A1185" s="15" t="str">
        <f t="shared" si="23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8" t="s">
        <v>75</v>
      </c>
      <c r="P1185" s="48">
        <f>HEX2DEC(RIGHT(Table13232127535868[[#This Row],[h1]],8))</f>
        <v>0</v>
      </c>
      <c r="Q1185" s="48" t="s">
        <v>75</v>
      </c>
      <c r="R1185" s="48">
        <f>HEX2DEC(RIGHT(Table13232127535868[[#This Row],[h2]],8))</f>
        <v>0</v>
      </c>
    </row>
    <row r="1186" spans="1:18">
      <c r="A1186" s="15" t="str">
        <f t="shared" si="23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8" t="s">
        <v>75</v>
      </c>
      <c r="P1186" s="48">
        <f>HEX2DEC(RIGHT(Table13232127535868[[#This Row],[h1]],8))</f>
        <v>0</v>
      </c>
      <c r="Q1186" s="48" t="s">
        <v>75</v>
      </c>
      <c r="R1186" s="48">
        <f>HEX2DEC(RIGHT(Table13232127535868[[#This Row],[h2]],8))</f>
        <v>0</v>
      </c>
    </row>
    <row r="1187" spans="1:18">
      <c r="A1187" s="15" t="str">
        <f t="shared" si="23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8" t="s">
        <v>75</v>
      </c>
      <c r="P1187" s="48">
        <f>HEX2DEC(RIGHT(Table13232127535868[[#This Row],[h1]],8))</f>
        <v>0</v>
      </c>
      <c r="Q1187" s="48" t="s">
        <v>75</v>
      </c>
      <c r="R1187" s="48">
        <f>HEX2DEC(RIGHT(Table13232127535868[[#This Row],[h2]],8))</f>
        <v>0</v>
      </c>
    </row>
    <row r="1188" spans="1:18">
      <c r="A1188" s="15" t="str">
        <f t="shared" si="23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8" t="s">
        <v>75</v>
      </c>
      <c r="P1188" s="48">
        <f>HEX2DEC(RIGHT(Table13232127535868[[#This Row],[h1]],8))</f>
        <v>0</v>
      </c>
      <c r="Q1188" s="48" t="s">
        <v>75</v>
      </c>
      <c r="R1188" s="48">
        <f>HEX2DEC(RIGHT(Table13232127535868[[#This Row],[h2]],8))</f>
        <v>0</v>
      </c>
    </row>
    <row r="1189" spans="1:18">
      <c r="A1189" s="15" t="str">
        <f t="shared" si="23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8" t="s">
        <v>75</v>
      </c>
      <c r="P1189" s="48">
        <f>HEX2DEC(RIGHT(Table13232127535868[[#This Row],[h1]],8))</f>
        <v>0</v>
      </c>
      <c r="Q1189" s="48" t="s">
        <v>75</v>
      </c>
      <c r="R1189" s="48">
        <f>HEX2DEC(RIGHT(Table13232127535868[[#This Row],[h2]],8))</f>
        <v>0</v>
      </c>
    </row>
    <row r="1190" spans="1:18">
      <c r="A1190" s="15" t="str">
        <f t="shared" si="23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8" t="s">
        <v>75</v>
      </c>
      <c r="P1190" s="48">
        <f>HEX2DEC(RIGHT(Table13232127535868[[#This Row],[h1]],8))</f>
        <v>0</v>
      </c>
      <c r="Q1190" s="48" t="s">
        <v>75</v>
      </c>
      <c r="R1190" s="48">
        <f>HEX2DEC(RIGHT(Table13232127535868[[#This Row],[h2]],8))</f>
        <v>0</v>
      </c>
    </row>
    <row r="1191" spans="1:18">
      <c r="A1191" s="15" t="str">
        <f t="shared" si="23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8" t="s">
        <v>75</v>
      </c>
      <c r="P1191" s="48">
        <f>HEX2DEC(RIGHT(Table13232127535868[[#This Row],[h1]],8))</f>
        <v>0</v>
      </c>
      <c r="Q1191" s="48" t="s">
        <v>75</v>
      </c>
      <c r="R1191" s="48">
        <f>HEX2DEC(RIGHT(Table13232127535868[[#This Row],[h2]],8))</f>
        <v>0</v>
      </c>
    </row>
    <row r="1192" spans="1:18">
      <c r="A1192" s="15" t="str">
        <f t="shared" si="23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8" t="s">
        <v>75</v>
      </c>
      <c r="P1192" s="48">
        <f>HEX2DEC(RIGHT(Table13232127535868[[#This Row],[h1]],8))</f>
        <v>0</v>
      </c>
      <c r="Q1192" s="48" t="s">
        <v>75</v>
      </c>
      <c r="R1192" s="48">
        <f>HEX2DEC(RIGHT(Table13232127535868[[#This Row],[h2]],8))</f>
        <v>0</v>
      </c>
    </row>
    <row r="1193" spans="1:18">
      <c r="A1193" s="15" t="str">
        <f t="shared" si="23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8" t="s">
        <v>75</v>
      </c>
      <c r="P1193" s="48">
        <f>HEX2DEC(RIGHT(Table13232127535868[[#This Row],[h1]],8))</f>
        <v>0</v>
      </c>
      <c r="Q1193" s="48" t="s">
        <v>75</v>
      </c>
      <c r="R1193" s="48">
        <f>HEX2DEC(RIGHT(Table13232127535868[[#This Row],[h2]],8))</f>
        <v>0</v>
      </c>
    </row>
    <row r="1194" spans="1:18">
      <c r="A1194" s="15" t="str">
        <f t="shared" si="23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8" t="s">
        <v>75</v>
      </c>
      <c r="P1194" s="48">
        <f>HEX2DEC(RIGHT(Table13232127535868[[#This Row],[h1]],8))</f>
        <v>0</v>
      </c>
      <c r="Q1194" s="48" t="s">
        <v>75</v>
      </c>
      <c r="R1194" s="48">
        <f>HEX2DEC(RIGHT(Table13232127535868[[#This Row],[h2]],8))</f>
        <v>0</v>
      </c>
    </row>
    <row r="1195" spans="1:18">
      <c r="A1195" s="15" t="str">
        <f t="shared" si="23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8" t="s">
        <v>75</v>
      </c>
      <c r="P1195" s="48">
        <f>HEX2DEC(RIGHT(Table13232127535868[[#This Row],[h1]],8))</f>
        <v>0</v>
      </c>
      <c r="Q1195" s="48" t="s">
        <v>75</v>
      </c>
      <c r="R1195" s="48">
        <f>HEX2DEC(RIGHT(Table13232127535868[[#This Row],[h2]],8))</f>
        <v>0</v>
      </c>
    </row>
    <row r="1196" spans="1:18">
      <c r="A1196" s="15" t="str">
        <f t="shared" si="23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8" t="s">
        <v>75</v>
      </c>
      <c r="P1196" s="48">
        <f>HEX2DEC(RIGHT(Table13232127535868[[#This Row],[h1]],8))</f>
        <v>0</v>
      </c>
      <c r="Q1196" s="48" t="s">
        <v>75</v>
      </c>
      <c r="R1196" s="48">
        <f>HEX2DEC(RIGHT(Table13232127535868[[#This Row],[h2]],8))</f>
        <v>0</v>
      </c>
    </row>
    <row r="1197" spans="1:18">
      <c r="A1197" s="15" t="str">
        <f t="shared" si="23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8" t="s">
        <v>75</v>
      </c>
      <c r="P1197" s="48">
        <f>HEX2DEC(RIGHT(Table13232127535868[[#This Row],[h1]],8))</f>
        <v>0</v>
      </c>
      <c r="Q1197" s="48" t="s">
        <v>75</v>
      </c>
      <c r="R1197" s="48">
        <f>HEX2DEC(RIGHT(Table13232127535868[[#This Row],[h2]],8))</f>
        <v>0</v>
      </c>
    </row>
    <row r="1198" spans="1:18">
      <c r="A1198" s="15" t="str">
        <f t="shared" si="23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8" t="s">
        <v>75</v>
      </c>
      <c r="P1198" s="48">
        <f>HEX2DEC(RIGHT(Table13232127535868[[#This Row],[h1]],8))</f>
        <v>0</v>
      </c>
      <c r="Q1198" s="48" t="s">
        <v>75</v>
      </c>
      <c r="R1198" s="48">
        <f>HEX2DEC(RIGHT(Table13232127535868[[#This Row],[h2]],8))</f>
        <v>0</v>
      </c>
    </row>
    <row r="1199" spans="1:18">
      <c r="A1199" s="15" t="str">
        <f t="shared" si="23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8" t="s">
        <v>75</v>
      </c>
      <c r="P1199" s="48">
        <f>HEX2DEC(RIGHT(Table13232127535868[[#This Row],[h1]],8))</f>
        <v>0</v>
      </c>
      <c r="Q1199" s="48" t="s">
        <v>75</v>
      </c>
      <c r="R1199" s="48">
        <f>HEX2DEC(RIGHT(Table13232127535868[[#This Row],[h2]],8))</f>
        <v>0</v>
      </c>
    </row>
    <row r="1200" spans="1:18">
      <c r="A1200" s="15" t="str">
        <f t="shared" si="23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8" t="s">
        <v>75</v>
      </c>
      <c r="P1200" s="48">
        <f>HEX2DEC(RIGHT(Table13232127535868[[#This Row],[h1]],8))</f>
        <v>0</v>
      </c>
      <c r="Q1200" s="48" t="s">
        <v>75</v>
      </c>
      <c r="R1200" s="48">
        <f>HEX2DEC(RIGHT(Table13232127535868[[#This Row],[h2]],8))</f>
        <v>0</v>
      </c>
    </row>
    <row r="1201" spans="1:18">
      <c r="A1201" s="15" t="str">
        <f t="shared" si="23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8" t="s">
        <v>75</v>
      </c>
      <c r="P1201" s="48">
        <f>HEX2DEC(RIGHT(Table13232127535868[[#This Row],[h1]],8))</f>
        <v>0</v>
      </c>
      <c r="Q1201" s="48" t="s">
        <v>75</v>
      </c>
      <c r="R1201" s="48">
        <f>HEX2DEC(RIGHT(Table13232127535868[[#This Row],[h2]],8))</f>
        <v>0</v>
      </c>
    </row>
    <row r="1202" spans="1:18">
      <c r="A1202" s="15" t="str">
        <f t="shared" si="23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8" t="s">
        <v>75</v>
      </c>
      <c r="P1202" s="48">
        <f>HEX2DEC(RIGHT(Table13232127535868[[#This Row],[h1]],8))</f>
        <v>0</v>
      </c>
      <c r="Q1202" s="48" t="s">
        <v>75</v>
      </c>
      <c r="R1202" s="48">
        <f>HEX2DEC(RIGHT(Table13232127535868[[#This Row],[h2]],8))</f>
        <v>0</v>
      </c>
    </row>
    <row r="1203" spans="1:18">
      <c r="A1203" s="15" t="str">
        <f t="shared" si="23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8" t="s">
        <v>75</v>
      </c>
      <c r="P1203" s="48">
        <f>HEX2DEC(RIGHT(Table13232127535868[[#This Row],[h1]],8))</f>
        <v>0</v>
      </c>
      <c r="Q1203" s="48" t="s">
        <v>75</v>
      </c>
      <c r="R1203" s="48">
        <f>HEX2DEC(RIGHT(Table13232127535868[[#This Row],[h2]],8))</f>
        <v>0</v>
      </c>
    </row>
    <row r="1204" spans="1:18">
      <c r="A1204" s="15" t="str">
        <f t="shared" si="23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8" t="s">
        <v>75</v>
      </c>
      <c r="P1204" s="48">
        <f>HEX2DEC(RIGHT(Table13232127535868[[#This Row],[h1]],8))</f>
        <v>0</v>
      </c>
      <c r="Q1204" s="48" t="s">
        <v>75</v>
      </c>
      <c r="R1204" s="48">
        <f>HEX2DEC(RIGHT(Table13232127535868[[#This Row],[h2]],8))</f>
        <v>0</v>
      </c>
    </row>
    <row r="1205" spans="1:18">
      <c r="A1205" s="15" t="str">
        <f t="shared" si="23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8" t="s">
        <v>75</v>
      </c>
      <c r="P1205" s="48">
        <f>HEX2DEC(RIGHT(Table13232127535868[[#This Row],[h1]],8))</f>
        <v>0</v>
      </c>
      <c r="Q1205" s="48" t="s">
        <v>75</v>
      </c>
      <c r="R1205" s="48">
        <f>HEX2DEC(RIGHT(Table13232127535868[[#This Row],[h2]],8))</f>
        <v>0</v>
      </c>
    </row>
    <row r="1206" spans="1:18">
      <c r="A1206" s="15" t="str">
        <f t="shared" si="23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8" t="s">
        <v>75</v>
      </c>
      <c r="P1206" s="48">
        <f>HEX2DEC(RIGHT(Table13232127535868[[#This Row],[h1]],8))</f>
        <v>0</v>
      </c>
      <c r="Q1206" s="48" t="s">
        <v>75</v>
      </c>
      <c r="R1206" s="48">
        <f>HEX2DEC(RIGHT(Table13232127535868[[#This Row],[h2]],8))</f>
        <v>0</v>
      </c>
    </row>
    <row r="1207" spans="1:18">
      <c r="A1207" s="15" t="str">
        <f t="shared" si="23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8" t="s">
        <v>75</v>
      </c>
      <c r="P1207" s="48">
        <f>HEX2DEC(RIGHT(Table13232127535868[[#This Row],[h1]],8))</f>
        <v>0</v>
      </c>
      <c r="Q1207" s="48" t="s">
        <v>75</v>
      </c>
      <c r="R1207" s="48">
        <f>HEX2DEC(RIGHT(Table13232127535868[[#This Row],[h2]],8))</f>
        <v>0</v>
      </c>
    </row>
    <row r="1208" spans="1:18">
      <c r="A1208" s="15" t="str">
        <f t="shared" si="23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8" t="s">
        <v>75</v>
      </c>
      <c r="P1208" s="48">
        <f>HEX2DEC(RIGHT(Table13232127535868[[#This Row],[h1]],8))</f>
        <v>0</v>
      </c>
      <c r="Q1208" s="48" t="s">
        <v>75</v>
      </c>
      <c r="R1208" s="48">
        <f>HEX2DEC(RIGHT(Table13232127535868[[#This Row],[h2]],8))</f>
        <v>0</v>
      </c>
    </row>
    <row r="1209" spans="1:18">
      <c r="A1209" s="15" t="str">
        <f t="shared" si="23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8" t="s">
        <v>75</v>
      </c>
      <c r="P1209" s="48">
        <f>HEX2DEC(RIGHT(Table13232127535868[[#This Row],[h1]],8))</f>
        <v>0</v>
      </c>
      <c r="Q1209" s="48" t="s">
        <v>75</v>
      </c>
      <c r="R1209" s="48">
        <f>HEX2DEC(RIGHT(Table13232127535868[[#This Row],[h2]],8))</f>
        <v>0</v>
      </c>
    </row>
    <row r="1210" spans="1:18">
      <c r="A1210" s="15" t="str">
        <f t="shared" si="23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8" t="s">
        <v>75</v>
      </c>
      <c r="P1210" s="48">
        <f>HEX2DEC(RIGHT(Table13232127535868[[#This Row],[h1]],8))</f>
        <v>0</v>
      </c>
      <c r="Q1210" s="48" t="s">
        <v>75</v>
      </c>
      <c r="R1210" s="48">
        <f>HEX2DEC(RIGHT(Table13232127535868[[#This Row],[h2]],8))</f>
        <v>0</v>
      </c>
    </row>
    <row r="1211" spans="1:18">
      <c r="A1211" s="15" t="str">
        <f t="shared" si="23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8" t="s">
        <v>75</v>
      </c>
      <c r="P1211" s="48">
        <f>HEX2DEC(RIGHT(Table13232127535868[[#This Row],[h1]],8))</f>
        <v>0</v>
      </c>
      <c r="Q1211" s="48" t="s">
        <v>75</v>
      </c>
      <c r="R1211" s="48">
        <f>HEX2DEC(RIGHT(Table13232127535868[[#This Row],[h2]],8))</f>
        <v>0</v>
      </c>
    </row>
    <row r="1212" spans="1:18">
      <c r="A1212" s="15" t="str">
        <f t="shared" si="23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8" t="s">
        <v>75</v>
      </c>
      <c r="P1212" s="48">
        <f>HEX2DEC(RIGHT(Table13232127535868[[#This Row],[h1]],8))</f>
        <v>0</v>
      </c>
      <c r="Q1212" s="48" t="s">
        <v>75</v>
      </c>
      <c r="R1212" s="48">
        <f>HEX2DEC(RIGHT(Table13232127535868[[#This Row],[h2]],8))</f>
        <v>0</v>
      </c>
    </row>
    <row r="1213" spans="1:18">
      <c r="A1213" s="15" t="str">
        <f t="shared" si="23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8" t="s">
        <v>75</v>
      </c>
      <c r="P1213" s="48">
        <f>HEX2DEC(RIGHT(Table13232127535868[[#This Row],[h1]],8))</f>
        <v>0</v>
      </c>
      <c r="Q1213" s="48" t="s">
        <v>75</v>
      </c>
      <c r="R1213" s="48">
        <f>HEX2DEC(RIGHT(Table13232127535868[[#This Row],[h2]],8))</f>
        <v>0</v>
      </c>
    </row>
    <row r="1214" spans="1:18">
      <c r="A1214" s="15" t="str">
        <f t="shared" si="23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8" t="s">
        <v>75</v>
      </c>
      <c r="P1214" s="48">
        <f>HEX2DEC(RIGHT(Table13232127535868[[#This Row],[h1]],8))</f>
        <v>0</v>
      </c>
      <c r="Q1214" s="48" t="s">
        <v>75</v>
      </c>
      <c r="R1214" s="48">
        <f>HEX2DEC(RIGHT(Table13232127535868[[#This Row],[h2]],8))</f>
        <v>0</v>
      </c>
    </row>
    <row r="1215" spans="1:18">
      <c r="A1215" s="15" t="str">
        <f t="shared" si="23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8" t="s">
        <v>75</v>
      </c>
      <c r="P1215" s="48">
        <f>HEX2DEC(RIGHT(Table13232127535868[[#This Row],[h1]],8))</f>
        <v>0</v>
      </c>
      <c r="Q1215" s="48" t="s">
        <v>75</v>
      </c>
      <c r="R1215" s="48">
        <f>HEX2DEC(RIGHT(Table13232127535868[[#This Row],[h2]],8))</f>
        <v>0</v>
      </c>
    </row>
    <row r="1216" spans="1:18">
      <c r="A1216" s="15" t="str">
        <f t="shared" si="23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8" t="s">
        <v>75</v>
      </c>
      <c r="P1216" s="48">
        <f>HEX2DEC(RIGHT(Table13232127535868[[#This Row],[h1]],8))</f>
        <v>0</v>
      </c>
      <c r="Q1216" s="48" t="s">
        <v>75</v>
      </c>
      <c r="R1216" s="48">
        <f>HEX2DEC(RIGHT(Table13232127535868[[#This Row],[h2]],8))</f>
        <v>0</v>
      </c>
    </row>
    <row r="1217" spans="1:18">
      <c r="A1217" s="15" t="str">
        <f t="shared" si="23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8" t="s">
        <v>75</v>
      </c>
      <c r="P1217" s="48">
        <f>HEX2DEC(RIGHT(Table13232127535868[[#This Row],[h1]],8))</f>
        <v>0</v>
      </c>
      <c r="Q1217" s="48" t="s">
        <v>75</v>
      </c>
      <c r="R1217" s="48">
        <f>HEX2DEC(RIGHT(Table13232127535868[[#This Row],[h2]],8))</f>
        <v>0</v>
      </c>
    </row>
    <row r="1218" spans="1:18">
      <c r="A1218" s="15" t="str">
        <f t="shared" si="23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8" t="s">
        <v>75</v>
      </c>
      <c r="P1218" s="48">
        <f>HEX2DEC(RIGHT(Table13232127535868[[#This Row],[h1]],8))</f>
        <v>0</v>
      </c>
      <c r="Q1218" s="48" t="s">
        <v>75</v>
      </c>
      <c r="R1218" s="48">
        <f>HEX2DEC(RIGHT(Table13232127535868[[#This Row],[h2]],8))</f>
        <v>0</v>
      </c>
    </row>
    <row r="1219" spans="1:18">
      <c r="A1219" s="15" t="str">
        <f t="shared" si="23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8" t="s">
        <v>75</v>
      </c>
      <c r="P1219" s="48">
        <f>HEX2DEC(RIGHT(Table13232127535868[[#This Row],[h1]],8))</f>
        <v>0</v>
      </c>
      <c r="Q1219" s="48" t="s">
        <v>75</v>
      </c>
      <c r="R1219" s="48">
        <f>HEX2DEC(RIGHT(Table13232127535868[[#This Row],[h2]],8))</f>
        <v>0</v>
      </c>
    </row>
    <row r="1220" spans="1:18">
      <c r="A1220" s="15" t="str">
        <f t="shared" si="23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8" t="s">
        <v>75</v>
      </c>
      <c r="P1220" s="48">
        <f>HEX2DEC(RIGHT(Table13232127535868[[#This Row],[h1]],8))</f>
        <v>0</v>
      </c>
      <c r="Q1220" s="48" t="s">
        <v>75</v>
      </c>
      <c r="R1220" s="48">
        <f>HEX2DEC(RIGHT(Table13232127535868[[#This Row],[h2]],8))</f>
        <v>0</v>
      </c>
    </row>
    <row r="1221" spans="1:18">
      <c r="A1221" s="15" t="str">
        <f t="shared" si="23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8" t="s">
        <v>75</v>
      </c>
      <c r="P1221" s="48">
        <f>HEX2DEC(RIGHT(Table13232127535868[[#This Row],[h1]],8))</f>
        <v>0</v>
      </c>
      <c r="Q1221" s="48" t="s">
        <v>75</v>
      </c>
      <c r="R1221" s="48">
        <f>HEX2DEC(RIGHT(Table13232127535868[[#This Row],[h2]],8))</f>
        <v>0</v>
      </c>
    </row>
    <row r="1222" spans="1:18">
      <c r="A1222" s="15" t="str">
        <f t="shared" si="23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8" t="s">
        <v>75</v>
      </c>
      <c r="P1222" s="48">
        <f>HEX2DEC(RIGHT(Table13232127535868[[#This Row],[h1]],8))</f>
        <v>0</v>
      </c>
      <c r="Q1222" s="48" t="s">
        <v>75</v>
      </c>
      <c r="R1222" s="48">
        <f>HEX2DEC(RIGHT(Table13232127535868[[#This Row],[h2]],8))</f>
        <v>0</v>
      </c>
    </row>
    <row r="1223" spans="1:18">
      <c r="A1223" s="15" t="str">
        <f t="shared" si="23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8" t="s">
        <v>75</v>
      </c>
      <c r="P1223" s="48">
        <f>HEX2DEC(RIGHT(Table13232127535868[[#This Row],[h1]],8))</f>
        <v>0</v>
      </c>
      <c r="Q1223" s="48" t="s">
        <v>75</v>
      </c>
      <c r="R1223" s="48">
        <f>HEX2DEC(RIGHT(Table13232127535868[[#This Row],[h2]],8))</f>
        <v>0</v>
      </c>
    </row>
    <row r="1224" spans="1:18">
      <c r="A1224" s="15" t="str">
        <f t="shared" si="23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8" t="s">
        <v>75</v>
      </c>
      <c r="P1224" s="48">
        <f>HEX2DEC(RIGHT(Table13232127535868[[#This Row],[h1]],8))</f>
        <v>0</v>
      </c>
      <c r="Q1224" s="48" t="s">
        <v>75</v>
      </c>
      <c r="R1224" s="48">
        <f>HEX2DEC(RIGHT(Table13232127535868[[#This Row],[h2]],8))</f>
        <v>0</v>
      </c>
    </row>
    <row r="1225" spans="1:18">
      <c r="A1225" s="15" t="str">
        <f t="shared" si="23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8" t="s">
        <v>75</v>
      </c>
      <c r="P1225" s="48">
        <f>HEX2DEC(RIGHT(Table13232127535868[[#This Row],[h1]],8))</f>
        <v>0</v>
      </c>
      <c r="Q1225" s="48" t="s">
        <v>75</v>
      </c>
      <c r="R1225" s="48">
        <f>HEX2DEC(RIGHT(Table13232127535868[[#This Row],[h2]],8))</f>
        <v>0</v>
      </c>
    </row>
    <row r="1226" spans="1:18">
      <c r="A1226" s="15" t="str">
        <f t="shared" si="23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8" t="s">
        <v>75</v>
      </c>
      <c r="P1226" s="48">
        <f>HEX2DEC(RIGHT(Table13232127535868[[#This Row],[h1]],8))</f>
        <v>0</v>
      </c>
      <c r="Q1226" s="48" t="s">
        <v>75</v>
      </c>
      <c r="R1226" s="48">
        <f>HEX2DEC(RIGHT(Table13232127535868[[#This Row],[h2]],8))</f>
        <v>0</v>
      </c>
    </row>
    <row r="1227" spans="1:18">
      <c r="A1227" s="15" t="str">
        <f t="shared" ref="A1227:A1290" si="24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8" t="s">
        <v>75</v>
      </c>
      <c r="P1227" s="48">
        <f>HEX2DEC(RIGHT(Table13232127535868[[#This Row],[h1]],8))</f>
        <v>0</v>
      </c>
      <c r="Q1227" s="48" t="s">
        <v>75</v>
      </c>
      <c r="R1227" s="48">
        <f>HEX2DEC(RIGHT(Table13232127535868[[#This Row],[h2]],8))</f>
        <v>0</v>
      </c>
    </row>
    <row r="1228" spans="1:18">
      <c r="A1228" s="15" t="str">
        <f t="shared" si="24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8" t="s">
        <v>75</v>
      </c>
      <c r="P1228" s="48">
        <f>HEX2DEC(RIGHT(Table13232127535868[[#This Row],[h1]],8))</f>
        <v>0</v>
      </c>
      <c r="Q1228" s="48" t="s">
        <v>75</v>
      </c>
      <c r="R1228" s="48">
        <f>HEX2DEC(RIGHT(Table13232127535868[[#This Row],[h2]],8))</f>
        <v>0</v>
      </c>
    </row>
    <row r="1229" spans="1:18">
      <c r="A1229" s="15" t="str">
        <f t="shared" si="24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8" t="s">
        <v>75</v>
      </c>
      <c r="P1229" s="48">
        <f>HEX2DEC(RIGHT(Table13232127535868[[#This Row],[h1]],8))</f>
        <v>0</v>
      </c>
      <c r="Q1229" s="48" t="s">
        <v>75</v>
      </c>
      <c r="R1229" s="48">
        <f>HEX2DEC(RIGHT(Table13232127535868[[#This Row],[h2]],8))</f>
        <v>0</v>
      </c>
    </row>
    <row r="1230" spans="1:18">
      <c r="A1230" s="15" t="str">
        <f t="shared" si="24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8" t="s">
        <v>75</v>
      </c>
      <c r="P1230" s="48">
        <f>HEX2DEC(RIGHT(Table13232127535868[[#This Row],[h1]],8))</f>
        <v>0</v>
      </c>
      <c r="Q1230" s="48" t="s">
        <v>75</v>
      </c>
      <c r="R1230" s="48">
        <f>HEX2DEC(RIGHT(Table13232127535868[[#This Row],[h2]],8))</f>
        <v>0</v>
      </c>
    </row>
    <row r="1231" spans="1:18">
      <c r="A1231" s="15" t="str">
        <f t="shared" si="24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8" t="s">
        <v>75</v>
      </c>
      <c r="P1231" s="48">
        <f>HEX2DEC(RIGHT(Table13232127535868[[#This Row],[h1]],8))</f>
        <v>0</v>
      </c>
      <c r="Q1231" s="48" t="s">
        <v>75</v>
      </c>
      <c r="R1231" s="48">
        <f>HEX2DEC(RIGHT(Table13232127535868[[#This Row],[h2]],8))</f>
        <v>0</v>
      </c>
    </row>
    <row r="1232" spans="1:18">
      <c r="A1232" s="15" t="str">
        <f t="shared" si="24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8" t="s">
        <v>75</v>
      </c>
      <c r="P1232" s="48">
        <f>HEX2DEC(RIGHT(Table13232127535868[[#This Row],[h1]],8))</f>
        <v>0</v>
      </c>
      <c r="Q1232" s="48" t="s">
        <v>75</v>
      </c>
      <c r="R1232" s="48">
        <f>HEX2DEC(RIGHT(Table13232127535868[[#This Row],[h2]],8))</f>
        <v>0</v>
      </c>
    </row>
    <row r="1233" spans="1:18">
      <c r="A1233" s="15" t="str">
        <f t="shared" si="24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8" t="s">
        <v>75</v>
      </c>
      <c r="P1233" s="48">
        <f>HEX2DEC(RIGHT(Table13232127535868[[#This Row],[h1]],8))</f>
        <v>0</v>
      </c>
      <c r="Q1233" s="48" t="s">
        <v>75</v>
      </c>
      <c r="R1233" s="48">
        <f>HEX2DEC(RIGHT(Table13232127535868[[#This Row],[h2]],8))</f>
        <v>0</v>
      </c>
    </row>
    <row r="1234" spans="1:18">
      <c r="A1234" s="15" t="str">
        <f t="shared" si="24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8" t="s">
        <v>75</v>
      </c>
      <c r="P1234" s="48">
        <f>HEX2DEC(RIGHT(Table13232127535868[[#This Row],[h1]],8))</f>
        <v>0</v>
      </c>
      <c r="Q1234" s="48" t="s">
        <v>75</v>
      </c>
      <c r="R1234" s="48">
        <f>HEX2DEC(RIGHT(Table13232127535868[[#This Row],[h2]],8))</f>
        <v>0</v>
      </c>
    </row>
    <row r="1235" spans="1:18">
      <c r="A1235" s="15" t="str">
        <f t="shared" si="24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8" t="s">
        <v>75</v>
      </c>
      <c r="P1235" s="48">
        <f>HEX2DEC(RIGHT(Table13232127535868[[#This Row],[h1]],8))</f>
        <v>0</v>
      </c>
      <c r="Q1235" s="48" t="s">
        <v>75</v>
      </c>
      <c r="R1235" s="48">
        <f>HEX2DEC(RIGHT(Table13232127535868[[#This Row],[h2]],8))</f>
        <v>0</v>
      </c>
    </row>
    <row r="1236" spans="1:18">
      <c r="A1236" s="15" t="str">
        <f t="shared" si="24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8" t="s">
        <v>75</v>
      </c>
      <c r="P1236" s="48">
        <f>HEX2DEC(RIGHT(Table13232127535868[[#This Row],[h1]],8))</f>
        <v>0</v>
      </c>
      <c r="Q1236" s="48" t="s">
        <v>75</v>
      </c>
      <c r="R1236" s="48">
        <f>HEX2DEC(RIGHT(Table13232127535868[[#This Row],[h2]],8))</f>
        <v>0</v>
      </c>
    </row>
    <row r="1237" spans="1:18">
      <c r="A1237" s="15" t="str">
        <f t="shared" si="24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8" t="s">
        <v>75</v>
      </c>
      <c r="P1237" s="48">
        <f>HEX2DEC(RIGHT(Table13232127535868[[#This Row],[h1]],8))</f>
        <v>0</v>
      </c>
      <c r="Q1237" s="48" t="s">
        <v>75</v>
      </c>
      <c r="R1237" s="48">
        <f>HEX2DEC(RIGHT(Table13232127535868[[#This Row],[h2]],8))</f>
        <v>0</v>
      </c>
    </row>
    <row r="1238" spans="1:18">
      <c r="A1238" s="15" t="str">
        <f t="shared" si="24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8" t="s">
        <v>75</v>
      </c>
      <c r="P1238" s="48">
        <f>HEX2DEC(RIGHT(Table13232127535868[[#This Row],[h1]],8))</f>
        <v>0</v>
      </c>
      <c r="Q1238" s="48" t="s">
        <v>75</v>
      </c>
      <c r="R1238" s="48">
        <f>HEX2DEC(RIGHT(Table13232127535868[[#This Row],[h2]],8))</f>
        <v>0</v>
      </c>
    </row>
    <row r="1239" spans="1:18">
      <c r="A1239" s="15" t="str">
        <f t="shared" si="24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8" t="s">
        <v>75</v>
      </c>
      <c r="P1239" s="48">
        <f>HEX2DEC(RIGHT(Table13232127535868[[#This Row],[h1]],8))</f>
        <v>0</v>
      </c>
      <c r="Q1239" s="48" t="s">
        <v>75</v>
      </c>
      <c r="R1239" s="48">
        <f>HEX2DEC(RIGHT(Table13232127535868[[#This Row],[h2]],8))</f>
        <v>0</v>
      </c>
    </row>
    <row r="1240" spans="1:18">
      <c r="A1240" s="15" t="str">
        <f t="shared" si="24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8" t="s">
        <v>75</v>
      </c>
      <c r="P1240" s="48">
        <f>HEX2DEC(RIGHT(Table13232127535868[[#This Row],[h1]],8))</f>
        <v>0</v>
      </c>
      <c r="Q1240" s="48" t="s">
        <v>75</v>
      </c>
      <c r="R1240" s="48">
        <f>HEX2DEC(RIGHT(Table13232127535868[[#This Row],[h2]],8))</f>
        <v>0</v>
      </c>
    </row>
    <row r="1241" spans="1:18">
      <c r="A1241" s="15" t="str">
        <f t="shared" si="24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8" t="s">
        <v>75</v>
      </c>
      <c r="P1241" s="48">
        <f>HEX2DEC(RIGHT(Table13232127535868[[#This Row],[h1]],8))</f>
        <v>0</v>
      </c>
      <c r="Q1241" s="48" t="s">
        <v>75</v>
      </c>
      <c r="R1241" s="48">
        <f>HEX2DEC(RIGHT(Table13232127535868[[#This Row],[h2]],8))</f>
        <v>0</v>
      </c>
    </row>
    <row r="1242" spans="1:18">
      <c r="A1242" s="15" t="str">
        <f t="shared" si="24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8" t="s">
        <v>75</v>
      </c>
      <c r="P1242" s="48">
        <f>HEX2DEC(RIGHT(Table13232127535868[[#This Row],[h1]],8))</f>
        <v>0</v>
      </c>
      <c r="Q1242" s="48" t="s">
        <v>75</v>
      </c>
      <c r="R1242" s="48">
        <f>HEX2DEC(RIGHT(Table13232127535868[[#This Row],[h2]],8))</f>
        <v>0</v>
      </c>
    </row>
    <row r="1243" spans="1:18">
      <c r="A1243" s="15" t="str">
        <f t="shared" si="24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8" t="s">
        <v>75</v>
      </c>
      <c r="P1243" s="48">
        <f>HEX2DEC(RIGHT(Table13232127535868[[#This Row],[h1]],8))</f>
        <v>0</v>
      </c>
      <c r="Q1243" s="48" t="s">
        <v>75</v>
      </c>
      <c r="R1243" s="48">
        <f>HEX2DEC(RIGHT(Table13232127535868[[#This Row],[h2]],8))</f>
        <v>0</v>
      </c>
    </row>
    <row r="1244" spans="1:18">
      <c r="A1244" s="15" t="str">
        <f t="shared" si="24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8" t="s">
        <v>75</v>
      </c>
      <c r="P1244" s="48">
        <f>HEX2DEC(RIGHT(Table13232127535868[[#This Row],[h1]],8))</f>
        <v>0</v>
      </c>
      <c r="Q1244" s="48" t="s">
        <v>75</v>
      </c>
      <c r="R1244" s="48">
        <f>HEX2DEC(RIGHT(Table13232127535868[[#This Row],[h2]],8))</f>
        <v>0</v>
      </c>
    </row>
    <row r="1245" spans="1:18">
      <c r="A1245" s="15" t="str">
        <f t="shared" si="24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8" t="s">
        <v>75</v>
      </c>
      <c r="P1245" s="48">
        <f>HEX2DEC(RIGHT(Table13232127535868[[#This Row],[h1]],8))</f>
        <v>0</v>
      </c>
      <c r="Q1245" s="48" t="s">
        <v>75</v>
      </c>
      <c r="R1245" s="48">
        <f>HEX2DEC(RIGHT(Table13232127535868[[#This Row],[h2]],8))</f>
        <v>0</v>
      </c>
    </row>
    <row r="1246" spans="1:18">
      <c r="A1246" s="15" t="str">
        <f t="shared" si="24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8" t="s">
        <v>75</v>
      </c>
      <c r="P1246" s="48">
        <f>HEX2DEC(RIGHT(Table13232127535868[[#This Row],[h1]],8))</f>
        <v>0</v>
      </c>
      <c r="Q1246" s="48" t="s">
        <v>75</v>
      </c>
      <c r="R1246" s="48">
        <f>HEX2DEC(RIGHT(Table13232127535868[[#This Row],[h2]],8))</f>
        <v>0</v>
      </c>
    </row>
    <row r="1247" spans="1:18">
      <c r="A1247" s="15" t="str">
        <f t="shared" si="24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8" t="s">
        <v>75</v>
      </c>
      <c r="P1247" s="48">
        <f>HEX2DEC(RIGHT(Table13232127535868[[#This Row],[h1]],8))</f>
        <v>0</v>
      </c>
      <c r="Q1247" s="48" t="s">
        <v>75</v>
      </c>
      <c r="R1247" s="48">
        <f>HEX2DEC(RIGHT(Table13232127535868[[#This Row],[h2]],8))</f>
        <v>0</v>
      </c>
    </row>
    <row r="1248" spans="1:18">
      <c r="A1248" s="15" t="str">
        <f t="shared" si="24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8" t="s">
        <v>75</v>
      </c>
      <c r="P1248" s="48">
        <f>HEX2DEC(RIGHT(Table13232127535868[[#This Row],[h1]],8))</f>
        <v>0</v>
      </c>
      <c r="Q1248" s="48" t="s">
        <v>75</v>
      </c>
      <c r="R1248" s="48">
        <f>HEX2DEC(RIGHT(Table13232127535868[[#This Row],[h2]],8))</f>
        <v>0</v>
      </c>
    </row>
    <row r="1249" spans="1:18">
      <c r="A1249" s="15" t="str">
        <f t="shared" si="24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8" t="s">
        <v>75</v>
      </c>
      <c r="P1249" s="48">
        <f>HEX2DEC(RIGHT(Table13232127535868[[#This Row],[h1]],8))</f>
        <v>0</v>
      </c>
      <c r="Q1249" s="48" t="s">
        <v>75</v>
      </c>
      <c r="R1249" s="48">
        <f>HEX2DEC(RIGHT(Table13232127535868[[#This Row],[h2]],8))</f>
        <v>0</v>
      </c>
    </row>
    <row r="1250" spans="1:18">
      <c r="A1250" s="15" t="str">
        <f t="shared" si="24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8" t="s">
        <v>75</v>
      </c>
      <c r="P1250" s="48">
        <f>HEX2DEC(RIGHT(Table13232127535868[[#This Row],[h1]],8))</f>
        <v>0</v>
      </c>
      <c r="Q1250" s="48" t="s">
        <v>75</v>
      </c>
      <c r="R1250" s="48">
        <f>HEX2DEC(RIGHT(Table13232127535868[[#This Row],[h2]],8))</f>
        <v>0</v>
      </c>
    </row>
    <row r="1251" spans="1:18">
      <c r="A1251" s="15" t="str">
        <f t="shared" si="24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8" t="s">
        <v>75</v>
      </c>
      <c r="P1251" s="48">
        <f>HEX2DEC(RIGHT(Table13232127535868[[#This Row],[h1]],8))</f>
        <v>0</v>
      </c>
      <c r="Q1251" s="48" t="s">
        <v>75</v>
      </c>
      <c r="R1251" s="48">
        <f>HEX2DEC(RIGHT(Table13232127535868[[#This Row],[h2]],8))</f>
        <v>0</v>
      </c>
    </row>
    <row r="1252" spans="1:18">
      <c r="A1252" s="15" t="str">
        <f t="shared" si="24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8" t="s">
        <v>75</v>
      </c>
      <c r="P1252" s="48">
        <f>HEX2DEC(RIGHT(Table13232127535868[[#This Row],[h1]],8))</f>
        <v>0</v>
      </c>
      <c r="Q1252" s="48" t="s">
        <v>75</v>
      </c>
      <c r="R1252" s="48">
        <f>HEX2DEC(RIGHT(Table13232127535868[[#This Row],[h2]],8))</f>
        <v>0</v>
      </c>
    </row>
    <row r="1253" spans="1:18">
      <c r="A1253" s="15" t="str">
        <f t="shared" si="24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8" t="s">
        <v>75</v>
      </c>
      <c r="P1253" s="48">
        <f>HEX2DEC(RIGHT(Table13232127535868[[#This Row],[h1]],8))</f>
        <v>0</v>
      </c>
      <c r="Q1253" s="48" t="s">
        <v>75</v>
      </c>
      <c r="R1253" s="48">
        <f>HEX2DEC(RIGHT(Table13232127535868[[#This Row],[h2]],8))</f>
        <v>0</v>
      </c>
    </row>
    <row r="1254" spans="1:18">
      <c r="A1254" s="15" t="str">
        <f t="shared" si="24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8" t="s">
        <v>75</v>
      </c>
      <c r="P1254" s="48">
        <f>HEX2DEC(RIGHT(Table13232127535868[[#This Row],[h1]],8))</f>
        <v>0</v>
      </c>
      <c r="Q1254" s="48" t="s">
        <v>75</v>
      </c>
      <c r="R1254" s="48">
        <f>HEX2DEC(RIGHT(Table13232127535868[[#This Row],[h2]],8))</f>
        <v>0</v>
      </c>
    </row>
    <row r="1255" spans="1:18">
      <c r="A1255" s="15" t="str">
        <f t="shared" si="24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8" t="s">
        <v>75</v>
      </c>
      <c r="P1255" s="48">
        <f>HEX2DEC(RIGHT(Table13232127535868[[#This Row],[h1]],8))</f>
        <v>0</v>
      </c>
      <c r="Q1255" s="48" t="s">
        <v>75</v>
      </c>
      <c r="R1255" s="48">
        <f>HEX2DEC(RIGHT(Table13232127535868[[#This Row],[h2]],8))</f>
        <v>0</v>
      </c>
    </row>
    <row r="1256" spans="1:18">
      <c r="A1256" s="15" t="str">
        <f t="shared" si="24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8" t="s">
        <v>75</v>
      </c>
      <c r="P1256" s="48">
        <f>HEX2DEC(RIGHT(Table13232127535868[[#This Row],[h1]],8))</f>
        <v>0</v>
      </c>
      <c r="Q1256" s="48" t="s">
        <v>75</v>
      </c>
      <c r="R1256" s="48">
        <f>HEX2DEC(RIGHT(Table13232127535868[[#This Row],[h2]],8))</f>
        <v>0</v>
      </c>
    </row>
    <row r="1257" spans="1:18">
      <c r="A1257" s="15" t="str">
        <f t="shared" si="24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8" t="s">
        <v>75</v>
      </c>
      <c r="P1257" s="48">
        <f>HEX2DEC(RIGHT(Table13232127535868[[#This Row],[h1]],8))</f>
        <v>0</v>
      </c>
      <c r="Q1257" s="48" t="s">
        <v>75</v>
      </c>
      <c r="R1257" s="48">
        <f>HEX2DEC(RIGHT(Table13232127535868[[#This Row],[h2]],8))</f>
        <v>0</v>
      </c>
    </row>
    <row r="1258" spans="1:18">
      <c r="A1258" s="15" t="str">
        <f t="shared" si="24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8" t="s">
        <v>75</v>
      </c>
      <c r="P1258" s="48">
        <f>HEX2DEC(RIGHT(Table13232127535868[[#This Row],[h1]],8))</f>
        <v>0</v>
      </c>
      <c r="Q1258" s="48" t="s">
        <v>75</v>
      </c>
      <c r="R1258" s="48">
        <f>HEX2DEC(RIGHT(Table13232127535868[[#This Row],[h2]],8))</f>
        <v>0</v>
      </c>
    </row>
    <row r="1259" spans="1:18">
      <c r="A1259" s="15" t="str">
        <f t="shared" si="24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8" t="s">
        <v>75</v>
      </c>
      <c r="P1259" s="48">
        <f>HEX2DEC(RIGHT(Table13232127535868[[#This Row],[h1]],8))</f>
        <v>0</v>
      </c>
      <c r="Q1259" s="48" t="s">
        <v>75</v>
      </c>
      <c r="R1259" s="48">
        <f>HEX2DEC(RIGHT(Table13232127535868[[#This Row],[h2]],8))</f>
        <v>0</v>
      </c>
    </row>
    <row r="1260" spans="1:18">
      <c r="A1260" s="15" t="str">
        <f t="shared" si="24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8" t="s">
        <v>75</v>
      </c>
      <c r="P1260" s="48">
        <f>HEX2DEC(RIGHT(Table13232127535868[[#This Row],[h1]],8))</f>
        <v>0</v>
      </c>
      <c r="Q1260" s="48" t="s">
        <v>75</v>
      </c>
      <c r="R1260" s="48">
        <f>HEX2DEC(RIGHT(Table13232127535868[[#This Row],[h2]],8))</f>
        <v>0</v>
      </c>
    </row>
    <row r="1261" spans="1:18">
      <c r="A1261" s="15" t="str">
        <f t="shared" si="24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8" t="s">
        <v>75</v>
      </c>
      <c r="P1261" s="48">
        <f>HEX2DEC(RIGHT(Table13232127535868[[#This Row],[h1]],8))</f>
        <v>0</v>
      </c>
      <c r="Q1261" s="48" t="s">
        <v>75</v>
      </c>
      <c r="R1261" s="48">
        <f>HEX2DEC(RIGHT(Table13232127535868[[#This Row],[h2]],8))</f>
        <v>0</v>
      </c>
    </row>
    <row r="1262" spans="1:18">
      <c r="A1262" s="15" t="str">
        <f t="shared" si="24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8" t="s">
        <v>75</v>
      </c>
      <c r="P1262" s="48">
        <f>HEX2DEC(RIGHT(Table13232127535868[[#This Row],[h1]],8))</f>
        <v>0</v>
      </c>
      <c r="Q1262" s="48" t="s">
        <v>75</v>
      </c>
      <c r="R1262" s="48">
        <f>HEX2DEC(RIGHT(Table13232127535868[[#This Row],[h2]],8))</f>
        <v>0</v>
      </c>
    </row>
    <row r="1263" spans="1:18">
      <c r="A1263" s="15" t="str">
        <f t="shared" si="24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8" t="s">
        <v>75</v>
      </c>
      <c r="P1263" s="48">
        <f>HEX2DEC(RIGHT(Table13232127535868[[#This Row],[h1]],8))</f>
        <v>0</v>
      </c>
      <c r="Q1263" s="48" t="s">
        <v>75</v>
      </c>
      <c r="R1263" s="48">
        <f>HEX2DEC(RIGHT(Table13232127535868[[#This Row],[h2]],8))</f>
        <v>0</v>
      </c>
    </row>
    <row r="1264" spans="1:18">
      <c r="A1264" s="15" t="str">
        <f t="shared" si="24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8" t="s">
        <v>75</v>
      </c>
      <c r="P1264" s="48">
        <f>HEX2DEC(RIGHT(Table13232127535868[[#This Row],[h1]],8))</f>
        <v>0</v>
      </c>
      <c r="Q1264" s="48" t="s">
        <v>75</v>
      </c>
      <c r="R1264" s="48">
        <f>HEX2DEC(RIGHT(Table13232127535868[[#This Row],[h2]],8))</f>
        <v>0</v>
      </c>
    </row>
    <row r="1265" spans="1:18">
      <c r="A1265" s="15" t="str">
        <f t="shared" si="24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8" t="s">
        <v>75</v>
      </c>
      <c r="P1265" s="48">
        <f>HEX2DEC(RIGHT(Table13232127535868[[#This Row],[h1]],8))</f>
        <v>0</v>
      </c>
      <c r="Q1265" s="48" t="s">
        <v>75</v>
      </c>
      <c r="R1265" s="48">
        <f>HEX2DEC(RIGHT(Table13232127535868[[#This Row],[h2]],8))</f>
        <v>0</v>
      </c>
    </row>
    <row r="1266" spans="1:18">
      <c r="A1266" s="15" t="str">
        <f t="shared" si="24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8" t="s">
        <v>75</v>
      </c>
      <c r="P1266" s="48">
        <f>HEX2DEC(RIGHT(Table13232127535868[[#This Row],[h1]],8))</f>
        <v>0</v>
      </c>
      <c r="Q1266" s="48" t="s">
        <v>75</v>
      </c>
      <c r="R1266" s="48">
        <f>HEX2DEC(RIGHT(Table13232127535868[[#This Row],[h2]],8))</f>
        <v>0</v>
      </c>
    </row>
    <row r="1267" spans="1:18">
      <c r="A1267" s="15" t="str">
        <f t="shared" si="24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8" t="s">
        <v>75</v>
      </c>
      <c r="P1267" s="48">
        <f>HEX2DEC(RIGHT(Table13232127535868[[#This Row],[h1]],8))</f>
        <v>0</v>
      </c>
      <c r="Q1267" s="48" t="s">
        <v>75</v>
      </c>
      <c r="R1267" s="48">
        <f>HEX2DEC(RIGHT(Table13232127535868[[#This Row],[h2]],8))</f>
        <v>0</v>
      </c>
    </row>
    <row r="1268" spans="1:18">
      <c r="A1268" s="15" t="str">
        <f t="shared" si="24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8" t="s">
        <v>75</v>
      </c>
      <c r="P1268" s="48">
        <f>HEX2DEC(RIGHT(Table13232127535868[[#This Row],[h1]],8))</f>
        <v>0</v>
      </c>
      <c r="Q1268" s="48" t="s">
        <v>75</v>
      </c>
      <c r="R1268" s="48">
        <f>HEX2DEC(RIGHT(Table13232127535868[[#This Row],[h2]],8))</f>
        <v>0</v>
      </c>
    </row>
    <row r="1269" spans="1:18">
      <c r="A1269" s="15" t="str">
        <f t="shared" si="24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8" t="s">
        <v>75</v>
      </c>
      <c r="P1269" s="48">
        <f>HEX2DEC(RIGHT(Table13232127535868[[#This Row],[h1]],8))</f>
        <v>0</v>
      </c>
      <c r="Q1269" s="48" t="s">
        <v>75</v>
      </c>
      <c r="R1269" s="48">
        <f>HEX2DEC(RIGHT(Table13232127535868[[#This Row],[h2]],8))</f>
        <v>0</v>
      </c>
    </row>
    <row r="1270" spans="1:18">
      <c r="A1270" s="15" t="str">
        <f t="shared" si="24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8" t="s">
        <v>75</v>
      </c>
      <c r="P1270" s="48">
        <f>HEX2DEC(RIGHT(Table13232127535868[[#This Row],[h1]],8))</f>
        <v>0</v>
      </c>
      <c r="Q1270" s="48" t="s">
        <v>75</v>
      </c>
      <c r="R1270" s="48">
        <f>HEX2DEC(RIGHT(Table13232127535868[[#This Row],[h2]],8))</f>
        <v>0</v>
      </c>
    </row>
    <row r="1271" spans="1:18">
      <c r="A1271" s="15" t="str">
        <f t="shared" si="24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8" t="s">
        <v>75</v>
      </c>
      <c r="P1271" s="48">
        <f>HEX2DEC(RIGHT(Table13232127535868[[#This Row],[h1]],8))</f>
        <v>0</v>
      </c>
      <c r="Q1271" s="48" t="s">
        <v>75</v>
      </c>
      <c r="R1271" s="48">
        <f>HEX2DEC(RIGHT(Table13232127535868[[#This Row],[h2]],8))</f>
        <v>0</v>
      </c>
    </row>
    <row r="1272" spans="1:18">
      <c r="A1272" s="15" t="str">
        <f t="shared" si="24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8" t="s">
        <v>75</v>
      </c>
      <c r="P1272" s="48">
        <f>HEX2DEC(RIGHT(Table13232127535868[[#This Row],[h1]],8))</f>
        <v>0</v>
      </c>
      <c r="Q1272" s="48" t="s">
        <v>75</v>
      </c>
      <c r="R1272" s="48">
        <f>HEX2DEC(RIGHT(Table13232127535868[[#This Row],[h2]],8))</f>
        <v>0</v>
      </c>
    </row>
    <row r="1273" spans="1:18">
      <c r="A1273" s="15" t="str">
        <f t="shared" si="24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8" t="s">
        <v>75</v>
      </c>
      <c r="P1273" s="48">
        <f>HEX2DEC(RIGHT(Table13232127535868[[#This Row],[h1]],8))</f>
        <v>0</v>
      </c>
      <c r="Q1273" s="48" t="s">
        <v>75</v>
      </c>
      <c r="R1273" s="48">
        <f>HEX2DEC(RIGHT(Table13232127535868[[#This Row],[h2]],8))</f>
        <v>0</v>
      </c>
    </row>
    <row r="1274" spans="1:18">
      <c r="A1274" s="15" t="str">
        <f t="shared" si="24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8" t="s">
        <v>75</v>
      </c>
      <c r="P1274" s="48">
        <f>HEX2DEC(RIGHT(Table13232127535868[[#This Row],[h1]],8))</f>
        <v>0</v>
      </c>
      <c r="Q1274" s="48" t="s">
        <v>75</v>
      </c>
      <c r="R1274" s="48">
        <f>HEX2DEC(RIGHT(Table13232127535868[[#This Row],[h2]],8))</f>
        <v>0</v>
      </c>
    </row>
    <row r="1275" spans="1:18">
      <c r="A1275" s="15" t="str">
        <f t="shared" si="24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8" t="s">
        <v>75</v>
      </c>
      <c r="P1275" s="48">
        <f>HEX2DEC(RIGHT(Table13232127535868[[#This Row],[h1]],8))</f>
        <v>0</v>
      </c>
      <c r="Q1275" s="48" t="s">
        <v>75</v>
      </c>
      <c r="R1275" s="48">
        <f>HEX2DEC(RIGHT(Table13232127535868[[#This Row],[h2]],8))</f>
        <v>0</v>
      </c>
    </row>
    <row r="1276" spans="1:18">
      <c r="A1276" s="15" t="str">
        <f t="shared" si="24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8" t="s">
        <v>75</v>
      </c>
      <c r="P1276" s="48">
        <f>HEX2DEC(RIGHT(Table13232127535868[[#This Row],[h1]],8))</f>
        <v>0</v>
      </c>
      <c r="Q1276" s="48" t="s">
        <v>75</v>
      </c>
      <c r="R1276" s="48">
        <f>HEX2DEC(RIGHT(Table13232127535868[[#This Row],[h2]],8))</f>
        <v>0</v>
      </c>
    </row>
    <row r="1277" spans="1:18">
      <c r="A1277" s="15" t="str">
        <f t="shared" si="24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8" t="s">
        <v>75</v>
      </c>
      <c r="P1277" s="48">
        <f>HEX2DEC(RIGHT(Table13232127535868[[#This Row],[h1]],8))</f>
        <v>0</v>
      </c>
      <c r="Q1277" s="48" t="s">
        <v>75</v>
      </c>
      <c r="R1277" s="48">
        <f>HEX2DEC(RIGHT(Table13232127535868[[#This Row],[h2]],8))</f>
        <v>0</v>
      </c>
    </row>
    <row r="1278" spans="1:18">
      <c r="A1278" s="15" t="str">
        <f t="shared" si="24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8" t="s">
        <v>75</v>
      </c>
      <c r="P1278" s="48">
        <f>HEX2DEC(RIGHT(Table13232127535868[[#This Row],[h1]],8))</f>
        <v>0</v>
      </c>
      <c r="Q1278" s="48" t="s">
        <v>75</v>
      </c>
      <c r="R1278" s="48">
        <f>HEX2DEC(RIGHT(Table13232127535868[[#This Row],[h2]],8))</f>
        <v>0</v>
      </c>
    </row>
    <row r="1279" spans="1:18">
      <c r="A1279" s="15" t="str">
        <f t="shared" si="24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8" t="s">
        <v>75</v>
      </c>
      <c r="P1279" s="48">
        <f>HEX2DEC(RIGHT(Table13232127535868[[#This Row],[h1]],8))</f>
        <v>0</v>
      </c>
      <c r="Q1279" s="48" t="s">
        <v>75</v>
      </c>
      <c r="R1279" s="48">
        <f>HEX2DEC(RIGHT(Table13232127535868[[#This Row],[h2]],8))</f>
        <v>0</v>
      </c>
    </row>
    <row r="1280" spans="1:18">
      <c r="A1280" s="15" t="str">
        <f t="shared" si="24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8" t="s">
        <v>75</v>
      </c>
      <c r="P1280" s="48">
        <f>HEX2DEC(RIGHT(Table13232127535868[[#This Row],[h1]],8))</f>
        <v>0</v>
      </c>
      <c r="Q1280" s="48" t="s">
        <v>75</v>
      </c>
      <c r="R1280" s="48">
        <f>HEX2DEC(RIGHT(Table13232127535868[[#This Row],[h2]],8))</f>
        <v>0</v>
      </c>
    </row>
    <row r="1281" spans="1:18">
      <c r="A1281" s="15" t="str">
        <f t="shared" si="24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8" t="s">
        <v>75</v>
      </c>
      <c r="P1281" s="48">
        <f>HEX2DEC(RIGHT(Table13232127535868[[#This Row],[h1]],8))</f>
        <v>0</v>
      </c>
      <c r="Q1281" s="48" t="s">
        <v>75</v>
      </c>
      <c r="R1281" s="48">
        <f>HEX2DEC(RIGHT(Table13232127535868[[#This Row],[h2]],8))</f>
        <v>0</v>
      </c>
    </row>
    <row r="1282" spans="1:18">
      <c r="A1282" s="15" t="str">
        <f t="shared" si="24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8" t="s">
        <v>75</v>
      </c>
      <c r="P1282" s="48">
        <f>HEX2DEC(RIGHT(Table13232127535868[[#This Row],[h1]],8))</f>
        <v>0</v>
      </c>
      <c r="Q1282" s="48" t="s">
        <v>75</v>
      </c>
      <c r="R1282" s="48">
        <f>HEX2DEC(RIGHT(Table13232127535868[[#This Row],[h2]],8))</f>
        <v>0</v>
      </c>
    </row>
    <row r="1283" spans="1:18">
      <c r="A1283" s="15" t="str">
        <f t="shared" si="24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8" t="s">
        <v>75</v>
      </c>
      <c r="P1283" s="48">
        <f>HEX2DEC(RIGHT(Table13232127535868[[#This Row],[h1]],8))</f>
        <v>0</v>
      </c>
      <c r="Q1283" s="48" t="s">
        <v>75</v>
      </c>
      <c r="R1283" s="48">
        <f>HEX2DEC(RIGHT(Table13232127535868[[#This Row],[h2]],8))</f>
        <v>0</v>
      </c>
    </row>
    <row r="1284" spans="1:18">
      <c r="A1284" s="15" t="str">
        <f t="shared" si="24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8" t="s">
        <v>75</v>
      </c>
      <c r="P1284" s="48">
        <f>HEX2DEC(RIGHT(Table13232127535868[[#This Row],[h1]],8))</f>
        <v>0</v>
      </c>
      <c r="Q1284" s="48" t="s">
        <v>75</v>
      </c>
      <c r="R1284" s="48">
        <f>HEX2DEC(RIGHT(Table13232127535868[[#This Row],[h2]],8))</f>
        <v>0</v>
      </c>
    </row>
    <row r="1285" spans="1:18">
      <c r="A1285" s="15" t="str">
        <f t="shared" si="24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8" t="s">
        <v>75</v>
      </c>
      <c r="P1285" s="48">
        <f>HEX2DEC(RIGHT(Table13232127535868[[#This Row],[h1]],8))</f>
        <v>0</v>
      </c>
      <c r="Q1285" s="48" t="s">
        <v>75</v>
      </c>
      <c r="R1285" s="48">
        <f>HEX2DEC(RIGHT(Table13232127535868[[#This Row],[h2]],8))</f>
        <v>0</v>
      </c>
    </row>
    <row r="1286" spans="1:18">
      <c r="A1286" s="15" t="str">
        <f t="shared" si="24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8" t="s">
        <v>75</v>
      </c>
      <c r="P1286" s="48">
        <f>HEX2DEC(RIGHT(Table13232127535868[[#This Row],[h1]],8))</f>
        <v>0</v>
      </c>
      <c r="Q1286" s="48" t="s">
        <v>75</v>
      </c>
      <c r="R1286" s="48">
        <f>HEX2DEC(RIGHT(Table13232127535868[[#This Row],[h2]],8))</f>
        <v>0</v>
      </c>
    </row>
    <row r="1287" spans="1:18">
      <c r="A1287" s="15" t="str">
        <f t="shared" si="24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8" t="s">
        <v>75</v>
      </c>
      <c r="P1287" s="48">
        <f>HEX2DEC(RIGHT(Table13232127535868[[#This Row],[h1]],8))</f>
        <v>0</v>
      </c>
      <c r="Q1287" s="48" t="s">
        <v>75</v>
      </c>
      <c r="R1287" s="48">
        <f>HEX2DEC(RIGHT(Table13232127535868[[#This Row],[h2]],8))</f>
        <v>0</v>
      </c>
    </row>
    <row r="1288" spans="1:18">
      <c r="A1288" s="15" t="str">
        <f t="shared" si="24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8" t="s">
        <v>75</v>
      </c>
      <c r="P1288" s="48">
        <f>HEX2DEC(RIGHT(Table13232127535868[[#This Row],[h1]],8))</f>
        <v>0</v>
      </c>
      <c r="Q1288" s="48" t="s">
        <v>75</v>
      </c>
      <c r="R1288" s="48">
        <f>HEX2DEC(RIGHT(Table13232127535868[[#This Row],[h2]],8))</f>
        <v>0</v>
      </c>
    </row>
    <row r="1289" spans="1:18">
      <c r="A1289" s="15" t="str">
        <f t="shared" si="24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8" t="s">
        <v>75</v>
      </c>
      <c r="P1289" s="48">
        <f>HEX2DEC(RIGHT(Table13232127535868[[#This Row],[h1]],8))</f>
        <v>0</v>
      </c>
      <c r="Q1289" s="48" t="s">
        <v>75</v>
      </c>
      <c r="R1289" s="48">
        <f>HEX2DEC(RIGHT(Table13232127535868[[#This Row],[h2]],8))</f>
        <v>0</v>
      </c>
    </row>
    <row r="1290" spans="1:18">
      <c r="A1290" s="15" t="str">
        <f t="shared" si="24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8" t="s">
        <v>75</v>
      </c>
      <c r="P1290" s="48">
        <f>HEX2DEC(RIGHT(Table13232127535868[[#This Row],[h1]],8))</f>
        <v>0</v>
      </c>
      <c r="Q1290" s="48" t="s">
        <v>75</v>
      </c>
      <c r="R1290" s="48">
        <f>HEX2DEC(RIGHT(Table13232127535868[[#This Row],[h2]],8))</f>
        <v>0</v>
      </c>
    </row>
    <row r="1291" spans="1:18">
      <c r="A1291" s="15" t="str">
        <f t="shared" ref="A1291:A1354" si="25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8" t="s">
        <v>75</v>
      </c>
      <c r="P1291" s="48">
        <f>HEX2DEC(RIGHT(Table13232127535868[[#This Row],[h1]],8))</f>
        <v>0</v>
      </c>
      <c r="Q1291" s="48" t="s">
        <v>75</v>
      </c>
      <c r="R1291" s="48">
        <f>HEX2DEC(RIGHT(Table13232127535868[[#This Row],[h2]],8))</f>
        <v>0</v>
      </c>
    </row>
    <row r="1292" spans="1:18">
      <c r="A1292" s="15" t="str">
        <f t="shared" si="25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8" t="s">
        <v>75</v>
      </c>
      <c r="P1292" s="48">
        <f>HEX2DEC(RIGHT(Table13232127535868[[#This Row],[h1]],8))</f>
        <v>0</v>
      </c>
      <c r="Q1292" s="48" t="s">
        <v>75</v>
      </c>
      <c r="R1292" s="48">
        <f>HEX2DEC(RIGHT(Table13232127535868[[#This Row],[h2]],8))</f>
        <v>0</v>
      </c>
    </row>
    <row r="1293" spans="1:18">
      <c r="A1293" s="15" t="str">
        <f t="shared" si="25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8" t="s">
        <v>75</v>
      </c>
      <c r="P1293" s="48">
        <f>HEX2DEC(RIGHT(Table13232127535868[[#This Row],[h1]],8))</f>
        <v>0</v>
      </c>
      <c r="Q1293" s="48" t="s">
        <v>75</v>
      </c>
      <c r="R1293" s="48">
        <f>HEX2DEC(RIGHT(Table13232127535868[[#This Row],[h2]],8))</f>
        <v>0</v>
      </c>
    </row>
    <row r="1294" spans="1:18">
      <c r="A1294" s="15" t="str">
        <f t="shared" si="25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8" t="s">
        <v>75</v>
      </c>
      <c r="P1294" s="48">
        <f>HEX2DEC(RIGHT(Table13232127535868[[#This Row],[h1]],8))</f>
        <v>0</v>
      </c>
      <c r="Q1294" s="48" t="s">
        <v>75</v>
      </c>
      <c r="R1294" s="48">
        <f>HEX2DEC(RIGHT(Table13232127535868[[#This Row],[h2]],8))</f>
        <v>0</v>
      </c>
    </row>
    <row r="1295" spans="1:18">
      <c r="A1295" s="15" t="str">
        <f t="shared" si="25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8" t="s">
        <v>75</v>
      </c>
      <c r="P1295" s="48">
        <f>HEX2DEC(RIGHT(Table13232127535868[[#This Row],[h1]],8))</f>
        <v>0</v>
      </c>
      <c r="Q1295" s="48" t="s">
        <v>75</v>
      </c>
      <c r="R1295" s="48">
        <f>HEX2DEC(RIGHT(Table13232127535868[[#This Row],[h2]],8))</f>
        <v>0</v>
      </c>
    </row>
    <row r="1296" spans="1:18">
      <c r="A1296" s="15" t="str">
        <f t="shared" si="25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8" t="s">
        <v>75</v>
      </c>
      <c r="P1296" s="48">
        <f>HEX2DEC(RIGHT(Table13232127535868[[#This Row],[h1]],8))</f>
        <v>0</v>
      </c>
      <c r="Q1296" s="48" t="s">
        <v>75</v>
      </c>
      <c r="R1296" s="48">
        <f>HEX2DEC(RIGHT(Table13232127535868[[#This Row],[h2]],8))</f>
        <v>0</v>
      </c>
    </row>
    <row r="1297" spans="1:18">
      <c r="A1297" s="15" t="str">
        <f t="shared" si="25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8" t="s">
        <v>75</v>
      </c>
      <c r="P1297" s="48">
        <f>HEX2DEC(RIGHT(Table13232127535868[[#This Row],[h1]],8))</f>
        <v>0</v>
      </c>
      <c r="Q1297" s="48" t="s">
        <v>75</v>
      </c>
      <c r="R1297" s="48">
        <f>HEX2DEC(RIGHT(Table13232127535868[[#This Row],[h2]],8))</f>
        <v>0</v>
      </c>
    </row>
    <row r="1298" spans="1:18">
      <c r="A1298" s="15" t="str">
        <f t="shared" si="25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8" t="s">
        <v>75</v>
      </c>
      <c r="P1298" s="48">
        <f>HEX2DEC(RIGHT(Table13232127535868[[#This Row],[h1]],8))</f>
        <v>0</v>
      </c>
      <c r="Q1298" s="48" t="s">
        <v>75</v>
      </c>
      <c r="R1298" s="48">
        <f>HEX2DEC(RIGHT(Table13232127535868[[#This Row],[h2]],8))</f>
        <v>0</v>
      </c>
    </row>
    <row r="1299" spans="1:18">
      <c r="A1299" s="15" t="str">
        <f t="shared" si="25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8" t="s">
        <v>75</v>
      </c>
      <c r="P1299" s="48">
        <f>HEX2DEC(RIGHT(Table13232127535868[[#This Row],[h1]],8))</f>
        <v>0</v>
      </c>
      <c r="Q1299" s="48" t="s">
        <v>75</v>
      </c>
      <c r="R1299" s="48">
        <f>HEX2DEC(RIGHT(Table13232127535868[[#This Row],[h2]],8))</f>
        <v>0</v>
      </c>
    </row>
    <row r="1300" spans="1:18">
      <c r="A1300" s="15" t="str">
        <f t="shared" si="25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8" t="s">
        <v>75</v>
      </c>
      <c r="P1300" s="48">
        <f>HEX2DEC(RIGHT(Table13232127535868[[#This Row],[h1]],8))</f>
        <v>0</v>
      </c>
      <c r="Q1300" s="48" t="s">
        <v>75</v>
      </c>
      <c r="R1300" s="48">
        <f>HEX2DEC(RIGHT(Table13232127535868[[#This Row],[h2]],8))</f>
        <v>0</v>
      </c>
    </row>
    <row r="1301" spans="1:18">
      <c r="A1301" s="15" t="str">
        <f t="shared" si="25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8" t="s">
        <v>75</v>
      </c>
      <c r="P1301" s="48">
        <f>HEX2DEC(RIGHT(Table13232127535868[[#This Row],[h1]],8))</f>
        <v>0</v>
      </c>
      <c r="Q1301" s="48" t="s">
        <v>75</v>
      </c>
      <c r="R1301" s="48">
        <f>HEX2DEC(RIGHT(Table13232127535868[[#This Row],[h2]],8))</f>
        <v>0</v>
      </c>
    </row>
    <row r="1302" spans="1:18">
      <c r="A1302" s="15" t="str">
        <f t="shared" si="25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8" t="s">
        <v>75</v>
      </c>
      <c r="P1302" s="48">
        <f>HEX2DEC(RIGHT(Table13232127535868[[#This Row],[h1]],8))</f>
        <v>0</v>
      </c>
      <c r="Q1302" s="48" t="s">
        <v>75</v>
      </c>
      <c r="R1302" s="48">
        <f>HEX2DEC(RIGHT(Table13232127535868[[#This Row],[h2]],8))</f>
        <v>0</v>
      </c>
    </row>
    <row r="1303" spans="1:18">
      <c r="A1303" s="15" t="str">
        <f t="shared" si="25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8" t="s">
        <v>75</v>
      </c>
      <c r="P1303" s="48">
        <f>HEX2DEC(RIGHT(Table13232127535868[[#This Row],[h1]],8))</f>
        <v>0</v>
      </c>
      <c r="Q1303" s="48" t="s">
        <v>75</v>
      </c>
      <c r="R1303" s="48">
        <f>HEX2DEC(RIGHT(Table13232127535868[[#This Row],[h2]],8))</f>
        <v>0</v>
      </c>
    </row>
    <row r="1304" spans="1:18">
      <c r="A1304" s="15" t="str">
        <f t="shared" si="25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8" t="s">
        <v>75</v>
      </c>
      <c r="P1304" s="48">
        <f>HEX2DEC(RIGHT(Table13232127535868[[#This Row],[h1]],8))</f>
        <v>0</v>
      </c>
      <c r="Q1304" s="48" t="s">
        <v>75</v>
      </c>
      <c r="R1304" s="48">
        <f>HEX2DEC(RIGHT(Table13232127535868[[#This Row],[h2]],8))</f>
        <v>0</v>
      </c>
    </row>
    <row r="1305" spans="1:18">
      <c r="A1305" s="15" t="str">
        <f t="shared" si="25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8" t="s">
        <v>75</v>
      </c>
      <c r="P1305" s="48">
        <f>HEX2DEC(RIGHT(Table13232127535868[[#This Row],[h1]],8))</f>
        <v>0</v>
      </c>
      <c r="Q1305" s="48" t="s">
        <v>75</v>
      </c>
      <c r="R1305" s="48">
        <f>HEX2DEC(RIGHT(Table13232127535868[[#This Row],[h2]],8))</f>
        <v>0</v>
      </c>
    </row>
    <row r="1306" spans="1:18">
      <c r="A1306" s="15" t="str">
        <f t="shared" si="25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8" t="s">
        <v>75</v>
      </c>
      <c r="P1306" s="48">
        <f>HEX2DEC(RIGHT(Table13232127535868[[#This Row],[h1]],8))</f>
        <v>0</v>
      </c>
      <c r="Q1306" s="48" t="s">
        <v>75</v>
      </c>
      <c r="R1306" s="48">
        <f>HEX2DEC(RIGHT(Table13232127535868[[#This Row],[h2]],8))</f>
        <v>0</v>
      </c>
    </row>
    <row r="1307" spans="1:18">
      <c r="A1307" s="15" t="str">
        <f t="shared" si="25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8" t="s">
        <v>75</v>
      </c>
      <c r="P1307" s="48">
        <f>HEX2DEC(RIGHT(Table13232127535868[[#This Row],[h1]],8))</f>
        <v>0</v>
      </c>
      <c r="Q1307" s="48" t="s">
        <v>75</v>
      </c>
      <c r="R1307" s="48">
        <f>HEX2DEC(RIGHT(Table13232127535868[[#This Row],[h2]],8))</f>
        <v>0</v>
      </c>
    </row>
    <row r="1308" spans="1:18">
      <c r="A1308" s="15" t="str">
        <f t="shared" si="25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8" t="s">
        <v>75</v>
      </c>
      <c r="P1308" s="48">
        <f>HEX2DEC(RIGHT(Table13232127535868[[#This Row],[h1]],8))</f>
        <v>0</v>
      </c>
      <c r="Q1308" s="48" t="s">
        <v>75</v>
      </c>
      <c r="R1308" s="48">
        <f>HEX2DEC(RIGHT(Table13232127535868[[#This Row],[h2]],8))</f>
        <v>0</v>
      </c>
    </row>
    <row r="1309" spans="1:18">
      <c r="A1309" s="15" t="str">
        <f t="shared" si="25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8" t="s">
        <v>75</v>
      </c>
      <c r="P1309" s="48">
        <f>HEX2DEC(RIGHT(Table13232127535868[[#This Row],[h1]],8))</f>
        <v>0</v>
      </c>
      <c r="Q1309" s="48" t="s">
        <v>75</v>
      </c>
      <c r="R1309" s="48">
        <f>HEX2DEC(RIGHT(Table13232127535868[[#This Row],[h2]],8))</f>
        <v>0</v>
      </c>
    </row>
    <row r="1310" spans="1:18">
      <c r="A1310" s="15" t="str">
        <f t="shared" si="25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8" t="s">
        <v>75</v>
      </c>
      <c r="P1310" s="48">
        <f>HEX2DEC(RIGHT(Table13232127535868[[#This Row],[h1]],8))</f>
        <v>0</v>
      </c>
      <c r="Q1310" s="48" t="s">
        <v>75</v>
      </c>
      <c r="R1310" s="48">
        <f>HEX2DEC(RIGHT(Table13232127535868[[#This Row],[h2]],8))</f>
        <v>0</v>
      </c>
    </row>
    <row r="1311" spans="1:18">
      <c r="A1311" s="15" t="str">
        <f t="shared" si="25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8" t="s">
        <v>75</v>
      </c>
      <c r="P1311" s="48">
        <f>HEX2DEC(RIGHT(Table13232127535868[[#This Row],[h1]],8))</f>
        <v>0</v>
      </c>
      <c r="Q1311" s="48" t="s">
        <v>75</v>
      </c>
      <c r="R1311" s="48">
        <f>HEX2DEC(RIGHT(Table13232127535868[[#This Row],[h2]],8))</f>
        <v>0</v>
      </c>
    </row>
    <row r="1312" spans="1:18">
      <c r="A1312" s="15" t="str">
        <f t="shared" si="25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8" t="s">
        <v>75</v>
      </c>
      <c r="P1312" s="48">
        <f>HEX2DEC(RIGHT(Table13232127535868[[#This Row],[h1]],8))</f>
        <v>0</v>
      </c>
      <c r="Q1312" s="48" t="s">
        <v>75</v>
      </c>
      <c r="R1312" s="48">
        <f>HEX2DEC(RIGHT(Table13232127535868[[#This Row],[h2]],8))</f>
        <v>0</v>
      </c>
    </row>
    <row r="1313" spans="1:18">
      <c r="A1313" s="15" t="str">
        <f t="shared" si="25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8" t="s">
        <v>75</v>
      </c>
      <c r="P1313" s="48">
        <f>HEX2DEC(RIGHT(Table13232127535868[[#This Row],[h1]],8))</f>
        <v>0</v>
      </c>
      <c r="Q1313" s="48" t="s">
        <v>75</v>
      </c>
      <c r="R1313" s="48">
        <f>HEX2DEC(RIGHT(Table13232127535868[[#This Row],[h2]],8))</f>
        <v>0</v>
      </c>
    </row>
    <row r="1314" spans="1:18">
      <c r="A1314" s="15" t="str">
        <f t="shared" si="25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8" t="s">
        <v>75</v>
      </c>
      <c r="P1314" s="48">
        <f>HEX2DEC(RIGHT(Table13232127535868[[#This Row],[h1]],8))</f>
        <v>0</v>
      </c>
      <c r="Q1314" s="48" t="s">
        <v>75</v>
      </c>
      <c r="R1314" s="48">
        <f>HEX2DEC(RIGHT(Table13232127535868[[#This Row],[h2]],8))</f>
        <v>0</v>
      </c>
    </row>
    <row r="1315" spans="1:18">
      <c r="A1315" s="15" t="str">
        <f t="shared" si="25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8" t="s">
        <v>75</v>
      </c>
      <c r="P1315" s="48">
        <f>HEX2DEC(RIGHT(Table13232127535868[[#This Row],[h1]],8))</f>
        <v>0</v>
      </c>
      <c r="Q1315" s="48" t="s">
        <v>75</v>
      </c>
      <c r="R1315" s="48">
        <f>HEX2DEC(RIGHT(Table13232127535868[[#This Row],[h2]],8))</f>
        <v>0</v>
      </c>
    </row>
    <row r="1316" spans="1:18">
      <c r="A1316" s="15" t="str">
        <f t="shared" si="25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8" t="s">
        <v>75</v>
      </c>
      <c r="P1316" s="48">
        <f>HEX2DEC(RIGHT(Table13232127535868[[#This Row],[h1]],8))</f>
        <v>0</v>
      </c>
      <c r="Q1316" s="48" t="s">
        <v>75</v>
      </c>
      <c r="R1316" s="48">
        <f>HEX2DEC(RIGHT(Table13232127535868[[#This Row],[h2]],8))</f>
        <v>0</v>
      </c>
    </row>
    <row r="1317" spans="1:18">
      <c r="A1317" s="15" t="str">
        <f t="shared" si="25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8" t="s">
        <v>75</v>
      </c>
      <c r="P1317" s="48">
        <f>HEX2DEC(RIGHT(Table13232127535868[[#This Row],[h1]],8))</f>
        <v>0</v>
      </c>
      <c r="Q1317" s="48" t="s">
        <v>75</v>
      </c>
      <c r="R1317" s="48">
        <f>HEX2DEC(RIGHT(Table13232127535868[[#This Row],[h2]],8))</f>
        <v>0</v>
      </c>
    </row>
    <row r="1318" spans="1:18">
      <c r="A1318" s="15" t="str">
        <f t="shared" si="25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8" t="s">
        <v>75</v>
      </c>
      <c r="P1318" s="48">
        <f>HEX2DEC(RIGHT(Table13232127535868[[#This Row],[h1]],8))</f>
        <v>0</v>
      </c>
      <c r="Q1318" s="48" t="s">
        <v>75</v>
      </c>
      <c r="R1318" s="48">
        <f>HEX2DEC(RIGHT(Table13232127535868[[#This Row],[h2]],8))</f>
        <v>0</v>
      </c>
    </row>
    <row r="1319" spans="1:18">
      <c r="A1319" s="15" t="str">
        <f t="shared" si="25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8" t="s">
        <v>75</v>
      </c>
      <c r="P1319" s="48">
        <f>HEX2DEC(RIGHT(Table13232127535868[[#This Row],[h1]],8))</f>
        <v>0</v>
      </c>
      <c r="Q1319" s="48" t="s">
        <v>75</v>
      </c>
      <c r="R1319" s="48">
        <f>HEX2DEC(RIGHT(Table13232127535868[[#This Row],[h2]],8))</f>
        <v>0</v>
      </c>
    </row>
    <row r="1320" spans="1:18">
      <c r="A1320" s="15" t="str">
        <f t="shared" si="25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8" t="s">
        <v>75</v>
      </c>
      <c r="P1320" s="48">
        <f>HEX2DEC(RIGHT(Table13232127535868[[#This Row],[h1]],8))</f>
        <v>0</v>
      </c>
      <c r="Q1320" s="48" t="s">
        <v>75</v>
      </c>
      <c r="R1320" s="48">
        <f>HEX2DEC(RIGHT(Table13232127535868[[#This Row],[h2]],8))</f>
        <v>0</v>
      </c>
    </row>
    <row r="1321" spans="1:18">
      <c r="A1321" s="15" t="str">
        <f t="shared" si="25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8" t="s">
        <v>75</v>
      </c>
      <c r="P1321" s="48">
        <f>HEX2DEC(RIGHT(Table13232127535868[[#This Row],[h1]],8))</f>
        <v>0</v>
      </c>
      <c r="Q1321" s="48" t="s">
        <v>75</v>
      </c>
      <c r="R1321" s="48">
        <f>HEX2DEC(RIGHT(Table13232127535868[[#This Row],[h2]],8))</f>
        <v>0</v>
      </c>
    </row>
    <row r="1322" spans="1:18">
      <c r="A1322" s="15" t="str">
        <f t="shared" si="25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8" t="s">
        <v>75</v>
      </c>
      <c r="P1322" s="48">
        <f>HEX2DEC(RIGHT(Table13232127535868[[#This Row],[h1]],8))</f>
        <v>0</v>
      </c>
      <c r="Q1322" s="48" t="s">
        <v>75</v>
      </c>
      <c r="R1322" s="48">
        <f>HEX2DEC(RIGHT(Table13232127535868[[#This Row],[h2]],8))</f>
        <v>0</v>
      </c>
    </row>
    <row r="1323" spans="1:18">
      <c r="A1323" s="15" t="str">
        <f t="shared" si="25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8" t="s">
        <v>75</v>
      </c>
      <c r="P1323" s="48">
        <f>HEX2DEC(RIGHT(Table13232127535868[[#This Row],[h1]],8))</f>
        <v>0</v>
      </c>
      <c r="Q1323" s="48" t="s">
        <v>75</v>
      </c>
      <c r="R1323" s="48">
        <f>HEX2DEC(RIGHT(Table13232127535868[[#This Row],[h2]],8))</f>
        <v>0</v>
      </c>
    </row>
    <row r="1324" spans="1:18">
      <c r="A1324" s="15" t="str">
        <f t="shared" si="25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8" t="s">
        <v>75</v>
      </c>
      <c r="P1324" s="48">
        <f>HEX2DEC(RIGHT(Table13232127535868[[#This Row],[h1]],8))</f>
        <v>0</v>
      </c>
      <c r="Q1324" s="48" t="s">
        <v>75</v>
      </c>
      <c r="R1324" s="48">
        <f>HEX2DEC(RIGHT(Table13232127535868[[#This Row],[h2]],8))</f>
        <v>0</v>
      </c>
    </row>
    <row r="1325" spans="1:18">
      <c r="A1325" s="15" t="str">
        <f t="shared" si="25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8" t="s">
        <v>75</v>
      </c>
      <c r="P1325" s="48">
        <f>HEX2DEC(RIGHT(Table13232127535868[[#This Row],[h1]],8))</f>
        <v>0</v>
      </c>
      <c r="Q1325" s="48" t="s">
        <v>75</v>
      </c>
      <c r="R1325" s="48">
        <f>HEX2DEC(RIGHT(Table13232127535868[[#This Row],[h2]],8))</f>
        <v>0</v>
      </c>
    </row>
    <row r="1326" spans="1:18">
      <c r="A1326" s="15" t="str">
        <f t="shared" si="25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8" t="s">
        <v>75</v>
      </c>
      <c r="P1326" s="48">
        <f>HEX2DEC(RIGHT(Table13232127535868[[#This Row],[h1]],8))</f>
        <v>0</v>
      </c>
      <c r="Q1326" s="48" t="s">
        <v>75</v>
      </c>
      <c r="R1326" s="48">
        <f>HEX2DEC(RIGHT(Table13232127535868[[#This Row],[h2]],8))</f>
        <v>0</v>
      </c>
    </row>
    <row r="1327" spans="1:18">
      <c r="A1327" s="15" t="str">
        <f t="shared" si="25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8" t="s">
        <v>75</v>
      </c>
      <c r="P1327" s="48">
        <f>HEX2DEC(RIGHT(Table13232127535868[[#This Row],[h1]],8))</f>
        <v>0</v>
      </c>
      <c r="Q1327" s="48" t="s">
        <v>75</v>
      </c>
      <c r="R1327" s="48">
        <f>HEX2DEC(RIGHT(Table13232127535868[[#This Row],[h2]],8))</f>
        <v>0</v>
      </c>
    </row>
    <row r="1328" spans="1:18">
      <c r="A1328" s="15" t="str">
        <f t="shared" si="25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8" t="s">
        <v>75</v>
      </c>
      <c r="P1328" s="48">
        <f>HEX2DEC(RIGHT(Table13232127535868[[#This Row],[h1]],8))</f>
        <v>0</v>
      </c>
      <c r="Q1328" s="48" t="s">
        <v>75</v>
      </c>
      <c r="R1328" s="48">
        <f>HEX2DEC(RIGHT(Table13232127535868[[#This Row],[h2]],8))</f>
        <v>0</v>
      </c>
    </row>
    <row r="1329" spans="1:18">
      <c r="A1329" s="15" t="str">
        <f t="shared" si="25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8" t="s">
        <v>75</v>
      </c>
      <c r="P1329" s="48">
        <f>HEX2DEC(RIGHT(Table13232127535868[[#This Row],[h1]],8))</f>
        <v>0</v>
      </c>
      <c r="Q1329" s="48" t="s">
        <v>75</v>
      </c>
      <c r="R1329" s="48">
        <f>HEX2DEC(RIGHT(Table13232127535868[[#This Row],[h2]],8))</f>
        <v>0</v>
      </c>
    </row>
    <row r="1330" spans="1:18">
      <c r="A1330" s="15" t="str">
        <f t="shared" si="25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8" t="s">
        <v>75</v>
      </c>
      <c r="P1330" s="48">
        <f>HEX2DEC(RIGHT(Table13232127535868[[#This Row],[h1]],8))</f>
        <v>0</v>
      </c>
      <c r="Q1330" s="48" t="s">
        <v>75</v>
      </c>
      <c r="R1330" s="48">
        <f>HEX2DEC(RIGHT(Table13232127535868[[#This Row],[h2]],8))</f>
        <v>0</v>
      </c>
    </row>
    <row r="1331" spans="1:18">
      <c r="A1331" s="15" t="str">
        <f t="shared" si="25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8" t="s">
        <v>75</v>
      </c>
      <c r="P1331" s="48">
        <f>HEX2DEC(RIGHT(Table13232127535868[[#This Row],[h1]],8))</f>
        <v>0</v>
      </c>
      <c r="Q1331" s="48" t="s">
        <v>75</v>
      </c>
      <c r="R1331" s="48">
        <f>HEX2DEC(RIGHT(Table13232127535868[[#This Row],[h2]],8))</f>
        <v>0</v>
      </c>
    </row>
    <row r="1332" spans="1:18">
      <c r="A1332" s="15" t="str">
        <f t="shared" si="25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8" t="s">
        <v>75</v>
      </c>
      <c r="P1332" s="48">
        <f>HEX2DEC(RIGHT(Table13232127535868[[#This Row],[h1]],8))</f>
        <v>0</v>
      </c>
      <c r="Q1332" s="48" t="s">
        <v>75</v>
      </c>
      <c r="R1332" s="48">
        <f>HEX2DEC(RIGHT(Table13232127535868[[#This Row],[h2]],8))</f>
        <v>0</v>
      </c>
    </row>
    <row r="1333" spans="1:18">
      <c r="A1333" s="15" t="str">
        <f t="shared" si="25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8" t="s">
        <v>75</v>
      </c>
      <c r="P1333" s="48">
        <f>HEX2DEC(RIGHT(Table13232127535868[[#This Row],[h1]],8))</f>
        <v>0</v>
      </c>
      <c r="Q1333" s="48" t="s">
        <v>75</v>
      </c>
      <c r="R1333" s="48">
        <f>HEX2DEC(RIGHT(Table13232127535868[[#This Row],[h2]],8))</f>
        <v>0</v>
      </c>
    </row>
    <row r="1334" spans="1:18">
      <c r="A1334" s="15" t="str">
        <f t="shared" si="25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8" t="s">
        <v>75</v>
      </c>
      <c r="P1334" s="48">
        <f>HEX2DEC(RIGHT(Table13232127535868[[#This Row],[h1]],8))</f>
        <v>0</v>
      </c>
      <c r="Q1334" s="48" t="s">
        <v>75</v>
      </c>
      <c r="R1334" s="48">
        <f>HEX2DEC(RIGHT(Table13232127535868[[#This Row],[h2]],8))</f>
        <v>0</v>
      </c>
    </row>
    <row r="1335" spans="1:18">
      <c r="A1335" s="15" t="str">
        <f t="shared" si="25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8" t="s">
        <v>75</v>
      </c>
      <c r="P1335" s="48">
        <f>HEX2DEC(RIGHT(Table13232127535868[[#This Row],[h1]],8))</f>
        <v>0</v>
      </c>
      <c r="Q1335" s="48" t="s">
        <v>75</v>
      </c>
      <c r="R1335" s="48">
        <f>HEX2DEC(RIGHT(Table13232127535868[[#This Row],[h2]],8))</f>
        <v>0</v>
      </c>
    </row>
    <row r="1336" spans="1:18">
      <c r="A1336" s="15" t="str">
        <f t="shared" si="25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8" t="s">
        <v>75</v>
      </c>
      <c r="P1336" s="48">
        <f>HEX2DEC(RIGHT(Table13232127535868[[#This Row],[h1]],8))</f>
        <v>0</v>
      </c>
      <c r="Q1336" s="48" t="s">
        <v>75</v>
      </c>
      <c r="R1336" s="48">
        <f>HEX2DEC(RIGHT(Table13232127535868[[#This Row],[h2]],8))</f>
        <v>0</v>
      </c>
    </row>
    <row r="1337" spans="1:18">
      <c r="A1337" s="15" t="str">
        <f t="shared" si="25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8" t="s">
        <v>75</v>
      </c>
      <c r="P1337" s="48">
        <f>HEX2DEC(RIGHT(Table13232127535868[[#This Row],[h1]],8))</f>
        <v>0</v>
      </c>
      <c r="Q1337" s="48" t="s">
        <v>75</v>
      </c>
      <c r="R1337" s="48">
        <f>HEX2DEC(RIGHT(Table13232127535868[[#This Row],[h2]],8))</f>
        <v>0</v>
      </c>
    </row>
    <row r="1338" spans="1:18">
      <c r="A1338" s="15" t="str">
        <f t="shared" si="25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8" t="s">
        <v>75</v>
      </c>
      <c r="P1338" s="48">
        <f>HEX2DEC(RIGHT(Table13232127535868[[#This Row],[h1]],8))</f>
        <v>0</v>
      </c>
      <c r="Q1338" s="48" t="s">
        <v>75</v>
      </c>
      <c r="R1338" s="48">
        <f>HEX2DEC(RIGHT(Table13232127535868[[#This Row],[h2]],8))</f>
        <v>0</v>
      </c>
    </row>
    <row r="1339" spans="1:18">
      <c r="A1339" s="15" t="str">
        <f t="shared" si="25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8" t="s">
        <v>75</v>
      </c>
      <c r="P1339" s="48">
        <f>HEX2DEC(RIGHT(Table13232127535868[[#This Row],[h1]],8))</f>
        <v>0</v>
      </c>
      <c r="Q1339" s="48" t="s">
        <v>75</v>
      </c>
      <c r="R1339" s="48">
        <f>HEX2DEC(RIGHT(Table13232127535868[[#This Row],[h2]],8))</f>
        <v>0</v>
      </c>
    </row>
    <row r="1340" spans="1:18">
      <c r="A1340" s="15" t="str">
        <f t="shared" si="25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8" t="s">
        <v>75</v>
      </c>
      <c r="P1340" s="48">
        <f>HEX2DEC(RIGHT(Table13232127535868[[#This Row],[h1]],8))</f>
        <v>0</v>
      </c>
      <c r="Q1340" s="48" t="s">
        <v>75</v>
      </c>
      <c r="R1340" s="48">
        <f>HEX2DEC(RIGHT(Table13232127535868[[#This Row],[h2]],8))</f>
        <v>0</v>
      </c>
    </row>
    <row r="1341" spans="1:18">
      <c r="A1341" s="15" t="str">
        <f t="shared" si="25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8" t="s">
        <v>75</v>
      </c>
      <c r="P1341" s="48">
        <f>HEX2DEC(RIGHT(Table13232127535868[[#This Row],[h1]],8))</f>
        <v>0</v>
      </c>
      <c r="Q1341" s="48" t="s">
        <v>75</v>
      </c>
      <c r="R1341" s="48">
        <f>HEX2DEC(RIGHT(Table13232127535868[[#This Row],[h2]],8))</f>
        <v>0</v>
      </c>
    </row>
    <row r="1342" spans="1:18">
      <c r="A1342" s="15" t="str">
        <f t="shared" si="25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8" t="s">
        <v>75</v>
      </c>
      <c r="P1342" s="48">
        <f>HEX2DEC(RIGHT(Table13232127535868[[#This Row],[h1]],8))</f>
        <v>0</v>
      </c>
      <c r="Q1342" s="48" t="s">
        <v>75</v>
      </c>
      <c r="R1342" s="48">
        <f>HEX2DEC(RIGHT(Table13232127535868[[#This Row],[h2]],8))</f>
        <v>0</v>
      </c>
    </row>
    <row r="1343" spans="1:18">
      <c r="A1343" s="15" t="str">
        <f t="shared" si="25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8" t="s">
        <v>75</v>
      </c>
      <c r="P1343" s="48">
        <f>HEX2DEC(RIGHT(Table13232127535868[[#This Row],[h1]],8))</f>
        <v>0</v>
      </c>
      <c r="Q1343" s="48" t="s">
        <v>75</v>
      </c>
      <c r="R1343" s="48">
        <f>HEX2DEC(RIGHT(Table13232127535868[[#This Row],[h2]],8))</f>
        <v>0</v>
      </c>
    </row>
    <row r="1344" spans="1:18">
      <c r="A1344" s="15" t="str">
        <f t="shared" si="25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8" t="s">
        <v>75</v>
      </c>
      <c r="P1344" s="48">
        <f>HEX2DEC(RIGHT(Table13232127535868[[#This Row],[h1]],8))</f>
        <v>0</v>
      </c>
      <c r="Q1344" s="48" t="s">
        <v>75</v>
      </c>
      <c r="R1344" s="48">
        <f>HEX2DEC(RIGHT(Table13232127535868[[#This Row],[h2]],8))</f>
        <v>0</v>
      </c>
    </row>
    <row r="1345" spans="1:18">
      <c r="A1345" s="15" t="str">
        <f t="shared" si="25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8" t="s">
        <v>75</v>
      </c>
      <c r="P1345" s="48">
        <f>HEX2DEC(RIGHT(Table13232127535868[[#This Row],[h1]],8))</f>
        <v>0</v>
      </c>
      <c r="Q1345" s="48" t="s">
        <v>75</v>
      </c>
      <c r="R1345" s="48">
        <f>HEX2DEC(RIGHT(Table13232127535868[[#This Row],[h2]],8))</f>
        <v>0</v>
      </c>
    </row>
    <row r="1346" spans="1:18">
      <c r="A1346" s="15" t="str">
        <f t="shared" si="25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8" t="s">
        <v>75</v>
      </c>
      <c r="P1346" s="48">
        <f>HEX2DEC(RIGHT(Table13232127535868[[#This Row],[h1]],8))</f>
        <v>0</v>
      </c>
      <c r="Q1346" s="48" t="s">
        <v>75</v>
      </c>
      <c r="R1346" s="48">
        <f>HEX2DEC(RIGHT(Table13232127535868[[#This Row],[h2]],8))</f>
        <v>0</v>
      </c>
    </row>
    <row r="1347" spans="1:18">
      <c r="A1347" s="15" t="str">
        <f t="shared" si="25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8" t="s">
        <v>75</v>
      </c>
      <c r="P1347" s="48">
        <f>HEX2DEC(RIGHT(Table13232127535868[[#This Row],[h1]],8))</f>
        <v>0</v>
      </c>
      <c r="Q1347" s="48" t="s">
        <v>75</v>
      </c>
      <c r="R1347" s="48">
        <f>HEX2DEC(RIGHT(Table13232127535868[[#This Row],[h2]],8))</f>
        <v>0</v>
      </c>
    </row>
    <row r="1348" spans="1:18">
      <c r="A1348" s="15" t="str">
        <f t="shared" si="25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8" t="s">
        <v>75</v>
      </c>
      <c r="P1348" s="48">
        <f>HEX2DEC(RIGHT(Table13232127535868[[#This Row],[h1]],8))</f>
        <v>0</v>
      </c>
      <c r="Q1348" s="48" t="s">
        <v>75</v>
      </c>
      <c r="R1348" s="48">
        <f>HEX2DEC(RIGHT(Table13232127535868[[#This Row],[h2]],8))</f>
        <v>0</v>
      </c>
    </row>
    <row r="1349" spans="1:18">
      <c r="A1349" s="15" t="str">
        <f t="shared" si="25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8" t="s">
        <v>75</v>
      </c>
      <c r="P1349" s="48">
        <f>HEX2DEC(RIGHT(Table13232127535868[[#This Row],[h1]],8))</f>
        <v>0</v>
      </c>
      <c r="Q1349" s="48" t="s">
        <v>75</v>
      </c>
      <c r="R1349" s="48">
        <f>HEX2DEC(RIGHT(Table13232127535868[[#This Row],[h2]],8))</f>
        <v>0</v>
      </c>
    </row>
    <row r="1350" spans="1:18">
      <c r="A1350" s="15" t="str">
        <f t="shared" si="25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8" t="s">
        <v>75</v>
      </c>
      <c r="P1350" s="48">
        <f>HEX2DEC(RIGHT(Table13232127535868[[#This Row],[h1]],8))</f>
        <v>0</v>
      </c>
      <c r="Q1350" s="48" t="s">
        <v>75</v>
      </c>
      <c r="R1350" s="48">
        <f>HEX2DEC(RIGHT(Table13232127535868[[#This Row],[h2]],8))</f>
        <v>0</v>
      </c>
    </row>
    <row r="1351" spans="1:18">
      <c r="A1351" s="15" t="str">
        <f t="shared" si="25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8" t="s">
        <v>75</v>
      </c>
      <c r="P1351" s="48">
        <f>HEX2DEC(RIGHT(Table13232127535868[[#This Row],[h1]],8))</f>
        <v>0</v>
      </c>
      <c r="Q1351" s="48" t="s">
        <v>75</v>
      </c>
      <c r="R1351" s="48">
        <f>HEX2DEC(RIGHT(Table13232127535868[[#This Row],[h2]],8))</f>
        <v>0</v>
      </c>
    </row>
    <row r="1352" spans="1:18">
      <c r="A1352" s="15" t="str">
        <f t="shared" si="25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8" t="s">
        <v>75</v>
      </c>
      <c r="P1352" s="48">
        <f>HEX2DEC(RIGHT(Table13232127535868[[#This Row],[h1]],8))</f>
        <v>0</v>
      </c>
      <c r="Q1352" s="48" t="s">
        <v>75</v>
      </c>
      <c r="R1352" s="48">
        <f>HEX2DEC(RIGHT(Table13232127535868[[#This Row],[h2]],8))</f>
        <v>0</v>
      </c>
    </row>
    <row r="1353" spans="1:18">
      <c r="A1353" s="15" t="str">
        <f t="shared" si="25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8" t="s">
        <v>75</v>
      </c>
      <c r="P1353" s="48">
        <f>HEX2DEC(RIGHT(Table13232127535868[[#This Row],[h1]],8))</f>
        <v>0</v>
      </c>
      <c r="Q1353" s="48" t="s">
        <v>75</v>
      </c>
      <c r="R1353" s="48">
        <f>HEX2DEC(RIGHT(Table13232127535868[[#This Row],[h2]],8))</f>
        <v>0</v>
      </c>
    </row>
    <row r="1354" spans="1:18">
      <c r="A1354" s="15" t="str">
        <f t="shared" si="25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8" t="s">
        <v>75</v>
      </c>
      <c r="P1354" s="48">
        <f>HEX2DEC(RIGHT(Table13232127535868[[#This Row],[h1]],8))</f>
        <v>0</v>
      </c>
      <c r="Q1354" s="48" t="s">
        <v>75</v>
      </c>
      <c r="R1354" s="48">
        <f>HEX2DEC(RIGHT(Table13232127535868[[#This Row],[h2]],8))</f>
        <v>0</v>
      </c>
    </row>
    <row r="1355" spans="1:18">
      <c r="A1355" s="15" t="str">
        <f t="shared" ref="A1355:A1418" si="26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8" t="s">
        <v>75</v>
      </c>
      <c r="P1355" s="48">
        <f>HEX2DEC(RIGHT(Table13232127535868[[#This Row],[h1]],8))</f>
        <v>0</v>
      </c>
      <c r="Q1355" s="48" t="s">
        <v>75</v>
      </c>
      <c r="R1355" s="48">
        <f>HEX2DEC(RIGHT(Table13232127535868[[#This Row],[h2]],8))</f>
        <v>0</v>
      </c>
    </row>
    <row r="1356" spans="1:18">
      <c r="A1356" s="15" t="str">
        <f t="shared" si="26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8" t="s">
        <v>75</v>
      </c>
      <c r="P1356" s="48">
        <f>HEX2DEC(RIGHT(Table13232127535868[[#This Row],[h1]],8))</f>
        <v>0</v>
      </c>
      <c r="Q1356" s="48" t="s">
        <v>75</v>
      </c>
      <c r="R1356" s="48">
        <f>HEX2DEC(RIGHT(Table13232127535868[[#This Row],[h2]],8))</f>
        <v>0</v>
      </c>
    </row>
    <row r="1357" spans="1:18">
      <c r="A1357" s="15" t="str">
        <f t="shared" si="26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8" t="s">
        <v>75</v>
      </c>
      <c r="P1357" s="48">
        <f>HEX2DEC(RIGHT(Table13232127535868[[#This Row],[h1]],8))</f>
        <v>0</v>
      </c>
      <c r="Q1357" s="48" t="s">
        <v>75</v>
      </c>
      <c r="R1357" s="48">
        <f>HEX2DEC(RIGHT(Table13232127535868[[#This Row],[h2]],8))</f>
        <v>0</v>
      </c>
    </row>
    <row r="1358" spans="1:18">
      <c r="A1358" s="15" t="str">
        <f t="shared" si="26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8" t="s">
        <v>75</v>
      </c>
      <c r="P1358" s="48">
        <f>HEX2DEC(RIGHT(Table13232127535868[[#This Row],[h1]],8))</f>
        <v>0</v>
      </c>
      <c r="Q1358" s="48" t="s">
        <v>75</v>
      </c>
      <c r="R1358" s="48">
        <f>HEX2DEC(RIGHT(Table13232127535868[[#This Row],[h2]],8))</f>
        <v>0</v>
      </c>
    </row>
    <row r="1359" spans="1:18">
      <c r="A1359" s="15" t="str">
        <f t="shared" si="26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8" t="s">
        <v>75</v>
      </c>
      <c r="P1359" s="48">
        <f>HEX2DEC(RIGHT(Table13232127535868[[#This Row],[h1]],8))</f>
        <v>0</v>
      </c>
      <c r="Q1359" s="48" t="s">
        <v>75</v>
      </c>
      <c r="R1359" s="48">
        <f>HEX2DEC(RIGHT(Table13232127535868[[#This Row],[h2]],8))</f>
        <v>0</v>
      </c>
    </row>
    <row r="1360" spans="1:18">
      <c r="A1360" s="15" t="str">
        <f t="shared" si="26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8" t="s">
        <v>75</v>
      </c>
      <c r="P1360" s="48">
        <f>HEX2DEC(RIGHT(Table13232127535868[[#This Row],[h1]],8))</f>
        <v>0</v>
      </c>
      <c r="Q1360" s="48" t="s">
        <v>75</v>
      </c>
      <c r="R1360" s="48">
        <f>HEX2DEC(RIGHT(Table13232127535868[[#This Row],[h2]],8))</f>
        <v>0</v>
      </c>
    </row>
    <row r="1361" spans="1:18">
      <c r="A1361" s="15" t="str">
        <f t="shared" si="26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8" t="s">
        <v>75</v>
      </c>
      <c r="P1361" s="48">
        <f>HEX2DEC(RIGHT(Table13232127535868[[#This Row],[h1]],8))</f>
        <v>0</v>
      </c>
      <c r="Q1361" s="48" t="s">
        <v>75</v>
      </c>
      <c r="R1361" s="48">
        <f>HEX2DEC(RIGHT(Table13232127535868[[#This Row],[h2]],8))</f>
        <v>0</v>
      </c>
    </row>
    <row r="1362" spans="1:18">
      <c r="A1362" s="15" t="str">
        <f t="shared" si="26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8" t="s">
        <v>75</v>
      </c>
      <c r="P1362" s="48">
        <f>HEX2DEC(RIGHT(Table13232127535868[[#This Row],[h1]],8))</f>
        <v>0</v>
      </c>
      <c r="Q1362" s="48" t="s">
        <v>75</v>
      </c>
      <c r="R1362" s="48">
        <f>HEX2DEC(RIGHT(Table13232127535868[[#This Row],[h2]],8))</f>
        <v>0</v>
      </c>
    </row>
    <row r="1363" spans="1:18">
      <c r="A1363" s="15" t="str">
        <f t="shared" si="26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8" t="s">
        <v>75</v>
      </c>
      <c r="P1363" s="48">
        <f>HEX2DEC(RIGHT(Table13232127535868[[#This Row],[h1]],8))</f>
        <v>0</v>
      </c>
      <c r="Q1363" s="48" t="s">
        <v>75</v>
      </c>
      <c r="R1363" s="48">
        <f>HEX2DEC(RIGHT(Table13232127535868[[#This Row],[h2]],8))</f>
        <v>0</v>
      </c>
    </row>
    <row r="1364" spans="1:18">
      <c r="A1364" s="15" t="str">
        <f t="shared" si="26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8" t="s">
        <v>75</v>
      </c>
      <c r="P1364" s="48">
        <f>HEX2DEC(RIGHT(Table13232127535868[[#This Row],[h1]],8))</f>
        <v>0</v>
      </c>
      <c r="Q1364" s="48" t="s">
        <v>75</v>
      </c>
      <c r="R1364" s="48">
        <f>HEX2DEC(RIGHT(Table13232127535868[[#This Row],[h2]],8))</f>
        <v>0</v>
      </c>
    </row>
    <row r="1365" spans="1:18">
      <c r="A1365" s="15" t="str">
        <f t="shared" si="26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8" t="s">
        <v>75</v>
      </c>
      <c r="P1365" s="48">
        <f>HEX2DEC(RIGHT(Table13232127535868[[#This Row],[h1]],8))</f>
        <v>0</v>
      </c>
      <c r="Q1365" s="48" t="s">
        <v>75</v>
      </c>
      <c r="R1365" s="48">
        <f>HEX2DEC(RIGHT(Table13232127535868[[#This Row],[h2]],8))</f>
        <v>0</v>
      </c>
    </row>
    <row r="1366" spans="1:18">
      <c r="A1366" s="15" t="str">
        <f t="shared" si="26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8" t="s">
        <v>75</v>
      </c>
      <c r="P1366" s="48">
        <f>HEX2DEC(RIGHT(Table13232127535868[[#This Row],[h1]],8))</f>
        <v>0</v>
      </c>
      <c r="Q1366" s="48" t="s">
        <v>75</v>
      </c>
      <c r="R1366" s="48">
        <f>HEX2DEC(RIGHT(Table13232127535868[[#This Row],[h2]],8))</f>
        <v>0</v>
      </c>
    </row>
    <row r="1367" spans="1:18">
      <c r="A1367" s="15" t="str">
        <f t="shared" si="26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8" t="s">
        <v>75</v>
      </c>
      <c r="P1367" s="48">
        <f>HEX2DEC(RIGHT(Table13232127535868[[#This Row],[h1]],8))</f>
        <v>0</v>
      </c>
      <c r="Q1367" s="48" t="s">
        <v>75</v>
      </c>
      <c r="R1367" s="48">
        <f>HEX2DEC(RIGHT(Table13232127535868[[#This Row],[h2]],8))</f>
        <v>0</v>
      </c>
    </row>
    <row r="1368" spans="1:18">
      <c r="A1368" s="15" t="str">
        <f t="shared" si="26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8" t="s">
        <v>75</v>
      </c>
      <c r="P1368" s="48">
        <f>HEX2DEC(RIGHT(Table13232127535868[[#This Row],[h1]],8))</f>
        <v>0</v>
      </c>
      <c r="Q1368" s="48" t="s">
        <v>75</v>
      </c>
      <c r="R1368" s="48">
        <f>HEX2DEC(RIGHT(Table13232127535868[[#This Row],[h2]],8))</f>
        <v>0</v>
      </c>
    </row>
    <row r="1369" spans="1:18">
      <c r="A1369" s="15" t="str">
        <f t="shared" si="26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8" t="s">
        <v>75</v>
      </c>
      <c r="P1369" s="48">
        <f>HEX2DEC(RIGHT(Table13232127535868[[#This Row],[h1]],8))</f>
        <v>0</v>
      </c>
      <c r="Q1369" s="48" t="s">
        <v>75</v>
      </c>
      <c r="R1369" s="48">
        <f>HEX2DEC(RIGHT(Table13232127535868[[#This Row],[h2]],8))</f>
        <v>0</v>
      </c>
    </row>
    <row r="1370" spans="1:18">
      <c r="A1370" s="15" t="str">
        <f t="shared" si="26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8" t="s">
        <v>75</v>
      </c>
      <c r="P1370" s="48">
        <f>HEX2DEC(RIGHT(Table13232127535868[[#This Row],[h1]],8))</f>
        <v>0</v>
      </c>
      <c r="Q1370" s="48" t="s">
        <v>75</v>
      </c>
      <c r="R1370" s="48">
        <f>HEX2DEC(RIGHT(Table13232127535868[[#This Row],[h2]],8))</f>
        <v>0</v>
      </c>
    </row>
    <row r="1371" spans="1:18">
      <c r="A1371" s="15" t="str">
        <f t="shared" si="26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8" t="s">
        <v>75</v>
      </c>
      <c r="P1371" s="48">
        <f>HEX2DEC(RIGHT(Table13232127535868[[#This Row],[h1]],8))</f>
        <v>0</v>
      </c>
      <c r="Q1371" s="48" t="s">
        <v>75</v>
      </c>
      <c r="R1371" s="48">
        <f>HEX2DEC(RIGHT(Table13232127535868[[#This Row],[h2]],8))</f>
        <v>0</v>
      </c>
    </row>
    <row r="1372" spans="1:18">
      <c r="A1372" s="15" t="str">
        <f t="shared" si="26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8" t="s">
        <v>75</v>
      </c>
      <c r="P1372" s="48">
        <f>HEX2DEC(RIGHT(Table13232127535868[[#This Row],[h1]],8))</f>
        <v>0</v>
      </c>
      <c r="Q1372" s="48" t="s">
        <v>75</v>
      </c>
      <c r="R1372" s="48">
        <f>HEX2DEC(RIGHT(Table13232127535868[[#This Row],[h2]],8))</f>
        <v>0</v>
      </c>
    </row>
    <row r="1373" spans="1:18">
      <c r="A1373" s="15" t="str">
        <f t="shared" si="26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8" t="s">
        <v>75</v>
      </c>
      <c r="P1373" s="48">
        <f>HEX2DEC(RIGHT(Table13232127535868[[#This Row],[h1]],8))</f>
        <v>0</v>
      </c>
      <c r="Q1373" s="48" t="s">
        <v>75</v>
      </c>
      <c r="R1373" s="48">
        <f>HEX2DEC(RIGHT(Table13232127535868[[#This Row],[h2]],8))</f>
        <v>0</v>
      </c>
    </row>
    <row r="1374" spans="1:18">
      <c r="A1374" s="15" t="str">
        <f t="shared" si="26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8" t="s">
        <v>75</v>
      </c>
      <c r="P1374" s="48">
        <f>HEX2DEC(RIGHT(Table13232127535868[[#This Row],[h1]],8))</f>
        <v>0</v>
      </c>
      <c r="Q1374" s="48" t="s">
        <v>75</v>
      </c>
      <c r="R1374" s="48">
        <f>HEX2DEC(RIGHT(Table13232127535868[[#This Row],[h2]],8))</f>
        <v>0</v>
      </c>
    </row>
    <row r="1375" spans="1:18">
      <c r="A1375" s="15" t="str">
        <f t="shared" si="26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8" t="s">
        <v>75</v>
      </c>
      <c r="P1375" s="48">
        <f>HEX2DEC(RIGHT(Table13232127535868[[#This Row],[h1]],8))</f>
        <v>0</v>
      </c>
      <c r="Q1375" s="48" t="s">
        <v>75</v>
      </c>
      <c r="R1375" s="48">
        <f>HEX2DEC(RIGHT(Table13232127535868[[#This Row],[h2]],8))</f>
        <v>0</v>
      </c>
    </row>
    <row r="1376" spans="1:18">
      <c r="A1376" s="15" t="str">
        <f t="shared" si="26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8" t="s">
        <v>75</v>
      </c>
      <c r="P1376" s="48">
        <f>HEX2DEC(RIGHT(Table13232127535868[[#This Row],[h1]],8))</f>
        <v>0</v>
      </c>
      <c r="Q1376" s="48" t="s">
        <v>75</v>
      </c>
      <c r="R1376" s="48">
        <f>HEX2DEC(RIGHT(Table13232127535868[[#This Row],[h2]],8))</f>
        <v>0</v>
      </c>
    </row>
    <row r="1377" spans="1:18">
      <c r="A1377" s="15" t="str">
        <f t="shared" si="26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8" t="s">
        <v>75</v>
      </c>
      <c r="P1377" s="48">
        <f>HEX2DEC(RIGHT(Table13232127535868[[#This Row],[h1]],8))</f>
        <v>0</v>
      </c>
      <c r="Q1377" s="48" t="s">
        <v>75</v>
      </c>
      <c r="R1377" s="48">
        <f>HEX2DEC(RIGHT(Table13232127535868[[#This Row],[h2]],8))</f>
        <v>0</v>
      </c>
    </row>
    <row r="1378" spans="1:18">
      <c r="A1378" s="15" t="str">
        <f t="shared" si="26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8" t="s">
        <v>75</v>
      </c>
      <c r="P1378" s="48">
        <f>HEX2DEC(RIGHT(Table13232127535868[[#This Row],[h1]],8))</f>
        <v>0</v>
      </c>
      <c r="Q1378" s="48" t="s">
        <v>75</v>
      </c>
      <c r="R1378" s="48">
        <f>HEX2DEC(RIGHT(Table13232127535868[[#This Row],[h2]],8))</f>
        <v>0</v>
      </c>
    </row>
    <row r="1379" spans="1:18">
      <c r="A1379" s="15" t="str">
        <f t="shared" si="26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8" t="s">
        <v>75</v>
      </c>
      <c r="P1379" s="48">
        <f>HEX2DEC(RIGHT(Table13232127535868[[#This Row],[h1]],8))</f>
        <v>0</v>
      </c>
      <c r="Q1379" s="48" t="s">
        <v>75</v>
      </c>
      <c r="R1379" s="48">
        <f>HEX2DEC(RIGHT(Table13232127535868[[#This Row],[h2]],8))</f>
        <v>0</v>
      </c>
    </row>
    <row r="1380" spans="1:18">
      <c r="A1380" s="15" t="str">
        <f t="shared" si="26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8" t="s">
        <v>75</v>
      </c>
      <c r="P1380" s="48">
        <f>HEX2DEC(RIGHT(Table13232127535868[[#This Row],[h1]],8))</f>
        <v>0</v>
      </c>
      <c r="Q1380" s="48" t="s">
        <v>75</v>
      </c>
      <c r="R1380" s="48">
        <f>HEX2DEC(RIGHT(Table13232127535868[[#This Row],[h2]],8))</f>
        <v>0</v>
      </c>
    </row>
    <row r="1381" spans="1:18">
      <c r="A1381" s="15" t="str">
        <f t="shared" si="26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8" t="s">
        <v>75</v>
      </c>
      <c r="P1381" s="48">
        <f>HEX2DEC(RIGHT(Table13232127535868[[#This Row],[h1]],8))</f>
        <v>0</v>
      </c>
      <c r="Q1381" s="48" t="s">
        <v>75</v>
      </c>
      <c r="R1381" s="48">
        <f>HEX2DEC(RIGHT(Table13232127535868[[#This Row],[h2]],8))</f>
        <v>0</v>
      </c>
    </row>
    <row r="1382" spans="1:18">
      <c r="A1382" s="15" t="str">
        <f t="shared" si="26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8" t="s">
        <v>75</v>
      </c>
      <c r="P1382" s="48">
        <f>HEX2DEC(RIGHT(Table13232127535868[[#This Row],[h1]],8))</f>
        <v>0</v>
      </c>
      <c r="Q1382" s="48" t="s">
        <v>75</v>
      </c>
      <c r="R1382" s="48">
        <f>HEX2DEC(RIGHT(Table13232127535868[[#This Row],[h2]],8))</f>
        <v>0</v>
      </c>
    </row>
    <row r="1383" spans="1:18">
      <c r="A1383" s="15" t="str">
        <f t="shared" si="26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8" t="s">
        <v>75</v>
      </c>
      <c r="P1383" s="48">
        <f>HEX2DEC(RIGHT(Table13232127535868[[#This Row],[h1]],8))</f>
        <v>0</v>
      </c>
      <c r="Q1383" s="48" t="s">
        <v>75</v>
      </c>
      <c r="R1383" s="48">
        <f>HEX2DEC(RIGHT(Table13232127535868[[#This Row],[h2]],8))</f>
        <v>0</v>
      </c>
    </row>
    <row r="1384" spans="1:18">
      <c r="A1384" s="15" t="str">
        <f t="shared" si="26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8" t="s">
        <v>75</v>
      </c>
      <c r="P1384" s="48">
        <f>HEX2DEC(RIGHT(Table13232127535868[[#This Row],[h1]],8))</f>
        <v>0</v>
      </c>
      <c r="Q1384" s="48" t="s">
        <v>75</v>
      </c>
      <c r="R1384" s="48">
        <f>HEX2DEC(RIGHT(Table13232127535868[[#This Row],[h2]],8))</f>
        <v>0</v>
      </c>
    </row>
    <row r="1385" spans="1:18">
      <c r="A1385" s="15" t="str">
        <f t="shared" si="26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8" t="s">
        <v>75</v>
      </c>
      <c r="P1385" s="48">
        <f>HEX2DEC(RIGHT(Table13232127535868[[#This Row],[h1]],8))</f>
        <v>0</v>
      </c>
      <c r="Q1385" s="48" t="s">
        <v>75</v>
      </c>
      <c r="R1385" s="48">
        <f>HEX2DEC(RIGHT(Table13232127535868[[#This Row],[h2]],8))</f>
        <v>0</v>
      </c>
    </row>
    <row r="1386" spans="1:18">
      <c r="A1386" s="15" t="str">
        <f t="shared" si="26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8" t="s">
        <v>75</v>
      </c>
      <c r="P1386" s="48">
        <f>HEX2DEC(RIGHT(Table13232127535868[[#This Row],[h1]],8))</f>
        <v>0</v>
      </c>
      <c r="Q1386" s="48" t="s">
        <v>75</v>
      </c>
      <c r="R1386" s="48">
        <f>HEX2DEC(RIGHT(Table13232127535868[[#This Row],[h2]],8))</f>
        <v>0</v>
      </c>
    </row>
    <row r="1387" spans="1:18">
      <c r="A1387" s="15" t="str">
        <f t="shared" si="26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8" t="s">
        <v>75</v>
      </c>
      <c r="P1387" s="48">
        <f>HEX2DEC(RIGHT(Table13232127535868[[#This Row],[h1]],8))</f>
        <v>0</v>
      </c>
      <c r="Q1387" s="48" t="s">
        <v>75</v>
      </c>
      <c r="R1387" s="48">
        <f>HEX2DEC(RIGHT(Table13232127535868[[#This Row],[h2]],8))</f>
        <v>0</v>
      </c>
    </row>
    <row r="1388" spans="1:18">
      <c r="A1388" s="15" t="str">
        <f t="shared" si="26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8" t="s">
        <v>75</v>
      </c>
      <c r="P1388" s="48">
        <f>HEX2DEC(RIGHT(Table13232127535868[[#This Row],[h1]],8))</f>
        <v>0</v>
      </c>
      <c r="Q1388" s="48" t="s">
        <v>75</v>
      </c>
      <c r="R1388" s="48">
        <f>HEX2DEC(RIGHT(Table13232127535868[[#This Row],[h2]],8))</f>
        <v>0</v>
      </c>
    </row>
    <row r="1389" spans="1:18">
      <c r="A1389" s="15" t="str">
        <f t="shared" si="26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8" t="s">
        <v>75</v>
      </c>
      <c r="P1389" s="48">
        <f>HEX2DEC(RIGHT(Table13232127535868[[#This Row],[h1]],8))</f>
        <v>0</v>
      </c>
      <c r="Q1389" s="48" t="s">
        <v>75</v>
      </c>
      <c r="R1389" s="48">
        <f>HEX2DEC(RIGHT(Table13232127535868[[#This Row],[h2]],8))</f>
        <v>0</v>
      </c>
    </row>
    <row r="1390" spans="1:18">
      <c r="A1390" s="15" t="str">
        <f t="shared" si="26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8" t="s">
        <v>75</v>
      </c>
      <c r="P1390" s="48">
        <f>HEX2DEC(RIGHT(Table13232127535868[[#This Row],[h1]],8))</f>
        <v>0</v>
      </c>
      <c r="Q1390" s="48" t="s">
        <v>75</v>
      </c>
      <c r="R1390" s="48">
        <f>HEX2DEC(RIGHT(Table13232127535868[[#This Row],[h2]],8))</f>
        <v>0</v>
      </c>
    </row>
    <row r="1391" spans="1:18">
      <c r="A1391" s="15" t="str">
        <f t="shared" si="26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8" t="s">
        <v>75</v>
      </c>
      <c r="P1391" s="48">
        <f>HEX2DEC(RIGHT(Table13232127535868[[#This Row],[h1]],8))</f>
        <v>0</v>
      </c>
      <c r="Q1391" s="48" t="s">
        <v>75</v>
      </c>
      <c r="R1391" s="48">
        <f>HEX2DEC(RIGHT(Table13232127535868[[#This Row],[h2]],8))</f>
        <v>0</v>
      </c>
    </row>
    <row r="1392" spans="1:18">
      <c r="A1392" s="15" t="str">
        <f t="shared" si="26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8" t="s">
        <v>75</v>
      </c>
      <c r="P1392" s="48">
        <f>HEX2DEC(RIGHT(Table13232127535868[[#This Row],[h1]],8))</f>
        <v>0</v>
      </c>
      <c r="Q1392" s="48" t="s">
        <v>75</v>
      </c>
      <c r="R1392" s="48">
        <f>HEX2DEC(RIGHT(Table13232127535868[[#This Row],[h2]],8))</f>
        <v>0</v>
      </c>
    </row>
    <row r="1393" spans="1:18">
      <c r="A1393" s="15" t="str">
        <f t="shared" si="26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8" t="s">
        <v>75</v>
      </c>
      <c r="P1393" s="48">
        <f>HEX2DEC(RIGHT(Table13232127535868[[#This Row],[h1]],8))</f>
        <v>0</v>
      </c>
      <c r="Q1393" s="48" t="s">
        <v>75</v>
      </c>
      <c r="R1393" s="48">
        <f>HEX2DEC(RIGHT(Table13232127535868[[#This Row],[h2]],8))</f>
        <v>0</v>
      </c>
    </row>
    <row r="1394" spans="1:18">
      <c r="A1394" s="15" t="str">
        <f t="shared" si="26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8" t="s">
        <v>75</v>
      </c>
      <c r="P1394" s="48">
        <f>HEX2DEC(RIGHT(Table13232127535868[[#This Row],[h1]],8))</f>
        <v>0</v>
      </c>
      <c r="Q1394" s="48" t="s">
        <v>75</v>
      </c>
      <c r="R1394" s="48">
        <f>HEX2DEC(RIGHT(Table13232127535868[[#This Row],[h2]],8))</f>
        <v>0</v>
      </c>
    </row>
    <row r="1395" spans="1:18">
      <c r="A1395" s="15" t="str">
        <f t="shared" si="26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8" t="s">
        <v>75</v>
      </c>
      <c r="P1395" s="48">
        <f>HEX2DEC(RIGHT(Table13232127535868[[#This Row],[h1]],8))</f>
        <v>0</v>
      </c>
      <c r="Q1395" s="48" t="s">
        <v>75</v>
      </c>
      <c r="R1395" s="48">
        <f>HEX2DEC(RIGHT(Table13232127535868[[#This Row],[h2]],8))</f>
        <v>0</v>
      </c>
    </row>
    <row r="1396" spans="1:18">
      <c r="A1396" s="15" t="str">
        <f t="shared" si="26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8" t="s">
        <v>75</v>
      </c>
      <c r="P1396" s="48">
        <f>HEX2DEC(RIGHT(Table13232127535868[[#This Row],[h1]],8))</f>
        <v>0</v>
      </c>
      <c r="Q1396" s="48" t="s">
        <v>75</v>
      </c>
      <c r="R1396" s="48">
        <f>HEX2DEC(RIGHT(Table13232127535868[[#This Row],[h2]],8))</f>
        <v>0</v>
      </c>
    </row>
    <row r="1397" spans="1:18">
      <c r="A1397" s="15" t="str">
        <f t="shared" si="26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8" t="s">
        <v>75</v>
      </c>
      <c r="P1397" s="48">
        <f>HEX2DEC(RIGHT(Table13232127535868[[#This Row],[h1]],8))</f>
        <v>0</v>
      </c>
      <c r="Q1397" s="48" t="s">
        <v>75</v>
      </c>
      <c r="R1397" s="48">
        <f>HEX2DEC(RIGHT(Table13232127535868[[#This Row],[h2]],8))</f>
        <v>0</v>
      </c>
    </row>
    <row r="1398" spans="1:18">
      <c r="A1398" s="15" t="str">
        <f t="shared" si="26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8" t="s">
        <v>75</v>
      </c>
      <c r="P1398" s="48">
        <f>HEX2DEC(RIGHT(Table13232127535868[[#This Row],[h1]],8))</f>
        <v>0</v>
      </c>
      <c r="Q1398" s="48" t="s">
        <v>75</v>
      </c>
      <c r="R1398" s="48">
        <f>HEX2DEC(RIGHT(Table13232127535868[[#This Row],[h2]],8))</f>
        <v>0</v>
      </c>
    </row>
    <row r="1399" spans="1:18">
      <c r="A1399" s="15" t="str">
        <f t="shared" si="26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8" t="s">
        <v>75</v>
      </c>
      <c r="P1399" s="48">
        <f>HEX2DEC(RIGHT(Table13232127535868[[#This Row],[h1]],8))</f>
        <v>0</v>
      </c>
      <c r="Q1399" s="48" t="s">
        <v>75</v>
      </c>
      <c r="R1399" s="48">
        <f>HEX2DEC(RIGHT(Table13232127535868[[#This Row],[h2]],8))</f>
        <v>0</v>
      </c>
    </row>
    <row r="1400" spans="1:18">
      <c r="A1400" s="15" t="str">
        <f t="shared" si="26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8" t="s">
        <v>75</v>
      </c>
      <c r="P1400" s="48">
        <f>HEX2DEC(RIGHT(Table13232127535868[[#This Row],[h1]],8))</f>
        <v>0</v>
      </c>
      <c r="Q1400" s="48" t="s">
        <v>75</v>
      </c>
      <c r="R1400" s="48">
        <f>HEX2DEC(RIGHT(Table13232127535868[[#This Row],[h2]],8))</f>
        <v>0</v>
      </c>
    </row>
    <row r="1401" spans="1:18">
      <c r="A1401" s="15" t="str">
        <f t="shared" si="26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8" t="s">
        <v>75</v>
      </c>
      <c r="P1401" s="48">
        <f>HEX2DEC(RIGHT(Table13232127535868[[#This Row],[h1]],8))</f>
        <v>0</v>
      </c>
      <c r="Q1401" s="48" t="s">
        <v>75</v>
      </c>
      <c r="R1401" s="48">
        <f>HEX2DEC(RIGHT(Table13232127535868[[#This Row],[h2]],8))</f>
        <v>0</v>
      </c>
    </row>
    <row r="1402" spans="1:18">
      <c r="A1402" s="15" t="str">
        <f t="shared" si="26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8" t="s">
        <v>75</v>
      </c>
      <c r="P1402" s="48">
        <f>HEX2DEC(RIGHT(Table13232127535868[[#This Row],[h1]],8))</f>
        <v>0</v>
      </c>
      <c r="Q1402" s="48" t="s">
        <v>75</v>
      </c>
      <c r="R1402" s="48">
        <f>HEX2DEC(RIGHT(Table13232127535868[[#This Row],[h2]],8))</f>
        <v>0</v>
      </c>
    </row>
    <row r="1403" spans="1:18">
      <c r="A1403" s="15" t="str">
        <f t="shared" si="26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8" t="s">
        <v>75</v>
      </c>
      <c r="P1403" s="48">
        <f>HEX2DEC(RIGHT(Table13232127535868[[#This Row],[h1]],8))</f>
        <v>0</v>
      </c>
      <c r="Q1403" s="48" t="s">
        <v>75</v>
      </c>
      <c r="R1403" s="48">
        <f>HEX2DEC(RIGHT(Table13232127535868[[#This Row],[h2]],8))</f>
        <v>0</v>
      </c>
    </row>
    <row r="1404" spans="1:18">
      <c r="A1404" s="15" t="str">
        <f t="shared" si="26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8" t="s">
        <v>75</v>
      </c>
      <c r="P1404" s="48">
        <f>HEX2DEC(RIGHT(Table13232127535868[[#This Row],[h1]],8))</f>
        <v>0</v>
      </c>
      <c r="Q1404" s="48" t="s">
        <v>75</v>
      </c>
      <c r="R1404" s="48">
        <f>HEX2DEC(RIGHT(Table13232127535868[[#This Row],[h2]],8))</f>
        <v>0</v>
      </c>
    </row>
    <row r="1405" spans="1:18">
      <c r="A1405" s="15" t="str">
        <f t="shared" si="26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8" t="s">
        <v>75</v>
      </c>
      <c r="P1405" s="48">
        <f>HEX2DEC(RIGHT(Table13232127535868[[#This Row],[h1]],8))</f>
        <v>0</v>
      </c>
      <c r="Q1405" s="48" t="s">
        <v>75</v>
      </c>
      <c r="R1405" s="48">
        <f>HEX2DEC(RIGHT(Table13232127535868[[#This Row],[h2]],8))</f>
        <v>0</v>
      </c>
    </row>
    <row r="1406" spans="1:18">
      <c r="A1406" s="15" t="str">
        <f t="shared" si="26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8" t="s">
        <v>75</v>
      </c>
      <c r="P1406" s="48">
        <f>HEX2DEC(RIGHT(Table13232127535868[[#This Row],[h1]],8))</f>
        <v>0</v>
      </c>
      <c r="Q1406" s="48" t="s">
        <v>75</v>
      </c>
      <c r="R1406" s="48">
        <f>HEX2DEC(RIGHT(Table13232127535868[[#This Row],[h2]],8))</f>
        <v>0</v>
      </c>
    </row>
    <row r="1407" spans="1:18">
      <c r="A1407" s="15" t="str">
        <f t="shared" si="26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8" t="s">
        <v>75</v>
      </c>
      <c r="P1407" s="48">
        <f>HEX2DEC(RIGHT(Table13232127535868[[#This Row],[h1]],8))</f>
        <v>0</v>
      </c>
      <c r="Q1407" s="48" t="s">
        <v>75</v>
      </c>
      <c r="R1407" s="48">
        <f>HEX2DEC(RIGHT(Table13232127535868[[#This Row],[h2]],8))</f>
        <v>0</v>
      </c>
    </row>
    <row r="1408" spans="1:18">
      <c r="A1408" s="15" t="str">
        <f t="shared" si="26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8" t="s">
        <v>75</v>
      </c>
      <c r="P1408" s="48">
        <f>HEX2DEC(RIGHT(Table13232127535868[[#This Row],[h1]],8))</f>
        <v>0</v>
      </c>
      <c r="Q1408" s="48" t="s">
        <v>75</v>
      </c>
      <c r="R1408" s="48">
        <f>HEX2DEC(RIGHT(Table13232127535868[[#This Row],[h2]],8))</f>
        <v>0</v>
      </c>
    </row>
    <row r="1409" spans="1:18">
      <c r="A1409" s="15" t="str">
        <f t="shared" si="26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8" t="s">
        <v>75</v>
      </c>
      <c r="P1409" s="48">
        <f>HEX2DEC(RIGHT(Table13232127535868[[#This Row],[h1]],8))</f>
        <v>0</v>
      </c>
      <c r="Q1409" s="48" t="s">
        <v>75</v>
      </c>
      <c r="R1409" s="48">
        <f>HEX2DEC(RIGHT(Table13232127535868[[#This Row],[h2]],8))</f>
        <v>0</v>
      </c>
    </row>
    <row r="1410" spans="1:18">
      <c r="A1410" s="15" t="str">
        <f t="shared" si="26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8" t="s">
        <v>75</v>
      </c>
      <c r="P1410" s="48">
        <f>HEX2DEC(RIGHT(Table13232127535868[[#This Row],[h1]],8))</f>
        <v>0</v>
      </c>
      <c r="Q1410" s="48" t="s">
        <v>75</v>
      </c>
      <c r="R1410" s="48">
        <f>HEX2DEC(RIGHT(Table13232127535868[[#This Row],[h2]],8))</f>
        <v>0</v>
      </c>
    </row>
    <row r="1411" spans="1:18">
      <c r="A1411" s="15" t="str">
        <f t="shared" si="26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8" t="s">
        <v>75</v>
      </c>
      <c r="P1411" s="48">
        <f>HEX2DEC(RIGHT(Table13232127535868[[#This Row],[h1]],8))</f>
        <v>0</v>
      </c>
      <c r="Q1411" s="48" t="s">
        <v>75</v>
      </c>
      <c r="R1411" s="48">
        <f>HEX2DEC(RIGHT(Table13232127535868[[#This Row],[h2]],8))</f>
        <v>0</v>
      </c>
    </row>
    <row r="1412" spans="1:18">
      <c r="A1412" s="15" t="str">
        <f t="shared" si="26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8" t="s">
        <v>75</v>
      </c>
      <c r="P1412" s="48">
        <f>HEX2DEC(RIGHT(Table13232127535868[[#This Row],[h1]],8))</f>
        <v>0</v>
      </c>
      <c r="Q1412" s="48" t="s">
        <v>75</v>
      </c>
      <c r="R1412" s="48">
        <f>HEX2DEC(RIGHT(Table13232127535868[[#This Row],[h2]],8))</f>
        <v>0</v>
      </c>
    </row>
    <row r="1413" spans="1:18">
      <c r="A1413" s="15" t="str">
        <f t="shared" si="26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8" t="s">
        <v>75</v>
      </c>
      <c r="P1413" s="48">
        <f>HEX2DEC(RIGHT(Table13232127535868[[#This Row],[h1]],8))</f>
        <v>0</v>
      </c>
      <c r="Q1413" s="48" t="s">
        <v>75</v>
      </c>
      <c r="R1413" s="48">
        <f>HEX2DEC(RIGHT(Table13232127535868[[#This Row],[h2]],8))</f>
        <v>0</v>
      </c>
    </row>
    <row r="1414" spans="1:18">
      <c r="A1414" s="15" t="str">
        <f t="shared" si="26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8" t="s">
        <v>75</v>
      </c>
      <c r="P1414" s="48">
        <f>HEX2DEC(RIGHT(Table13232127535868[[#This Row],[h1]],8))</f>
        <v>0</v>
      </c>
      <c r="Q1414" s="48" t="s">
        <v>75</v>
      </c>
      <c r="R1414" s="48">
        <f>HEX2DEC(RIGHT(Table13232127535868[[#This Row],[h2]],8))</f>
        <v>0</v>
      </c>
    </row>
    <row r="1415" spans="1:18">
      <c r="A1415" s="15" t="str">
        <f t="shared" si="26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8" t="s">
        <v>75</v>
      </c>
      <c r="P1415" s="48">
        <f>HEX2DEC(RIGHT(Table13232127535868[[#This Row],[h1]],8))</f>
        <v>0</v>
      </c>
      <c r="Q1415" s="48" t="s">
        <v>75</v>
      </c>
      <c r="R1415" s="48">
        <f>HEX2DEC(RIGHT(Table13232127535868[[#This Row],[h2]],8))</f>
        <v>0</v>
      </c>
    </row>
    <row r="1416" spans="1:18">
      <c r="A1416" s="15" t="str">
        <f t="shared" si="26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8" t="s">
        <v>75</v>
      </c>
      <c r="P1416" s="48">
        <f>HEX2DEC(RIGHT(Table13232127535868[[#This Row],[h1]],8))</f>
        <v>0</v>
      </c>
      <c r="Q1416" s="48" t="s">
        <v>75</v>
      </c>
      <c r="R1416" s="48">
        <f>HEX2DEC(RIGHT(Table13232127535868[[#This Row],[h2]],8))</f>
        <v>0</v>
      </c>
    </row>
    <row r="1417" spans="1:18">
      <c r="A1417" s="15" t="str">
        <f t="shared" si="26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8" t="s">
        <v>75</v>
      </c>
      <c r="P1417" s="48">
        <f>HEX2DEC(RIGHT(Table13232127535868[[#This Row],[h1]],8))</f>
        <v>0</v>
      </c>
      <c r="Q1417" s="48" t="s">
        <v>75</v>
      </c>
      <c r="R1417" s="48">
        <f>HEX2DEC(RIGHT(Table13232127535868[[#This Row],[h2]],8))</f>
        <v>0</v>
      </c>
    </row>
    <row r="1418" spans="1:18">
      <c r="A1418" s="15" t="str">
        <f t="shared" si="26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8" t="s">
        <v>75</v>
      </c>
      <c r="P1418" s="48">
        <f>HEX2DEC(RIGHT(Table13232127535868[[#This Row],[h1]],8))</f>
        <v>0</v>
      </c>
      <c r="Q1418" s="48" t="s">
        <v>75</v>
      </c>
      <c r="R1418" s="48">
        <f>HEX2DEC(RIGHT(Table13232127535868[[#This Row],[h2]],8))</f>
        <v>0</v>
      </c>
    </row>
    <row r="1419" spans="1:18">
      <c r="A1419" s="15" t="str">
        <f t="shared" ref="A1419:A1482" si="27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8" t="s">
        <v>75</v>
      </c>
      <c r="P1419" s="48">
        <f>HEX2DEC(RIGHT(Table13232127535868[[#This Row],[h1]],8))</f>
        <v>0</v>
      </c>
      <c r="Q1419" s="48" t="s">
        <v>75</v>
      </c>
      <c r="R1419" s="48">
        <f>HEX2DEC(RIGHT(Table13232127535868[[#This Row],[h2]],8))</f>
        <v>0</v>
      </c>
    </row>
    <row r="1420" spans="1:18">
      <c r="A1420" s="15" t="str">
        <f t="shared" si="27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8" t="s">
        <v>75</v>
      </c>
      <c r="P1420" s="48">
        <f>HEX2DEC(RIGHT(Table13232127535868[[#This Row],[h1]],8))</f>
        <v>0</v>
      </c>
      <c r="Q1420" s="48" t="s">
        <v>75</v>
      </c>
      <c r="R1420" s="48">
        <f>HEX2DEC(RIGHT(Table13232127535868[[#This Row],[h2]],8))</f>
        <v>0</v>
      </c>
    </row>
    <row r="1421" spans="1:18">
      <c r="A1421" s="15" t="str">
        <f t="shared" si="27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8" t="s">
        <v>75</v>
      </c>
      <c r="P1421" s="48">
        <f>HEX2DEC(RIGHT(Table13232127535868[[#This Row],[h1]],8))</f>
        <v>0</v>
      </c>
      <c r="Q1421" s="48" t="s">
        <v>75</v>
      </c>
      <c r="R1421" s="48">
        <f>HEX2DEC(RIGHT(Table13232127535868[[#This Row],[h2]],8))</f>
        <v>0</v>
      </c>
    </row>
    <row r="1422" spans="1:18">
      <c r="A1422" s="15" t="str">
        <f t="shared" si="27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8" t="s">
        <v>75</v>
      </c>
      <c r="P1422" s="48">
        <f>HEX2DEC(RIGHT(Table13232127535868[[#This Row],[h1]],8))</f>
        <v>0</v>
      </c>
      <c r="Q1422" s="48" t="s">
        <v>75</v>
      </c>
      <c r="R1422" s="48">
        <f>HEX2DEC(RIGHT(Table13232127535868[[#This Row],[h2]],8))</f>
        <v>0</v>
      </c>
    </row>
    <row r="1423" spans="1:18">
      <c r="A1423" s="15" t="str">
        <f t="shared" si="27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8" t="s">
        <v>75</v>
      </c>
      <c r="P1423" s="48">
        <f>HEX2DEC(RIGHT(Table13232127535868[[#This Row],[h1]],8))</f>
        <v>0</v>
      </c>
      <c r="Q1423" s="48" t="s">
        <v>75</v>
      </c>
      <c r="R1423" s="48">
        <f>HEX2DEC(RIGHT(Table13232127535868[[#This Row],[h2]],8))</f>
        <v>0</v>
      </c>
    </row>
    <row r="1424" spans="1:18">
      <c r="A1424" s="15" t="str">
        <f t="shared" si="27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8" t="s">
        <v>75</v>
      </c>
      <c r="P1424" s="48">
        <f>HEX2DEC(RIGHT(Table13232127535868[[#This Row],[h1]],8))</f>
        <v>0</v>
      </c>
      <c r="Q1424" s="48" t="s">
        <v>75</v>
      </c>
      <c r="R1424" s="48">
        <f>HEX2DEC(RIGHT(Table13232127535868[[#This Row],[h2]],8))</f>
        <v>0</v>
      </c>
    </row>
    <row r="1425" spans="1:18">
      <c r="A1425" s="15" t="str">
        <f t="shared" si="27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8" t="s">
        <v>75</v>
      </c>
      <c r="P1425" s="48">
        <f>HEX2DEC(RIGHT(Table13232127535868[[#This Row],[h1]],8))</f>
        <v>0</v>
      </c>
      <c r="Q1425" s="48" t="s">
        <v>75</v>
      </c>
      <c r="R1425" s="48">
        <f>HEX2DEC(RIGHT(Table13232127535868[[#This Row],[h2]],8))</f>
        <v>0</v>
      </c>
    </row>
    <row r="1426" spans="1:18">
      <c r="A1426" s="15" t="str">
        <f t="shared" si="27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8" t="s">
        <v>75</v>
      </c>
      <c r="P1426" s="48">
        <f>HEX2DEC(RIGHT(Table13232127535868[[#This Row],[h1]],8))</f>
        <v>0</v>
      </c>
      <c r="Q1426" s="48" t="s">
        <v>75</v>
      </c>
      <c r="R1426" s="48">
        <f>HEX2DEC(RIGHT(Table13232127535868[[#This Row],[h2]],8))</f>
        <v>0</v>
      </c>
    </row>
    <row r="1427" spans="1:18">
      <c r="A1427" s="15" t="str">
        <f t="shared" si="27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8" t="s">
        <v>75</v>
      </c>
      <c r="P1427" s="48">
        <f>HEX2DEC(RIGHT(Table13232127535868[[#This Row],[h1]],8))</f>
        <v>0</v>
      </c>
      <c r="Q1427" s="48" t="s">
        <v>75</v>
      </c>
      <c r="R1427" s="48">
        <f>HEX2DEC(RIGHT(Table13232127535868[[#This Row],[h2]],8))</f>
        <v>0</v>
      </c>
    </row>
    <row r="1428" spans="1:18">
      <c r="A1428" s="15" t="str">
        <f t="shared" si="27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8" t="s">
        <v>75</v>
      </c>
      <c r="P1428" s="48">
        <f>HEX2DEC(RIGHT(Table13232127535868[[#This Row],[h1]],8))</f>
        <v>0</v>
      </c>
      <c r="Q1428" s="48" t="s">
        <v>75</v>
      </c>
      <c r="R1428" s="48">
        <f>HEX2DEC(RIGHT(Table13232127535868[[#This Row],[h2]],8))</f>
        <v>0</v>
      </c>
    </row>
    <row r="1429" spans="1:18">
      <c r="A1429" s="15" t="str">
        <f t="shared" si="27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8" t="s">
        <v>75</v>
      </c>
      <c r="P1429" s="48">
        <f>HEX2DEC(RIGHT(Table13232127535868[[#This Row],[h1]],8))</f>
        <v>0</v>
      </c>
      <c r="Q1429" s="48" t="s">
        <v>75</v>
      </c>
      <c r="R1429" s="48">
        <f>HEX2DEC(RIGHT(Table13232127535868[[#This Row],[h2]],8))</f>
        <v>0</v>
      </c>
    </row>
    <row r="1430" spans="1:18">
      <c r="A1430" s="15" t="str">
        <f t="shared" si="27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8" t="s">
        <v>75</v>
      </c>
      <c r="P1430" s="48">
        <f>HEX2DEC(RIGHT(Table13232127535868[[#This Row],[h1]],8))</f>
        <v>0</v>
      </c>
      <c r="Q1430" s="48" t="s">
        <v>75</v>
      </c>
      <c r="R1430" s="48">
        <f>HEX2DEC(RIGHT(Table13232127535868[[#This Row],[h2]],8))</f>
        <v>0</v>
      </c>
    </row>
    <row r="1431" spans="1:18">
      <c r="A1431" s="15" t="str">
        <f t="shared" si="27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8" t="s">
        <v>75</v>
      </c>
      <c r="P1431" s="48">
        <f>HEX2DEC(RIGHT(Table13232127535868[[#This Row],[h1]],8))</f>
        <v>0</v>
      </c>
      <c r="Q1431" s="48" t="s">
        <v>75</v>
      </c>
      <c r="R1431" s="48">
        <f>HEX2DEC(RIGHT(Table13232127535868[[#This Row],[h2]],8))</f>
        <v>0</v>
      </c>
    </row>
    <row r="1432" spans="1:18">
      <c r="A1432" s="15" t="str">
        <f t="shared" si="27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8" t="s">
        <v>75</v>
      </c>
      <c r="P1432" s="48">
        <f>HEX2DEC(RIGHT(Table13232127535868[[#This Row],[h1]],8))</f>
        <v>0</v>
      </c>
      <c r="Q1432" s="48" t="s">
        <v>75</v>
      </c>
      <c r="R1432" s="48">
        <f>HEX2DEC(RIGHT(Table13232127535868[[#This Row],[h2]],8))</f>
        <v>0</v>
      </c>
    </row>
    <row r="1433" spans="1:18">
      <c r="A1433" s="15" t="str">
        <f t="shared" si="27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8" t="s">
        <v>75</v>
      </c>
      <c r="P1433" s="48">
        <f>HEX2DEC(RIGHT(Table13232127535868[[#This Row],[h1]],8))</f>
        <v>0</v>
      </c>
      <c r="Q1433" s="48" t="s">
        <v>75</v>
      </c>
      <c r="R1433" s="48">
        <f>HEX2DEC(RIGHT(Table13232127535868[[#This Row],[h2]],8))</f>
        <v>0</v>
      </c>
    </row>
    <row r="1434" spans="1:18">
      <c r="A1434" s="15" t="str">
        <f t="shared" si="27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8" t="s">
        <v>75</v>
      </c>
      <c r="P1434" s="48">
        <f>HEX2DEC(RIGHT(Table13232127535868[[#This Row],[h1]],8))</f>
        <v>0</v>
      </c>
      <c r="Q1434" s="48" t="s">
        <v>75</v>
      </c>
      <c r="R1434" s="48">
        <f>HEX2DEC(RIGHT(Table13232127535868[[#This Row],[h2]],8))</f>
        <v>0</v>
      </c>
    </row>
    <row r="1435" spans="1:18">
      <c r="A1435" s="15" t="str">
        <f t="shared" si="27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8" t="s">
        <v>75</v>
      </c>
      <c r="P1435" s="48">
        <f>HEX2DEC(RIGHT(Table13232127535868[[#This Row],[h1]],8))</f>
        <v>0</v>
      </c>
      <c r="Q1435" s="48" t="s">
        <v>75</v>
      </c>
      <c r="R1435" s="48">
        <f>HEX2DEC(RIGHT(Table13232127535868[[#This Row],[h2]],8))</f>
        <v>0</v>
      </c>
    </row>
    <row r="1436" spans="1:18">
      <c r="A1436" s="15" t="str">
        <f t="shared" si="27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8" t="s">
        <v>75</v>
      </c>
      <c r="P1436" s="48">
        <f>HEX2DEC(RIGHT(Table13232127535868[[#This Row],[h1]],8))</f>
        <v>0</v>
      </c>
      <c r="Q1436" s="48" t="s">
        <v>75</v>
      </c>
      <c r="R1436" s="48">
        <f>HEX2DEC(RIGHT(Table13232127535868[[#This Row],[h2]],8))</f>
        <v>0</v>
      </c>
    </row>
    <row r="1437" spans="1:18">
      <c r="A1437" s="15" t="str">
        <f t="shared" si="27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8" t="s">
        <v>75</v>
      </c>
      <c r="P1437" s="48">
        <f>HEX2DEC(RIGHT(Table13232127535868[[#This Row],[h1]],8))</f>
        <v>0</v>
      </c>
      <c r="Q1437" s="48" t="s">
        <v>75</v>
      </c>
      <c r="R1437" s="48">
        <f>HEX2DEC(RIGHT(Table13232127535868[[#This Row],[h2]],8))</f>
        <v>0</v>
      </c>
    </row>
    <row r="1438" spans="1:18">
      <c r="A1438" s="15" t="str">
        <f t="shared" si="27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8" t="s">
        <v>75</v>
      </c>
      <c r="P1438" s="48">
        <f>HEX2DEC(RIGHT(Table13232127535868[[#This Row],[h1]],8))</f>
        <v>0</v>
      </c>
      <c r="Q1438" s="48" t="s">
        <v>75</v>
      </c>
      <c r="R1438" s="48">
        <f>HEX2DEC(RIGHT(Table13232127535868[[#This Row],[h2]],8))</f>
        <v>0</v>
      </c>
    </row>
    <row r="1439" spans="1:18">
      <c r="A1439" s="15" t="str">
        <f t="shared" si="27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8" t="s">
        <v>75</v>
      </c>
      <c r="P1439" s="48">
        <f>HEX2DEC(RIGHT(Table13232127535868[[#This Row],[h1]],8))</f>
        <v>0</v>
      </c>
      <c r="Q1439" s="48" t="s">
        <v>75</v>
      </c>
      <c r="R1439" s="48">
        <f>HEX2DEC(RIGHT(Table13232127535868[[#This Row],[h2]],8))</f>
        <v>0</v>
      </c>
    </row>
    <row r="1440" spans="1:18">
      <c r="A1440" s="15" t="str">
        <f t="shared" si="27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8" t="s">
        <v>75</v>
      </c>
      <c r="P1440" s="48">
        <f>HEX2DEC(RIGHT(Table13232127535868[[#This Row],[h1]],8))</f>
        <v>0</v>
      </c>
      <c r="Q1440" s="48" t="s">
        <v>75</v>
      </c>
      <c r="R1440" s="48">
        <f>HEX2DEC(RIGHT(Table13232127535868[[#This Row],[h2]],8))</f>
        <v>0</v>
      </c>
    </row>
    <row r="1441" spans="1:18">
      <c r="A1441" s="15" t="str">
        <f t="shared" si="27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8" t="s">
        <v>75</v>
      </c>
      <c r="P1441" s="48">
        <f>HEX2DEC(RIGHT(Table13232127535868[[#This Row],[h1]],8))</f>
        <v>0</v>
      </c>
      <c r="Q1441" s="48" t="s">
        <v>75</v>
      </c>
      <c r="R1441" s="48">
        <f>HEX2DEC(RIGHT(Table13232127535868[[#This Row],[h2]],8))</f>
        <v>0</v>
      </c>
    </row>
    <row r="1442" spans="1:18">
      <c r="A1442" s="15" t="str">
        <f t="shared" si="27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8" t="s">
        <v>75</v>
      </c>
      <c r="P1442" s="48">
        <f>HEX2DEC(RIGHT(Table13232127535868[[#This Row],[h1]],8))</f>
        <v>0</v>
      </c>
      <c r="Q1442" s="48" t="s">
        <v>75</v>
      </c>
      <c r="R1442" s="48">
        <f>HEX2DEC(RIGHT(Table13232127535868[[#This Row],[h2]],8))</f>
        <v>0</v>
      </c>
    </row>
    <row r="1443" spans="1:18">
      <c r="A1443" s="15" t="str">
        <f t="shared" si="27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8" t="s">
        <v>75</v>
      </c>
      <c r="P1443" s="48">
        <f>HEX2DEC(RIGHT(Table13232127535868[[#This Row],[h1]],8))</f>
        <v>0</v>
      </c>
      <c r="Q1443" s="48" t="s">
        <v>75</v>
      </c>
      <c r="R1443" s="48">
        <f>HEX2DEC(RIGHT(Table13232127535868[[#This Row],[h2]],8))</f>
        <v>0</v>
      </c>
    </row>
    <row r="1444" spans="1:18">
      <c r="A1444" s="15" t="str">
        <f t="shared" si="27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8" t="s">
        <v>75</v>
      </c>
      <c r="P1444" s="48">
        <f>HEX2DEC(RIGHT(Table13232127535868[[#This Row],[h1]],8))</f>
        <v>0</v>
      </c>
      <c r="Q1444" s="48" t="s">
        <v>75</v>
      </c>
      <c r="R1444" s="48">
        <f>HEX2DEC(RIGHT(Table13232127535868[[#This Row],[h2]],8))</f>
        <v>0</v>
      </c>
    </row>
    <row r="1445" spans="1:18">
      <c r="A1445" s="15" t="str">
        <f t="shared" si="27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8" t="s">
        <v>75</v>
      </c>
      <c r="P1445" s="48">
        <f>HEX2DEC(RIGHT(Table13232127535868[[#This Row],[h1]],8))</f>
        <v>0</v>
      </c>
      <c r="Q1445" s="48" t="s">
        <v>75</v>
      </c>
      <c r="R1445" s="48">
        <f>HEX2DEC(RIGHT(Table13232127535868[[#This Row],[h2]],8))</f>
        <v>0</v>
      </c>
    </row>
    <row r="1446" spans="1:18">
      <c r="A1446" s="15" t="str">
        <f t="shared" si="27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8" t="s">
        <v>75</v>
      </c>
      <c r="P1446" s="48">
        <f>HEX2DEC(RIGHT(Table13232127535868[[#This Row],[h1]],8))</f>
        <v>0</v>
      </c>
      <c r="Q1446" s="48" t="s">
        <v>75</v>
      </c>
      <c r="R1446" s="48">
        <f>HEX2DEC(RIGHT(Table13232127535868[[#This Row],[h2]],8))</f>
        <v>0</v>
      </c>
    </row>
    <row r="1447" spans="1:18">
      <c r="A1447" s="15" t="str">
        <f t="shared" si="27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8" t="s">
        <v>75</v>
      </c>
      <c r="P1447" s="48">
        <f>HEX2DEC(RIGHT(Table13232127535868[[#This Row],[h1]],8))</f>
        <v>0</v>
      </c>
      <c r="Q1447" s="48" t="s">
        <v>75</v>
      </c>
      <c r="R1447" s="48">
        <f>HEX2DEC(RIGHT(Table13232127535868[[#This Row],[h2]],8))</f>
        <v>0</v>
      </c>
    </row>
    <row r="1448" spans="1:18">
      <c r="A1448" s="15" t="str">
        <f t="shared" si="27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8" t="s">
        <v>75</v>
      </c>
      <c r="P1448" s="48">
        <f>HEX2DEC(RIGHT(Table13232127535868[[#This Row],[h1]],8))</f>
        <v>0</v>
      </c>
      <c r="Q1448" s="48" t="s">
        <v>75</v>
      </c>
      <c r="R1448" s="48">
        <f>HEX2DEC(RIGHT(Table13232127535868[[#This Row],[h2]],8))</f>
        <v>0</v>
      </c>
    </row>
    <row r="1449" spans="1:18">
      <c r="A1449" s="15" t="str">
        <f t="shared" si="27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8" t="s">
        <v>75</v>
      </c>
      <c r="P1449" s="48">
        <f>HEX2DEC(RIGHT(Table13232127535868[[#This Row],[h1]],8))</f>
        <v>0</v>
      </c>
      <c r="Q1449" s="48" t="s">
        <v>75</v>
      </c>
      <c r="R1449" s="48">
        <f>HEX2DEC(RIGHT(Table13232127535868[[#This Row],[h2]],8))</f>
        <v>0</v>
      </c>
    </row>
    <row r="1450" spans="1:18">
      <c r="A1450" s="15" t="str">
        <f t="shared" si="27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8" t="s">
        <v>75</v>
      </c>
      <c r="P1450" s="48">
        <f>HEX2DEC(RIGHT(Table13232127535868[[#This Row],[h1]],8))</f>
        <v>0</v>
      </c>
      <c r="Q1450" s="48" t="s">
        <v>75</v>
      </c>
      <c r="R1450" s="48">
        <f>HEX2DEC(RIGHT(Table13232127535868[[#This Row],[h2]],8))</f>
        <v>0</v>
      </c>
    </row>
    <row r="1451" spans="1:18">
      <c r="A1451" s="15" t="str">
        <f t="shared" si="27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8" t="s">
        <v>75</v>
      </c>
      <c r="P1451" s="48">
        <f>HEX2DEC(RIGHT(Table13232127535868[[#This Row],[h1]],8))</f>
        <v>0</v>
      </c>
      <c r="Q1451" s="48" t="s">
        <v>75</v>
      </c>
      <c r="R1451" s="48">
        <f>HEX2DEC(RIGHT(Table13232127535868[[#This Row],[h2]],8))</f>
        <v>0</v>
      </c>
    </row>
    <row r="1452" spans="1:18">
      <c r="A1452" s="15" t="str">
        <f t="shared" si="27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8" t="s">
        <v>75</v>
      </c>
      <c r="P1452" s="48">
        <f>HEX2DEC(RIGHT(Table13232127535868[[#This Row],[h1]],8))</f>
        <v>0</v>
      </c>
      <c r="Q1452" s="48" t="s">
        <v>75</v>
      </c>
      <c r="R1452" s="48">
        <f>HEX2DEC(RIGHT(Table13232127535868[[#This Row],[h2]],8))</f>
        <v>0</v>
      </c>
    </row>
    <row r="1453" spans="1:18">
      <c r="A1453" s="15" t="str">
        <f t="shared" si="27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8" t="s">
        <v>75</v>
      </c>
      <c r="P1453" s="48">
        <f>HEX2DEC(RIGHT(Table13232127535868[[#This Row],[h1]],8))</f>
        <v>0</v>
      </c>
      <c r="Q1453" s="48" t="s">
        <v>75</v>
      </c>
      <c r="R1453" s="48">
        <f>HEX2DEC(RIGHT(Table13232127535868[[#This Row],[h2]],8))</f>
        <v>0</v>
      </c>
    </row>
    <row r="1454" spans="1:18">
      <c r="A1454" s="15" t="str">
        <f t="shared" si="27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8" t="s">
        <v>75</v>
      </c>
      <c r="P1454" s="48">
        <f>HEX2DEC(RIGHT(Table13232127535868[[#This Row],[h1]],8))</f>
        <v>0</v>
      </c>
      <c r="Q1454" s="48" t="s">
        <v>75</v>
      </c>
      <c r="R1454" s="48">
        <f>HEX2DEC(RIGHT(Table13232127535868[[#This Row],[h2]],8))</f>
        <v>0</v>
      </c>
    </row>
    <row r="1455" spans="1:18">
      <c r="A1455" s="15" t="str">
        <f t="shared" si="27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8" t="s">
        <v>75</v>
      </c>
      <c r="P1455" s="48">
        <f>HEX2DEC(RIGHT(Table13232127535868[[#This Row],[h1]],8))</f>
        <v>0</v>
      </c>
      <c r="Q1455" s="48" t="s">
        <v>75</v>
      </c>
      <c r="R1455" s="48">
        <f>HEX2DEC(RIGHT(Table13232127535868[[#This Row],[h2]],8))</f>
        <v>0</v>
      </c>
    </row>
    <row r="1456" spans="1:18">
      <c r="A1456" s="15" t="str">
        <f t="shared" si="27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8" t="s">
        <v>75</v>
      </c>
      <c r="P1456" s="48">
        <f>HEX2DEC(RIGHT(Table13232127535868[[#This Row],[h1]],8))</f>
        <v>0</v>
      </c>
      <c r="Q1456" s="48" t="s">
        <v>75</v>
      </c>
      <c r="R1456" s="48">
        <f>HEX2DEC(RIGHT(Table13232127535868[[#This Row],[h2]],8))</f>
        <v>0</v>
      </c>
    </row>
    <row r="1457" spans="1:18">
      <c r="A1457" s="15" t="str">
        <f t="shared" si="27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8" t="s">
        <v>75</v>
      </c>
      <c r="P1457" s="48">
        <f>HEX2DEC(RIGHT(Table13232127535868[[#This Row],[h1]],8))</f>
        <v>0</v>
      </c>
      <c r="Q1457" s="48" t="s">
        <v>75</v>
      </c>
      <c r="R1457" s="48">
        <f>HEX2DEC(RIGHT(Table13232127535868[[#This Row],[h2]],8))</f>
        <v>0</v>
      </c>
    </row>
    <row r="1458" spans="1:18">
      <c r="A1458" s="15" t="str">
        <f t="shared" si="27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8" t="s">
        <v>75</v>
      </c>
      <c r="P1458" s="48">
        <f>HEX2DEC(RIGHT(Table13232127535868[[#This Row],[h1]],8))</f>
        <v>0</v>
      </c>
      <c r="Q1458" s="48" t="s">
        <v>75</v>
      </c>
      <c r="R1458" s="48">
        <f>HEX2DEC(RIGHT(Table13232127535868[[#This Row],[h2]],8))</f>
        <v>0</v>
      </c>
    </row>
    <row r="1459" spans="1:18">
      <c r="A1459" s="15" t="str">
        <f t="shared" si="27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8" t="s">
        <v>75</v>
      </c>
      <c r="P1459" s="48">
        <f>HEX2DEC(RIGHT(Table13232127535868[[#This Row],[h1]],8))</f>
        <v>0</v>
      </c>
      <c r="Q1459" s="48" t="s">
        <v>75</v>
      </c>
      <c r="R1459" s="48">
        <f>HEX2DEC(RIGHT(Table13232127535868[[#This Row],[h2]],8))</f>
        <v>0</v>
      </c>
    </row>
    <row r="1460" spans="1:18">
      <c r="A1460" s="15" t="str">
        <f t="shared" si="27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8" t="s">
        <v>75</v>
      </c>
      <c r="P1460" s="48">
        <f>HEX2DEC(RIGHT(Table13232127535868[[#This Row],[h1]],8))</f>
        <v>0</v>
      </c>
      <c r="Q1460" s="48" t="s">
        <v>75</v>
      </c>
      <c r="R1460" s="48">
        <f>HEX2DEC(RIGHT(Table13232127535868[[#This Row],[h2]],8))</f>
        <v>0</v>
      </c>
    </row>
    <row r="1461" spans="1:18">
      <c r="A1461" s="15" t="str">
        <f t="shared" si="27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8" t="s">
        <v>75</v>
      </c>
      <c r="P1461" s="48">
        <f>HEX2DEC(RIGHT(Table13232127535868[[#This Row],[h1]],8))</f>
        <v>0</v>
      </c>
      <c r="Q1461" s="48" t="s">
        <v>75</v>
      </c>
      <c r="R1461" s="48">
        <f>HEX2DEC(RIGHT(Table13232127535868[[#This Row],[h2]],8))</f>
        <v>0</v>
      </c>
    </row>
    <row r="1462" spans="1:18">
      <c r="A1462" s="15" t="str">
        <f t="shared" si="27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8" t="s">
        <v>75</v>
      </c>
      <c r="P1462" s="48">
        <f>HEX2DEC(RIGHT(Table13232127535868[[#This Row],[h1]],8))</f>
        <v>0</v>
      </c>
      <c r="Q1462" s="48" t="s">
        <v>75</v>
      </c>
      <c r="R1462" s="48">
        <f>HEX2DEC(RIGHT(Table13232127535868[[#This Row],[h2]],8))</f>
        <v>0</v>
      </c>
    </row>
    <row r="1463" spans="1:18">
      <c r="A1463" s="15" t="str">
        <f t="shared" si="27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8" t="s">
        <v>75</v>
      </c>
      <c r="P1463" s="48">
        <f>HEX2DEC(RIGHT(Table13232127535868[[#This Row],[h1]],8))</f>
        <v>0</v>
      </c>
      <c r="Q1463" s="48" t="s">
        <v>75</v>
      </c>
      <c r="R1463" s="48">
        <f>HEX2DEC(RIGHT(Table13232127535868[[#This Row],[h2]],8))</f>
        <v>0</v>
      </c>
    </row>
    <row r="1464" spans="1:18">
      <c r="A1464" s="15" t="str">
        <f t="shared" si="27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8" t="s">
        <v>75</v>
      </c>
      <c r="P1464" s="48">
        <f>HEX2DEC(RIGHT(Table13232127535868[[#This Row],[h1]],8))</f>
        <v>0</v>
      </c>
      <c r="Q1464" s="48" t="s">
        <v>75</v>
      </c>
      <c r="R1464" s="48">
        <f>HEX2DEC(RIGHT(Table13232127535868[[#This Row],[h2]],8))</f>
        <v>0</v>
      </c>
    </row>
    <row r="1465" spans="1:18">
      <c r="A1465" s="15" t="str">
        <f t="shared" si="27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8" t="s">
        <v>75</v>
      </c>
      <c r="P1465" s="48">
        <f>HEX2DEC(RIGHT(Table13232127535868[[#This Row],[h1]],8))</f>
        <v>0</v>
      </c>
      <c r="Q1465" s="48" t="s">
        <v>75</v>
      </c>
      <c r="R1465" s="48">
        <f>HEX2DEC(RIGHT(Table13232127535868[[#This Row],[h2]],8))</f>
        <v>0</v>
      </c>
    </row>
    <row r="1466" spans="1:18">
      <c r="A1466" s="15" t="str">
        <f t="shared" si="27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8" t="s">
        <v>75</v>
      </c>
      <c r="P1466" s="48">
        <f>HEX2DEC(RIGHT(Table13232127535868[[#This Row],[h1]],8))</f>
        <v>0</v>
      </c>
      <c r="Q1466" s="48" t="s">
        <v>75</v>
      </c>
      <c r="R1466" s="48">
        <f>HEX2DEC(RIGHT(Table13232127535868[[#This Row],[h2]],8))</f>
        <v>0</v>
      </c>
    </row>
    <row r="1467" spans="1:18">
      <c r="A1467" s="15" t="str">
        <f t="shared" si="27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8" t="s">
        <v>75</v>
      </c>
      <c r="P1467" s="48">
        <f>HEX2DEC(RIGHT(Table13232127535868[[#This Row],[h1]],8))</f>
        <v>0</v>
      </c>
      <c r="Q1467" s="48" t="s">
        <v>75</v>
      </c>
      <c r="R1467" s="48">
        <f>HEX2DEC(RIGHT(Table13232127535868[[#This Row],[h2]],8))</f>
        <v>0</v>
      </c>
    </row>
    <row r="1468" spans="1:18">
      <c r="A1468" s="15" t="str">
        <f t="shared" si="27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8" t="s">
        <v>75</v>
      </c>
      <c r="P1468" s="48">
        <f>HEX2DEC(RIGHT(Table13232127535868[[#This Row],[h1]],8))</f>
        <v>0</v>
      </c>
      <c r="Q1468" s="48" t="s">
        <v>75</v>
      </c>
      <c r="R1468" s="48">
        <f>HEX2DEC(RIGHT(Table13232127535868[[#This Row],[h2]],8))</f>
        <v>0</v>
      </c>
    </row>
    <row r="1469" spans="1:18">
      <c r="A1469" s="15" t="str">
        <f t="shared" si="27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8" t="s">
        <v>75</v>
      </c>
      <c r="P1469" s="48">
        <f>HEX2DEC(RIGHT(Table13232127535868[[#This Row],[h1]],8))</f>
        <v>0</v>
      </c>
      <c r="Q1469" s="48" t="s">
        <v>75</v>
      </c>
      <c r="R1469" s="48">
        <f>HEX2DEC(RIGHT(Table13232127535868[[#This Row],[h2]],8))</f>
        <v>0</v>
      </c>
    </row>
    <row r="1470" spans="1:18">
      <c r="A1470" s="15" t="str">
        <f t="shared" si="27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8" t="s">
        <v>75</v>
      </c>
      <c r="P1470" s="48">
        <f>HEX2DEC(RIGHT(Table13232127535868[[#This Row],[h1]],8))</f>
        <v>0</v>
      </c>
      <c r="Q1470" s="48" t="s">
        <v>75</v>
      </c>
      <c r="R1470" s="48">
        <f>HEX2DEC(RIGHT(Table13232127535868[[#This Row],[h2]],8))</f>
        <v>0</v>
      </c>
    </row>
    <row r="1471" spans="1:18">
      <c r="A1471" s="15" t="str">
        <f t="shared" si="27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8" t="s">
        <v>75</v>
      </c>
      <c r="P1471" s="48">
        <f>HEX2DEC(RIGHT(Table13232127535868[[#This Row],[h1]],8))</f>
        <v>0</v>
      </c>
      <c r="Q1471" s="48" t="s">
        <v>75</v>
      </c>
      <c r="R1471" s="48">
        <f>HEX2DEC(RIGHT(Table13232127535868[[#This Row],[h2]],8))</f>
        <v>0</v>
      </c>
    </row>
    <row r="1472" spans="1:18">
      <c r="A1472" s="15" t="str">
        <f t="shared" si="27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8" t="s">
        <v>75</v>
      </c>
      <c r="P1472" s="48">
        <f>HEX2DEC(RIGHT(Table13232127535868[[#This Row],[h1]],8))</f>
        <v>0</v>
      </c>
      <c r="Q1472" s="48" t="s">
        <v>75</v>
      </c>
      <c r="R1472" s="48">
        <f>HEX2DEC(RIGHT(Table13232127535868[[#This Row],[h2]],8))</f>
        <v>0</v>
      </c>
    </row>
    <row r="1473" spans="1:18">
      <c r="A1473" s="15" t="str">
        <f t="shared" si="27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8" t="s">
        <v>75</v>
      </c>
      <c r="P1473" s="48">
        <f>HEX2DEC(RIGHT(Table13232127535868[[#This Row],[h1]],8))</f>
        <v>0</v>
      </c>
      <c r="Q1473" s="48" t="s">
        <v>75</v>
      </c>
      <c r="R1473" s="48">
        <f>HEX2DEC(RIGHT(Table13232127535868[[#This Row],[h2]],8))</f>
        <v>0</v>
      </c>
    </row>
    <row r="1474" spans="1:18">
      <c r="A1474" s="15" t="str">
        <f t="shared" si="27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8" t="s">
        <v>75</v>
      </c>
      <c r="P1474" s="48">
        <f>HEX2DEC(RIGHT(Table13232127535868[[#This Row],[h1]],8))</f>
        <v>0</v>
      </c>
      <c r="Q1474" s="48" t="s">
        <v>75</v>
      </c>
      <c r="R1474" s="48">
        <f>HEX2DEC(RIGHT(Table13232127535868[[#This Row],[h2]],8))</f>
        <v>0</v>
      </c>
    </row>
    <row r="1475" spans="1:18">
      <c r="A1475" s="15" t="str">
        <f t="shared" si="27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8" t="s">
        <v>75</v>
      </c>
      <c r="P1475" s="48">
        <f>HEX2DEC(RIGHT(Table13232127535868[[#This Row],[h1]],8))</f>
        <v>0</v>
      </c>
      <c r="Q1475" s="48" t="s">
        <v>75</v>
      </c>
      <c r="R1475" s="48">
        <f>HEX2DEC(RIGHT(Table13232127535868[[#This Row],[h2]],8))</f>
        <v>0</v>
      </c>
    </row>
    <row r="1476" spans="1:18">
      <c r="A1476" s="15" t="str">
        <f t="shared" si="27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8" t="s">
        <v>75</v>
      </c>
      <c r="P1476" s="48">
        <f>HEX2DEC(RIGHT(Table13232127535868[[#This Row],[h1]],8))</f>
        <v>0</v>
      </c>
      <c r="Q1476" s="48" t="s">
        <v>75</v>
      </c>
      <c r="R1476" s="48">
        <f>HEX2DEC(RIGHT(Table13232127535868[[#This Row],[h2]],8))</f>
        <v>0</v>
      </c>
    </row>
    <row r="1477" spans="1:18">
      <c r="A1477" s="15" t="str">
        <f t="shared" si="27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8" t="s">
        <v>75</v>
      </c>
      <c r="P1477" s="48">
        <f>HEX2DEC(RIGHT(Table13232127535868[[#This Row],[h1]],8))</f>
        <v>0</v>
      </c>
      <c r="Q1477" s="48" t="s">
        <v>75</v>
      </c>
      <c r="R1477" s="48">
        <f>HEX2DEC(RIGHT(Table13232127535868[[#This Row],[h2]],8))</f>
        <v>0</v>
      </c>
    </row>
    <row r="1478" spans="1:18">
      <c r="A1478" s="15" t="str">
        <f t="shared" si="27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8" t="s">
        <v>75</v>
      </c>
      <c r="P1478" s="48">
        <f>HEX2DEC(RIGHT(Table13232127535868[[#This Row],[h1]],8))</f>
        <v>0</v>
      </c>
      <c r="Q1478" s="48" t="s">
        <v>75</v>
      </c>
      <c r="R1478" s="48">
        <f>HEX2DEC(RIGHT(Table13232127535868[[#This Row],[h2]],8))</f>
        <v>0</v>
      </c>
    </row>
    <row r="1479" spans="1:18">
      <c r="A1479" s="15" t="str">
        <f t="shared" si="27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8" t="s">
        <v>75</v>
      </c>
      <c r="P1479" s="48">
        <f>HEX2DEC(RIGHT(Table13232127535868[[#This Row],[h1]],8))</f>
        <v>0</v>
      </c>
      <c r="Q1479" s="48" t="s">
        <v>75</v>
      </c>
      <c r="R1479" s="48">
        <f>HEX2DEC(RIGHT(Table13232127535868[[#This Row],[h2]],8))</f>
        <v>0</v>
      </c>
    </row>
    <row r="1480" spans="1:18">
      <c r="A1480" s="15" t="str">
        <f t="shared" si="27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8" t="s">
        <v>75</v>
      </c>
      <c r="P1480" s="48">
        <f>HEX2DEC(RIGHT(Table13232127535868[[#This Row],[h1]],8))</f>
        <v>0</v>
      </c>
      <c r="Q1480" s="48" t="s">
        <v>75</v>
      </c>
      <c r="R1480" s="48">
        <f>HEX2DEC(RIGHT(Table13232127535868[[#This Row],[h2]],8))</f>
        <v>0</v>
      </c>
    </row>
    <row r="1481" spans="1:18">
      <c r="A1481" s="15" t="str">
        <f t="shared" si="27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8" t="s">
        <v>75</v>
      </c>
      <c r="P1481" s="48">
        <f>HEX2DEC(RIGHT(Table13232127535868[[#This Row],[h1]],8))</f>
        <v>0</v>
      </c>
      <c r="Q1481" s="48" t="s">
        <v>75</v>
      </c>
      <c r="R1481" s="48">
        <f>HEX2DEC(RIGHT(Table13232127535868[[#This Row],[h2]],8))</f>
        <v>0</v>
      </c>
    </row>
    <row r="1482" spans="1:18">
      <c r="A1482" s="15" t="str">
        <f t="shared" si="27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8" t="s">
        <v>75</v>
      </c>
      <c r="P1482" s="48">
        <f>HEX2DEC(RIGHT(Table13232127535868[[#This Row],[h1]],8))</f>
        <v>0</v>
      </c>
      <c r="Q1482" s="48" t="s">
        <v>75</v>
      </c>
      <c r="R1482" s="48">
        <f>HEX2DEC(RIGHT(Table13232127535868[[#This Row],[h2]],8))</f>
        <v>0</v>
      </c>
    </row>
    <row r="1483" spans="1:18">
      <c r="A1483" s="15" t="str">
        <f t="shared" ref="A1483:A1546" si="28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8" t="s">
        <v>75</v>
      </c>
      <c r="P1483" s="48">
        <f>HEX2DEC(RIGHT(Table13232127535868[[#This Row],[h1]],8))</f>
        <v>0</v>
      </c>
      <c r="Q1483" s="48" t="s">
        <v>75</v>
      </c>
      <c r="R1483" s="48">
        <f>HEX2DEC(RIGHT(Table13232127535868[[#This Row],[h2]],8))</f>
        <v>0</v>
      </c>
    </row>
    <row r="1484" spans="1:18">
      <c r="A1484" s="15" t="str">
        <f t="shared" si="28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8" t="s">
        <v>75</v>
      </c>
      <c r="P1484" s="48">
        <f>HEX2DEC(RIGHT(Table13232127535868[[#This Row],[h1]],8))</f>
        <v>0</v>
      </c>
      <c r="Q1484" s="48" t="s">
        <v>75</v>
      </c>
      <c r="R1484" s="48">
        <f>HEX2DEC(RIGHT(Table13232127535868[[#This Row],[h2]],8))</f>
        <v>0</v>
      </c>
    </row>
    <row r="1485" spans="1:18">
      <c r="A1485" s="15" t="str">
        <f t="shared" si="28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8" t="s">
        <v>75</v>
      </c>
      <c r="P1485" s="48">
        <f>HEX2DEC(RIGHT(Table13232127535868[[#This Row],[h1]],8))</f>
        <v>0</v>
      </c>
      <c r="Q1485" s="48" t="s">
        <v>75</v>
      </c>
      <c r="R1485" s="48">
        <f>HEX2DEC(RIGHT(Table13232127535868[[#This Row],[h2]],8))</f>
        <v>0</v>
      </c>
    </row>
    <row r="1486" spans="1:18">
      <c r="A1486" s="15" t="str">
        <f t="shared" si="28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8" t="s">
        <v>75</v>
      </c>
      <c r="P1486" s="48">
        <f>HEX2DEC(RIGHT(Table13232127535868[[#This Row],[h1]],8))</f>
        <v>0</v>
      </c>
      <c r="Q1486" s="48" t="s">
        <v>75</v>
      </c>
      <c r="R1486" s="48">
        <f>HEX2DEC(RIGHT(Table13232127535868[[#This Row],[h2]],8))</f>
        <v>0</v>
      </c>
    </row>
    <row r="1487" spans="1:18">
      <c r="A1487" s="15" t="str">
        <f t="shared" si="28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8" t="s">
        <v>75</v>
      </c>
      <c r="P1487" s="48">
        <f>HEX2DEC(RIGHT(Table13232127535868[[#This Row],[h1]],8))</f>
        <v>0</v>
      </c>
      <c r="Q1487" s="48" t="s">
        <v>75</v>
      </c>
      <c r="R1487" s="48">
        <f>HEX2DEC(RIGHT(Table13232127535868[[#This Row],[h2]],8))</f>
        <v>0</v>
      </c>
    </row>
    <row r="1488" spans="1:18">
      <c r="A1488" s="15" t="str">
        <f t="shared" si="28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8" t="s">
        <v>75</v>
      </c>
      <c r="P1488" s="48">
        <f>HEX2DEC(RIGHT(Table13232127535868[[#This Row],[h1]],8))</f>
        <v>0</v>
      </c>
      <c r="Q1488" s="48" t="s">
        <v>75</v>
      </c>
      <c r="R1488" s="48">
        <f>HEX2DEC(RIGHT(Table13232127535868[[#This Row],[h2]],8))</f>
        <v>0</v>
      </c>
    </row>
    <row r="1489" spans="1:18">
      <c r="A1489" s="15" t="str">
        <f t="shared" si="28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8" t="s">
        <v>75</v>
      </c>
      <c r="P1489" s="48">
        <f>HEX2DEC(RIGHT(Table13232127535868[[#This Row],[h1]],8))</f>
        <v>0</v>
      </c>
      <c r="Q1489" s="48" t="s">
        <v>75</v>
      </c>
      <c r="R1489" s="48">
        <f>HEX2DEC(RIGHT(Table13232127535868[[#This Row],[h2]],8))</f>
        <v>0</v>
      </c>
    </row>
    <row r="1490" spans="1:18">
      <c r="A1490" s="15" t="str">
        <f t="shared" si="28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8" t="s">
        <v>75</v>
      </c>
      <c r="P1490" s="48">
        <f>HEX2DEC(RIGHT(Table13232127535868[[#This Row],[h1]],8))</f>
        <v>0</v>
      </c>
      <c r="Q1490" s="48" t="s">
        <v>75</v>
      </c>
      <c r="R1490" s="48">
        <f>HEX2DEC(RIGHT(Table13232127535868[[#This Row],[h2]],8))</f>
        <v>0</v>
      </c>
    </row>
    <row r="1491" spans="1:18">
      <c r="A1491" s="15" t="str">
        <f t="shared" si="28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8" t="s">
        <v>75</v>
      </c>
      <c r="P1491" s="48">
        <f>HEX2DEC(RIGHT(Table13232127535868[[#This Row],[h1]],8))</f>
        <v>0</v>
      </c>
      <c r="Q1491" s="48" t="s">
        <v>75</v>
      </c>
      <c r="R1491" s="48">
        <f>HEX2DEC(RIGHT(Table13232127535868[[#This Row],[h2]],8))</f>
        <v>0</v>
      </c>
    </row>
    <row r="1492" spans="1:18">
      <c r="A1492" s="15" t="str">
        <f t="shared" si="28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8" t="s">
        <v>75</v>
      </c>
      <c r="P1492" s="48">
        <f>HEX2DEC(RIGHT(Table13232127535868[[#This Row],[h1]],8))</f>
        <v>0</v>
      </c>
      <c r="Q1492" s="48" t="s">
        <v>75</v>
      </c>
      <c r="R1492" s="48">
        <f>HEX2DEC(RIGHT(Table13232127535868[[#This Row],[h2]],8))</f>
        <v>0</v>
      </c>
    </row>
    <row r="1493" spans="1:18">
      <c r="A1493" s="15" t="str">
        <f t="shared" si="28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8" t="s">
        <v>75</v>
      </c>
      <c r="P1493" s="48">
        <f>HEX2DEC(RIGHT(Table13232127535868[[#This Row],[h1]],8))</f>
        <v>0</v>
      </c>
      <c r="Q1493" s="48" t="s">
        <v>75</v>
      </c>
      <c r="R1493" s="48">
        <f>HEX2DEC(RIGHT(Table13232127535868[[#This Row],[h2]],8))</f>
        <v>0</v>
      </c>
    </row>
    <row r="1494" spans="1:18">
      <c r="A1494" s="15" t="str">
        <f t="shared" si="28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8" t="s">
        <v>75</v>
      </c>
      <c r="P1494" s="48">
        <f>HEX2DEC(RIGHT(Table13232127535868[[#This Row],[h1]],8))</f>
        <v>0</v>
      </c>
      <c r="Q1494" s="48" t="s">
        <v>75</v>
      </c>
      <c r="R1494" s="48">
        <f>HEX2DEC(RIGHT(Table13232127535868[[#This Row],[h2]],8))</f>
        <v>0</v>
      </c>
    </row>
    <row r="1495" spans="1:18">
      <c r="A1495" s="15" t="str">
        <f t="shared" si="28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8" t="s">
        <v>75</v>
      </c>
      <c r="P1495" s="48">
        <f>HEX2DEC(RIGHT(Table13232127535868[[#This Row],[h1]],8))</f>
        <v>0</v>
      </c>
      <c r="Q1495" s="48" t="s">
        <v>75</v>
      </c>
      <c r="R1495" s="48">
        <f>HEX2DEC(RIGHT(Table13232127535868[[#This Row],[h2]],8))</f>
        <v>0</v>
      </c>
    </row>
    <row r="1496" spans="1:18">
      <c r="A1496" s="15" t="str">
        <f t="shared" si="28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8" t="s">
        <v>75</v>
      </c>
      <c r="P1496" s="48">
        <f>HEX2DEC(RIGHT(Table13232127535868[[#This Row],[h1]],8))</f>
        <v>0</v>
      </c>
      <c r="Q1496" s="48" t="s">
        <v>75</v>
      </c>
      <c r="R1496" s="48">
        <f>HEX2DEC(RIGHT(Table13232127535868[[#This Row],[h2]],8))</f>
        <v>0</v>
      </c>
    </row>
    <row r="1497" spans="1:18">
      <c r="A1497" s="15" t="str">
        <f t="shared" si="28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8" t="s">
        <v>75</v>
      </c>
      <c r="P1497" s="48">
        <f>HEX2DEC(RIGHT(Table13232127535868[[#This Row],[h1]],8))</f>
        <v>0</v>
      </c>
      <c r="Q1497" s="48" t="s">
        <v>75</v>
      </c>
      <c r="R1497" s="48">
        <f>HEX2DEC(RIGHT(Table13232127535868[[#This Row],[h2]],8))</f>
        <v>0</v>
      </c>
    </row>
    <row r="1498" spans="1:18">
      <c r="A1498" s="15" t="str">
        <f t="shared" si="28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8" t="s">
        <v>75</v>
      </c>
      <c r="P1498" s="48">
        <f>HEX2DEC(RIGHT(Table13232127535868[[#This Row],[h1]],8))</f>
        <v>0</v>
      </c>
      <c r="Q1498" s="48" t="s">
        <v>75</v>
      </c>
      <c r="R1498" s="48">
        <f>HEX2DEC(RIGHT(Table13232127535868[[#This Row],[h2]],8))</f>
        <v>0</v>
      </c>
    </row>
    <row r="1499" spans="1:18">
      <c r="A1499" s="15" t="str">
        <f t="shared" si="28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8" t="s">
        <v>75</v>
      </c>
      <c r="P1499" s="48">
        <f>HEX2DEC(RIGHT(Table13232127535868[[#This Row],[h1]],8))</f>
        <v>0</v>
      </c>
      <c r="Q1499" s="48" t="s">
        <v>75</v>
      </c>
      <c r="R1499" s="48">
        <f>HEX2DEC(RIGHT(Table13232127535868[[#This Row],[h2]],8))</f>
        <v>0</v>
      </c>
    </row>
    <row r="1500" spans="1:18">
      <c r="A1500" s="15" t="str">
        <f t="shared" si="28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8" t="s">
        <v>75</v>
      </c>
      <c r="P1500" s="48">
        <f>HEX2DEC(RIGHT(Table13232127535868[[#This Row],[h1]],8))</f>
        <v>0</v>
      </c>
      <c r="Q1500" s="48" t="s">
        <v>75</v>
      </c>
      <c r="R1500" s="48">
        <f>HEX2DEC(RIGHT(Table13232127535868[[#This Row],[h2]],8))</f>
        <v>0</v>
      </c>
    </row>
    <row r="1501" spans="1:18">
      <c r="A1501" s="15" t="str">
        <f t="shared" si="28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8" t="s">
        <v>75</v>
      </c>
      <c r="P1501" s="48">
        <f>HEX2DEC(RIGHT(Table13232127535868[[#This Row],[h1]],8))</f>
        <v>0</v>
      </c>
      <c r="Q1501" s="48" t="s">
        <v>75</v>
      </c>
      <c r="R1501" s="48">
        <f>HEX2DEC(RIGHT(Table13232127535868[[#This Row],[h2]],8))</f>
        <v>0</v>
      </c>
    </row>
    <row r="1502" spans="1:18">
      <c r="A1502" s="15" t="str">
        <f t="shared" si="28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8" t="s">
        <v>75</v>
      </c>
      <c r="P1502" s="48">
        <f>HEX2DEC(RIGHT(Table13232127535868[[#This Row],[h1]],8))</f>
        <v>0</v>
      </c>
      <c r="Q1502" s="48" t="s">
        <v>75</v>
      </c>
      <c r="R1502" s="48">
        <f>HEX2DEC(RIGHT(Table13232127535868[[#This Row],[h2]],8))</f>
        <v>0</v>
      </c>
    </row>
    <row r="1503" spans="1:18">
      <c r="A1503" s="15" t="str">
        <f t="shared" si="28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8" t="s">
        <v>75</v>
      </c>
      <c r="P1503" s="48">
        <f>HEX2DEC(RIGHT(Table13232127535868[[#This Row],[h1]],8))</f>
        <v>0</v>
      </c>
      <c r="Q1503" s="48" t="s">
        <v>75</v>
      </c>
      <c r="R1503" s="48">
        <f>HEX2DEC(RIGHT(Table13232127535868[[#This Row],[h2]],8))</f>
        <v>0</v>
      </c>
    </row>
    <row r="1504" spans="1:18">
      <c r="A1504" s="15" t="str">
        <f t="shared" si="28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8" t="s">
        <v>75</v>
      </c>
      <c r="P1504" s="48">
        <f>HEX2DEC(RIGHT(Table13232127535868[[#This Row],[h1]],8))</f>
        <v>0</v>
      </c>
      <c r="Q1504" s="48" t="s">
        <v>75</v>
      </c>
      <c r="R1504" s="48">
        <f>HEX2DEC(RIGHT(Table13232127535868[[#This Row],[h2]],8))</f>
        <v>0</v>
      </c>
    </row>
    <row r="1505" spans="1:18">
      <c r="A1505" s="15" t="str">
        <f t="shared" si="28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8" t="s">
        <v>75</v>
      </c>
      <c r="P1505" s="48">
        <f>HEX2DEC(RIGHT(Table13232127535868[[#This Row],[h1]],8))</f>
        <v>0</v>
      </c>
      <c r="Q1505" s="48" t="s">
        <v>75</v>
      </c>
      <c r="R1505" s="48">
        <f>HEX2DEC(RIGHT(Table13232127535868[[#This Row],[h2]],8))</f>
        <v>0</v>
      </c>
    </row>
    <row r="1506" spans="1:18">
      <c r="A1506" s="15" t="str">
        <f t="shared" si="28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8" t="s">
        <v>75</v>
      </c>
      <c r="P1506" s="48">
        <f>HEX2DEC(RIGHT(Table13232127535868[[#This Row],[h1]],8))</f>
        <v>0</v>
      </c>
      <c r="Q1506" s="48" t="s">
        <v>75</v>
      </c>
      <c r="R1506" s="48">
        <f>HEX2DEC(RIGHT(Table13232127535868[[#This Row],[h2]],8))</f>
        <v>0</v>
      </c>
    </row>
    <row r="1507" spans="1:18">
      <c r="A1507" s="15" t="str">
        <f t="shared" si="28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8" t="s">
        <v>75</v>
      </c>
      <c r="P1507" s="48">
        <f>HEX2DEC(RIGHT(Table13232127535868[[#This Row],[h1]],8))</f>
        <v>0</v>
      </c>
      <c r="Q1507" s="48" t="s">
        <v>75</v>
      </c>
      <c r="R1507" s="48">
        <f>HEX2DEC(RIGHT(Table13232127535868[[#This Row],[h2]],8))</f>
        <v>0</v>
      </c>
    </row>
    <row r="1508" spans="1:18">
      <c r="A1508" s="15" t="str">
        <f t="shared" si="28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8" t="s">
        <v>75</v>
      </c>
      <c r="P1508" s="48">
        <f>HEX2DEC(RIGHT(Table13232127535868[[#This Row],[h1]],8))</f>
        <v>0</v>
      </c>
      <c r="Q1508" s="48" t="s">
        <v>75</v>
      </c>
      <c r="R1508" s="48">
        <f>HEX2DEC(RIGHT(Table13232127535868[[#This Row],[h2]],8))</f>
        <v>0</v>
      </c>
    </row>
    <row r="1509" spans="1:18">
      <c r="A1509" s="15" t="str">
        <f t="shared" si="28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8" t="s">
        <v>75</v>
      </c>
      <c r="P1509" s="48">
        <f>HEX2DEC(RIGHT(Table13232127535868[[#This Row],[h1]],8))</f>
        <v>0</v>
      </c>
      <c r="Q1509" s="48" t="s">
        <v>75</v>
      </c>
      <c r="R1509" s="48">
        <f>HEX2DEC(RIGHT(Table13232127535868[[#This Row],[h2]],8))</f>
        <v>0</v>
      </c>
    </row>
    <row r="1510" spans="1:18">
      <c r="A1510" s="15" t="str">
        <f t="shared" si="28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8" t="s">
        <v>75</v>
      </c>
      <c r="P1510" s="48">
        <f>HEX2DEC(RIGHT(Table13232127535868[[#This Row],[h1]],8))</f>
        <v>0</v>
      </c>
      <c r="Q1510" s="48" t="s">
        <v>75</v>
      </c>
      <c r="R1510" s="48">
        <f>HEX2DEC(RIGHT(Table13232127535868[[#This Row],[h2]],8))</f>
        <v>0</v>
      </c>
    </row>
    <row r="1511" spans="1:18">
      <c r="A1511" s="15" t="str">
        <f t="shared" si="28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8" t="s">
        <v>75</v>
      </c>
      <c r="P1511" s="48">
        <f>HEX2DEC(RIGHT(Table13232127535868[[#This Row],[h1]],8))</f>
        <v>0</v>
      </c>
      <c r="Q1511" s="48" t="s">
        <v>75</v>
      </c>
      <c r="R1511" s="48">
        <f>HEX2DEC(RIGHT(Table13232127535868[[#This Row],[h2]],8))</f>
        <v>0</v>
      </c>
    </row>
    <row r="1512" spans="1:18">
      <c r="A1512" s="15" t="str">
        <f t="shared" si="28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8" t="s">
        <v>75</v>
      </c>
      <c r="P1512" s="48">
        <f>HEX2DEC(RIGHT(Table13232127535868[[#This Row],[h1]],8))</f>
        <v>0</v>
      </c>
      <c r="Q1512" s="48" t="s">
        <v>75</v>
      </c>
      <c r="R1512" s="48">
        <f>HEX2DEC(RIGHT(Table13232127535868[[#This Row],[h2]],8))</f>
        <v>0</v>
      </c>
    </row>
    <row r="1513" spans="1:18">
      <c r="A1513" s="15" t="str">
        <f t="shared" si="28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8" t="s">
        <v>75</v>
      </c>
      <c r="P1513" s="48">
        <f>HEX2DEC(RIGHT(Table13232127535868[[#This Row],[h1]],8))</f>
        <v>0</v>
      </c>
      <c r="Q1513" s="48" t="s">
        <v>75</v>
      </c>
      <c r="R1513" s="48">
        <f>HEX2DEC(RIGHT(Table13232127535868[[#This Row],[h2]],8))</f>
        <v>0</v>
      </c>
    </row>
    <row r="1514" spans="1:18">
      <c r="A1514" s="15" t="str">
        <f t="shared" si="28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8" t="s">
        <v>75</v>
      </c>
      <c r="P1514" s="48">
        <f>HEX2DEC(RIGHT(Table13232127535868[[#This Row],[h1]],8))</f>
        <v>0</v>
      </c>
      <c r="Q1514" s="48" t="s">
        <v>75</v>
      </c>
      <c r="R1514" s="48">
        <f>HEX2DEC(RIGHT(Table13232127535868[[#This Row],[h2]],8))</f>
        <v>0</v>
      </c>
    </row>
    <row r="1515" spans="1:18">
      <c r="A1515" s="15" t="str">
        <f t="shared" si="28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8" t="s">
        <v>75</v>
      </c>
      <c r="P1515" s="48">
        <f>HEX2DEC(RIGHT(Table13232127535868[[#This Row],[h1]],8))</f>
        <v>0</v>
      </c>
      <c r="Q1515" s="48" t="s">
        <v>75</v>
      </c>
      <c r="R1515" s="48">
        <f>HEX2DEC(RIGHT(Table13232127535868[[#This Row],[h2]],8))</f>
        <v>0</v>
      </c>
    </row>
    <row r="1516" spans="1:18">
      <c r="A1516" s="15" t="str">
        <f t="shared" si="28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8" t="s">
        <v>75</v>
      </c>
      <c r="P1516" s="48">
        <f>HEX2DEC(RIGHT(Table13232127535868[[#This Row],[h1]],8))</f>
        <v>0</v>
      </c>
      <c r="Q1516" s="48" t="s">
        <v>75</v>
      </c>
      <c r="R1516" s="48">
        <f>HEX2DEC(RIGHT(Table13232127535868[[#This Row],[h2]],8))</f>
        <v>0</v>
      </c>
    </row>
    <row r="1517" spans="1:18">
      <c r="A1517" s="15" t="str">
        <f t="shared" si="28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8" t="s">
        <v>75</v>
      </c>
      <c r="P1517" s="48">
        <f>HEX2DEC(RIGHT(Table13232127535868[[#This Row],[h1]],8))</f>
        <v>0</v>
      </c>
      <c r="Q1517" s="48" t="s">
        <v>75</v>
      </c>
      <c r="R1517" s="48">
        <f>HEX2DEC(RIGHT(Table13232127535868[[#This Row],[h2]],8))</f>
        <v>0</v>
      </c>
    </row>
    <row r="1518" spans="1:18">
      <c r="A1518" s="15" t="str">
        <f t="shared" si="28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8" t="s">
        <v>75</v>
      </c>
      <c r="P1518" s="48">
        <f>HEX2DEC(RIGHT(Table13232127535868[[#This Row],[h1]],8))</f>
        <v>0</v>
      </c>
      <c r="Q1518" s="48" t="s">
        <v>75</v>
      </c>
      <c r="R1518" s="48">
        <f>HEX2DEC(RIGHT(Table13232127535868[[#This Row],[h2]],8))</f>
        <v>0</v>
      </c>
    </row>
    <row r="1519" spans="1:18">
      <c r="A1519" s="15" t="str">
        <f t="shared" si="28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8" t="s">
        <v>75</v>
      </c>
      <c r="P1519" s="48">
        <f>HEX2DEC(RIGHT(Table13232127535868[[#This Row],[h1]],8))</f>
        <v>0</v>
      </c>
      <c r="Q1519" s="48" t="s">
        <v>75</v>
      </c>
      <c r="R1519" s="48">
        <f>HEX2DEC(RIGHT(Table13232127535868[[#This Row],[h2]],8))</f>
        <v>0</v>
      </c>
    </row>
    <row r="1520" spans="1:18">
      <c r="A1520" s="15" t="str">
        <f t="shared" si="28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8" t="s">
        <v>75</v>
      </c>
      <c r="P1520" s="48">
        <f>HEX2DEC(RIGHT(Table13232127535868[[#This Row],[h1]],8))</f>
        <v>0</v>
      </c>
      <c r="Q1520" s="48" t="s">
        <v>75</v>
      </c>
      <c r="R1520" s="48">
        <f>HEX2DEC(RIGHT(Table13232127535868[[#This Row],[h2]],8))</f>
        <v>0</v>
      </c>
    </row>
    <row r="1521" spans="1:18">
      <c r="A1521" s="15" t="str">
        <f t="shared" si="28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8" t="s">
        <v>75</v>
      </c>
      <c r="P1521" s="48">
        <f>HEX2DEC(RIGHT(Table13232127535868[[#This Row],[h1]],8))</f>
        <v>0</v>
      </c>
      <c r="Q1521" s="48" t="s">
        <v>75</v>
      </c>
      <c r="R1521" s="48">
        <f>HEX2DEC(RIGHT(Table13232127535868[[#This Row],[h2]],8))</f>
        <v>0</v>
      </c>
    </row>
    <row r="1522" spans="1:18">
      <c r="A1522" s="15" t="str">
        <f t="shared" si="28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8" t="s">
        <v>75</v>
      </c>
      <c r="P1522" s="48">
        <f>HEX2DEC(RIGHT(Table13232127535868[[#This Row],[h1]],8))</f>
        <v>0</v>
      </c>
      <c r="Q1522" s="48" t="s">
        <v>75</v>
      </c>
      <c r="R1522" s="48">
        <f>HEX2DEC(RIGHT(Table13232127535868[[#This Row],[h2]],8))</f>
        <v>0</v>
      </c>
    </row>
    <row r="1523" spans="1:18">
      <c r="A1523" s="15" t="str">
        <f t="shared" si="28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8" t="s">
        <v>75</v>
      </c>
      <c r="P1523" s="48">
        <f>HEX2DEC(RIGHT(Table13232127535868[[#This Row],[h1]],8))</f>
        <v>0</v>
      </c>
      <c r="Q1523" s="48" t="s">
        <v>75</v>
      </c>
      <c r="R1523" s="48">
        <f>HEX2DEC(RIGHT(Table13232127535868[[#This Row],[h2]],8))</f>
        <v>0</v>
      </c>
    </row>
    <row r="1524" spans="1:18">
      <c r="A1524" s="15" t="str">
        <f t="shared" si="28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8" t="s">
        <v>75</v>
      </c>
      <c r="P1524" s="48">
        <f>HEX2DEC(RIGHT(Table13232127535868[[#This Row],[h1]],8))</f>
        <v>0</v>
      </c>
      <c r="Q1524" s="48" t="s">
        <v>75</v>
      </c>
      <c r="R1524" s="48">
        <f>HEX2DEC(RIGHT(Table13232127535868[[#This Row],[h2]],8))</f>
        <v>0</v>
      </c>
    </row>
    <row r="1525" spans="1:18">
      <c r="A1525" s="15" t="str">
        <f t="shared" si="28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8" t="s">
        <v>75</v>
      </c>
      <c r="P1525" s="48">
        <f>HEX2DEC(RIGHT(Table13232127535868[[#This Row],[h1]],8))</f>
        <v>0</v>
      </c>
      <c r="Q1525" s="48" t="s">
        <v>75</v>
      </c>
      <c r="R1525" s="48">
        <f>HEX2DEC(RIGHT(Table13232127535868[[#This Row],[h2]],8))</f>
        <v>0</v>
      </c>
    </row>
    <row r="1526" spans="1:18">
      <c r="A1526" s="15" t="str">
        <f t="shared" si="28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8" t="s">
        <v>75</v>
      </c>
      <c r="P1526" s="48">
        <f>HEX2DEC(RIGHT(Table13232127535868[[#This Row],[h1]],8))</f>
        <v>0</v>
      </c>
      <c r="Q1526" s="48" t="s">
        <v>75</v>
      </c>
      <c r="R1526" s="48">
        <f>HEX2DEC(RIGHT(Table13232127535868[[#This Row],[h2]],8))</f>
        <v>0</v>
      </c>
    </row>
    <row r="1527" spans="1:18">
      <c r="A1527" s="15" t="str">
        <f t="shared" si="28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8" t="s">
        <v>75</v>
      </c>
      <c r="P1527" s="48">
        <f>HEX2DEC(RIGHT(Table13232127535868[[#This Row],[h1]],8))</f>
        <v>0</v>
      </c>
      <c r="Q1527" s="48" t="s">
        <v>75</v>
      </c>
      <c r="R1527" s="48">
        <f>HEX2DEC(RIGHT(Table13232127535868[[#This Row],[h2]],8))</f>
        <v>0</v>
      </c>
    </row>
    <row r="1528" spans="1:18">
      <c r="A1528" s="15" t="str">
        <f t="shared" si="28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8" t="s">
        <v>75</v>
      </c>
      <c r="P1528" s="48">
        <f>HEX2DEC(RIGHT(Table13232127535868[[#This Row],[h1]],8))</f>
        <v>0</v>
      </c>
      <c r="Q1528" s="48" t="s">
        <v>75</v>
      </c>
      <c r="R1528" s="48">
        <f>HEX2DEC(RIGHT(Table13232127535868[[#This Row],[h2]],8))</f>
        <v>0</v>
      </c>
    </row>
    <row r="1529" spans="1:18">
      <c r="A1529" s="15" t="str">
        <f t="shared" si="28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8" t="s">
        <v>75</v>
      </c>
      <c r="P1529" s="48">
        <f>HEX2DEC(RIGHT(Table13232127535868[[#This Row],[h1]],8))</f>
        <v>0</v>
      </c>
      <c r="Q1529" s="48" t="s">
        <v>75</v>
      </c>
      <c r="R1529" s="48">
        <f>HEX2DEC(RIGHT(Table13232127535868[[#This Row],[h2]],8))</f>
        <v>0</v>
      </c>
    </row>
    <row r="1530" spans="1:18">
      <c r="A1530" s="15" t="str">
        <f t="shared" si="28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8" t="s">
        <v>75</v>
      </c>
      <c r="P1530" s="48">
        <f>HEX2DEC(RIGHT(Table13232127535868[[#This Row],[h1]],8))</f>
        <v>0</v>
      </c>
      <c r="Q1530" s="48" t="s">
        <v>75</v>
      </c>
      <c r="R1530" s="48">
        <f>HEX2DEC(RIGHT(Table13232127535868[[#This Row],[h2]],8))</f>
        <v>0</v>
      </c>
    </row>
    <row r="1531" spans="1:18">
      <c r="A1531" s="15" t="str">
        <f t="shared" si="28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8" t="s">
        <v>75</v>
      </c>
      <c r="P1531" s="48">
        <f>HEX2DEC(RIGHT(Table13232127535868[[#This Row],[h1]],8))</f>
        <v>0</v>
      </c>
      <c r="Q1531" s="48" t="s">
        <v>75</v>
      </c>
      <c r="R1531" s="48">
        <f>HEX2DEC(RIGHT(Table13232127535868[[#This Row],[h2]],8))</f>
        <v>0</v>
      </c>
    </row>
    <row r="1532" spans="1:18">
      <c r="A1532" s="15" t="str">
        <f t="shared" si="28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8" t="s">
        <v>75</v>
      </c>
      <c r="P1532" s="48">
        <f>HEX2DEC(RIGHT(Table13232127535868[[#This Row],[h1]],8))</f>
        <v>0</v>
      </c>
      <c r="Q1532" s="48" t="s">
        <v>75</v>
      </c>
      <c r="R1532" s="48">
        <f>HEX2DEC(RIGHT(Table13232127535868[[#This Row],[h2]],8))</f>
        <v>0</v>
      </c>
    </row>
    <row r="1533" spans="1:18">
      <c r="A1533" s="15" t="str">
        <f t="shared" si="28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8" t="s">
        <v>75</v>
      </c>
      <c r="P1533" s="48">
        <f>HEX2DEC(RIGHT(Table13232127535868[[#This Row],[h1]],8))</f>
        <v>0</v>
      </c>
      <c r="Q1533" s="48" t="s">
        <v>75</v>
      </c>
      <c r="R1533" s="48">
        <f>HEX2DEC(RIGHT(Table13232127535868[[#This Row],[h2]],8))</f>
        <v>0</v>
      </c>
    </row>
    <row r="1534" spans="1:18">
      <c r="A1534" s="15" t="str">
        <f t="shared" si="28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8" t="s">
        <v>75</v>
      </c>
      <c r="P1534" s="48">
        <f>HEX2DEC(RIGHT(Table13232127535868[[#This Row],[h1]],8))</f>
        <v>0</v>
      </c>
      <c r="Q1534" s="48" t="s">
        <v>75</v>
      </c>
      <c r="R1534" s="48">
        <f>HEX2DEC(RIGHT(Table13232127535868[[#This Row],[h2]],8))</f>
        <v>0</v>
      </c>
    </row>
    <row r="1535" spans="1:18">
      <c r="A1535" s="15" t="str">
        <f t="shared" si="28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8" t="s">
        <v>75</v>
      </c>
      <c r="P1535" s="48">
        <f>HEX2DEC(RIGHT(Table13232127535868[[#This Row],[h1]],8))</f>
        <v>0</v>
      </c>
      <c r="Q1535" s="48" t="s">
        <v>75</v>
      </c>
      <c r="R1535" s="48">
        <f>HEX2DEC(RIGHT(Table13232127535868[[#This Row],[h2]],8))</f>
        <v>0</v>
      </c>
    </row>
    <row r="1536" spans="1:18">
      <c r="A1536" s="15" t="str">
        <f t="shared" si="28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8" t="s">
        <v>75</v>
      </c>
      <c r="P1536" s="48">
        <f>HEX2DEC(RIGHT(Table13232127535868[[#This Row],[h1]],8))</f>
        <v>0</v>
      </c>
      <c r="Q1536" s="48" t="s">
        <v>75</v>
      </c>
      <c r="R1536" s="48">
        <f>HEX2DEC(RIGHT(Table13232127535868[[#This Row],[h2]],8))</f>
        <v>0</v>
      </c>
    </row>
    <row r="1537" spans="1:18">
      <c r="A1537" s="15" t="str">
        <f t="shared" si="28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8" t="s">
        <v>75</v>
      </c>
      <c r="P1537" s="48">
        <f>HEX2DEC(RIGHT(Table13232127535868[[#This Row],[h1]],8))</f>
        <v>0</v>
      </c>
      <c r="Q1537" s="48" t="s">
        <v>75</v>
      </c>
      <c r="R1537" s="48">
        <f>HEX2DEC(RIGHT(Table13232127535868[[#This Row],[h2]],8))</f>
        <v>0</v>
      </c>
    </row>
    <row r="1538" spans="1:18">
      <c r="A1538" s="15" t="str">
        <f t="shared" si="28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8" t="s">
        <v>75</v>
      </c>
      <c r="P1538" s="48">
        <f>HEX2DEC(RIGHT(Table13232127535868[[#This Row],[h1]],8))</f>
        <v>0</v>
      </c>
      <c r="Q1538" s="48" t="s">
        <v>75</v>
      </c>
      <c r="R1538" s="48">
        <f>HEX2DEC(RIGHT(Table13232127535868[[#This Row],[h2]],8))</f>
        <v>0</v>
      </c>
    </row>
    <row r="1539" spans="1:18">
      <c r="A1539" s="15" t="str">
        <f t="shared" si="28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8" t="s">
        <v>75</v>
      </c>
      <c r="P1539" s="48">
        <f>HEX2DEC(RIGHT(Table13232127535868[[#This Row],[h1]],8))</f>
        <v>0</v>
      </c>
      <c r="Q1539" s="48" t="s">
        <v>75</v>
      </c>
      <c r="R1539" s="48">
        <f>HEX2DEC(RIGHT(Table13232127535868[[#This Row],[h2]],8))</f>
        <v>0</v>
      </c>
    </row>
    <row r="1540" spans="1:18">
      <c r="A1540" s="15" t="str">
        <f t="shared" si="28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8" t="s">
        <v>75</v>
      </c>
      <c r="P1540" s="48">
        <f>HEX2DEC(RIGHT(Table13232127535868[[#This Row],[h1]],8))</f>
        <v>0</v>
      </c>
      <c r="Q1540" s="48" t="s">
        <v>75</v>
      </c>
      <c r="R1540" s="48">
        <f>HEX2DEC(RIGHT(Table13232127535868[[#This Row],[h2]],8))</f>
        <v>0</v>
      </c>
    </row>
    <row r="1541" spans="1:18">
      <c r="A1541" s="15" t="str">
        <f t="shared" si="28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8" t="s">
        <v>75</v>
      </c>
      <c r="P1541" s="48">
        <f>HEX2DEC(RIGHT(Table13232127535868[[#This Row],[h1]],8))</f>
        <v>0</v>
      </c>
      <c r="Q1541" s="48" t="s">
        <v>75</v>
      </c>
      <c r="R1541" s="48">
        <f>HEX2DEC(RIGHT(Table13232127535868[[#This Row],[h2]],8))</f>
        <v>0</v>
      </c>
    </row>
    <row r="1542" spans="1:18">
      <c r="A1542" s="15" t="str">
        <f t="shared" si="28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8" t="s">
        <v>75</v>
      </c>
      <c r="P1542" s="48">
        <f>HEX2DEC(RIGHT(Table13232127535868[[#This Row],[h1]],8))</f>
        <v>0</v>
      </c>
      <c r="Q1542" s="48" t="s">
        <v>75</v>
      </c>
      <c r="R1542" s="48">
        <f>HEX2DEC(RIGHT(Table13232127535868[[#This Row],[h2]],8))</f>
        <v>0</v>
      </c>
    </row>
    <row r="1543" spans="1:18">
      <c r="A1543" s="15" t="str">
        <f t="shared" si="28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8" t="s">
        <v>75</v>
      </c>
      <c r="P1543" s="48">
        <f>HEX2DEC(RIGHT(Table13232127535868[[#This Row],[h1]],8))</f>
        <v>0</v>
      </c>
      <c r="Q1543" s="48" t="s">
        <v>75</v>
      </c>
      <c r="R1543" s="48">
        <f>HEX2DEC(RIGHT(Table13232127535868[[#This Row],[h2]],8))</f>
        <v>0</v>
      </c>
    </row>
    <row r="1544" spans="1:18">
      <c r="A1544" s="15" t="str">
        <f t="shared" si="28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8" t="s">
        <v>75</v>
      </c>
      <c r="P1544" s="48">
        <f>HEX2DEC(RIGHT(Table13232127535868[[#This Row],[h1]],8))</f>
        <v>0</v>
      </c>
      <c r="Q1544" s="48" t="s">
        <v>75</v>
      </c>
      <c r="R1544" s="48">
        <f>HEX2DEC(RIGHT(Table13232127535868[[#This Row],[h2]],8))</f>
        <v>0</v>
      </c>
    </row>
    <row r="1545" spans="1:18">
      <c r="A1545" s="15" t="str">
        <f t="shared" si="28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8" t="s">
        <v>75</v>
      </c>
      <c r="P1545" s="48">
        <f>HEX2DEC(RIGHT(Table13232127535868[[#This Row],[h1]],8))</f>
        <v>0</v>
      </c>
      <c r="Q1545" s="48" t="s">
        <v>75</v>
      </c>
      <c r="R1545" s="48">
        <f>HEX2DEC(RIGHT(Table13232127535868[[#This Row],[h2]],8))</f>
        <v>0</v>
      </c>
    </row>
    <row r="1546" spans="1:18">
      <c r="A1546" s="15" t="str">
        <f t="shared" si="28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8" t="s">
        <v>75</v>
      </c>
      <c r="P1546" s="48">
        <f>HEX2DEC(RIGHT(Table13232127535868[[#This Row],[h1]],8))</f>
        <v>0</v>
      </c>
      <c r="Q1546" s="48" t="s">
        <v>75</v>
      </c>
      <c r="R1546" s="48">
        <f>HEX2DEC(RIGHT(Table13232127535868[[#This Row],[h2]],8))</f>
        <v>0</v>
      </c>
    </row>
    <row r="1547" spans="1:18">
      <c r="A1547" s="15" t="str">
        <f t="shared" ref="A1547:A1610" si="29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8" t="s">
        <v>75</v>
      </c>
      <c r="P1547" s="48">
        <f>HEX2DEC(RIGHT(Table13232127535868[[#This Row],[h1]],8))</f>
        <v>0</v>
      </c>
      <c r="Q1547" s="48" t="s">
        <v>75</v>
      </c>
      <c r="R1547" s="48">
        <f>HEX2DEC(RIGHT(Table13232127535868[[#This Row],[h2]],8))</f>
        <v>0</v>
      </c>
    </row>
    <row r="1548" spans="1:18">
      <c r="A1548" s="15" t="str">
        <f t="shared" si="29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8" t="s">
        <v>75</v>
      </c>
      <c r="P1548" s="48">
        <f>HEX2DEC(RIGHT(Table13232127535868[[#This Row],[h1]],8))</f>
        <v>0</v>
      </c>
      <c r="Q1548" s="48" t="s">
        <v>75</v>
      </c>
      <c r="R1548" s="48">
        <f>HEX2DEC(RIGHT(Table13232127535868[[#This Row],[h2]],8))</f>
        <v>0</v>
      </c>
    </row>
    <row r="1549" spans="1:18">
      <c r="A1549" s="15" t="str">
        <f t="shared" si="29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8" t="s">
        <v>75</v>
      </c>
      <c r="P1549" s="48">
        <f>HEX2DEC(RIGHT(Table13232127535868[[#This Row],[h1]],8))</f>
        <v>0</v>
      </c>
      <c r="Q1549" s="48" t="s">
        <v>75</v>
      </c>
      <c r="R1549" s="48">
        <f>HEX2DEC(RIGHT(Table13232127535868[[#This Row],[h2]],8))</f>
        <v>0</v>
      </c>
    </row>
    <row r="1550" spans="1:18">
      <c r="A1550" s="15" t="str">
        <f t="shared" si="29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8" t="s">
        <v>75</v>
      </c>
      <c r="P1550" s="48">
        <f>HEX2DEC(RIGHT(Table13232127535868[[#This Row],[h1]],8))</f>
        <v>0</v>
      </c>
      <c r="Q1550" s="48" t="s">
        <v>75</v>
      </c>
      <c r="R1550" s="48">
        <f>HEX2DEC(RIGHT(Table13232127535868[[#This Row],[h2]],8))</f>
        <v>0</v>
      </c>
    </row>
    <row r="1551" spans="1:18">
      <c r="A1551" s="15" t="str">
        <f t="shared" si="29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8" t="s">
        <v>75</v>
      </c>
      <c r="P1551" s="48">
        <f>HEX2DEC(RIGHT(Table13232127535868[[#This Row],[h1]],8))</f>
        <v>0</v>
      </c>
      <c r="Q1551" s="48" t="s">
        <v>75</v>
      </c>
      <c r="R1551" s="48">
        <f>HEX2DEC(RIGHT(Table13232127535868[[#This Row],[h2]],8))</f>
        <v>0</v>
      </c>
    </row>
    <row r="1552" spans="1:18">
      <c r="A1552" s="15" t="str">
        <f t="shared" si="29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8" t="s">
        <v>75</v>
      </c>
      <c r="P1552" s="48">
        <f>HEX2DEC(RIGHT(Table13232127535868[[#This Row],[h1]],8))</f>
        <v>0</v>
      </c>
      <c r="Q1552" s="48" t="s">
        <v>75</v>
      </c>
      <c r="R1552" s="48">
        <f>HEX2DEC(RIGHT(Table13232127535868[[#This Row],[h2]],8))</f>
        <v>0</v>
      </c>
    </row>
    <row r="1553" spans="1:18">
      <c r="A1553" s="15" t="str">
        <f t="shared" si="29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8" t="s">
        <v>75</v>
      </c>
      <c r="P1553" s="48">
        <f>HEX2DEC(RIGHT(Table13232127535868[[#This Row],[h1]],8))</f>
        <v>0</v>
      </c>
      <c r="Q1553" s="48" t="s">
        <v>75</v>
      </c>
      <c r="R1553" s="48">
        <f>HEX2DEC(RIGHT(Table13232127535868[[#This Row],[h2]],8))</f>
        <v>0</v>
      </c>
    </row>
    <row r="1554" spans="1:18">
      <c r="A1554" s="15" t="str">
        <f t="shared" si="29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8" t="s">
        <v>75</v>
      </c>
      <c r="P1554" s="48">
        <f>HEX2DEC(RIGHT(Table13232127535868[[#This Row],[h1]],8))</f>
        <v>0</v>
      </c>
      <c r="Q1554" s="48" t="s">
        <v>75</v>
      </c>
      <c r="R1554" s="48">
        <f>HEX2DEC(RIGHT(Table13232127535868[[#This Row],[h2]],8))</f>
        <v>0</v>
      </c>
    </row>
    <row r="1555" spans="1:18">
      <c r="A1555" s="15" t="str">
        <f t="shared" si="29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8" t="s">
        <v>75</v>
      </c>
      <c r="P1555" s="48">
        <f>HEX2DEC(RIGHT(Table13232127535868[[#This Row],[h1]],8))</f>
        <v>0</v>
      </c>
      <c r="Q1555" s="48" t="s">
        <v>75</v>
      </c>
      <c r="R1555" s="48">
        <f>HEX2DEC(RIGHT(Table13232127535868[[#This Row],[h2]],8))</f>
        <v>0</v>
      </c>
    </row>
    <row r="1556" spans="1:18">
      <c r="A1556" s="15" t="str">
        <f t="shared" si="29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8" t="s">
        <v>75</v>
      </c>
      <c r="P1556" s="48">
        <f>HEX2DEC(RIGHT(Table13232127535868[[#This Row],[h1]],8))</f>
        <v>0</v>
      </c>
      <c r="Q1556" s="48" t="s">
        <v>75</v>
      </c>
      <c r="R1556" s="48">
        <f>HEX2DEC(RIGHT(Table13232127535868[[#This Row],[h2]],8))</f>
        <v>0</v>
      </c>
    </row>
    <row r="1557" spans="1:18">
      <c r="A1557" s="15" t="str">
        <f t="shared" si="29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8" t="s">
        <v>75</v>
      </c>
      <c r="P1557" s="48">
        <f>HEX2DEC(RIGHT(Table13232127535868[[#This Row],[h1]],8))</f>
        <v>0</v>
      </c>
      <c r="Q1557" s="48" t="s">
        <v>75</v>
      </c>
      <c r="R1557" s="48">
        <f>HEX2DEC(RIGHT(Table13232127535868[[#This Row],[h2]],8))</f>
        <v>0</v>
      </c>
    </row>
    <row r="1558" spans="1:18">
      <c r="A1558" s="15" t="str">
        <f t="shared" si="29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8" t="s">
        <v>75</v>
      </c>
      <c r="P1558" s="48">
        <f>HEX2DEC(RIGHT(Table13232127535868[[#This Row],[h1]],8))</f>
        <v>0</v>
      </c>
      <c r="Q1558" s="48" t="s">
        <v>75</v>
      </c>
      <c r="R1558" s="48">
        <f>HEX2DEC(RIGHT(Table13232127535868[[#This Row],[h2]],8))</f>
        <v>0</v>
      </c>
    </row>
    <row r="1559" spans="1:18">
      <c r="A1559" s="15" t="str">
        <f t="shared" si="29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8" t="s">
        <v>75</v>
      </c>
      <c r="P1559" s="48">
        <f>HEX2DEC(RIGHT(Table13232127535868[[#This Row],[h1]],8))</f>
        <v>0</v>
      </c>
      <c r="Q1559" s="48" t="s">
        <v>75</v>
      </c>
      <c r="R1559" s="48">
        <f>HEX2DEC(RIGHT(Table13232127535868[[#This Row],[h2]],8))</f>
        <v>0</v>
      </c>
    </row>
    <row r="1560" spans="1:18">
      <c r="A1560" s="15" t="str">
        <f t="shared" si="29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8" t="s">
        <v>75</v>
      </c>
      <c r="P1560" s="48">
        <f>HEX2DEC(RIGHT(Table13232127535868[[#This Row],[h1]],8))</f>
        <v>0</v>
      </c>
      <c r="Q1560" s="48" t="s">
        <v>75</v>
      </c>
      <c r="R1560" s="48">
        <f>HEX2DEC(RIGHT(Table13232127535868[[#This Row],[h2]],8))</f>
        <v>0</v>
      </c>
    </row>
    <row r="1561" spans="1:18">
      <c r="A1561" s="15" t="str">
        <f t="shared" si="29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8" t="s">
        <v>75</v>
      </c>
      <c r="P1561" s="48">
        <f>HEX2DEC(RIGHT(Table13232127535868[[#This Row],[h1]],8))</f>
        <v>0</v>
      </c>
      <c r="Q1561" s="48" t="s">
        <v>75</v>
      </c>
      <c r="R1561" s="48">
        <f>HEX2DEC(RIGHT(Table13232127535868[[#This Row],[h2]],8))</f>
        <v>0</v>
      </c>
    </row>
    <row r="1562" spans="1:18">
      <c r="A1562" s="15" t="str">
        <f t="shared" si="29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8" t="s">
        <v>75</v>
      </c>
      <c r="P1562" s="48">
        <f>HEX2DEC(RIGHT(Table13232127535868[[#This Row],[h1]],8))</f>
        <v>0</v>
      </c>
      <c r="Q1562" s="48" t="s">
        <v>75</v>
      </c>
      <c r="R1562" s="48">
        <f>HEX2DEC(RIGHT(Table13232127535868[[#This Row],[h2]],8))</f>
        <v>0</v>
      </c>
    </row>
    <row r="1563" spans="1:18">
      <c r="A1563" s="15" t="str">
        <f t="shared" si="29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8" t="s">
        <v>75</v>
      </c>
      <c r="P1563" s="48">
        <f>HEX2DEC(RIGHT(Table13232127535868[[#This Row],[h1]],8))</f>
        <v>0</v>
      </c>
      <c r="Q1563" s="48" t="s">
        <v>75</v>
      </c>
      <c r="R1563" s="48">
        <f>HEX2DEC(RIGHT(Table13232127535868[[#This Row],[h2]],8))</f>
        <v>0</v>
      </c>
    </row>
    <row r="1564" spans="1:18">
      <c r="A1564" s="15" t="str">
        <f t="shared" si="29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8" t="s">
        <v>75</v>
      </c>
      <c r="P1564" s="48">
        <f>HEX2DEC(RIGHT(Table13232127535868[[#This Row],[h1]],8))</f>
        <v>0</v>
      </c>
      <c r="Q1564" s="48" t="s">
        <v>75</v>
      </c>
      <c r="R1564" s="48">
        <f>HEX2DEC(RIGHT(Table13232127535868[[#This Row],[h2]],8))</f>
        <v>0</v>
      </c>
    </row>
    <row r="1565" spans="1:18">
      <c r="A1565" s="15" t="str">
        <f t="shared" si="29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8" t="s">
        <v>75</v>
      </c>
      <c r="P1565" s="48">
        <f>HEX2DEC(RIGHT(Table13232127535868[[#This Row],[h1]],8))</f>
        <v>0</v>
      </c>
      <c r="Q1565" s="48" t="s">
        <v>75</v>
      </c>
      <c r="R1565" s="48">
        <f>HEX2DEC(RIGHT(Table13232127535868[[#This Row],[h2]],8))</f>
        <v>0</v>
      </c>
    </row>
    <row r="1566" spans="1:18">
      <c r="A1566" s="15" t="str">
        <f t="shared" si="29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8" t="s">
        <v>75</v>
      </c>
      <c r="P1566" s="48">
        <f>HEX2DEC(RIGHT(Table13232127535868[[#This Row],[h1]],8))</f>
        <v>0</v>
      </c>
      <c r="Q1566" s="48" t="s">
        <v>75</v>
      </c>
      <c r="R1566" s="48">
        <f>HEX2DEC(RIGHT(Table13232127535868[[#This Row],[h2]],8))</f>
        <v>0</v>
      </c>
    </row>
    <row r="1567" spans="1:18">
      <c r="A1567" s="15" t="str">
        <f t="shared" si="29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8" t="s">
        <v>75</v>
      </c>
      <c r="P1567" s="48">
        <f>HEX2DEC(RIGHT(Table13232127535868[[#This Row],[h1]],8))</f>
        <v>0</v>
      </c>
      <c r="Q1567" s="48" t="s">
        <v>75</v>
      </c>
      <c r="R1567" s="48">
        <f>HEX2DEC(RIGHT(Table13232127535868[[#This Row],[h2]],8))</f>
        <v>0</v>
      </c>
    </row>
    <row r="1568" spans="1:18">
      <c r="A1568" s="15" t="str">
        <f t="shared" si="29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8" t="s">
        <v>75</v>
      </c>
      <c r="P1568" s="48">
        <f>HEX2DEC(RIGHT(Table13232127535868[[#This Row],[h1]],8))</f>
        <v>0</v>
      </c>
      <c r="Q1568" s="48" t="s">
        <v>75</v>
      </c>
      <c r="R1568" s="48">
        <f>HEX2DEC(RIGHT(Table13232127535868[[#This Row],[h2]],8))</f>
        <v>0</v>
      </c>
    </row>
    <row r="1569" spans="1:18">
      <c r="A1569" s="15" t="str">
        <f t="shared" si="29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8" t="s">
        <v>75</v>
      </c>
      <c r="P1569" s="48">
        <f>HEX2DEC(RIGHT(Table13232127535868[[#This Row],[h1]],8))</f>
        <v>0</v>
      </c>
      <c r="Q1569" s="48" t="s">
        <v>75</v>
      </c>
      <c r="R1569" s="48">
        <f>HEX2DEC(RIGHT(Table13232127535868[[#This Row],[h2]],8))</f>
        <v>0</v>
      </c>
    </row>
    <row r="1570" spans="1:18">
      <c r="A1570" s="15" t="str">
        <f t="shared" si="29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8" t="s">
        <v>75</v>
      </c>
      <c r="P1570" s="48">
        <f>HEX2DEC(RIGHT(Table13232127535868[[#This Row],[h1]],8))</f>
        <v>0</v>
      </c>
      <c r="Q1570" s="48" t="s">
        <v>75</v>
      </c>
      <c r="R1570" s="48">
        <f>HEX2DEC(RIGHT(Table13232127535868[[#This Row],[h2]],8))</f>
        <v>0</v>
      </c>
    </row>
    <row r="1571" spans="1:18">
      <c r="A1571" s="15" t="str">
        <f t="shared" si="29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8" t="s">
        <v>75</v>
      </c>
      <c r="P1571" s="48">
        <f>HEX2DEC(RIGHT(Table13232127535868[[#This Row],[h1]],8))</f>
        <v>0</v>
      </c>
      <c r="Q1571" s="48" t="s">
        <v>75</v>
      </c>
      <c r="R1571" s="48">
        <f>HEX2DEC(RIGHT(Table13232127535868[[#This Row],[h2]],8))</f>
        <v>0</v>
      </c>
    </row>
    <row r="1572" spans="1:18">
      <c r="A1572" s="15" t="str">
        <f t="shared" si="29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8" t="s">
        <v>75</v>
      </c>
      <c r="P1572" s="48">
        <f>HEX2DEC(RIGHT(Table13232127535868[[#This Row],[h1]],8))</f>
        <v>0</v>
      </c>
      <c r="Q1572" s="48" t="s">
        <v>75</v>
      </c>
      <c r="R1572" s="48">
        <f>HEX2DEC(RIGHT(Table13232127535868[[#This Row],[h2]],8))</f>
        <v>0</v>
      </c>
    </row>
    <row r="1573" spans="1:18">
      <c r="A1573" s="15" t="str">
        <f t="shared" si="29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8" t="s">
        <v>75</v>
      </c>
      <c r="P1573" s="48">
        <f>HEX2DEC(RIGHT(Table13232127535868[[#This Row],[h1]],8))</f>
        <v>0</v>
      </c>
      <c r="Q1573" s="48" t="s">
        <v>75</v>
      </c>
      <c r="R1573" s="48">
        <f>HEX2DEC(RIGHT(Table13232127535868[[#This Row],[h2]],8))</f>
        <v>0</v>
      </c>
    </row>
    <row r="1574" spans="1:18">
      <c r="A1574" s="15" t="str">
        <f t="shared" si="29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8" t="s">
        <v>75</v>
      </c>
      <c r="P1574" s="48">
        <f>HEX2DEC(RIGHT(Table13232127535868[[#This Row],[h1]],8))</f>
        <v>0</v>
      </c>
      <c r="Q1574" s="48" t="s">
        <v>75</v>
      </c>
      <c r="R1574" s="48">
        <f>HEX2DEC(RIGHT(Table13232127535868[[#This Row],[h2]],8))</f>
        <v>0</v>
      </c>
    </row>
    <row r="1575" spans="1:18">
      <c r="A1575" s="15" t="str">
        <f t="shared" si="29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8" t="s">
        <v>75</v>
      </c>
      <c r="P1575" s="48">
        <f>HEX2DEC(RIGHT(Table13232127535868[[#This Row],[h1]],8))</f>
        <v>0</v>
      </c>
      <c r="Q1575" s="48" t="s">
        <v>75</v>
      </c>
      <c r="R1575" s="48">
        <f>HEX2DEC(RIGHT(Table13232127535868[[#This Row],[h2]],8))</f>
        <v>0</v>
      </c>
    </row>
    <row r="1576" spans="1:18">
      <c r="A1576" s="15" t="str">
        <f t="shared" si="29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8" t="s">
        <v>75</v>
      </c>
      <c r="P1576" s="48">
        <f>HEX2DEC(RIGHT(Table13232127535868[[#This Row],[h1]],8))</f>
        <v>0</v>
      </c>
      <c r="Q1576" s="48" t="s">
        <v>75</v>
      </c>
      <c r="R1576" s="48">
        <f>HEX2DEC(RIGHT(Table13232127535868[[#This Row],[h2]],8))</f>
        <v>0</v>
      </c>
    </row>
    <row r="1577" spans="1:18">
      <c r="A1577" s="15" t="str">
        <f t="shared" si="29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8" t="s">
        <v>75</v>
      </c>
      <c r="P1577" s="48">
        <f>HEX2DEC(RIGHT(Table13232127535868[[#This Row],[h1]],8))</f>
        <v>0</v>
      </c>
      <c r="Q1577" s="48" t="s">
        <v>75</v>
      </c>
      <c r="R1577" s="48">
        <f>HEX2DEC(RIGHT(Table13232127535868[[#This Row],[h2]],8))</f>
        <v>0</v>
      </c>
    </row>
    <row r="1578" spans="1:18">
      <c r="A1578" s="15" t="str">
        <f t="shared" si="29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8" t="s">
        <v>75</v>
      </c>
      <c r="P1578" s="48">
        <f>HEX2DEC(RIGHT(Table13232127535868[[#This Row],[h1]],8))</f>
        <v>0</v>
      </c>
      <c r="Q1578" s="48" t="s">
        <v>75</v>
      </c>
      <c r="R1578" s="48">
        <f>HEX2DEC(RIGHT(Table13232127535868[[#This Row],[h2]],8))</f>
        <v>0</v>
      </c>
    </row>
    <row r="1579" spans="1:18">
      <c r="A1579" s="15" t="str">
        <f t="shared" si="29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8" t="s">
        <v>75</v>
      </c>
      <c r="P1579" s="48">
        <f>HEX2DEC(RIGHT(Table13232127535868[[#This Row],[h1]],8))</f>
        <v>0</v>
      </c>
      <c r="Q1579" s="48" t="s">
        <v>75</v>
      </c>
      <c r="R1579" s="48">
        <f>HEX2DEC(RIGHT(Table13232127535868[[#This Row],[h2]],8))</f>
        <v>0</v>
      </c>
    </row>
    <row r="1580" spans="1:18">
      <c r="A1580" s="15" t="str">
        <f t="shared" si="29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8" t="s">
        <v>75</v>
      </c>
      <c r="P1580" s="48">
        <f>HEX2DEC(RIGHT(Table13232127535868[[#This Row],[h1]],8))</f>
        <v>0</v>
      </c>
      <c r="Q1580" s="48" t="s">
        <v>75</v>
      </c>
      <c r="R1580" s="48">
        <f>HEX2DEC(RIGHT(Table13232127535868[[#This Row],[h2]],8))</f>
        <v>0</v>
      </c>
    </row>
    <row r="1581" spans="1:18">
      <c r="A1581" s="15" t="str">
        <f t="shared" si="29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8" t="s">
        <v>75</v>
      </c>
      <c r="P1581" s="48">
        <f>HEX2DEC(RIGHT(Table13232127535868[[#This Row],[h1]],8))</f>
        <v>0</v>
      </c>
      <c r="Q1581" s="48" t="s">
        <v>75</v>
      </c>
      <c r="R1581" s="48">
        <f>HEX2DEC(RIGHT(Table13232127535868[[#This Row],[h2]],8))</f>
        <v>0</v>
      </c>
    </row>
    <row r="1582" spans="1:18">
      <c r="A1582" s="15" t="str">
        <f t="shared" si="29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8" t="s">
        <v>75</v>
      </c>
      <c r="P1582" s="48">
        <f>HEX2DEC(RIGHT(Table13232127535868[[#This Row],[h1]],8))</f>
        <v>0</v>
      </c>
      <c r="Q1582" s="48" t="s">
        <v>75</v>
      </c>
      <c r="R1582" s="48">
        <f>HEX2DEC(RIGHT(Table13232127535868[[#This Row],[h2]],8))</f>
        <v>0</v>
      </c>
    </row>
    <row r="1583" spans="1:18">
      <c r="A1583" s="15" t="str">
        <f t="shared" si="29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8" t="s">
        <v>75</v>
      </c>
      <c r="P1583" s="48">
        <f>HEX2DEC(RIGHT(Table13232127535868[[#This Row],[h1]],8))</f>
        <v>0</v>
      </c>
      <c r="Q1583" s="48" t="s">
        <v>75</v>
      </c>
      <c r="R1583" s="48">
        <f>HEX2DEC(RIGHT(Table13232127535868[[#This Row],[h2]],8))</f>
        <v>0</v>
      </c>
    </row>
    <row r="1584" spans="1:18">
      <c r="A1584" s="15" t="str">
        <f t="shared" si="29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8" t="s">
        <v>75</v>
      </c>
      <c r="P1584" s="48">
        <f>HEX2DEC(RIGHT(Table13232127535868[[#This Row],[h1]],8))</f>
        <v>0</v>
      </c>
      <c r="Q1584" s="48" t="s">
        <v>75</v>
      </c>
      <c r="R1584" s="48">
        <f>HEX2DEC(RIGHT(Table13232127535868[[#This Row],[h2]],8))</f>
        <v>0</v>
      </c>
    </row>
    <row r="1585" spans="1:18">
      <c r="A1585" s="15" t="str">
        <f t="shared" si="29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8" t="s">
        <v>75</v>
      </c>
      <c r="P1585" s="48">
        <f>HEX2DEC(RIGHT(Table13232127535868[[#This Row],[h1]],8))</f>
        <v>0</v>
      </c>
      <c r="Q1585" s="48" t="s">
        <v>75</v>
      </c>
      <c r="R1585" s="48">
        <f>HEX2DEC(RIGHT(Table13232127535868[[#This Row],[h2]],8))</f>
        <v>0</v>
      </c>
    </row>
    <row r="1586" spans="1:18">
      <c r="A1586" s="15" t="str">
        <f t="shared" si="29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8" t="s">
        <v>75</v>
      </c>
      <c r="P1586" s="48">
        <f>HEX2DEC(RIGHT(Table13232127535868[[#This Row],[h1]],8))</f>
        <v>0</v>
      </c>
      <c r="Q1586" s="48" t="s">
        <v>75</v>
      </c>
      <c r="R1586" s="48">
        <f>HEX2DEC(RIGHT(Table13232127535868[[#This Row],[h2]],8))</f>
        <v>0</v>
      </c>
    </row>
    <row r="1587" spans="1:18">
      <c r="A1587" s="15" t="str">
        <f t="shared" si="29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8" t="s">
        <v>75</v>
      </c>
      <c r="P1587" s="48">
        <f>HEX2DEC(RIGHT(Table13232127535868[[#This Row],[h1]],8))</f>
        <v>0</v>
      </c>
      <c r="Q1587" s="48" t="s">
        <v>75</v>
      </c>
      <c r="R1587" s="48">
        <f>HEX2DEC(RIGHT(Table13232127535868[[#This Row],[h2]],8))</f>
        <v>0</v>
      </c>
    </row>
    <row r="1588" spans="1:18">
      <c r="A1588" s="15" t="str">
        <f t="shared" si="29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8" t="s">
        <v>75</v>
      </c>
      <c r="P1588" s="48">
        <f>HEX2DEC(RIGHT(Table13232127535868[[#This Row],[h1]],8))</f>
        <v>0</v>
      </c>
      <c r="Q1588" s="48" t="s">
        <v>75</v>
      </c>
      <c r="R1588" s="48">
        <f>HEX2DEC(RIGHT(Table13232127535868[[#This Row],[h2]],8))</f>
        <v>0</v>
      </c>
    </row>
    <row r="1589" spans="1:18">
      <c r="A1589" s="15" t="str">
        <f t="shared" si="29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8" t="s">
        <v>75</v>
      </c>
      <c r="P1589" s="48">
        <f>HEX2DEC(RIGHT(Table13232127535868[[#This Row],[h1]],8))</f>
        <v>0</v>
      </c>
      <c r="Q1589" s="48" t="s">
        <v>75</v>
      </c>
      <c r="R1589" s="48">
        <f>HEX2DEC(RIGHT(Table13232127535868[[#This Row],[h2]],8))</f>
        <v>0</v>
      </c>
    </row>
    <row r="1590" spans="1:18">
      <c r="A1590" s="15" t="str">
        <f t="shared" si="29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8" t="s">
        <v>75</v>
      </c>
      <c r="P1590" s="48">
        <f>HEX2DEC(RIGHT(Table13232127535868[[#This Row],[h1]],8))</f>
        <v>0</v>
      </c>
      <c r="Q1590" s="48" t="s">
        <v>75</v>
      </c>
      <c r="R1590" s="48">
        <f>HEX2DEC(RIGHT(Table13232127535868[[#This Row],[h2]],8))</f>
        <v>0</v>
      </c>
    </row>
    <row r="1591" spans="1:18">
      <c r="A1591" s="15" t="str">
        <f t="shared" si="29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8" t="s">
        <v>75</v>
      </c>
      <c r="P1591" s="48">
        <f>HEX2DEC(RIGHT(Table13232127535868[[#This Row],[h1]],8))</f>
        <v>0</v>
      </c>
      <c r="Q1591" s="48" t="s">
        <v>75</v>
      </c>
      <c r="R1591" s="48">
        <f>HEX2DEC(RIGHT(Table13232127535868[[#This Row],[h2]],8))</f>
        <v>0</v>
      </c>
    </row>
    <row r="1592" spans="1:18">
      <c r="A1592" s="15" t="str">
        <f t="shared" si="29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8" t="s">
        <v>75</v>
      </c>
      <c r="P1592" s="48">
        <f>HEX2DEC(RIGHT(Table13232127535868[[#This Row],[h1]],8))</f>
        <v>0</v>
      </c>
      <c r="Q1592" s="48" t="s">
        <v>75</v>
      </c>
      <c r="R1592" s="48">
        <f>HEX2DEC(RIGHT(Table13232127535868[[#This Row],[h2]],8))</f>
        <v>0</v>
      </c>
    </row>
    <row r="1593" spans="1:18">
      <c r="A1593" s="15" t="str">
        <f t="shared" si="29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8" t="s">
        <v>75</v>
      </c>
      <c r="P1593" s="48">
        <f>HEX2DEC(RIGHT(Table13232127535868[[#This Row],[h1]],8))</f>
        <v>0</v>
      </c>
      <c r="Q1593" s="48" t="s">
        <v>75</v>
      </c>
      <c r="R1593" s="48">
        <f>HEX2DEC(RIGHT(Table13232127535868[[#This Row],[h2]],8))</f>
        <v>0</v>
      </c>
    </row>
    <row r="1594" spans="1:18">
      <c r="A1594" s="15" t="str">
        <f t="shared" si="29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8" t="s">
        <v>75</v>
      </c>
      <c r="P1594" s="48">
        <f>HEX2DEC(RIGHT(Table13232127535868[[#This Row],[h1]],8))</f>
        <v>0</v>
      </c>
      <c r="Q1594" s="48" t="s">
        <v>75</v>
      </c>
      <c r="R1594" s="48">
        <f>HEX2DEC(RIGHT(Table13232127535868[[#This Row],[h2]],8))</f>
        <v>0</v>
      </c>
    </row>
    <row r="1595" spans="1:18">
      <c r="A1595" s="15" t="str">
        <f t="shared" si="29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8" t="s">
        <v>75</v>
      </c>
      <c r="P1595" s="48">
        <f>HEX2DEC(RIGHT(Table13232127535868[[#This Row],[h1]],8))</f>
        <v>0</v>
      </c>
      <c r="Q1595" s="48" t="s">
        <v>75</v>
      </c>
      <c r="R1595" s="48">
        <f>HEX2DEC(RIGHT(Table13232127535868[[#This Row],[h2]],8))</f>
        <v>0</v>
      </c>
    </row>
    <row r="1596" spans="1:18">
      <c r="A1596" s="15" t="str">
        <f t="shared" si="29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8" t="s">
        <v>75</v>
      </c>
      <c r="P1596" s="48">
        <f>HEX2DEC(RIGHT(Table13232127535868[[#This Row],[h1]],8))</f>
        <v>0</v>
      </c>
      <c r="Q1596" s="48" t="s">
        <v>75</v>
      </c>
      <c r="R1596" s="48">
        <f>HEX2DEC(RIGHT(Table13232127535868[[#This Row],[h2]],8))</f>
        <v>0</v>
      </c>
    </row>
    <row r="1597" spans="1:18">
      <c r="A1597" s="15" t="str">
        <f t="shared" si="29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8" t="s">
        <v>75</v>
      </c>
      <c r="P1597" s="48">
        <f>HEX2DEC(RIGHT(Table13232127535868[[#This Row],[h1]],8))</f>
        <v>0</v>
      </c>
      <c r="Q1597" s="48" t="s">
        <v>75</v>
      </c>
      <c r="R1597" s="48">
        <f>HEX2DEC(RIGHT(Table13232127535868[[#This Row],[h2]],8))</f>
        <v>0</v>
      </c>
    </row>
    <row r="1598" spans="1:18">
      <c r="A1598" s="15" t="str">
        <f t="shared" si="29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8" t="s">
        <v>75</v>
      </c>
      <c r="P1598" s="48">
        <f>HEX2DEC(RIGHT(Table13232127535868[[#This Row],[h1]],8))</f>
        <v>0</v>
      </c>
      <c r="Q1598" s="48" t="s">
        <v>75</v>
      </c>
      <c r="R1598" s="48">
        <f>HEX2DEC(RIGHT(Table13232127535868[[#This Row],[h2]],8))</f>
        <v>0</v>
      </c>
    </row>
    <row r="1599" spans="1:18">
      <c r="A1599" s="15" t="str">
        <f t="shared" si="29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8" t="s">
        <v>75</v>
      </c>
      <c r="P1599" s="48">
        <f>HEX2DEC(RIGHT(Table13232127535868[[#This Row],[h1]],8))</f>
        <v>0</v>
      </c>
      <c r="Q1599" s="48" t="s">
        <v>75</v>
      </c>
      <c r="R1599" s="48">
        <f>HEX2DEC(RIGHT(Table13232127535868[[#This Row],[h2]],8))</f>
        <v>0</v>
      </c>
    </row>
    <row r="1600" spans="1:18">
      <c r="A1600" s="15" t="str">
        <f t="shared" si="29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8" t="s">
        <v>75</v>
      </c>
      <c r="P1600" s="48">
        <f>HEX2DEC(RIGHT(Table13232127535868[[#This Row],[h1]],8))</f>
        <v>0</v>
      </c>
      <c r="Q1600" s="48" t="s">
        <v>75</v>
      </c>
      <c r="R1600" s="48">
        <f>HEX2DEC(RIGHT(Table13232127535868[[#This Row],[h2]],8))</f>
        <v>0</v>
      </c>
    </row>
    <row r="1601" spans="1:18">
      <c r="A1601" s="15" t="str">
        <f t="shared" si="29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8" t="s">
        <v>75</v>
      </c>
      <c r="P1601" s="48">
        <f>HEX2DEC(RIGHT(Table13232127535868[[#This Row],[h1]],8))</f>
        <v>0</v>
      </c>
      <c r="Q1601" s="48" t="s">
        <v>75</v>
      </c>
      <c r="R1601" s="48">
        <f>HEX2DEC(RIGHT(Table13232127535868[[#This Row],[h2]],8))</f>
        <v>0</v>
      </c>
    </row>
    <row r="1602" spans="1:18">
      <c r="A1602" s="15" t="str">
        <f t="shared" si="29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8" t="s">
        <v>75</v>
      </c>
      <c r="P1602" s="48">
        <f>HEX2DEC(RIGHT(Table13232127535868[[#This Row],[h1]],8))</f>
        <v>0</v>
      </c>
      <c r="Q1602" s="48" t="s">
        <v>75</v>
      </c>
      <c r="R1602" s="48">
        <f>HEX2DEC(RIGHT(Table13232127535868[[#This Row],[h2]],8))</f>
        <v>0</v>
      </c>
    </row>
    <row r="1603" spans="1:18">
      <c r="A1603" s="15" t="str">
        <f t="shared" si="29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8" t="s">
        <v>75</v>
      </c>
      <c r="P1603" s="48">
        <f>HEX2DEC(RIGHT(Table13232127535868[[#This Row],[h1]],8))</f>
        <v>0</v>
      </c>
      <c r="Q1603" s="48" t="s">
        <v>75</v>
      </c>
      <c r="R1603" s="48">
        <f>HEX2DEC(RIGHT(Table13232127535868[[#This Row],[h2]],8))</f>
        <v>0</v>
      </c>
    </row>
    <row r="1604" spans="1:18">
      <c r="A1604" s="15" t="str">
        <f t="shared" si="29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8" t="s">
        <v>75</v>
      </c>
      <c r="P1604" s="48">
        <f>HEX2DEC(RIGHT(Table13232127535868[[#This Row],[h1]],8))</f>
        <v>0</v>
      </c>
      <c r="Q1604" s="48" t="s">
        <v>75</v>
      </c>
      <c r="R1604" s="48">
        <f>HEX2DEC(RIGHT(Table13232127535868[[#This Row],[h2]],8))</f>
        <v>0</v>
      </c>
    </row>
    <row r="1605" spans="1:18">
      <c r="A1605" s="15" t="str">
        <f t="shared" si="29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8" t="s">
        <v>75</v>
      </c>
      <c r="P1605" s="48">
        <f>HEX2DEC(RIGHT(Table13232127535868[[#This Row],[h1]],8))</f>
        <v>0</v>
      </c>
      <c r="Q1605" s="48" t="s">
        <v>75</v>
      </c>
      <c r="R1605" s="48">
        <f>HEX2DEC(RIGHT(Table13232127535868[[#This Row],[h2]],8))</f>
        <v>0</v>
      </c>
    </row>
    <row r="1606" spans="1:18">
      <c r="A1606" s="15" t="str">
        <f t="shared" si="29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8" t="s">
        <v>75</v>
      </c>
      <c r="P1606" s="48">
        <f>HEX2DEC(RIGHT(Table13232127535868[[#This Row],[h1]],8))</f>
        <v>0</v>
      </c>
      <c r="Q1606" s="48" t="s">
        <v>75</v>
      </c>
      <c r="R1606" s="48">
        <f>HEX2DEC(RIGHT(Table13232127535868[[#This Row],[h2]],8))</f>
        <v>0</v>
      </c>
    </row>
    <row r="1607" spans="1:18">
      <c r="A1607" s="15" t="str">
        <f t="shared" si="29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8" t="s">
        <v>75</v>
      </c>
      <c r="P1607" s="48">
        <f>HEX2DEC(RIGHT(Table13232127535868[[#This Row],[h1]],8))</f>
        <v>0</v>
      </c>
      <c r="Q1607" s="48" t="s">
        <v>75</v>
      </c>
      <c r="R1607" s="48">
        <f>HEX2DEC(RIGHT(Table13232127535868[[#This Row],[h2]],8))</f>
        <v>0</v>
      </c>
    </row>
    <row r="1608" spans="1:18">
      <c r="A1608" s="15" t="str">
        <f t="shared" si="29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8" t="s">
        <v>75</v>
      </c>
      <c r="P1608" s="48">
        <f>HEX2DEC(RIGHT(Table13232127535868[[#This Row],[h1]],8))</f>
        <v>0</v>
      </c>
      <c r="Q1608" s="48" t="s">
        <v>75</v>
      </c>
      <c r="R1608" s="48">
        <f>HEX2DEC(RIGHT(Table13232127535868[[#This Row],[h2]],8))</f>
        <v>0</v>
      </c>
    </row>
    <row r="1609" spans="1:18">
      <c r="A1609" s="15" t="str">
        <f t="shared" si="29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8" t="s">
        <v>75</v>
      </c>
      <c r="P1609" s="48">
        <f>HEX2DEC(RIGHT(Table13232127535868[[#This Row],[h1]],8))</f>
        <v>0</v>
      </c>
      <c r="Q1609" s="48" t="s">
        <v>75</v>
      </c>
      <c r="R1609" s="48">
        <f>HEX2DEC(RIGHT(Table13232127535868[[#This Row],[h2]],8))</f>
        <v>0</v>
      </c>
    </row>
    <row r="1610" spans="1:18">
      <c r="A1610" s="15" t="str">
        <f t="shared" si="29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8" t="s">
        <v>75</v>
      </c>
      <c r="P1610" s="48">
        <f>HEX2DEC(RIGHT(Table13232127535868[[#This Row],[h1]],8))</f>
        <v>0</v>
      </c>
      <c r="Q1610" s="48" t="s">
        <v>75</v>
      </c>
      <c r="R1610" s="48">
        <f>HEX2DEC(RIGHT(Table13232127535868[[#This Row],[h2]],8))</f>
        <v>0</v>
      </c>
    </row>
    <row r="1611" spans="1:18">
      <c r="A1611" s="15" t="str">
        <f t="shared" ref="A1611:A1674" si="30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8" t="s">
        <v>75</v>
      </c>
      <c r="P1611" s="48">
        <f>HEX2DEC(RIGHT(Table13232127535868[[#This Row],[h1]],8))</f>
        <v>0</v>
      </c>
      <c r="Q1611" s="48" t="s">
        <v>75</v>
      </c>
      <c r="R1611" s="48">
        <f>HEX2DEC(RIGHT(Table13232127535868[[#This Row],[h2]],8))</f>
        <v>0</v>
      </c>
    </row>
    <row r="1612" spans="1:18">
      <c r="A1612" s="15" t="str">
        <f t="shared" si="30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8" t="s">
        <v>75</v>
      </c>
      <c r="P1612" s="48">
        <f>HEX2DEC(RIGHT(Table13232127535868[[#This Row],[h1]],8))</f>
        <v>0</v>
      </c>
      <c r="Q1612" s="48" t="s">
        <v>75</v>
      </c>
      <c r="R1612" s="48">
        <f>HEX2DEC(RIGHT(Table13232127535868[[#This Row],[h2]],8))</f>
        <v>0</v>
      </c>
    </row>
    <row r="1613" spans="1:18">
      <c r="A1613" s="15" t="str">
        <f t="shared" si="30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8" t="s">
        <v>75</v>
      </c>
      <c r="P1613" s="48">
        <f>HEX2DEC(RIGHT(Table13232127535868[[#This Row],[h1]],8))</f>
        <v>0</v>
      </c>
      <c r="Q1613" s="48" t="s">
        <v>75</v>
      </c>
      <c r="R1613" s="48">
        <f>HEX2DEC(RIGHT(Table13232127535868[[#This Row],[h2]],8))</f>
        <v>0</v>
      </c>
    </row>
    <row r="1614" spans="1:18">
      <c r="A1614" s="15" t="str">
        <f t="shared" si="30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8" t="s">
        <v>75</v>
      </c>
      <c r="P1614" s="48">
        <f>HEX2DEC(RIGHT(Table13232127535868[[#This Row],[h1]],8))</f>
        <v>0</v>
      </c>
      <c r="Q1614" s="48" t="s">
        <v>75</v>
      </c>
      <c r="R1614" s="48">
        <f>HEX2DEC(RIGHT(Table13232127535868[[#This Row],[h2]],8))</f>
        <v>0</v>
      </c>
    </row>
    <row r="1615" spans="1:18">
      <c r="A1615" s="15" t="str">
        <f t="shared" si="30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8" t="s">
        <v>75</v>
      </c>
      <c r="P1615" s="48">
        <f>HEX2DEC(RIGHT(Table13232127535868[[#This Row],[h1]],8))</f>
        <v>0</v>
      </c>
      <c r="Q1615" s="48" t="s">
        <v>75</v>
      </c>
      <c r="R1615" s="48">
        <f>HEX2DEC(RIGHT(Table13232127535868[[#This Row],[h2]],8))</f>
        <v>0</v>
      </c>
    </row>
    <row r="1616" spans="1:18">
      <c r="A1616" s="15" t="str">
        <f t="shared" si="30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8" t="s">
        <v>75</v>
      </c>
      <c r="P1616" s="48">
        <f>HEX2DEC(RIGHT(Table13232127535868[[#This Row],[h1]],8))</f>
        <v>0</v>
      </c>
      <c r="Q1616" s="48" t="s">
        <v>75</v>
      </c>
      <c r="R1616" s="48">
        <f>HEX2DEC(RIGHT(Table13232127535868[[#This Row],[h2]],8))</f>
        <v>0</v>
      </c>
    </row>
    <row r="1617" spans="1:18">
      <c r="A1617" s="15" t="str">
        <f t="shared" si="30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8" t="s">
        <v>75</v>
      </c>
      <c r="P1617" s="48">
        <f>HEX2DEC(RIGHT(Table13232127535868[[#This Row],[h1]],8))</f>
        <v>0</v>
      </c>
      <c r="Q1617" s="48" t="s">
        <v>75</v>
      </c>
      <c r="R1617" s="48">
        <f>HEX2DEC(RIGHT(Table13232127535868[[#This Row],[h2]],8))</f>
        <v>0</v>
      </c>
    </row>
    <row r="1618" spans="1:18">
      <c r="A1618" s="15" t="str">
        <f t="shared" si="30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8" t="s">
        <v>75</v>
      </c>
      <c r="P1618" s="48">
        <f>HEX2DEC(RIGHT(Table13232127535868[[#This Row],[h1]],8))</f>
        <v>0</v>
      </c>
      <c r="Q1618" s="48" t="s">
        <v>75</v>
      </c>
      <c r="R1618" s="48">
        <f>HEX2DEC(RIGHT(Table13232127535868[[#This Row],[h2]],8))</f>
        <v>0</v>
      </c>
    </row>
    <row r="1619" spans="1:18">
      <c r="A1619" s="15" t="str">
        <f t="shared" si="30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8" t="s">
        <v>75</v>
      </c>
      <c r="P1619" s="48">
        <f>HEX2DEC(RIGHT(Table13232127535868[[#This Row],[h1]],8))</f>
        <v>0</v>
      </c>
      <c r="Q1619" s="48" t="s">
        <v>75</v>
      </c>
      <c r="R1619" s="48">
        <f>HEX2DEC(RIGHT(Table13232127535868[[#This Row],[h2]],8))</f>
        <v>0</v>
      </c>
    </row>
    <row r="1620" spans="1:18">
      <c r="A1620" s="15" t="str">
        <f t="shared" si="30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8" t="s">
        <v>75</v>
      </c>
      <c r="P1620" s="48">
        <f>HEX2DEC(RIGHT(Table13232127535868[[#This Row],[h1]],8))</f>
        <v>0</v>
      </c>
      <c r="Q1620" s="48" t="s">
        <v>75</v>
      </c>
      <c r="R1620" s="48">
        <f>HEX2DEC(RIGHT(Table13232127535868[[#This Row],[h2]],8))</f>
        <v>0</v>
      </c>
    </row>
    <row r="1621" spans="1:18">
      <c r="A1621" s="15" t="str">
        <f t="shared" si="30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8" t="s">
        <v>75</v>
      </c>
      <c r="P1621" s="48">
        <f>HEX2DEC(RIGHT(Table13232127535868[[#This Row],[h1]],8))</f>
        <v>0</v>
      </c>
      <c r="Q1621" s="48" t="s">
        <v>75</v>
      </c>
      <c r="R1621" s="48">
        <f>HEX2DEC(RIGHT(Table13232127535868[[#This Row],[h2]],8))</f>
        <v>0</v>
      </c>
    </row>
    <row r="1622" spans="1:18">
      <c r="A1622" s="15" t="str">
        <f t="shared" si="30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8" t="s">
        <v>75</v>
      </c>
      <c r="P1622" s="48">
        <f>HEX2DEC(RIGHT(Table13232127535868[[#This Row],[h1]],8))</f>
        <v>0</v>
      </c>
      <c r="Q1622" s="48" t="s">
        <v>75</v>
      </c>
      <c r="R1622" s="48">
        <f>HEX2DEC(RIGHT(Table13232127535868[[#This Row],[h2]],8))</f>
        <v>0</v>
      </c>
    </row>
    <row r="1623" spans="1:18">
      <c r="A1623" s="15" t="str">
        <f t="shared" si="30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8" t="s">
        <v>75</v>
      </c>
      <c r="P1623" s="48">
        <f>HEX2DEC(RIGHT(Table13232127535868[[#This Row],[h1]],8))</f>
        <v>0</v>
      </c>
      <c r="Q1623" s="48" t="s">
        <v>75</v>
      </c>
      <c r="R1623" s="48">
        <f>HEX2DEC(RIGHT(Table13232127535868[[#This Row],[h2]],8))</f>
        <v>0</v>
      </c>
    </row>
    <row r="1624" spans="1:18">
      <c r="A1624" s="15" t="str">
        <f t="shared" si="30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8" t="s">
        <v>75</v>
      </c>
      <c r="P1624" s="48">
        <f>HEX2DEC(RIGHT(Table13232127535868[[#This Row],[h1]],8))</f>
        <v>0</v>
      </c>
      <c r="Q1624" s="48" t="s">
        <v>75</v>
      </c>
      <c r="R1624" s="48">
        <f>HEX2DEC(RIGHT(Table13232127535868[[#This Row],[h2]],8))</f>
        <v>0</v>
      </c>
    </row>
    <row r="1625" spans="1:18">
      <c r="A1625" s="15" t="str">
        <f t="shared" si="30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8" t="s">
        <v>75</v>
      </c>
      <c r="P1625" s="48">
        <f>HEX2DEC(RIGHT(Table13232127535868[[#This Row],[h1]],8))</f>
        <v>0</v>
      </c>
      <c r="Q1625" s="48" t="s">
        <v>75</v>
      </c>
      <c r="R1625" s="48">
        <f>HEX2DEC(RIGHT(Table13232127535868[[#This Row],[h2]],8))</f>
        <v>0</v>
      </c>
    </row>
    <row r="1626" spans="1:18">
      <c r="A1626" s="15" t="str">
        <f t="shared" si="30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8" t="s">
        <v>75</v>
      </c>
      <c r="P1626" s="48">
        <f>HEX2DEC(RIGHT(Table13232127535868[[#This Row],[h1]],8))</f>
        <v>0</v>
      </c>
      <c r="Q1626" s="48" t="s">
        <v>75</v>
      </c>
      <c r="R1626" s="48">
        <f>HEX2DEC(RIGHT(Table13232127535868[[#This Row],[h2]],8))</f>
        <v>0</v>
      </c>
    </row>
    <row r="1627" spans="1:18">
      <c r="A1627" s="15" t="str">
        <f t="shared" si="30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8" t="s">
        <v>75</v>
      </c>
      <c r="P1627" s="48">
        <f>HEX2DEC(RIGHT(Table13232127535868[[#This Row],[h1]],8))</f>
        <v>0</v>
      </c>
      <c r="Q1627" s="48" t="s">
        <v>75</v>
      </c>
      <c r="R1627" s="48">
        <f>HEX2DEC(RIGHT(Table13232127535868[[#This Row],[h2]],8))</f>
        <v>0</v>
      </c>
    </row>
    <row r="1628" spans="1:18">
      <c r="A1628" s="15" t="str">
        <f t="shared" si="30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8" t="s">
        <v>75</v>
      </c>
      <c r="P1628" s="48">
        <f>HEX2DEC(RIGHT(Table13232127535868[[#This Row],[h1]],8))</f>
        <v>0</v>
      </c>
      <c r="Q1628" s="48" t="s">
        <v>75</v>
      </c>
      <c r="R1628" s="48">
        <f>HEX2DEC(RIGHT(Table13232127535868[[#This Row],[h2]],8))</f>
        <v>0</v>
      </c>
    </row>
    <row r="1629" spans="1:18">
      <c r="A1629" s="15" t="str">
        <f t="shared" si="30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8" t="s">
        <v>75</v>
      </c>
      <c r="P1629" s="48">
        <f>HEX2DEC(RIGHT(Table13232127535868[[#This Row],[h1]],8))</f>
        <v>0</v>
      </c>
      <c r="Q1629" s="48" t="s">
        <v>75</v>
      </c>
      <c r="R1629" s="48">
        <f>HEX2DEC(RIGHT(Table13232127535868[[#This Row],[h2]],8))</f>
        <v>0</v>
      </c>
    </row>
    <row r="1630" spans="1:18">
      <c r="A1630" s="15" t="str">
        <f t="shared" si="30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8" t="s">
        <v>75</v>
      </c>
      <c r="P1630" s="48">
        <f>HEX2DEC(RIGHT(Table13232127535868[[#This Row],[h1]],8))</f>
        <v>0</v>
      </c>
      <c r="Q1630" s="48" t="s">
        <v>75</v>
      </c>
      <c r="R1630" s="48">
        <f>HEX2DEC(RIGHT(Table13232127535868[[#This Row],[h2]],8))</f>
        <v>0</v>
      </c>
    </row>
    <row r="1631" spans="1:18">
      <c r="A1631" s="15" t="str">
        <f t="shared" si="30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8" t="s">
        <v>75</v>
      </c>
      <c r="P1631" s="48">
        <f>HEX2DEC(RIGHT(Table13232127535868[[#This Row],[h1]],8))</f>
        <v>0</v>
      </c>
      <c r="Q1631" s="48" t="s">
        <v>75</v>
      </c>
      <c r="R1631" s="48">
        <f>HEX2DEC(RIGHT(Table13232127535868[[#This Row],[h2]],8))</f>
        <v>0</v>
      </c>
    </row>
    <row r="1632" spans="1:18">
      <c r="A1632" s="15" t="str">
        <f t="shared" si="30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8" t="s">
        <v>75</v>
      </c>
      <c r="P1632" s="48">
        <f>HEX2DEC(RIGHT(Table13232127535868[[#This Row],[h1]],8))</f>
        <v>0</v>
      </c>
      <c r="Q1632" s="48" t="s">
        <v>75</v>
      </c>
      <c r="R1632" s="48">
        <f>HEX2DEC(RIGHT(Table13232127535868[[#This Row],[h2]],8))</f>
        <v>0</v>
      </c>
    </row>
    <row r="1633" spans="1:18">
      <c r="A1633" s="15" t="str">
        <f t="shared" si="30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8" t="s">
        <v>75</v>
      </c>
      <c r="P1633" s="48">
        <f>HEX2DEC(RIGHT(Table13232127535868[[#This Row],[h1]],8))</f>
        <v>0</v>
      </c>
      <c r="Q1633" s="48" t="s">
        <v>75</v>
      </c>
      <c r="R1633" s="48">
        <f>HEX2DEC(RIGHT(Table13232127535868[[#This Row],[h2]],8))</f>
        <v>0</v>
      </c>
    </row>
    <row r="1634" spans="1:18">
      <c r="A1634" s="15" t="str">
        <f t="shared" si="30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8" t="s">
        <v>75</v>
      </c>
      <c r="P1634" s="48">
        <f>HEX2DEC(RIGHT(Table13232127535868[[#This Row],[h1]],8))</f>
        <v>0</v>
      </c>
      <c r="Q1634" s="48" t="s">
        <v>75</v>
      </c>
      <c r="R1634" s="48">
        <f>HEX2DEC(RIGHT(Table13232127535868[[#This Row],[h2]],8))</f>
        <v>0</v>
      </c>
    </row>
    <row r="1635" spans="1:18">
      <c r="A1635" s="15" t="str">
        <f t="shared" si="30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8" t="s">
        <v>75</v>
      </c>
      <c r="P1635" s="48">
        <f>HEX2DEC(RIGHT(Table13232127535868[[#This Row],[h1]],8))</f>
        <v>0</v>
      </c>
      <c r="Q1635" s="48" t="s">
        <v>75</v>
      </c>
      <c r="R1635" s="48">
        <f>HEX2DEC(RIGHT(Table13232127535868[[#This Row],[h2]],8))</f>
        <v>0</v>
      </c>
    </row>
    <row r="1636" spans="1:18">
      <c r="A1636" s="15" t="str">
        <f t="shared" si="30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8" t="s">
        <v>75</v>
      </c>
      <c r="P1636" s="48">
        <f>HEX2DEC(RIGHT(Table13232127535868[[#This Row],[h1]],8))</f>
        <v>0</v>
      </c>
      <c r="Q1636" s="48" t="s">
        <v>75</v>
      </c>
      <c r="R1636" s="48">
        <f>HEX2DEC(RIGHT(Table13232127535868[[#This Row],[h2]],8))</f>
        <v>0</v>
      </c>
    </row>
    <row r="1637" spans="1:18">
      <c r="A1637" s="15" t="str">
        <f t="shared" si="30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8" t="s">
        <v>75</v>
      </c>
      <c r="P1637" s="48">
        <f>HEX2DEC(RIGHT(Table13232127535868[[#This Row],[h1]],8))</f>
        <v>0</v>
      </c>
      <c r="Q1637" s="48" t="s">
        <v>75</v>
      </c>
      <c r="R1637" s="48">
        <f>HEX2DEC(RIGHT(Table13232127535868[[#This Row],[h2]],8))</f>
        <v>0</v>
      </c>
    </row>
    <row r="1638" spans="1:18">
      <c r="A1638" s="15" t="str">
        <f t="shared" si="30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8" t="s">
        <v>75</v>
      </c>
      <c r="P1638" s="48">
        <f>HEX2DEC(RIGHT(Table13232127535868[[#This Row],[h1]],8))</f>
        <v>0</v>
      </c>
      <c r="Q1638" s="48" t="s">
        <v>75</v>
      </c>
      <c r="R1638" s="48">
        <f>HEX2DEC(RIGHT(Table13232127535868[[#This Row],[h2]],8))</f>
        <v>0</v>
      </c>
    </row>
    <row r="1639" spans="1:18">
      <c r="A1639" s="15" t="str">
        <f t="shared" si="30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8" t="s">
        <v>75</v>
      </c>
      <c r="P1639" s="48">
        <f>HEX2DEC(RIGHT(Table13232127535868[[#This Row],[h1]],8))</f>
        <v>0</v>
      </c>
      <c r="Q1639" s="48" t="s">
        <v>75</v>
      </c>
      <c r="R1639" s="48">
        <f>HEX2DEC(RIGHT(Table13232127535868[[#This Row],[h2]],8))</f>
        <v>0</v>
      </c>
    </row>
    <row r="1640" spans="1:18">
      <c r="A1640" s="15" t="str">
        <f t="shared" si="30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8" t="s">
        <v>75</v>
      </c>
      <c r="P1640" s="48">
        <f>HEX2DEC(RIGHT(Table13232127535868[[#This Row],[h1]],8))</f>
        <v>0</v>
      </c>
      <c r="Q1640" s="48" t="s">
        <v>75</v>
      </c>
      <c r="R1640" s="48">
        <f>HEX2DEC(RIGHT(Table13232127535868[[#This Row],[h2]],8))</f>
        <v>0</v>
      </c>
    </row>
    <row r="1641" spans="1:18">
      <c r="A1641" s="15" t="str">
        <f t="shared" si="30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8" t="s">
        <v>75</v>
      </c>
      <c r="P1641" s="48">
        <f>HEX2DEC(RIGHT(Table13232127535868[[#This Row],[h1]],8))</f>
        <v>0</v>
      </c>
      <c r="Q1641" s="48" t="s">
        <v>75</v>
      </c>
      <c r="R1641" s="48">
        <f>HEX2DEC(RIGHT(Table13232127535868[[#This Row],[h2]],8))</f>
        <v>0</v>
      </c>
    </row>
    <row r="1642" spans="1:18">
      <c r="A1642" s="15" t="str">
        <f t="shared" si="30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8" t="s">
        <v>75</v>
      </c>
      <c r="P1642" s="48">
        <f>HEX2DEC(RIGHT(Table13232127535868[[#This Row],[h1]],8))</f>
        <v>0</v>
      </c>
      <c r="Q1642" s="48" t="s">
        <v>75</v>
      </c>
      <c r="R1642" s="48">
        <f>HEX2DEC(RIGHT(Table13232127535868[[#This Row],[h2]],8))</f>
        <v>0</v>
      </c>
    </row>
    <row r="1643" spans="1:18">
      <c r="A1643" s="15" t="str">
        <f t="shared" si="30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8" t="s">
        <v>75</v>
      </c>
      <c r="P1643" s="48">
        <f>HEX2DEC(RIGHT(Table13232127535868[[#This Row],[h1]],8))</f>
        <v>0</v>
      </c>
      <c r="Q1643" s="48" t="s">
        <v>75</v>
      </c>
      <c r="R1643" s="48">
        <f>HEX2DEC(RIGHT(Table13232127535868[[#This Row],[h2]],8))</f>
        <v>0</v>
      </c>
    </row>
    <row r="1644" spans="1:18">
      <c r="A1644" s="15" t="str">
        <f t="shared" si="30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8" t="s">
        <v>75</v>
      </c>
      <c r="P1644" s="48">
        <f>HEX2DEC(RIGHT(Table13232127535868[[#This Row],[h1]],8))</f>
        <v>0</v>
      </c>
      <c r="Q1644" s="48" t="s">
        <v>75</v>
      </c>
      <c r="R1644" s="48">
        <f>HEX2DEC(RIGHT(Table13232127535868[[#This Row],[h2]],8))</f>
        <v>0</v>
      </c>
    </row>
    <row r="1645" spans="1:18">
      <c r="A1645" s="15" t="str">
        <f t="shared" si="30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8" t="s">
        <v>75</v>
      </c>
      <c r="P1645" s="48">
        <f>HEX2DEC(RIGHT(Table13232127535868[[#This Row],[h1]],8))</f>
        <v>0</v>
      </c>
      <c r="Q1645" s="48" t="s">
        <v>75</v>
      </c>
      <c r="R1645" s="48">
        <f>HEX2DEC(RIGHT(Table13232127535868[[#This Row],[h2]],8))</f>
        <v>0</v>
      </c>
    </row>
    <row r="1646" spans="1:18">
      <c r="A1646" s="15" t="str">
        <f t="shared" si="30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8" t="s">
        <v>75</v>
      </c>
      <c r="P1646" s="48">
        <f>HEX2DEC(RIGHT(Table13232127535868[[#This Row],[h1]],8))</f>
        <v>0</v>
      </c>
      <c r="Q1646" s="48" t="s">
        <v>75</v>
      </c>
      <c r="R1646" s="48">
        <f>HEX2DEC(RIGHT(Table13232127535868[[#This Row],[h2]],8))</f>
        <v>0</v>
      </c>
    </row>
    <row r="1647" spans="1:18">
      <c r="A1647" s="15" t="str">
        <f t="shared" si="30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8" t="s">
        <v>75</v>
      </c>
      <c r="P1647" s="48">
        <f>HEX2DEC(RIGHT(Table13232127535868[[#This Row],[h1]],8))</f>
        <v>0</v>
      </c>
      <c r="Q1647" s="48" t="s">
        <v>75</v>
      </c>
      <c r="R1647" s="48">
        <f>HEX2DEC(RIGHT(Table13232127535868[[#This Row],[h2]],8))</f>
        <v>0</v>
      </c>
    </row>
    <row r="1648" spans="1:18">
      <c r="A1648" s="15" t="str">
        <f t="shared" si="30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8" t="s">
        <v>75</v>
      </c>
      <c r="P1648" s="48">
        <f>HEX2DEC(RIGHT(Table13232127535868[[#This Row],[h1]],8))</f>
        <v>0</v>
      </c>
      <c r="Q1648" s="48" t="s">
        <v>75</v>
      </c>
      <c r="R1648" s="48">
        <f>HEX2DEC(RIGHT(Table13232127535868[[#This Row],[h2]],8))</f>
        <v>0</v>
      </c>
    </row>
    <row r="1649" spans="1:18">
      <c r="A1649" s="15" t="str">
        <f t="shared" si="30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8" t="s">
        <v>75</v>
      </c>
      <c r="P1649" s="48">
        <f>HEX2DEC(RIGHT(Table13232127535868[[#This Row],[h1]],8))</f>
        <v>0</v>
      </c>
      <c r="Q1649" s="48" t="s">
        <v>75</v>
      </c>
      <c r="R1649" s="48">
        <f>HEX2DEC(RIGHT(Table13232127535868[[#This Row],[h2]],8))</f>
        <v>0</v>
      </c>
    </row>
    <row r="1650" spans="1:18">
      <c r="A1650" s="15" t="str">
        <f t="shared" si="30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8" t="s">
        <v>75</v>
      </c>
      <c r="P1650" s="48">
        <f>HEX2DEC(RIGHT(Table13232127535868[[#This Row],[h1]],8))</f>
        <v>0</v>
      </c>
      <c r="Q1650" s="48" t="s">
        <v>75</v>
      </c>
      <c r="R1650" s="48">
        <f>HEX2DEC(RIGHT(Table13232127535868[[#This Row],[h2]],8))</f>
        <v>0</v>
      </c>
    </row>
    <row r="1651" spans="1:18">
      <c r="A1651" s="15" t="str">
        <f t="shared" si="30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8" t="s">
        <v>75</v>
      </c>
      <c r="P1651" s="48">
        <f>HEX2DEC(RIGHT(Table13232127535868[[#This Row],[h1]],8))</f>
        <v>0</v>
      </c>
      <c r="Q1651" s="48" t="s">
        <v>75</v>
      </c>
      <c r="R1651" s="48">
        <f>HEX2DEC(RIGHT(Table13232127535868[[#This Row],[h2]],8))</f>
        <v>0</v>
      </c>
    </row>
    <row r="1652" spans="1:18">
      <c r="A1652" s="15" t="str">
        <f t="shared" si="30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8" t="s">
        <v>75</v>
      </c>
      <c r="P1652" s="48">
        <f>HEX2DEC(RIGHT(Table13232127535868[[#This Row],[h1]],8))</f>
        <v>0</v>
      </c>
      <c r="Q1652" s="48" t="s">
        <v>75</v>
      </c>
      <c r="R1652" s="48">
        <f>HEX2DEC(RIGHT(Table13232127535868[[#This Row],[h2]],8))</f>
        <v>0</v>
      </c>
    </row>
    <row r="1653" spans="1:18">
      <c r="A1653" s="15" t="str">
        <f t="shared" si="30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8" t="s">
        <v>75</v>
      </c>
      <c r="P1653" s="48">
        <f>HEX2DEC(RIGHT(Table13232127535868[[#This Row],[h1]],8))</f>
        <v>0</v>
      </c>
      <c r="Q1653" s="48" t="s">
        <v>75</v>
      </c>
      <c r="R1653" s="48">
        <f>HEX2DEC(RIGHT(Table13232127535868[[#This Row],[h2]],8))</f>
        <v>0</v>
      </c>
    </row>
    <row r="1654" spans="1:18">
      <c r="A1654" s="15" t="str">
        <f t="shared" si="30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8" t="s">
        <v>75</v>
      </c>
      <c r="P1654" s="48">
        <f>HEX2DEC(RIGHT(Table13232127535868[[#This Row],[h1]],8))</f>
        <v>0</v>
      </c>
      <c r="Q1654" s="48" t="s">
        <v>75</v>
      </c>
      <c r="R1654" s="48">
        <f>HEX2DEC(RIGHT(Table13232127535868[[#This Row],[h2]],8))</f>
        <v>0</v>
      </c>
    </row>
    <row r="1655" spans="1:18">
      <c r="A1655" s="15" t="str">
        <f t="shared" si="30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8" t="s">
        <v>75</v>
      </c>
      <c r="P1655" s="48">
        <f>HEX2DEC(RIGHT(Table13232127535868[[#This Row],[h1]],8))</f>
        <v>0</v>
      </c>
      <c r="Q1655" s="48" t="s">
        <v>75</v>
      </c>
      <c r="R1655" s="48">
        <f>HEX2DEC(RIGHT(Table13232127535868[[#This Row],[h2]],8))</f>
        <v>0</v>
      </c>
    </row>
    <row r="1656" spans="1:18">
      <c r="A1656" s="15" t="str">
        <f t="shared" si="30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8" t="s">
        <v>75</v>
      </c>
      <c r="P1656" s="48">
        <f>HEX2DEC(RIGHT(Table13232127535868[[#This Row],[h1]],8))</f>
        <v>0</v>
      </c>
      <c r="Q1656" s="48" t="s">
        <v>75</v>
      </c>
      <c r="R1656" s="48">
        <f>HEX2DEC(RIGHT(Table13232127535868[[#This Row],[h2]],8))</f>
        <v>0</v>
      </c>
    </row>
    <row r="1657" spans="1:18">
      <c r="A1657" s="15" t="str">
        <f t="shared" si="30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8" t="s">
        <v>75</v>
      </c>
      <c r="P1657" s="48">
        <f>HEX2DEC(RIGHT(Table13232127535868[[#This Row],[h1]],8))</f>
        <v>0</v>
      </c>
      <c r="Q1657" s="48" t="s">
        <v>75</v>
      </c>
      <c r="R1657" s="48">
        <f>HEX2DEC(RIGHT(Table13232127535868[[#This Row],[h2]],8))</f>
        <v>0</v>
      </c>
    </row>
    <row r="1658" spans="1:18">
      <c r="A1658" s="15" t="str">
        <f t="shared" si="30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8" t="s">
        <v>75</v>
      </c>
      <c r="P1658" s="48">
        <f>HEX2DEC(RIGHT(Table13232127535868[[#This Row],[h1]],8))</f>
        <v>0</v>
      </c>
      <c r="Q1658" s="48" t="s">
        <v>75</v>
      </c>
      <c r="R1658" s="48">
        <f>HEX2DEC(RIGHT(Table13232127535868[[#This Row],[h2]],8))</f>
        <v>0</v>
      </c>
    </row>
    <row r="1659" spans="1:18">
      <c r="A1659" s="15" t="str">
        <f t="shared" si="30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8" t="s">
        <v>75</v>
      </c>
      <c r="P1659" s="48">
        <f>HEX2DEC(RIGHT(Table13232127535868[[#This Row],[h1]],8))</f>
        <v>0</v>
      </c>
      <c r="Q1659" s="48" t="s">
        <v>75</v>
      </c>
      <c r="R1659" s="48">
        <f>HEX2DEC(RIGHT(Table13232127535868[[#This Row],[h2]],8))</f>
        <v>0</v>
      </c>
    </row>
    <row r="1660" spans="1:18">
      <c r="A1660" s="15" t="str">
        <f t="shared" si="30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8" t="s">
        <v>75</v>
      </c>
      <c r="P1660" s="48">
        <f>HEX2DEC(RIGHT(Table13232127535868[[#This Row],[h1]],8))</f>
        <v>0</v>
      </c>
      <c r="Q1660" s="48" t="s">
        <v>75</v>
      </c>
      <c r="R1660" s="48">
        <f>HEX2DEC(RIGHT(Table13232127535868[[#This Row],[h2]],8))</f>
        <v>0</v>
      </c>
    </row>
    <row r="1661" spans="1:18">
      <c r="A1661" s="15" t="str">
        <f t="shared" si="30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8" t="s">
        <v>75</v>
      </c>
      <c r="P1661" s="48">
        <f>HEX2DEC(RIGHT(Table13232127535868[[#This Row],[h1]],8))</f>
        <v>0</v>
      </c>
      <c r="Q1661" s="48" t="s">
        <v>75</v>
      </c>
      <c r="R1661" s="48">
        <f>HEX2DEC(RIGHT(Table13232127535868[[#This Row],[h2]],8))</f>
        <v>0</v>
      </c>
    </row>
    <row r="1662" spans="1:18">
      <c r="A1662" s="15" t="str">
        <f t="shared" si="30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8" t="s">
        <v>75</v>
      </c>
      <c r="P1662" s="48">
        <f>HEX2DEC(RIGHT(Table13232127535868[[#This Row],[h1]],8))</f>
        <v>0</v>
      </c>
      <c r="Q1662" s="48" t="s">
        <v>75</v>
      </c>
      <c r="R1662" s="48">
        <f>HEX2DEC(RIGHT(Table13232127535868[[#This Row],[h2]],8))</f>
        <v>0</v>
      </c>
    </row>
    <row r="1663" spans="1:18">
      <c r="A1663" s="15" t="str">
        <f t="shared" si="30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8" t="s">
        <v>75</v>
      </c>
      <c r="P1663" s="48">
        <f>HEX2DEC(RIGHT(Table13232127535868[[#This Row],[h1]],8))</f>
        <v>0</v>
      </c>
      <c r="Q1663" s="48" t="s">
        <v>75</v>
      </c>
      <c r="R1663" s="48">
        <f>HEX2DEC(RIGHT(Table13232127535868[[#This Row],[h2]],8))</f>
        <v>0</v>
      </c>
    </row>
    <row r="1664" spans="1:18">
      <c r="A1664" s="15" t="str">
        <f t="shared" si="30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8" t="s">
        <v>75</v>
      </c>
      <c r="P1664" s="48">
        <f>HEX2DEC(RIGHT(Table13232127535868[[#This Row],[h1]],8))</f>
        <v>0</v>
      </c>
      <c r="Q1664" s="48" t="s">
        <v>75</v>
      </c>
      <c r="R1664" s="48">
        <f>HEX2DEC(RIGHT(Table13232127535868[[#This Row],[h2]],8))</f>
        <v>0</v>
      </c>
    </row>
    <row r="1665" spans="1:18">
      <c r="A1665" s="15" t="str">
        <f t="shared" si="30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8" t="s">
        <v>75</v>
      </c>
      <c r="P1665" s="48">
        <f>HEX2DEC(RIGHT(Table13232127535868[[#This Row],[h1]],8))</f>
        <v>0</v>
      </c>
      <c r="Q1665" s="48" t="s">
        <v>75</v>
      </c>
      <c r="R1665" s="48">
        <f>HEX2DEC(RIGHT(Table13232127535868[[#This Row],[h2]],8))</f>
        <v>0</v>
      </c>
    </row>
    <row r="1666" spans="1:18">
      <c r="A1666" s="15" t="str">
        <f t="shared" si="30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8" t="s">
        <v>75</v>
      </c>
      <c r="P1666" s="48">
        <f>HEX2DEC(RIGHT(Table13232127535868[[#This Row],[h1]],8))</f>
        <v>0</v>
      </c>
      <c r="Q1666" s="48" t="s">
        <v>75</v>
      </c>
      <c r="R1666" s="48">
        <f>HEX2DEC(RIGHT(Table13232127535868[[#This Row],[h2]],8))</f>
        <v>0</v>
      </c>
    </row>
    <row r="1667" spans="1:18">
      <c r="A1667" s="15" t="str">
        <f t="shared" si="30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8" t="s">
        <v>75</v>
      </c>
      <c r="P1667" s="48">
        <f>HEX2DEC(RIGHT(Table13232127535868[[#This Row],[h1]],8))</f>
        <v>0</v>
      </c>
      <c r="Q1667" s="48" t="s">
        <v>75</v>
      </c>
      <c r="R1667" s="48">
        <f>HEX2DEC(RIGHT(Table13232127535868[[#This Row],[h2]],8))</f>
        <v>0</v>
      </c>
    </row>
    <row r="1668" spans="1:18">
      <c r="A1668" s="15" t="str">
        <f t="shared" si="30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8" t="s">
        <v>75</v>
      </c>
      <c r="P1668" s="48">
        <f>HEX2DEC(RIGHT(Table13232127535868[[#This Row],[h1]],8))</f>
        <v>0</v>
      </c>
      <c r="Q1668" s="48" t="s">
        <v>75</v>
      </c>
      <c r="R1668" s="48">
        <f>HEX2DEC(RIGHT(Table13232127535868[[#This Row],[h2]],8))</f>
        <v>0</v>
      </c>
    </row>
    <row r="1669" spans="1:18">
      <c r="A1669" s="15" t="str">
        <f t="shared" si="30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8" t="s">
        <v>75</v>
      </c>
      <c r="P1669" s="48">
        <f>HEX2DEC(RIGHT(Table13232127535868[[#This Row],[h1]],8))</f>
        <v>0</v>
      </c>
      <c r="Q1669" s="48" t="s">
        <v>75</v>
      </c>
      <c r="R1669" s="48">
        <f>HEX2DEC(RIGHT(Table13232127535868[[#This Row],[h2]],8))</f>
        <v>0</v>
      </c>
    </row>
    <row r="1670" spans="1:18">
      <c r="A1670" s="15" t="str">
        <f t="shared" si="30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8" t="s">
        <v>75</v>
      </c>
      <c r="P1670" s="48">
        <f>HEX2DEC(RIGHT(Table13232127535868[[#This Row],[h1]],8))</f>
        <v>0</v>
      </c>
      <c r="Q1670" s="48" t="s">
        <v>75</v>
      </c>
      <c r="R1670" s="48">
        <f>HEX2DEC(RIGHT(Table13232127535868[[#This Row],[h2]],8))</f>
        <v>0</v>
      </c>
    </row>
    <row r="1671" spans="1:18">
      <c r="A1671" s="15" t="str">
        <f t="shared" si="30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8" t="s">
        <v>75</v>
      </c>
      <c r="P1671" s="48">
        <f>HEX2DEC(RIGHT(Table13232127535868[[#This Row],[h1]],8))</f>
        <v>0</v>
      </c>
      <c r="Q1671" s="48" t="s">
        <v>75</v>
      </c>
      <c r="R1671" s="48">
        <f>HEX2DEC(RIGHT(Table13232127535868[[#This Row],[h2]],8))</f>
        <v>0</v>
      </c>
    </row>
    <row r="1672" spans="1:18">
      <c r="A1672" s="15" t="str">
        <f t="shared" si="30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8" t="s">
        <v>75</v>
      </c>
      <c r="P1672" s="48">
        <f>HEX2DEC(RIGHT(Table13232127535868[[#This Row],[h1]],8))</f>
        <v>0</v>
      </c>
      <c r="Q1672" s="48" t="s">
        <v>75</v>
      </c>
      <c r="R1672" s="48">
        <f>HEX2DEC(RIGHT(Table13232127535868[[#This Row],[h2]],8))</f>
        <v>0</v>
      </c>
    </row>
    <row r="1673" spans="1:18">
      <c r="A1673" s="15" t="str">
        <f t="shared" si="30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8" t="s">
        <v>75</v>
      </c>
      <c r="P1673" s="48">
        <f>HEX2DEC(RIGHT(Table13232127535868[[#This Row],[h1]],8))</f>
        <v>0</v>
      </c>
      <c r="Q1673" s="48" t="s">
        <v>75</v>
      </c>
      <c r="R1673" s="48">
        <f>HEX2DEC(RIGHT(Table13232127535868[[#This Row],[h2]],8))</f>
        <v>0</v>
      </c>
    </row>
    <row r="1674" spans="1:18">
      <c r="A1674" s="15" t="str">
        <f t="shared" si="30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8" t="s">
        <v>75</v>
      </c>
      <c r="P1674" s="48">
        <f>HEX2DEC(RIGHT(Table13232127535868[[#This Row],[h1]],8))</f>
        <v>0</v>
      </c>
      <c r="Q1674" s="48" t="s">
        <v>75</v>
      </c>
      <c r="R1674" s="48">
        <f>HEX2DEC(RIGHT(Table13232127535868[[#This Row],[h2]],8))</f>
        <v>0</v>
      </c>
    </row>
    <row r="1675" spans="1:18">
      <c r="A1675" s="15" t="str">
        <f t="shared" ref="A1675:A1738" si="31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8" t="s">
        <v>75</v>
      </c>
      <c r="P1675" s="48">
        <f>HEX2DEC(RIGHT(Table13232127535868[[#This Row],[h1]],8))</f>
        <v>0</v>
      </c>
      <c r="Q1675" s="48" t="s">
        <v>75</v>
      </c>
      <c r="R1675" s="48">
        <f>HEX2DEC(RIGHT(Table13232127535868[[#This Row],[h2]],8))</f>
        <v>0</v>
      </c>
    </row>
    <row r="1676" spans="1:18">
      <c r="A1676" s="15" t="str">
        <f t="shared" si="31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8" t="s">
        <v>75</v>
      </c>
      <c r="P1676" s="48">
        <f>HEX2DEC(RIGHT(Table13232127535868[[#This Row],[h1]],8))</f>
        <v>0</v>
      </c>
      <c r="Q1676" s="48" t="s">
        <v>75</v>
      </c>
      <c r="R1676" s="48">
        <f>HEX2DEC(RIGHT(Table13232127535868[[#This Row],[h2]],8))</f>
        <v>0</v>
      </c>
    </row>
    <row r="1677" spans="1:18">
      <c r="A1677" s="15" t="str">
        <f t="shared" si="31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8" t="s">
        <v>75</v>
      </c>
      <c r="P1677" s="48">
        <f>HEX2DEC(RIGHT(Table13232127535868[[#This Row],[h1]],8))</f>
        <v>0</v>
      </c>
      <c r="Q1677" s="48" t="s">
        <v>75</v>
      </c>
      <c r="R1677" s="48">
        <f>HEX2DEC(RIGHT(Table13232127535868[[#This Row],[h2]],8))</f>
        <v>0</v>
      </c>
    </row>
    <row r="1678" spans="1:18">
      <c r="A1678" s="15" t="str">
        <f t="shared" si="31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8" t="s">
        <v>75</v>
      </c>
      <c r="P1678" s="48">
        <f>HEX2DEC(RIGHT(Table13232127535868[[#This Row],[h1]],8))</f>
        <v>0</v>
      </c>
      <c r="Q1678" s="48" t="s">
        <v>75</v>
      </c>
      <c r="R1678" s="48">
        <f>HEX2DEC(RIGHT(Table13232127535868[[#This Row],[h2]],8))</f>
        <v>0</v>
      </c>
    </row>
    <row r="1679" spans="1:18">
      <c r="A1679" s="15" t="str">
        <f t="shared" si="31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8" t="s">
        <v>75</v>
      </c>
      <c r="P1679" s="48">
        <f>HEX2DEC(RIGHT(Table13232127535868[[#This Row],[h1]],8))</f>
        <v>0</v>
      </c>
      <c r="Q1679" s="48" t="s">
        <v>75</v>
      </c>
      <c r="R1679" s="48">
        <f>HEX2DEC(RIGHT(Table13232127535868[[#This Row],[h2]],8))</f>
        <v>0</v>
      </c>
    </row>
    <row r="1680" spans="1:18">
      <c r="A1680" s="15" t="str">
        <f t="shared" si="31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8" t="s">
        <v>75</v>
      </c>
      <c r="P1680" s="48">
        <f>HEX2DEC(RIGHT(Table13232127535868[[#This Row],[h1]],8))</f>
        <v>0</v>
      </c>
      <c r="Q1680" s="48" t="s">
        <v>75</v>
      </c>
      <c r="R1680" s="48">
        <f>HEX2DEC(RIGHT(Table13232127535868[[#This Row],[h2]],8))</f>
        <v>0</v>
      </c>
    </row>
    <row r="1681" spans="1:18">
      <c r="A1681" s="15" t="str">
        <f t="shared" si="31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8" t="s">
        <v>75</v>
      </c>
      <c r="P1681" s="48">
        <f>HEX2DEC(RIGHT(Table13232127535868[[#This Row],[h1]],8))</f>
        <v>0</v>
      </c>
      <c r="Q1681" s="48" t="s">
        <v>75</v>
      </c>
      <c r="R1681" s="48">
        <f>HEX2DEC(RIGHT(Table13232127535868[[#This Row],[h2]],8))</f>
        <v>0</v>
      </c>
    </row>
    <row r="1682" spans="1:18">
      <c r="A1682" s="15" t="str">
        <f t="shared" si="31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8" t="s">
        <v>75</v>
      </c>
      <c r="P1682" s="48">
        <f>HEX2DEC(RIGHT(Table13232127535868[[#This Row],[h1]],8))</f>
        <v>0</v>
      </c>
      <c r="Q1682" s="48" t="s">
        <v>75</v>
      </c>
      <c r="R1682" s="48">
        <f>HEX2DEC(RIGHT(Table13232127535868[[#This Row],[h2]],8))</f>
        <v>0</v>
      </c>
    </row>
    <row r="1683" spans="1:18">
      <c r="A1683" s="15" t="str">
        <f t="shared" si="31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8" t="s">
        <v>75</v>
      </c>
      <c r="P1683" s="48">
        <f>HEX2DEC(RIGHT(Table13232127535868[[#This Row],[h1]],8))</f>
        <v>0</v>
      </c>
      <c r="Q1683" s="48" t="s">
        <v>75</v>
      </c>
      <c r="R1683" s="48">
        <f>HEX2DEC(RIGHT(Table13232127535868[[#This Row],[h2]],8))</f>
        <v>0</v>
      </c>
    </row>
    <row r="1684" spans="1:18">
      <c r="A1684" s="15" t="str">
        <f t="shared" si="31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8" t="s">
        <v>75</v>
      </c>
      <c r="P1684" s="48">
        <f>HEX2DEC(RIGHT(Table13232127535868[[#This Row],[h1]],8))</f>
        <v>0</v>
      </c>
      <c r="Q1684" s="48" t="s">
        <v>75</v>
      </c>
      <c r="R1684" s="48">
        <f>HEX2DEC(RIGHT(Table13232127535868[[#This Row],[h2]],8))</f>
        <v>0</v>
      </c>
    </row>
    <row r="1685" spans="1:18">
      <c r="A1685" s="15" t="str">
        <f t="shared" si="31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8" t="s">
        <v>75</v>
      </c>
      <c r="P1685" s="48">
        <f>HEX2DEC(RIGHT(Table13232127535868[[#This Row],[h1]],8))</f>
        <v>0</v>
      </c>
      <c r="Q1685" s="48" t="s">
        <v>75</v>
      </c>
      <c r="R1685" s="48">
        <f>HEX2DEC(RIGHT(Table13232127535868[[#This Row],[h2]],8))</f>
        <v>0</v>
      </c>
    </row>
    <row r="1686" spans="1:18">
      <c r="A1686" s="15" t="str">
        <f t="shared" si="31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8" t="s">
        <v>75</v>
      </c>
      <c r="P1686" s="48">
        <f>HEX2DEC(RIGHT(Table13232127535868[[#This Row],[h1]],8))</f>
        <v>0</v>
      </c>
      <c r="Q1686" s="48" t="s">
        <v>75</v>
      </c>
      <c r="R1686" s="48">
        <f>HEX2DEC(RIGHT(Table13232127535868[[#This Row],[h2]],8))</f>
        <v>0</v>
      </c>
    </row>
    <row r="1687" spans="1:18">
      <c r="A1687" s="15" t="str">
        <f t="shared" si="31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8" t="s">
        <v>75</v>
      </c>
      <c r="P1687" s="48">
        <f>HEX2DEC(RIGHT(Table13232127535868[[#This Row],[h1]],8))</f>
        <v>0</v>
      </c>
      <c r="Q1687" s="48" t="s">
        <v>75</v>
      </c>
      <c r="R1687" s="48">
        <f>HEX2DEC(RIGHT(Table13232127535868[[#This Row],[h2]],8))</f>
        <v>0</v>
      </c>
    </row>
    <row r="1688" spans="1:18">
      <c r="A1688" s="15" t="str">
        <f t="shared" si="31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8" t="s">
        <v>75</v>
      </c>
      <c r="P1688" s="48">
        <f>HEX2DEC(RIGHT(Table13232127535868[[#This Row],[h1]],8))</f>
        <v>0</v>
      </c>
      <c r="Q1688" s="48" t="s">
        <v>75</v>
      </c>
      <c r="R1688" s="48">
        <f>HEX2DEC(RIGHT(Table13232127535868[[#This Row],[h2]],8))</f>
        <v>0</v>
      </c>
    </row>
    <row r="1689" spans="1:18">
      <c r="A1689" s="15" t="str">
        <f t="shared" si="31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8" t="s">
        <v>75</v>
      </c>
      <c r="P1689" s="48">
        <f>HEX2DEC(RIGHT(Table13232127535868[[#This Row],[h1]],8))</f>
        <v>0</v>
      </c>
      <c r="Q1689" s="48" t="s">
        <v>75</v>
      </c>
      <c r="R1689" s="48">
        <f>HEX2DEC(RIGHT(Table13232127535868[[#This Row],[h2]],8))</f>
        <v>0</v>
      </c>
    </row>
    <row r="1690" spans="1:18">
      <c r="A1690" s="15" t="str">
        <f t="shared" si="31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8" t="s">
        <v>75</v>
      </c>
      <c r="P1690" s="48">
        <f>HEX2DEC(RIGHT(Table13232127535868[[#This Row],[h1]],8))</f>
        <v>0</v>
      </c>
      <c r="Q1690" s="48" t="s">
        <v>75</v>
      </c>
      <c r="R1690" s="48">
        <f>HEX2DEC(RIGHT(Table13232127535868[[#This Row],[h2]],8))</f>
        <v>0</v>
      </c>
    </row>
    <row r="1691" spans="1:18">
      <c r="A1691" s="15" t="str">
        <f t="shared" si="31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8" t="s">
        <v>75</v>
      </c>
      <c r="P1691" s="48">
        <f>HEX2DEC(RIGHT(Table13232127535868[[#This Row],[h1]],8))</f>
        <v>0</v>
      </c>
      <c r="Q1691" s="48" t="s">
        <v>75</v>
      </c>
      <c r="R1691" s="48">
        <f>HEX2DEC(RIGHT(Table13232127535868[[#This Row],[h2]],8))</f>
        <v>0</v>
      </c>
    </row>
    <row r="1692" spans="1:18">
      <c r="A1692" s="15" t="str">
        <f t="shared" si="31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8" t="s">
        <v>75</v>
      </c>
      <c r="P1692" s="48">
        <f>HEX2DEC(RIGHT(Table13232127535868[[#This Row],[h1]],8))</f>
        <v>0</v>
      </c>
      <c r="Q1692" s="48" t="s">
        <v>75</v>
      </c>
      <c r="R1692" s="48">
        <f>HEX2DEC(RIGHT(Table13232127535868[[#This Row],[h2]],8))</f>
        <v>0</v>
      </c>
    </row>
    <row r="1693" spans="1:18">
      <c r="A1693" s="15" t="str">
        <f t="shared" si="31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8" t="s">
        <v>75</v>
      </c>
      <c r="P1693" s="48">
        <f>HEX2DEC(RIGHT(Table13232127535868[[#This Row],[h1]],8))</f>
        <v>0</v>
      </c>
      <c r="Q1693" s="48" t="s">
        <v>75</v>
      </c>
      <c r="R1693" s="48">
        <f>HEX2DEC(RIGHT(Table13232127535868[[#This Row],[h2]],8))</f>
        <v>0</v>
      </c>
    </row>
    <row r="1694" spans="1:18">
      <c r="A1694" s="15" t="str">
        <f t="shared" si="31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8" t="s">
        <v>75</v>
      </c>
      <c r="P1694" s="48">
        <f>HEX2DEC(RIGHT(Table13232127535868[[#This Row],[h1]],8))</f>
        <v>0</v>
      </c>
      <c r="Q1694" s="48" t="s">
        <v>75</v>
      </c>
      <c r="R1694" s="48">
        <f>HEX2DEC(RIGHT(Table13232127535868[[#This Row],[h2]],8))</f>
        <v>0</v>
      </c>
    </row>
    <row r="1695" spans="1:18">
      <c r="A1695" s="15" t="str">
        <f t="shared" si="31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8" t="s">
        <v>75</v>
      </c>
      <c r="P1695" s="48">
        <f>HEX2DEC(RIGHT(Table13232127535868[[#This Row],[h1]],8))</f>
        <v>0</v>
      </c>
      <c r="Q1695" s="48" t="s">
        <v>75</v>
      </c>
      <c r="R1695" s="48">
        <f>HEX2DEC(RIGHT(Table13232127535868[[#This Row],[h2]],8))</f>
        <v>0</v>
      </c>
    </row>
    <row r="1696" spans="1:18">
      <c r="A1696" s="15" t="str">
        <f t="shared" si="31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8" t="s">
        <v>75</v>
      </c>
      <c r="P1696" s="48">
        <f>HEX2DEC(RIGHT(Table13232127535868[[#This Row],[h1]],8))</f>
        <v>0</v>
      </c>
      <c r="Q1696" s="48" t="s">
        <v>75</v>
      </c>
      <c r="R1696" s="48">
        <f>HEX2DEC(RIGHT(Table13232127535868[[#This Row],[h2]],8))</f>
        <v>0</v>
      </c>
    </row>
    <row r="1697" spans="1:18">
      <c r="A1697" s="15" t="str">
        <f t="shared" si="31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8" t="s">
        <v>75</v>
      </c>
      <c r="P1697" s="48">
        <f>HEX2DEC(RIGHT(Table13232127535868[[#This Row],[h1]],8))</f>
        <v>0</v>
      </c>
      <c r="Q1697" s="48" t="s">
        <v>75</v>
      </c>
      <c r="R1697" s="48">
        <f>HEX2DEC(RIGHT(Table13232127535868[[#This Row],[h2]],8))</f>
        <v>0</v>
      </c>
    </row>
    <row r="1698" spans="1:18">
      <c r="A1698" s="15" t="str">
        <f t="shared" si="31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8" t="s">
        <v>75</v>
      </c>
      <c r="P1698" s="48">
        <f>HEX2DEC(RIGHT(Table13232127535868[[#This Row],[h1]],8))</f>
        <v>0</v>
      </c>
      <c r="Q1698" s="48" t="s">
        <v>75</v>
      </c>
      <c r="R1698" s="48">
        <f>HEX2DEC(RIGHT(Table13232127535868[[#This Row],[h2]],8))</f>
        <v>0</v>
      </c>
    </row>
    <row r="1699" spans="1:18">
      <c r="A1699" s="15" t="str">
        <f t="shared" si="31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8" t="s">
        <v>75</v>
      </c>
      <c r="P1699" s="48">
        <f>HEX2DEC(RIGHT(Table13232127535868[[#This Row],[h1]],8))</f>
        <v>0</v>
      </c>
      <c r="Q1699" s="48" t="s">
        <v>75</v>
      </c>
      <c r="R1699" s="48">
        <f>HEX2DEC(RIGHT(Table13232127535868[[#This Row],[h2]],8))</f>
        <v>0</v>
      </c>
    </row>
    <row r="1700" spans="1:18">
      <c r="A1700" s="15" t="str">
        <f t="shared" si="31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8" t="s">
        <v>75</v>
      </c>
      <c r="P1700" s="48">
        <f>HEX2DEC(RIGHT(Table13232127535868[[#This Row],[h1]],8))</f>
        <v>0</v>
      </c>
      <c r="Q1700" s="48" t="s">
        <v>75</v>
      </c>
      <c r="R1700" s="48">
        <f>HEX2DEC(RIGHT(Table13232127535868[[#This Row],[h2]],8))</f>
        <v>0</v>
      </c>
    </row>
    <row r="1701" spans="1:18">
      <c r="A1701" s="15" t="str">
        <f t="shared" si="31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8" t="s">
        <v>75</v>
      </c>
      <c r="P1701" s="48">
        <f>HEX2DEC(RIGHT(Table13232127535868[[#This Row],[h1]],8))</f>
        <v>0</v>
      </c>
      <c r="Q1701" s="48" t="s">
        <v>75</v>
      </c>
      <c r="R1701" s="48">
        <f>HEX2DEC(RIGHT(Table13232127535868[[#This Row],[h2]],8))</f>
        <v>0</v>
      </c>
    </row>
    <row r="1702" spans="1:18">
      <c r="A1702" s="15" t="str">
        <f t="shared" si="31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8" t="s">
        <v>75</v>
      </c>
      <c r="P1702" s="48">
        <f>HEX2DEC(RIGHT(Table13232127535868[[#This Row],[h1]],8))</f>
        <v>0</v>
      </c>
      <c r="Q1702" s="48" t="s">
        <v>75</v>
      </c>
      <c r="R1702" s="48">
        <f>HEX2DEC(RIGHT(Table13232127535868[[#This Row],[h2]],8))</f>
        <v>0</v>
      </c>
    </row>
    <row r="1703" spans="1:18">
      <c r="A1703" s="15" t="str">
        <f t="shared" si="31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8" t="s">
        <v>75</v>
      </c>
      <c r="P1703" s="48">
        <f>HEX2DEC(RIGHT(Table13232127535868[[#This Row],[h1]],8))</f>
        <v>0</v>
      </c>
      <c r="Q1703" s="48" t="s">
        <v>75</v>
      </c>
      <c r="R1703" s="48">
        <f>HEX2DEC(RIGHT(Table13232127535868[[#This Row],[h2]],8))</f>
        <v>0</v>
      </c>
    </row>
    <row r="1704" spans="1:18">
      <c r="A1704" s="15" t="str">
        <f t="shared" si="31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8" t="s">
        <v>75</v>
      </c>
      <c r="P1704" s="48">
        <f>HEX2DEC(RIGHT(Table13232127535868[[#This Row],[h1]],8))</f>
        <v>0</v>
      </c>
      <c r="Q1704" s="48" t="s">
        <v>75</v>
      </c>
      <c r="R1704" s="48">
        <f>HEX2DEC(RIGHT(Table13232127535868[[#This Row],[h2]],8))</f>
        <v>0</v>
      </c>
    </row>
    <row r="1705" spans="1:18">
      <c r="A1705" s="15" t="str">
        <f t="shared" si="31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8" t="s">
        <v>75</v>
      </c>
      <c r="P1705" s="48">
        <f>HEX2DEC(RIGHT(Table13232127535868[[#This Row],[h1]],8))</f>
        <v>0</v>
      </c>
      <c r="Q1705" s="48" t="s">
        <v>75</v>
      </c>
      <c r="R1705" s="48">
        <f>HEX2DEC(RIGHT(Table13232127535868[[#This Row],[h2]],8))</f>
        <v>0</v>
      </c>
    </row>
    <row r="1706" spans="1:18">
      <c r="A1706" s="15" t="str">
        <f t="shared" si="31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8" t="s">
        <v>75</v>
      </c>
      <c r="P1706" s="48">
        <f>HEX2DEC(RIGHT(Table13232127535868[[#This Row],[h1]],8))</f>
        <v>0</v>
      </c>
      <c r="Q1706" s="48" t="s">
        <v>75</v>
      </c>
      <c r="R1706" s="48">
        <f>HEX2DEC(RIGHT(Table13232127535868[[#This Row],[h2]],8))</f>
        <v>0</v>
      </c>
    </row>
    <row r="1707" spans="1:18">
      <c r="A1707" s="15" t="str">
        <f t="shared" si="31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8" t="s">
        <v>75</v>
      </c>
      <c r="P1707" s="48">
        <f>HEX2DEC(RIGHT(Table13232127535868[[#This Row],[h1]],8))</f>
        <v>0</v>
      </c>
      <c r="Q1707" s="48" t="s">
        <v>75</v>
      </c>
      <c r="R1707" s="48">
        <f>HEX2DEC(RIGHT(Table13232127535868[[#This Row],[h2]],8))</f>
        <v>0</v>
      </c>
    </row>
    <row r="1708" spans="1:18">
      <c r="A1708" s="15" t="str">
        <f t="shared" si="31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8" t="s">
        <v>75</v>
      </c>
      <c r="P1708" s="48">
        <f>HEX2DEC(RIGHT(Table13232127535868[[#This Row],[h1]],8))</f>
        <v>0</v>
      </c>
      <c r="Q1708" s="48" t="s">
        <v>75</v>
      </c>
      <c r="R1708" s="48">
        <f>HEX2DEC(RIGHT(Table13232127535868[[#This Row],[h2]],8))</f>
        <v>0</v>
      </c>
    </row>
    <row r="1709" spans="1:18">
      <c r="A1709" s="15" t="str">
        <f t="shared" si="31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8" t="s">
        <v>75</v>
      </c>
      <c r="P1709" s="48">
        <f>HEX2DEC(RIGHT(Table13232127535868[[#This Row],[h1]],8))</f>
        <v>0</v>
      </c>
      <c r="Q1709" s="48" t="s">
        <v>75</v>
      </c>
      <c r="R1709" s="48">
        <f>HEX2DEC(RIGHT(Table13232127535868[[#This Row],[h2]],8))</f>
        <v>0</v>
      </c>
    </row>
    <row r="1710" spans="1:18">
      <c r="A1710" s="15" t="str">
        <f t="shared" si="31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8" t="s">
        <v>75</v>
      </c>
      <c r="P1710" s="48">
        <f>HEX2DEC(RIGHT(Table13232127535868[[#This Row],[h1]],8))</f>
        <v>0</v>
      </c>
      <c r="Q1710" s="48" t="s">
        <v>75</v>
      </c>
      <c r="R1710" s="48">
        <f>HEX2DEC(RIGHT(Table13232127535868[[#This Row],[h2]],8))</f>
        <v>0</v>
      </c>
    </row>
    <row r="1711" spans="1:18">
      <c r="A1711" s="15" t="str">
        <f t="shared" si="31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8" t="s">
        <v>75</v>
      </c>
      <c r="P1711" s="48">
        <f>HEX2DEC(RIGHT(Table13232127535868[[#This Row],[h1]],8))</f>
        <v>0</v>
      </c>
      <c r="Q1711" s="48" t="s">
        <v>75</v>
      </c>
      <c r="R1711" s="48">
        <f>HEX2DEC(RIGHT(Table13232127535868[[#This Row],[h2]],8))</f>
        <v>0</v>
      </c>
    </row>
    <row r="1712" spans="1:18">
      <c r="A1712" s="15" t="str">
        <f t="shared" si="31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8" t="s">
        <v>75</v>
      </c>
      <c r="P1712" s="48">
        <f>HEX2DEC(RIGHT(Table13232127535868[[#This Row],[h1]],8))</f>
        <v>0</v>
      </c>
      <c r="Q1712" s="48" t="s">
        <v>75</v>
      </c>
      <c r="R1712" s="48">
        <f>HEX2DEC(RIGHT(Table13232127535868[[#This Row],[h2]],8))</f>
        <v>0</v>
      </c>
    </row>
    <row r="1713" spans="1:18">
      <c r="A1713" s="15" t="str">
        <f t="shared" si="31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8" t="s">
        <v>75</v>
      </c>
      <c r="P1713" s="48">
        <f>HEX2DEC(RIGHT(Table13232127535868[[#This Row],[h1]],8))</f>
        <v>0</v>
      </c>
      <c r="Q1713" s="48" t="s">
        <v>75</v>
      </c>
      <c r="R1713" s="48">
        <f>HEX2DEC(RIGHT(Table13232127535868[[#This Row],[h2]],8))</f>
        <v>0</v>
      </c>
    </row>
    <row r="1714" spans="1:18">
      <c r="A1714" s="15" t="str">
        <f t="shared" si="31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8" t="s">
        <v>75</v>
      </c>
      <c r="P1714" s="48">
        <f>HEX2DEC(RIGHT(Table13232127535868[[#This Row],[h1]],8))</f>
        <v>0</v>
      </c>
      <c r="Q1714" s="48" t="s">
        <v>75</v>
      </c>
      <c r="R1714" s="48">
        <f>HEX2DEC(RIGHT(Table13232127535868[[#This Row],[h2]],8))</f>
        <v>0</v>
      </c>
    </row>
    <row r="1715" spans="1:18">
      <c r="A1715" s="15" t="str">
        <f t="shared" si="31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8" t="s">
        <v>75</v>
      </c>
      <c r="P1715" s="48">
        <f>HEX2DEC(RIGHT(Table13232127535868[[#This Row],[h1]],8))</f>
        <v>0</v>
      </c>
      <c r="Q1715" s="48" t="s">
        <v>75</v>
      </c>
      <c r="R1715" s="48">
        <f>HEX2DEC(RIGHT(Table13232127535868[[#This Row],[h2]],8))</f>
        <v>0</v>
      </c>
    </row>
    <row r="1716" spans="1:18">
      <c r="A1716" s="15" t="str">
        <f t="shared" si="31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8" t="s">
        <v>75</v>
      </c>
      <c r="P1716" s="48">
        <f>HEX2DEC(RIGHT(Table13232127535868[[#This Row],[h1]],8))</f>
        <v>0</v>
      </c>
      <c r="Q1716" s="48" t="s">
        <v>75</v>
      </c>
      <c r="R1716" s="48">
        <f>HEX2DEC(RIGHT(Table13232127535868[[#This Row],[h2]],8))</f>
        <v>0</v>
      </c>
    </row>
    <row r="1717" spans="1:18">
      <c r="A1717" s="15" t="str">
        <f t="shared" si="31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8" t="s">
        <v>75</v>
      </c>
      <c r="P1717" s="48">
        <f>HEX2DEC(RIGHT(Table13232127535868[[#This Row],[h1]],8))</f>
        <v>0</v>
      </c>
      <c r="Q1717" s="48" t="s">
        <v>75</v>
      </c>
      <c r="R1717" s="48">
        <f>HEX2DEC(RIGHT(Table13232127535868[[#This Row],[h2]],8))</f>
        <v>0</v>
      </c>
    </row>
    <row r="1718" spans="1:18">
      <c r="A1718" s="15" t="str">
        <f t="shared" si="31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8" t="s">
        <v>75</v>
      </c>
      <c r="P1718" s="48">
        <f>HEX2DEC(RIGHT(Table13232127535868[[#This Row],[h1]],8))</f>
        <v>0</v>
      </c>
      <c r="Q1718" s="48" t="s">
        <v>75</v>
      </c>
      <c r="R1718" s="48">
        <f>HEX2DEC(RIGHT(Table13232127535868[[#This Row],[h2]],8))</f>
        <v>0</v>
      </c>
    </row>
    <row r="1719" spans="1:18">
      <c r="A1719" s="15" t="str">
        <f t="shared" si="31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8" t="s">
        <v>75</v>
      </c>
      <c r="P1719" s="48">
        <f>HEX2DEC(RIGHT(Table13232127535868[[#This Row],[h1]],8))</f>
        <v>0</v>
      </c>
      <c r="Q1719" s="48" t="s">
        <v>75</v>
      </c>
      <c r="R1719" s="48">
        <f>HEX2DEC(RIGHT(Table13232127535868[[#This Row],[h2]],8))</f>
        <v>0</v>
      </c>
    </row>
    <row r="1720" spans="1:18">
      <c r="A1720" s="15" t="str">
        <f t="shared" si="31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8" t="s">
        <v>75</v>
      </c>
      <c r="P1720" s="48">
        <f>HEX2DEC(RIGHT(Table13232127535868[[#This Row],[h1]],8))</f>
        <v>0</v>
      </c>
      <c r="Q1720" s="48" t="s">
        <v>75</v>
      </c>
      <c r="R1720" s="48">
        <f>HEX2DEC(RIGHT(Table13232127535868[[#This Row],[h2]],8))</f>
        <v>0</v>
      </c>
    </row>
    <row r="1721" spans="1:18">
      <c r="A1721" s="15" t="str">
        <f t="shared" si="31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8" t="s">
        <v>75</v>
      </c>
      <c r="P1721" s="48">
        <f>HEX2DEC(RIGHT(Table13232127535868[[#This Row],[h1]],8))</f>
        <v>0</v>
      </c>
      <c r="Q1721" s="48" t="s">
        <v>75</v>
      </c>
      <c r="R1721" s="48">
        <f>HEX2DEC(RIGHT(Table13232127535868[[#This Row],[h2]],8))</f>
        <v>0</v>
      </c>
    </row>
    <row r="1722" spans="1:18">
      <c r="A1722" s="15" t="str">
        <f t="shared" si="31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8" t="s">
        <v>75</v>
      </c>
      <c r="P1722" s="48">
        <f>HEX2DEC(RIGHT(Table13232127535868[[#This Row],[h1]],8))</f>
        <v>0</v>
      </c>
      <c r="Q1722" s="48" t="s">
        <v>75</v>
      </c>
      <c r="R1722" s="48">
        <f>HEX2DEC(RIGHT(Table13232127535868[[#This Row],[h2]],8))</f>
        <v>0</v>
      </c>
    </row>
    <row r="1723" spans="1:18">
      <c r="A1723" s="15" t="str">
        <f t="shared" si="31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8" t="s">
        <v>75</v>
      </c>
      <c r="P1723" s="48">
        <f>HEX2DEC(RIGHT(Table13232127535868[[#This Row],[h1]],8))</f>
        <v>0</v>
      </c>
      <c r="Q1723" s="48" t="s">
        <v>75</v>
      </c>
      <c r="R1723" s="48">
        <f>HEX2DEC(RIGHT(Table13232127535868[[#This Row],[h2]],8))</f>
        <v>0</v>
      </c>
    </row>
    <row r="1724" spans="1:18">
      <c r="A1724" s="15" t="str">
        <f t="shared" si="31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8" t="s">
        <v>75</v>
      </c>
      <c r="P1724" s="48">
        <f>HEX2DEC(RIGHT(Table13232127535868[[#This Row],[h1]],8))</f>
        <v>0</v>
      </c>
      <c r="Q1724" s="48" t="s">
        <v>75</v>
      </c>
      <c r="R1724" s="48">
        <f>HEX2DEC(RIGHT(Table13232127535868[[#This Row],[h2]],8))</f>
        <v>0</v>
      </c>
    </row>
    <row r="1725" spans="1:18">
      <c r="A1725" s="15" t="str">
        <f t="shared" si="31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8" t="s">
        <v>75</v>
      </c>
      <c r="P1725" s="48">
        <f>HEX2DEC(RIGHT(Table13232127535868[[#This Row],[h1]],8))</f>
        <v>0</v>
      </c>
      <c r="Q1725" s="48" t="s">
        <v>75</v>
      </c>
      <c r="R1725" s="48">
        <f>HEX2DEC(RIGHT(Table13232127535868[[#This Row],[h2]],8))</f>
        <v>0</v>
      </c>
    </row>
    <row r="1726" spans="1:18">
      <c r="A1726" s="15" t="str">
        <f t="shared" si="31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8" t="s">
        <v>75</v>
      </c>
      <c r="P1726" s="48">
        <f>HEX2DEC(RIGHT(Table13232127535868[[#This Row],[h1]],8))</f>
        <v>0</v>
      </c>
      <c r="Q1726" s="48" t="s">
        <v>75</v>
      </c>
      <c r="R1726" s="48">
        <f>HEX2DEC(RIGHT(Table13232127535868[[#This Row],[h2]],8))</f>
        <v>0</v>
      </c>
    </row>
    <row r="1727" spans="1:18">
      <c r="A1727" s="15" t="str">
        <f t="shared" si="31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8" t="s">
        <v>75</v>
      </c>
      <c r="P1727" s="48">
        <f>HEX2DEC(RIGHT(Table13232127535868[[#This Row],[h1]],8))</f>
        <v>0</v>
      </c>
      <c r="Q1727" s="48" t="s">
        <v>75</v>
      </c>
      <c r="R1727" s="48">
        <f>HEX2DEC(RIGHT(Table13232127535868[[#This Row],[h2]],8))</f>
        <v>0</v>
      </c>
    </row>
    <row r="1728" spans="1:18">
      <c r="A1728" s="15" t="str">
        <f t="shared" si="31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8" t="s">
        <v>75</v>
      </c>
      <c r="P1728" s="48">
        <f>HEX2DEC(RIGHT(Table13232127535868[[#This Row],[h1]],8))</f>
        <v>0</v>
      </c>
      <c r="Q1728" s="48" t="s">
        <v>75</v>
      </c>
      <c r="R1728" s="48">
        <f>HEX2DEC(RIGHT(Table13232127535868[[#This Row],[h2]],8))</f>
        <v>0</v>
      </c>
    </row>
    <row r="1729" spans="1:18">
      <c r="A1729" s="15" t="str">
        <f t="shared" si="31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8" t="s">
        <v>75</v>
      </c>
      <c r="P1729" s="48">
        <f>HEX2DEC(RIGHT(Table13232127535868[[#This Row],[h1]],8))</f>
        <v>0</v>
      </c>
      <c r="Q1729" s="48" t="s">
        <v>75</v>
      </c>
      <c r="R1729" s="48">
        <f>HEX2DEC(RIGHT(Table13232127535868[[#This Row],[h2]],8))</f>
        <v>0</v>
      </c>
    </row>
    <row r="1730" spans="1:18">
      <c r="A1730" s="15" t="str">
        <f t="shared" si="31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8" t="s">
        <v>75</v>
      </c>
      <c r="P1730" s="48">
        <f>HEX2DEC(RIGHT(Table13232127535868[[#This Row],[h1]],8))</f>
        <v>0</v>
      </c>
      <c r="Q1730" s="48" t="s">
        <v>75</v>
      </c>
      <c r="R1730" s="48">
        <f>HEX2DEC(RIGHT(Table13232127535868[[#This Row],[h2]],8))</f>
        <v>0</v>
      </c>
    </row>
    <row r="1731" spans="1:18">
      <c r="A1731" s="15" t="str">
        <f t="shared" si="31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8" t="s">
        <v>75</v>
      </c>
      <c r="P1731" s="48">
        <f>HEX2DEC(RIGHT(Table13232127535868[[#This Row],[h1]],8))</f>
        <v>0</v>
      </c>
      <c r="Q1731" s="48" t="s">
        <v>75</v>
      </c>
      <c r="R1731" s="48">
        <f>HEX2DEC(RIGHT(Table13232127535868[[#This Row],[h2]],8))</f>
        <v>0</v>
      </c>
    </row>
    <row r="1732" spans="1:18">
      <c r="A1732" s="15" t="str">
        <f t="shared" si="31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8" t="s">
        <v>75</v>
      </c>
      <c r="P1732" s="48">
        <f>HEX2DEC(RIGHT(Table13232127535868[[#This Row],[h1]],8))</f>
        <v>0</v>
      </c>
      <c r="Q1732" s="48" t="s">
        <v>75</v>
      </c>
      <c r="R1732" s="48">
        <f>HEX2DEC(RIGHT(Table13232127535868[[#This Row],[h2]],8))</f>
        <v>0</v>
      </c>
    </row>
    <row r="1733" spans="1:18">
      <c r="A1733" s="15" t="str">
        <f t="shared" si="31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8" t="s">
        <v>75</v>
      </c>
      <c r="P1733" s="48">
        <f>HEX2DEC(RIGHT(Table13232127535868[[#This Row],[h1]],8))</f>
        <v>0</v>
      </c>
      <c r="Q1733" s="48" t="s">
        <v>75</v>
      </c>
      <c r="R1733" s="48">
        <f>HEX2DEC(RIGHT(Table13232127535868[[#This Row],[h2]],8))</f>
        <v>0</v>
      </c>
    </row>
    <row r="1734" spans="1:18">
      <c r="A1734" s="15" t="str">
        <f t="shared" si="31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8" t="s">
        <v>75</v>
      </c>
      <c r="P1734" s="48">
        <f>HEX2DEC(RIGHT(Table13232127535868[[#This Row],[h1]],8))</f>
        <v>0</v>
      </c>
      <c r="Q1734" s="48" t="s">
        <v>75</v>
      </c>
      <c r="R1734" s="48">
        <f>HEX2DEC(RIGHT(Table13232127535868[[#This Row],[h2]],8))</f>
        <v>0</v>
      </c>
    </row>
    <row r="1735" spans="1:18">
      <c r="A1735" s="15" t="str">
        <f t="shared" si="31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8" t="s">
        <v>75</v>
      </c>
      <c r="P1735" s="48">
        <f>HEX2DEC(RIGHT(Table13232127535868[[#This Row],[h1]],8))</f>
        <v>0</v>
      </c>
      <c r="Q1735" s="48" t="s">
        <v>75</v>
      </c>
      <c r="R1735" s="48">
        <f>HEX2DEC(RIGHT(Table13232127535868[[#This Row],[h2]],8))</f>
        <v>0</v>
      </c>
    </row>
    <row r="1736" spans="1:18">
      <c r="A1736" s="15" t="str">
        <f t="shared" si="31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8" t="s">
        <v>75</v>
      </c>
      <c r="P1736" s="48">
        <f>HEX2DEC(RIGHT(Table13232127535868[[#This Row],[h1]],8))</f>
        <v>0</v>
      </c>
      <c r="Q1736" s="48" t="s">
        <v>75</v>
      </c>
      <c r="R1736" s="48">
        <f>HEX2DEC(RIGHT(Table13232127535868[[#This Row],[h2]],8))</f>
        <v>0</v>
      </c>
    </row>
    <row r="1737" spans="1:18">
      <c r="A1737" s="15" t="str">
        <f t="shared" si="31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8" t="s">
        <v>75</v>
      </c>
      <c r="P1737" s="48">
        <f>HEX2DEC(RIGHT(Table13232127535868[[#This Row],[h1]],8))</f>
        <v>0</v>
      </c>
      <c r="Q1737" s="48" t="s">
        <v>75</v>
      </c>
      <c r="R1737" s="48">
        <f>HEX2DEC(RIGHT(Table13232127535868[[#This Row],[h2]],8))</f>
        <v>0</v>
      </c>
    </row>
    <row r="1738" spans="1:18">
      <c r="A1738" s="15" t="str">
        <f t="shared" si="31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8" t="s">
        <v>75</v>
      </c>
      <c r="P1738" s="48">
        <f>HEX2DEC(RIGHT(Table13232127535868[[#This Row],[h1]],8))</f>
        <v>0</v>
      </c>
      <c r="Q1738" s="48" t="s">
        <v>75</v>
      </c>
      <c r="R1738" s="48">
        <f>HEX2DEC(RIGHT(Table13232127535868[[#This Row],[h2]],8))</f>
        <v>0</v>
      </c>
    </row>
    <row r="1739" spans="1:18">
      <c r="A1739" s="15" t="str">
        <f t="shared" ref="A1739:A1802" si="32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8" t="s">
        <v>75</v>
      </c>
      <c r="P1739" s="48">
        <f>HEX2DEC(RIGHT(Table13232127535868[[#This Row],[h1]],8))</f>
        <v>0</v>
      </c>
      <c r="Q1739" s="48" t="s">
        <v>75</v>
      </c>
      <c r="R1739" s="48">
        <f>HEX2DEC(RIGHT(Table13232127535868[[#This Row],[h2]],8))</f>
        <v>0</v>
      </c>
    </row>
    <row r="1740" spans="1:18">
      <c r="A1740" s="15" t="str">
        <f t="shared" si="32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8" t="s">
        <v>75</v>
      </c>
      <c r="P1740" s="48">
        <f>HEX2DEC(RIGHT(Table13232127535868[[#This Row],[h1]],8))</f>
        <v>0</v>
      </c>
      <c r="Q1740" s="48" t="s">
        <v>75</v>
      </c>
      <c r="R1740" s="48">
        <f>HEX2DEC(RIGHT(Table13232127535868[[#This Row],[h2]],8))</f>
        <v>0</v>
      </c>
    </row>
    <row r="1741" spans="1:18">
      <c r="A1741" s="15" t="str">
        <f t="shared" si="32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8" t="s">
        <v>75</v>
      </c>
      <c r="P1741" s="48">
        <f>HEX2DEC(RIGHT(Table13232127535868[[#This Row],[h1]],8))</f>
        <v>0</v>
      </c>
      <c r="Q1741" s="48" t="s">
        <v>75</v>
      </c>
      <c r="R1741" s="48">
        <f>HEX2DEC(RIGHT(Table13232127535868[[#This Row],[h2]],8))</f>
        <v>0</v>
      </c>
    </row>
    <row r="1742" spans="1:18">
      <c r="A1742" s="15" t="str">
        <f t="shared" si="32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8" t="s">
        <v>75</v>
      </c>
      <c r="P1742" s="48">
        <f>HEX2DEC(RIGHT(Table13232127535868[[#This Row],[h1]],8))</f>
        <v>0</v>
      </c>
      <c r="Q1742" s="48" t="s">
        <v>75</v>
      </c>
      <c r="R1742" s="48">
        <f>HEX2DEC(RIGHT(Table13232127535868[[#This Row],[h2]],8))</f>
        <v>0</v>
      </c>
    </row>
    <row r="1743" spans="1:18">
      <c r="A1743" s="15" t="str">
        <f t="shared" si="32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8" t="s">
        <v>75</v>
      </c>
      <c r="P1743" s="48">
        <f>HEX2DEC(RIGHT(Table13232127535868[[#This Row],[h1]],8))</f>
        <v>0</v>
      </c>
      <c r="Q1743" s="48" t="s">
        <v>75</v>
      </c>
      <c r="R1743" s="48">
        <f>HEX2DEC(RIGHT(Table13232127535868[[#This Row],[h2]],8))</f>
        <v>0</v>
      </c>
    </row>
    <row r="1744" spans="1:18">
      <c r="A1744" s="15" t="str">
        <f t="shared" si="32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8" t="s">
        <v>75</v>
      </c>
      <c r="P1744" s="48">
        <f>HEX2DEC(RIGHT(Table13232127535868[[#This Row],[h1]],8))</f>
        <v>0</v>
      </c>
      <c r="Q1744" s="48" t="s">
        <v>75</v>
      </c>
      <c r="R1744" s="48">
        <f>HEX2DEC(RIGHT(Table13232127535868[[#This Row],[h2]],8))</f>
        <v>0</v>
      </c>
    </row>
    <row r="1745" spans="1:18">
      <c r="A1745" s="15" t="str">
        <f t="shared" si="32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8" t="s">
        <v>75</v>
      </c>
      <c r="P1745" s="48">
        <f>HEX2DEC(RIGHT(Table13232127535868[[#This Row],[h1]],8))</f>
        <v>0</v>
      </c>
      <c r="Q1745" s="48" t="s">
        <v>75</v>
      </c>
      <c r="R1745" s="48">
        <f>HEX2DEC(RIGHT(Table13232127535868[[#This Row],[h2]],8))</f>
        <v>0</v>
      </c>
    </row>
    <row r="1746" spans="1:18">
      <c r="A1746" s="15" t="str">
        <f t="shared" si="32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8" t="s">
        <v>75</v>
      </c>
      <c r="P1746" s="48">
        <f>HEX2DEC(RIGHT(Table13232127535868[[#This Row],[h1]],8))</f>
        <v>0</v>
      </c>
      <c r="Q1746" s="48" t="s">
        <v>75</v>
      </c>
      <c r="R1746" s="48">
        <f>HEX2DEC(RIGHT(Table13232127535868[[#This Row],[h2]],8))</f>
        <v>0</v>
      </c>
    </row>
    <row r="1747" spans="1:18">
      <c r="A1747" s="15" t="str">
        <f t="shared" si="32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8" t="s">
        <v>75</v>
      </c>
      <c r="P1747" s="48">
        <f>HEX2DEC(RIGHT(Table13232127535868[[#This Row],[h1]],8))</f>
        <v>0</v>
      </c>
      <c r="Q1747" s="48" t="s">
        <v>75</v>
      </c>
      <c r="R1747" s="48">
        <f>HEX2DEC(RIGHT(Table13232127535868[[#This Row],[h2]],8))</f>
        <v>0</v>
      </c>
    </row>
    <row r="1748" spans="1:18">
      <c r="A1748" s="15" t="str">
        <f t="shared" si="32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8" t="s">
        <v>75</v>
      </c>
      <c r="P1748" s="48">
        <f>HEX2DEC(RIGHT(Table13232127535868[[#This Row],[h1]],8))</f>
        <v>0</v>
      </c>
      <c r="Q1748" s="48" t="s">
        <v>75</v>
      </c>
      <c r="R1748" s="48">
        <f>HEX2DEC(RIGHT(Table13232127535868[[#This Row],[h2]],8))</f>
        <v>0</v>
      </c>
    </row>
    <row r="1749" spans="1:18">
      <c r="A1749" s="15" t="str">
        <f t="shared" si="32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8" t="s">
        <v>75</v>
      </c>
      <c r="P1749" s="48">
        <f>HEX2DEC(RIGHT(Table13232127535868[[#This Row],[h1]],8))</f>
        <v>0</v>
      </c>
      <c r="Q1749" s="48" t="s">
        <v>75</v>
      </c>
      <c r="R1749" s="48">
        <f>HEX2DEC(RIGHT(Table13232127535868[[#This Row],[h2]],8))</f>
        <v>0</v>
      </c>
    </row>
    <row r="1750" spans="1:18">
      <c r="A1750" s="15" t="str">
        <f t="shared" si="32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8" t="s">
        <v>75</v>
      </c>
      <c r="P1750" s="48">
        <f>HEX2DEC(RIGHT(Table13232127535868[[#This Row],[h1]],8))</f>
        <v>0</v>
      </c>
      <c r="Q1750" s="48" t="s">
        <v>75</v>
      </c>
      <c r="R1750" s="48">
        <f>HEX2DEC(RIGHT(Table13232127535868[[#This Row],[h2]],8))</f>
        <v>0</v>
      </c>
    </row>
    <row r="1751" spans="1:18">
      <c r="A1751" s="15" t="str">
        <f t="shared" si="32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8" t="s">
        <v>75</v>
      </c>
      <c r="P1751" s="48">
        <f>HEX2DEC(RIGHT(Table13232127535868[[#This Row],[h1]],8))</f>
        <v>0</v>
      </c>
      <c r="Q1751" s="48" t="s">
        <v>75</v>
      </c>
      <c r="R1751" s="48">
        <f>HEX2DEC(RIGHT(Table13232127535868[[#This Row],[h2]],8))</f>
        <v>0</v>
      </c>
    </row>
    <row r="1752" spans="1:18">
      <c r="A1752" s="15" t="str">
        <f t="shared" si="32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8" t="s">
        <v>75</v>
      </c>
      <c r="P1752" s="48">
        <f>HEX2DEC(RIGHT(Table13232127535868[[#This Row],[h1]],8))</f>
        <v>0</v>
      </c>
      <c r="Q1752" s="48" t="s">
        <v>75</v>
      </c>
      <c r="R1752" s="48">
        <f>HEX2DEC(RIGHT(Table13232127535868[[#This Row],[h2]],8))</f>
        <v>0</v>
      </c>
    </row>
    <row r="1753" spans="1:18">
      <c r="A1753" s="15" t="str">
        <f t="shared" si="32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8" t="s">
        <v>75</v>
      </c>
      <c r="P1753" s="48">
        <f>HEX2DEC(RIGHT(Table13232127535868[[#This Row],[h1]],8))</f>
        <v>0</v>
      </c>
      <c r="Q1753" s="48" t="s">
        <v>75</v>
      </c>
      <c r="R1753" s="48">
        <f>HEX2DEC(RIGHT(Table13232127535868[[#This Row],[h2]],8))</f>
        <v>0</v>
      </c>
    </row>
    <row r="1754" spans="1:18">
      <c r="A1754" s="15" t="str">
        <f t="shared" si="32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8" t="s">
        <v>75</v>
      </c>
      <c r="P1754" s="48">
        <f>HEX2DEC(RIGHT(Table13232127535868[[#This Row],[h1]],8))</f>
        <v>0</v>
      </c>
      <c r="Q1754" s="48" t="s">
        <v>75</v>
      </c>
      <c r="R1754" s="48">
        <f>HEX2DEC(RIGHT(Table13232127535868[[#This Row],[h2]],8))</f>
        <v>0</v>
      </c>
    </row>
    <row r="1755" spans="1:18">
      <c r="A1755" s="15" t="str">
        <f t="shared" si="32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8" t="s">
        <v>75</v>
      </c>
      <c r="P1755" s="48">
        <f>HEX2DEC(RIGHT(Table13232127535868[[#This Row],[h1]],8))</f>
        <v>0</v>
      </c>
      <c r="Q1755" s="48" t="s">
        <v>75</v>
      </c>
      <c r="R1755" s="48">
        <f>HEX2DEC(RIGHT(Table13232127535868[[#This Row],[h2]],8))</f>
        <v>0</v>
      </c>
    </row>
    <row r="1756" spans="1:18">
      <c r="A1756" s="15" t="str">
        <f t="shared" si="32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8" t="s">
        <v>75</v>
      </c>
      <c r="P1756" s="48">
        <f>HEX2DEC(RIGHT(Table13232127535868[[#This Row],[h1]],8))</f>
        <v>0</v>
      </c>
      <c r="Q1756" s="48" t="s">
        <v>75</v>
      </c>
      <c r="R1756" s="48">
        <f>HEX2DEC(RIGHT(Table13232127535868[[#This Row],[h2]],8))</f>
        <v>0</v>
      </c>
    </row>
    <row r="1757" spans="1:18">
      <c r="A1757" s="15" t="str">
        <f t="shared" si="32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8" t="s">
        <v>75</v>
      </c>
      <c r="P1757" s="48">
        <f>HEX2DEC(RIGHT(Table13232127535868[[#This Row],[h1]],8))</f>
        <v>0</v>
      </c>
      <c r="Q1757" s="48" t="s">
        <v>75</v>
      </c>
      <c r="R1757" s="48">
        <f>HEX2DEC(RIGHT(Table13232127535868[[#This Row],[h2]],8))</f>
        <v>0</v>
      </c>
    </row>
    <row r="1758" spans="1:18">
      <c r="A1758" s="15" t="str">
        <f t="shared" si="32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8" t="s">
        <v>75</v>
      </c>
      <c r="P1758" s="48">
        <f>HEX2DEC(RIGHT(Table13232127535868[[#This Row],[h1]],8))</f>
        <v>0</v>
      </c>
      <c r="Q1758" s="48" t="s">
        <v>75</v>
      </c>
      <c r="R1758" s="48">
        <f>HEX2DEC(RIGHT(Table13232127535868[[#This Row],[h2]],8))</f>
        <v>0</v>
      </c>
    </row>
    <row r="1759" spans="1:18">
      <c r="A1759" s="15" t="str">
        <f t="shared" si="32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8" t="s">
        <v>75</v>
      </c>
      <c r="P1759" s="48">
        <f>HEX2DEC(RIGHT(Table13232127535868[[#This Row],[h1]],8))</f>
        <v>0</v>
      </c>
      <c r="Q1759" s="48" t="s">
        <v>75</v>
      </c>
      <c r="R1759" s="48">
        <f>HEX2DEC(RIGHT(Table13232127535868[[#This Row],[h2]],8))</f>
        <v>0</v>
      </c>
    </row>
    <row r="1760" spans="1:18">
      <c r="A1760" s="15" t="str">
        <f t="shared" si="32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8" t="s">
        <v>75</v>
      </c>
      <c r="P1760" s="48">
        <f>HEX2DEC(RIGHT(Table13232127535868[[#This Row],[h1]],8))</f>
        <v>0</v>
      </c>
      <c r="Q1760" s="48" t="s">
        <v>75</v>
      </c>
      <c r="R1760" s="48">
        <f>HEX2DEC(RIGHT(Table13232127535868[[#This Row],[h2]],8))</f>
        <v>0</v>
      </c>
    </row>
    <row r="1761" spans="1:18">
      <c r="A1761" s="15" t="str">
        <f t="shared" si="32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8" t="s">
        <v>75</v>
      </c>
      <c r="P1761" s="48">
        <f>HEX2DEC(RIGHT(Table13232127535868[[#This Row],[h1]],8))</f>
        <v>0</v>
      </c>
      <c r="Q1761" s="48" t="s">
        <v>75</v>
      </c>
      <c r="R1761" s="48">
        <f>HEX2DEC(RIGHT(Table13232127535868[[#This Row],[h2]],8))</f>
        <v>0</v>
      </c>
    </row>
    <row r="1762" spans="1:18">
      <c r="A1762" s="15" t="str">
        <f t="shared" si="32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8" t="s">
        <v>75</v>
      </c>
      <c r="P1762" s="48">
        <f>HEX2DEC(RIGHT(Table13232127535868[[#This Row],[h1]],8))</f>
        <v>0</v>
      </c>
      <c r="Q1762" s="48" t="s">
        <v>75</v>
      </c>
      <c r="R1762" s="48">
        <f>HEX2DEC(RIGHT(Table13232127535868[[#This Row],[h2]],8))</f>
        <v>0</v>
      </c>
    </row>
    <row r="1763" spans="1:18">
      <c r="A1763" s="15" t="str">
        <f t="shared" si="32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8" t="s">
        <v>75</v>
      </c>
      <c r="P1763" s="48">
        <f>HEX2DEC(RIGHT(Table13232127535868[[#This Row],[h1]],8))</f>
        <v>0</v>
      </c>
      <c r="Q1763" s="48" t="s">
        <v>75</v>
      </c>
      <c r="R1763" s="48">
        <f>HEX2DEC(RIGHT(Table13232127535868[[#This Row],[h2]],8))</f>
        <v>0</v>
      </c>
    </row>
    <row r="1764" spans="1:18">
      <c r="A1764" s="15" t="str">
        <f t="shared" si="32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8" t="s">
        <v>75</v>
      </c>
      <c r="P1764" s="48">
        <f>HEX2DEC(RIGHT(Table13232127535868[[#This Row],[h1]],8))</f>
        <v>0</v>
      </c>
      <c r="Q1764" s="48" t="s">
        <v>75</v>
      </c>
      <c r="R1764" s="48">
        <f>HEX2DEC(RIGHT(Table13232127535868[[#This Row],[h2]],8))</f>
        <v>0</v>
      </c>
    </row>
    <row r="1765" spans="1:18">
      <c r="A1765" s="15" t="str">
        <f t="shared" si="32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8" t="s">
        <v>75</v>
      </c>
      <c r="P1765" s="48">
        <f>HEX2DEC(RIGHT(Table13232127535868[[#This Row],[h1]],8))</f>
        <v>0</v>
      </c>
      <c r="Q1765" s="48" t="s">
        <v>75</v>
      </c>
      <c r="R1765" s="48">
        <f>HEX2DEC(RIGHT(Table13232127535868[[#This Row],[h2]],8))</f>
        <v>0</v>
      </c>
    </row>
    <row r="1766" spans="1:18">
      <c r="A1766" s="15" t="str">
        <f t="shared" si="32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8" t="s">
        <v>75</v>
      </c>
      <c r="P1766" s="48">
        <f>HEX2DEC(RIGHT(Table13232127535868[[#This Row],[h1]],8))</f>
        <v>0</v>
      </c>
      <c r="Q1766" s="48" t="s">
        <v>75</v>
      </c>
      <c r="R1766" s="48">
        <f>HEX2DEC(RIGHT(Table13232127535868[[#This Row],[h2]],8))</f>
        <v>0</v>
      </c>
    </row>
    <row r="1767" spans="1:18">
      <c r="A1767" s="15" t="str">
        <f t="shared" si="32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8" t="s">
        <v>75</v>
      </c>
      <c r="P1767" s="48">
        <f>HEX2DEC(RIGHT(Table13232127535868[[#This Row],[h1]],8))</f>
        <v>0</v>
      </c>
      <c r="Q1767" s="48" t="s">
        <v>75</v>
      </c>
      <c r="R1767" s="48">
        <f>HEX2DEC(RIGHT(Table13232127535868[[#This Row],[h2]],8))</f>
        <v>0</v>
      </c>
    </row>
    <row r="1768" spans="1:18">
      <c r="A1768" s="15" t="str">
        <f t="shared" si="32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8" t="s">
        <v>75</v>
      </c>
      <c r="P1768" s="48">
        <f>HEX2DEC(RIGHT(Table13232127535868[[#This Row],[h1]],8))</f>
        <v>0</v>
      </c>
      <c r="Q1768" s="48" t="s">
        <v>75</v>
      </c>
      <c r="R1768" s="48">
        <f>HEX2DEC(RIGHT(Table13232127535868[[#This Row],[h2]],8))</f>
        <v>0</v>
      </c>
    </row>
    <row r="1769" spans="1:18">
      <c r="A1769" s="15" t="str">
        <f t="shared" si="32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8" t="s">
        <v>75</v>
      </c>
      <c r="P1769" s="48">
        <f>HEX2DEC(RIGHT(Table13232127535868[[#This Row],[h1]],8))</f>
        <v>0</v>
      </c>
      <c r="Q1769" s="48" t="s">
        <v>75</v>
      </c>
      <c r="R1769" s="48">
        <f>HEX2DEC(RIGHT(Table13232127535868[[#This Row],[h2]],8))</f>
        <v>0</v>
      </c>
    </row>
    <row r="1770" spans="1:18">
      <c r="A1770" s="15" t="str">
        <f t="shared" si="32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8" t="s">
        <v>75</v>
      </c>
      <c r="P1770" s="48">
        <f>HEX2DEC(RIGHT(Table13232127535868[[#This Row],[h1]],8))</f>
        <v>0</v>
      </c>
      <c r="Q1770" s="48" t="s">
        <v>75</v>
      </c>
      <c r="R1770" s="48">
        <f>HEX2DEC(RIGHT(Table13232127535868[[#This Row],[h2]],8))</f>
        <v>0</v>
      </c>
    </row>
    <row r="1771" spans="1:18">
      <c r="A1771" s="15" t="str">
        <f t="shared" si="32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8" t="s">
        <v>75</v>
      </c>
      <c r="P1771" s="48">
        <f>HEX2DEC(RIGHT(Table13232127535868[[#This Row],[h1]],8))</f>
        <v>0</v>
      </c>
      <c r="Q1771" s="48" t="s">
        <v>75</v>
      </c>
      <c r="R1771" s="48">
        <f>HEX2DEC(RIGHT(Table13232127535868[[#This Row],[h2]],8))</f>
        <v>0</v>
      </c>
    </row>
    <row r="1772" spans="1:18">
      <c r="A1772" s="15" t="str">
        <f t="shared" si="32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8" t="s">
        <v>75</v>
      </c>
      <c r="P1772" s="48">
        <f>HEX2DEC(RIGHT(Table13232127535868[[#This Row],[h1]],8))</f>
        <v>0</v>
      </c>
      <c r="Q1772" s="48" t="s">
        <v>75</v>
      </c>
      <c r="R1772" s="48">
        <f>HEX2DEC(RIGHT(Table13232127535868[[#This Row],[h2]],8))</f>
        <v>0</v>
      </c>
    </row>
    <row r="1773" spans="1:18">
      <c r="A1773" s="15" t="str">
        <f t="shared" si="32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8" t="s">
        <v>75</v>
      </c>
      <c r="P1773" s="48">
        <f>HEX2DEC(RIGHT(Table13232127535868[[#This Row],[h1]],8))</f>
        <v>0</v>
      </c>
      <c r="Q1773" s="48" t="s">
        <v>75</v>
      </c>
      <c r="R1773" s="48">
        <f>HEX2DEC(RIGHT(Table13232127535868[[#This Row],[h2]],8))</f>
        <v>0</v>
      </c>
    </row>
    <row r="1774" spans="1:18">
      <c r="A1774" s="15" t="str">
        <f t="shared" si="32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8" t="s">
        <v>75</v>
      </c>
      <c r="P1774" s="48">
        <f>HEX2DEC(RIGHT(Table13232127535868[[#This Row],[h1]],8))</f>
        <v>0</v>
      </c>
      <c r="Q1774" s="48" t="s">
        <v>75</v>
      </c>
      <c r="R1774" s="48">
        <f>HEX2DEC(RIGHT(Table13232127535868[[#This Row],[h2]],8))</f>
        <v>0</v>
      </c>
    </row>
    <row r="1775" spans="1:18">
      <c r="A1775" s="15" t="str">
        <f t="shared" si="32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8" t="s">
        <v>75</v>
      </c>
      <c r="P1775" s="48">
        <f>HEX2DEC(RIGHT(Table13232127535868[[#This Row],[h1]],8))</f>
        <v>0</v>
      </c>
      <c r="Q1775" s="48" t="s">
        <v>75</v>
      </c>
      <c r="R1775" s="48">
        <f>HEX2DEC(RIGHT(Table13232127535868[[#This Row],[h2]],8))</f>
        <v>0</v>
      </c>
    </row>
    <row r="1776" spans="1:18">
      <c r="A1776" s="15" t="str">
        <f t="shared" si="32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8" t="s">
        <v>75</v>
      </c>
      <c r="P1776" s="48">
        <f>HEX2DEC(RIGHT(Table13232127535868[[#This Row],[h1]],8))</f>
        <v>0</v>
      </c>
      <c r="Q1776" s="48" t="s">
        <v>75</v>
      </c>
      <c r="R1776" s="48">
        <f>HEX2DEC(RIGHT(Table13232127535868[[#This Row],[h2]],8))</f>
        <v>0</v>
      </c>
    </row>
    <row r="1777" spans="1:18">
      <c r="A1777" s="15" t="str">
        <f t="shared" si="32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8" t="s">
        <v>75</v>
      </c>
      <c r="P1777" s="48">
        <f>HEX2DEC(RIGHT(Table13232127535868[[#This Row],[h1]],8))</f>
        <v>0</v>
      </c>
      <c r="Q1777" s="48" t="s">
        <v>75</v>
      </c>
      <c r="R1777" s="48">
        <f>HEX2DEC(RIGHT(Table13232127535868[[#This Row],[h2]],8))</f>
        <v>0</v>
      </c>
    </row>
    <row r="1778" spans="1:18">
      <c r="A1778" s="15" t="str">
        <f t="shared" si="32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8" t="s">
        <v>75</v>
      </c>
      <c r="P1778" s="48">
        <f>HEX2DEC(RIGHT(Table13232127535868[[#This Row],[h1]],8))</f>
        <v>0</v>
      </c>
      <c r="Q1778" s="48" t="s">
        <v>75</v>
      </c>
      <c r="R1778" s="48">
        <f>HEX2DEC(RIGHT(Table13232127535868[[#This Row],[h2]],8))</f>
        <v>0</v>
      </c>
    </row>
    <row r="1779" spans="1:18">
      <c r="A1779" s="15" t="str">
        <f t="shared" si="32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8" t="s">
        <v>75</v>
      </c>
      <c r="P1779" s="48">
        <f>HEX2DEC(RIGHT(Table13232127535868[[#This Row],[h1]],8))</f>
        <v>0</v>
      </c>
      <c r="Q1779" s="48" t="s">
        <v>75</v>
      </c>
      <c r="R1779" s="48">
        <f>HEX2DEC(RIGHT(Table13232127535868[[#This Row],[h2]],8))</f>
        <v>0</v>
      </c>
    </row>
    <row r="1780" spans="1:18">
      <c r="A1780" s="15" t="str">
        <f t="shared" si="32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8" t="s">
        <v>75</v>
      </c>
      <c r="P1780" s="48">
        <f>HEX2DEC(RIGHT(Table13232127535868[[#This Row],[h1]],8))</f>
        <v>0</v>
      </c>
      <c r="Q1780" s="48" t="s">
        <v>75</v>
      </c>
      <c r="R1780" s="48">
        <f>HEX2DEC(RIGHT(Table13232127535868[[#This Row],[h2]],8))</f>
        <v>0</v>
      </c>
    </row>
    <row r="1781" spans="1:18">
      <c r="A1781" s="15" t="str">
        <f t="shared" si="32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8" t="s">
        <v>75</v>
      </c>
      <c r="P1781" s="48">
        <f>HEX2DEC(RIGHT(Table13232127535868[[#This Row],[h1]],8))</f>
        <v>0</v>
      </c>
      <c r="Q1781" s="48" t="s">
        <v>75</v>
      </c>
      <c r="R1781" s="48">
        <f>HEX2DEC(RIGHT(Table13232127535868[[#This Row],[h2]],8))</f>
        <v>0</v>
      </c>
    </row>
    <row r="1782" spans="1:18">
      <c r="A1782" s="15" t="str">
        <f t="shared" si="32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8" t="s">
        <v>75</v>
      </c>
      <c r="P1782" s="48">
        <f>HEX2DEC(RIGHT(Table13232127535868[[#This Row],[h1]],8))</f>
        <v>0</v>
      </c>
      <c r="Q1782" s="48" t="s">
        <v>75</v>
      </c>
      <c r="R1782" s="48">
        <f>HEX2DEC(RIGHT(Table13232127535868[[#This Row],[h2]],8))</f>
        <v>0</v>
      </c>
    </row>
    <row r="1783" spans="1:18">
      <c r="A1783" s="15" t="str">
        <f t="shared" si="32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8" t="s">
        <v>75</v>
      </c>
      <c r="P1783" s="48">
        <f>HEX2DEC(RIGHT(Table13232127535868[[#This Row],[h1]],8))</f>
        <v>0</v>
      </c>
      <c r="Q1783" s="48" t="s">
        <v>75</v>
      </c>
      <c r="R1783" s="48">
        <f>HEX2DEC(RIGHT(Table13232127535868[[#This Row],[h2]],8))</f>
        <v>0</v>
      </c>
    </row>
    <row r="1784" spans="1:18">
      <c r="A1784" s="15" t="str">
        <f t="shared" si="32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8" t="s">
        <v>75</v>
      </c>
      <c r="P1784" s="48">
        <f>HEX2DEC(RIGHT(Table13232127535868[[#This Row],[h1]],8))</f>
        <v>0</v>
      </c>
      <c r="Q1784" s="48" t="s">
        <v>75</v>
      </c>
      <c r="R1784" s="48">
        <f>HEX2DEC(RIGHT(Table13232127535868[[#This Row],[h2]],8))</f>
        <v>0</v>
      </c>
    </row>
    <row r="1785" spans="1:18">
      <c r="A1785" s="15" t="str">
        <f t="shared" si="32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8" t="s">
        <v>75</v>
      </c>
      <c r="P1785" s="48">
        <f>HEX2DEC(RIGHT(Table13232127535868[[#This Row],[h1]],8))</f>
        <v>0</v>
      </c>
      <c r="Q1785" s="48" t="s">
        <v>75</v>
      </c>
      <c r="R1785" s="48">
        <f>HEX2DEC(RIGHT(Table13232127535868[[#This Row],[h2]],8))</f>
        <v>0</v>
      </c>
    </row>
    <row r="1786" spans="1:18">
      <c r="A1786" s="15" t="str">
        <f t="shared" si="32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8" t="s">
        <v>75</v>
      </c>
      <c r="P1786" s="48">
        <f>HEX2DEC(RIGHT(Table13232127535868[[#This Row],[h1]],8))</f>
        <v>0</v>
      </c>
      <c r="Q1786" s="48" t="s">
        <v>75</v>
      </c>
      <c r="R1786" s="48">
        <f>HEX2DEC(RIGHT(Table13232127535868[[#This Row],[h2]],8))</f>
        <v>0</v>
      </c>
    </row>
    <row r="1787" spans="1:18">
      <c r="A1787" s="15" t="str">
        <f t="shared" si="32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8" t="s">
        <v>75</v>
      </c>
      <c r="P1787" s="48">
        <f>HEX2DEC(RIGHT(Table13232127535868[[#This Row],[h1]],8))</f>
        <v>0</v>
      </c>
      <c r="Q1787" s="48" t="s">
        <v>75</v>
      </c>
      <c r="R1787" s="48">
        <f>HEX2DEC(RIGHT(Table13232127535868[[#This Row],[h2]],8))</f>
        <v>0</v>
      </c>
    </row>
    <row r="1788" spans="1:18">
      <c r="A1788" s="15" t="str">
        <f t="shared" si="32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8" t="s">
        <v>75</v>
      </c>
      <c r="P1788" s="48">
        <f>HEX2DEC(RIGHT(Table13232127535868[[#This Row],[h1]],8))</f>
        <v>0</v>
      </c>
      <c r="Q1788" s="48" t="s">
        <v>75</v>
      </c>
      <c r="R1788" s="48">
        <f>HEX2DEC(RIGHT(Table13232127535868[[#This Row],[h2]],8))</f>
        <v>0</v>
      </c>
    </row>
    <row r="1789" spans="1:18">
      <c r="A1789" s="15" t="str">
        <f t="shared" si="32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8" t="s">
        <v>75</v>
      </c>
      <c r="P1789" s="48">
        <f>HEX2DEC(RIGHT(Table13232127535868[[#This Row],[h1]],8))</f>
        <v>0</v>
      </c>
      <c r="Q1789" s="48" t="s">
        <v>75</v>
      </c>
      <c r="R1789" s="48">
        <f>HEX2DEC(RIGHT(Table13232127535868[[#This Row],[h2]],8))</f>
        <v>0</v>
      </c>
    </row>
    <row r="1790" spans="1:18">
      <c r="A1790" s="15" t="str">
        <f t="shared" si="32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8" t="s">
        <v>75</v>
      </c>
      <c r="P1790" s="48">
        <f>HEX2DEC(RIGHT(Table13232127535868[[#This Row],[h1]],8))</f>
        <v>0</v>
      </c>
      <c r="Q1790" s="48" t="s">
        <v>75</v>
      </c>
      <c r="R1790" s="48">
        <f>HEX2DEC(RIGHT(Table13232127535868[[#This Row],[h2]],8))</f>
        <v>0</v>
      </c>
    </row>
    <row r="1791" spans="1:18">
      <c r="A1791" s="15" t="str">
        <f t="shared" si="32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8" t="s">
        <v>75</v>
      </c>
      <c r="P1791" s="48">
        <f>HEX2DEC(RIGHT(Table13232127535868[[#This Row],[h1]],8))</f>
        <v>0</v>
      </c>
      <c r="Q1791" s="48" t="s">
        <v>75</v>
      </c>
      <c r="R1791" s="48">
        <f>HEX2DEC(RIGHT(Table13232127535868[[#This Row],[h2]],8))</f>
        <v>0</v>
      </c>
    </row>
    <row r="1792" spans="1:18">
      <c r="A1792" s="15" t="str">
        <f t="shared" si="32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8" t="s">
        <v>75</v>
      </c>
      <c r="P1792" s="48">
        <f>HEX2DEC(RIGHT(Table13232127535868[[#This Row],[h1]],8))</f>
        <v>0</v>
      </c>
      <c r="Q1792" s="48" t="s">
        <v>75</v>
      </c>
      <c r="R1792" s="48">
        <f>HEX2DEC(RIGHT(Table13232127535868[[#This Row],[h2]],8))</f>
        <v>0</v>
      </c>
    </row>
    <row r="1793" spans="1:18">
      <c r="A1793" s="15" t="str">
        <f t="shared" si="32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8" t="s">
        <v>75</v>
      </c>
      <c r="P1793" s="48">
        <f>HEX2DEC(RIGHT(Table13232127535868[[#This Row],[h1]],8))</f>
        <v>0</v>
      </c>
      <c r="Q1793" s="48" t="s">
        <v>75</v>
      </c>
      <c r="R1793" s="48">
        <f>HEX2DEC(RIGHT(Table13232127535868[[#This Row],[h2]],8))</f>
        <v>0</v>
      </c>
    </row>
    <row r="1794" spans="1:18">
      <c r="A1794" s="15" t="str">
        <f t="shared" si="32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8" t="s">
        <v>75</v>
      </c>
      <c r="P1794" s="48">
        <f>HEX2DEC(RIGHT(Table13232127535868[[#This Row],[h1]],8))</f>
        <v>0</v>
      </c>
      <c r="Q1794" s="48" t="s">
        <v>75</v>
      </c>
      <c r="R1794" s="48">
        <f>HEX2DEC(RIGHT(Table13232127535868[[#This Row],[h2]],8))</f>
        <v>0</v>
      </c>
    </row>
    <row r="1795" spans="1:18">
      <c r="A1795" s="15" t="str">
        <f t="shared" si="32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8" t="s">
        <v>75</v>
      </c>
      <c r="P1795" s="48">
        <f>HEX2DEC(RIGHT(Table13232127535868[[#This Row],[h1]],8))</f>
        <v>0</v>
      </c>
      <c r="Q1795" s="48" t="s">
        <v>75</v>
      </c>
      <c r="R1795" s="48">
        <f>HEX2DEC(RIGHT(Table13232127535868[[#This Row],[h2]],8))</f>
        <v>0</v>
      </c>
    </row>
    <row r="1796" spans="1:18">
      <c r="A1796" s="15" t="str">
        <f t="shared" si="32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8" t="s">
        <v>75</v>
      </c>
      <c r="P1796" s="48">
        <f>HEX2DEC(RIGHT(Table13232127535868[[#This Row],[h1]],8))</f>
        <v>0</v>
      </c>
      <c r="Q1796" s="48" t="s">
        <v>75</v>
      </c>
      <c r="R1796" s="48">
        <f>HEX2DEC(RIGHT(Table13232127535868[[#This Row],[h2]],8))</f>
        <v>0</v>
      </c>
    </row>
    <row r="1797" spans="1:18">
      <c r="A1797" s="15" t="str">
        <f t="shared" si="32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8" t="s">
        <v>75</v>
      </c>
      <c r="P1797" s="48">
        <f>HEX2DEC(RIGHT(Table13232127535868[[#This Row],[h1]],8))</f>
        <v>0</v>
      </c>
      <c r="Q1797" s="48" t="s">
        <v>75</v>
      </c>
      <c r="R1797" s="48">
        <f>HEX2DEC(RIGHT(Table13232127535868[[#This Row],[h2]],8))</f>
        <v>0</v>
      </c>
    </row>
    <row r="1798" spans="1:18">
      <c r="A1798" s="15" t="str">
        <f t="shared" si="32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8" t="s">
        <v>75</v>
      </c>
      <c r="P1798" s="48">
        <f>HEX2DEC(RIGHT(Table13232127535868[[#This Row],[h1]],8))</f>
        <v>0</v>
      </c>
      <c r="Q1798" s="48" t="s">
        <v>75</v>
      </c>
      <c r="R1798" s="48">
        <f>HEX2DEC(RIGHT(Table13232127535868[[#This Row],[h2]],8))</f>
        <v>0</v>
      </c>
    </row>
    <row r="1799" spans="1:18">
      <c r="A1799" s="15" t="str">
        <f t="shared" si="32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8" t="s">
        <v>75</v>
      </c>
      <c r="P1799" s="48">
        <f>HEX2DEC(RIGHT(Table13232127535868[[#This Row],[h1]],8))</f>
        <v>0</v>
      </c>
      <c r="Q1799" s="48" t="s">
        <v>75</v>
      </c>
      <c r="R1799" s="48">
        <f>HEX2DEC(RIGHT(Table13232127535868[[#This Row],[h2]],8))</f>
        <v>0</v>
      </c>
    </row>
    <row r="1800" spans="1:18">
      <c r="A1800" s="15" t="str">
        <f t="shared" si="32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8" t="s">
        <v>75</v>
      </c>
      <c r="P1800" s="48">
        <f>HEX2DEC(RIGHT(Table13232127535868[[#This Row],[h1]],8))</f>
        <v>0</v>
      </c>
      <c r="Q1800" s="48" t="s">
        <v>75</v>
      </c>
      <c r="R1800" s="48">
        <f>HEX2DEC(RIGHT(Table13232127535868[[#This Row],[h2]],8))</f>
        <v>0</v>
      </c>
    </row>
    <row r="1801" spans="1:18">
      <c r="A1801" s="15" t="str">
        <f t="shared" si="32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8" t="s">
        <v>75</v>
      </c>
      <c r="P1801" s="48">
        <f>HEX2DEC(RIGHT(Table13232127535868[[#This Row],[h1]],8))</f>
        <v>0</v>
      </c>
      <c r="Q1801" s="48" t="s">
        <v>75</v>
      </c>
      <c r="R1801" s="48">
        <f>HEX2DEC(RIGHT(Table13232127535868[[#This Row],[h2]],8))</f>
        <v>0</v>
      </c>
    </row>
    <row r="1802" spans="1:18">
      <c r="A1802" s="15" t="str">
        <f t="shared" si="32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8" t="s">
        <v>75</v>
      </c>
      <c r="P1802" s="48">
        <f>HEX2DEC(RIGHT(Table13232127535868[[#This Row],[h1]],8))</f>
        <v>0</v>
      </c>
      <c r="Q1802" s="48" t="s">
        <v>75</v>
      </c>
      <c r="R1802" s="48">
        <f>HEX2DEC(RIGHT(Table13232127535868[[#This Row],[h2]],8))</f>
        <v>0</v>
      </c>
    </row>
    <row r="1803" spans="1:18">
      <c r="A1803" s="15" t="str">
        <f t="shared" ref="A1803:A1866" si="33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8" t="s">
        <v>75</v>
      </c>
      <c r="P1803" s="48">
        <f>HEX2DEC(RIGHT(Table13232127535868[[#This Row],[h1]],8))</f>
        <v>0</v>
      </c>
      <c r="Q1803" s="48" t="s">
        <v>75</v>
      </c>
      <c r="R1803" s="48">
        <f>HEX2DEC(RIGHT(Table13232127535868[[#This Row],[h2]],8))</f>
        <v>0</v>
      </c>
    </row>
    <row r="1804" spans="1:18">
      <c r="A1804" s="15" t="str">
        <f t="shared" si="33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8" t="s">
        <v>75</v>
      </c>
      <c r="P1804" s="48">
        <f>HEX2DEC(RIGHT(Table13232127535868[[#This Row],[h1]],8))</f>
        <v>0</v>
      </c>
      <c r="Q1804" s="48" t="s">
        <v>75</v>
      </c>
      <c r="R1804" s="48">
        <f>HEX2DEC(RIGHT(Table13232127535868[[#This Row],[h2]],8))</f>
        <v>0</v>
      </c>
    </row>
    <row r="1805" spans="1:18">
      <c r="A1805" s="15" t="str">
        <f t="shared" si="33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8" t="s">
        <v>75</v>
      </c>
      <c r="P1805" s="48">
        <f>HEX2DEC(RIGHT(Table13232127535868[[#This Row],[h1]],8))</f>
        <v>0</v>
      </c>
      <c r="Q1805" s="48" t="s">
        <v>75</v>
      </c>
      <c r="R1805" s="48">
        <f>HEX2DEC(RIGHT(Table13232127535868[[#This Row],[h2]],8))</f>
        <v>0</v>
      </c>
    </row>
    <row r="1806" spans="1:18">
      <c r="A1806" s="15" t="str">
        <f t="shared" si="33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8" t="s">
        <v>75</v>
      </c>
      <c r="P1806" s="48">
        <f>HEX2DEC(RIGHT(Table13232127535868[[#This Row],[h1]],8))</f>
        <v>0</v>
      </c>
      <c r="Q1806" s="48" t="s">
        <v>75</v>
      </c>
      <c r="R1806" s="48">
        <f>HEX2DEC(RIGHT(Table13232127535868[[#This Row],[h2]],8))</f>
        <v>0</v>
      </c>
    </row>
    <row r="1807" spans="1:18">
      <c r="A1807" s="15" t="str">
        <f t="shared" si="33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8" t="s">
        <v>75</v>
      </c>
      <c r="P1807" s="48">
        <f>HEX2DEC(RIGHT(Table13232127535868[[#This Row],[h1]],8))</f>
        <v>0</v>
      </c>
      <c r="Q1807" s="48" t="s">
        <v>75</v>
      </c>
      <c r="R1807" s="48">
        <f>HEX2DEC(RIGHT(Table13232127535868[[#This Row],[h2]],8))</f>
        <v>0</v>
      </c>
    </row>
    <row r="1808" spans="1:18">
      <c r="A1808" s="15" t="str">
        <f t="shared" si="33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8" t="s">
        <v>75</v>
      </c>
      <c r="P1808" s="48">
        <f>HEX2DEC(RIGHT(Table13232127535868[[#This Row],[h1]],8))</f>
        <v>0</v>
      </c>
      <c r="Q1808" s="48" t="s">
        <v>75</v>
      </c>
      <c r="R1808" s="48">
        <f>HEX2DEC(RIGHT(Table13232127535868[[#This Row],[h2]],8))</f>
        <v>0</v>
      </c>
    </row>
    <row r="1809" spans="1:18">
      <c r="A1809" s="15" t="str">
        <f t="shared" si="33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8" t="s">
        <v>75</v>
      </c>
      <c r="P1809" s="48">
        <f>HEX2DEC(RIGHT(Table13232127535868[[#This Row],[h1]],8))</f>
        <v>0</v>
      </c>
      <c r="Q1809" s="48" t="s">
        <v>75</v>
      </c>
      <c r="R1809" s="48">
        <f>HEX2DEC(RIGHT(Table13232127535868[[#This Row],[h2]],8))</f>
        <v>0</v>
      </c>
    </row>
    <row r="1810" spans="1:18">
      <c r="A1810" s="15" t="str">
        <f t="shared" si="33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8" t="s">
        <v>75</v>
      </c>
      <c r="P1810" s="48">
        <f>HEX2DEC(RIGHT(Table13232127535868[[#This Row],[h1]],8))</f>
        <v>0</v>
      </c>
      <c r="Q1810" s="48" t="s">
        <v>75</v>
      </c>
      <c r="R1810" s="48">
        <f>HEX2DEC(RIGHT(Table13232127535868[[#This Row],[h2]],8))</f>
        <v>0</v>
      </c>
    </row>
    <row r="1811" spans="1:18">
      <c r="A1811" s="15" t="str">
        <f t="shared" si="33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8" t="s">
        <v>75</v>
      </c>
      <c r="P1811" s="48">
        <f>HEX2DEC(RIGHT(Table13232127535868[[#This Row],[h1]],8))</f>
        <v>0</v>
      </c>
      <c r="Q1811" s="48" t="s">
        <v>75</v>
      </c>
      <c r="R1811" s="48">
        <f>HEX2DEC(RIGHT(Table13232127535868[[#This Row],[h2]],8))</f>
        <v>0</v>
      </c>
    </row>
    <row r="1812" spans="1:18">
      <c r="A1812" s="15" t="str">
        <f t="shared" si="33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8" t="s">
        <v>75</v>
      </c>
      <c r="P1812" s="48">
        <f>HEX2DEC(RIGHT(Table13232127535868[[#This Row],[h1]],8))</f>
        <v>0</v>
      </c>
      <c r="Q1812" s="48" t="s">
        <v>75</v>
      </c>
      <c r="R1812" s="48">
        <f>HEX2DEC(RIGHT(Table13232127535868[[#This Row],[h2]],8))</f>
        <v>0</v>
      </c>
    </row>
    <row r="1813" spans="1:18">
      <c r="A1813" s="15" t="str">
        <f t="shared" si="33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8" t="s">
        <v>75</v>
      </c>
      <c r="P1813" s="48">
        <f>HEX2DEC(RIGHT(Table13232127535868[[#This Row],[h1]],8))</f>
        <v>0</v>
      </c>
      <c r="Q1813" s="48" t="s">
        <v>75</v>
      </c>
      <c r="R1813" s="48">
        <f>HEX2DEC(RIGHT(Table13232127535868[[#This Row],[h2]],8))</f>
        <v>0</v>
      </c>
    </row>
    <row r="1814" spans="1:18">
      <c r="A1814" s="15" t="str">
        <f t="shared" si="33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8" t="s">
        <v>75</v>
      </c>
      <c r="P1814" s="48">
        <f>HEX2DEC(RIGHT(Table13232127535868[[#This Row],[h1]],8))</f>
        <v>0</v>
      </c>
      <c r="Q1814" s="48" t="s">
        <v>75</v>
      </c>
      <c r="R1814" s="48">
        <f>HEX2DEC(RIGHT(Table13232127535868[[#This Row],[h2]],8))</f>
        <v>0</v>
      </c>
    </row>
    <row r="1815" spans="1:18">
      <c r="A1815" s="15" t="str">
        <f t="shared" si="33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8" t="s">
        <v>75</v>
      </c>
      <c r="P1815" s="48">
        <f>HEX2DEC(RIGHT(Table13232127535868[[#This Row],[h1]],8))</f>
        <v>0</v>
      </c>
      <c r="Q1815" s="48" t="s">
        <v>75</v>
      </c>
      <c r="R1815" s="48">
        <f>HEX2DEC(RIGHT(Table13232127535868[[#This Row],[h2]],8))</f>
        <v>0</v>
      </c>
    </row>
    <row r="1816" spans="1:18">
      <c r="A1816" s="15" t="str">
        <f t="shared" si="33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8" t="s">
        <v>75</v>
      </c>
      <c r="P1816" s="48">
        <f>HEX2DEC(RIGHT(Table13232127535868[[#This Row],[h1]],8))</f>
        <v>0</v>
      </c>
      <c r="Q1816" s="48" t="s">
        <v>75</v>
      </c>
      <c r="R1816" s="48">
        <f>HEX2DEC(RIGHT(Table13232127535868[[#This Row],[h2]],8))</f>
        <v>0</v>
      </c>
    </row>
    <row r="1817" spans="1:18">
      <c r="A1817" s="15" t="str">
        <f t="shared" si="33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8" t="s">
        <v>75</v>
      </c>
      <c r="P1817" s="48">
        <f>HEX2DEC(RIGHT(Table13232127535868[[#This Row],[h1]],8))</f>
        <v>0</v>
      </c>
      <c r="Q1817" s="48" t="s">
        <v>75</v>
      </c>
      <c r="R1817" s="48">
        <f>HEX2DEC(RIGHT(Table13232127535868[[#This Row],[h2]],8))</f>
        <v>0</v>
      </c>
    </row>
    <row r="1818" spans="1:18">
      <c r="A1818" s="15" t="str">
        <f t="shared" si="33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8" t="s">
        <v>75</v>
      </c>
      <c r="P1818" s="48">
        <f>HEX2DEC(RIGHT(Table13232127535868[[#This Row],[h1]],8))</f>
        <v>0</v>
      </c>
      <c r="Q1818" s="48" t="s">
        <v>75</v>
      </c>
      <c r="R1818" s="48">
        <f>HEX2DEC(RIGHT(Table13232127535868[[#This Row],[h2]],8))</f>
        <v>0</v>
      </c>
    </row>
    <row r="1819" spans="1:18">
      <c r="A1819" s="15" t="str">
        <f t="shared" si="33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8" t="s">
        <v>75</v>
      </c>
      <c r="P1819" s="48">
        <f>HEX2DEC(RIGHT(Table13232127535868[[#This Row],[h1]],8))</f>
        <v>0</v>
      </c>
      <c r="Q1819" s="48" t="s">
        <v>75</v>
      </c>
      <c r="R1819" s="48">
        <f>HEX2DEC(RIGHT(Table13232127535868[[#This Row],[h2]],8))</f>
        <v>0</v>
      </c>
    </row>
    <row r="1820" spans="1:18">
      <c r="A1820" s="15" t="str">
        <f t="shared" si="33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8" t="s">
        <v>75</v>
      </c>
      <c r="P1820" s="48">
        <f>HEX2DEC(RIGHT(Table13232127535868[[#This Row],[h1]],8))</f>
        <v>0</v>
      </c>
      <c r="Q1820" s="48" t="s">
        <v>75</v>
      </c>
      <c r="R1820" s="48">
        <f>HEX2DEC(RIGHT(Table13232127535868[[#This Row],[h2]],8))</f>
        <v>0</v>
      </c>
    </row>
    <row r="1821" spans="1:18">
      <c r="A1821" s="15" t="str">
        <f t="shared" si="33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8" t="s">
        <v>75</v>
      </c>
      <c r="P1821" s="48">
        <f>HEX2DEC(RIGHT(Table13232127535868[[#This Row],[h1]],8))</f>
        <v>0</v>
      </c>
      <c r="Q1821" s="48" t="s">
        <v>75</v>
      </c>
      <c r="R1821" s="48">
        <f>HEX2DEC(RIGHT(Table13232127535868[[#This Row],[h2]],8))</f>
        <v>0</v>
      </c>
    </row>
    <row r="1822" spans="1:18">
      <c r="A1822" s="15" t="str">
        <f t="shared" si="33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8" t="s">
        <v>75</v>
      </c>
      <c r="P1822" s="48">
        <f>HEX2DEC(RIGHT(Table13232127535868[[#This Row],[h1]],8))</f>
        <v>0</v>
      </c>
      <c r="Q1822" s="48" t="s">
        <v>75</v>
      </c>
      <c r="R1822" s="48">
        <f>HEX2DEC(RIGHT(Table13232127535868[[#This Row],[h2]],8))</f>
        <v>0</v>
      </c>
    </row>
    <row r="1823" spans="1:18">
      <c r="A1823" s="15" t="str">
        <f t="shared" si="33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8" t="s">
        <v>75</v>
      </c>
      <c r="P1823" s="48">
        <f>HEX2DEC(RIGHT(Table13232127535868[[#This Row],[h1]],8))</f>
        <v>0</v>
      </c>
      <c r="Q1823" s="48" t="s">
        <v>75</v>
      </c>
      <c r="R1823" s="48">
        <f>HEX2DEC(RIGHT(Table13232127535868[[#This Row],[h2]],8))</f>
        <v>0</v>
      </c>
    </row>
    <row r="1824" spans="1:18">
      <c r="A1824" s="15" t="str">
        <f t="shared" si="33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8" t="s">
        <v>75</v>
      </c>
      <c r="P1824" s="48">
        <f>HEX2DEC(RIGHT(Table13232127535868[[#This Row],[h1]],8))</f>
        <v>0</v>
      </c>
      <c r="Q1824" s="48" t="s">
        <v>75</v>
      </c>
      <c r="R1824" s="48">
        <f>HEX2DEC(RIGHT(Table13232127535868[[#This Row],[h2]],8))</f>
        <v>0</v>
      </c>
    </row>
    <row r="1825" spans="1:18">
      <c r="A1825" s="15" t="str">
        <f t="shared" si="33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8" t="s">
        <v>75</v>
      </c>
      <c r="P1825" s="48">
        <f>HEX2DEC(RIGHT(Table13232127535868[[#This Row],[h1]],8))</f>
        <v>0</v>
      </c>
      <c r="Q1825" s="48" t="s">
        <v>75</v>
      </c>
      <c r="R1825" s="48">
        <f>HEX2DEC(RIGHT(Table13232127535868[[#This Row],[h2]],8))</f>
        <v>0</v>
      </c>
    </row>
    <row r="1826" spans="1:18">
      <c r="A1826" s="15" t="str">
        <f t="shared" si="33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8" t="s">
        <v>75</v>
      </c>
      <c r="P1826" s="48">
        <f>HEX2DEC(RIGHT(Table13232127535868[[#This Row],[h1]],8))</f>
        <v>0</v>
      </c>
      <c r="Q1826" s="48" t="s">
        <v>75</v>
      </c>
      <c r="R1826" s="48">
        <f>HEX2DEC(RIGHT(Table13232127535868[[#This Row],[h2]],8))</f>
        <v>0</v>
      </c>
    </row>
    <row r="1827" spans="1:18">
      <c r="A1827" s="15" t="str">
        <f t="shared" si="33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8" t="s">
        <v>75</v>
      </c>
      <c r="P1827" s="48">
        <f>HEX2DEC(RIGHT(Table13232127535868[[#This Row],[h1]],8))</f>
        <v>0</v>
      </c>
      <c r="Q1827" s="48" t="s">
        <v>75</v>
      </c>
      <c r="R1827" s="48">
        <f>HEX2DEC(RIGHT(Table13232127535868[[#This Row],[h2]],8))</f>
        <v>0</v>
      </c>
    </row>
    <row r="1828" spans="1:18">
      <c r="A1828" s="15" t="str">
        <f t="shared" si="33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8" t="s">
        <v>75</v>
      </c>
      <c r="P1828" s="48">
        <f>HEX2DEC(RIGHT(Table13232127535868[[#This Row],[h1]],8))</f>
        <v>0</v>
      </c>
      <c r="Q1828" s="48" t="s">
        <v>75</v>
      </c>
      <c r="R1828" s="48">
        <f>HEX2DEC(RIGHT(Table13232127535868[[#This Row],[h2]],8))</f>
        <v>0</v>
      </c>
    </row>
    <row r="1829" spans="1:18">
      <c r="A1829" s="15" t="str">
        <f t="shared" si="33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8" t="s">
        <v>75</v>
      </c>
      <c r="P1829" s="48">
        <f>HEX2DEC(RIGHT(Table13232127535868[[#This Row],[h1]],8))</f>
        <v>0</v>
      </c>
      <c r="Q1829" s="48" t="s">
        <v>75</v>
      </c>
      <c r="R1829" s="48">
        <f>HEX2DEC(RIGHT(Table13232127535868[[#This Row],[h2]],8))</f>
        <v>0</v>
      </c>
    </row>
    <row r="1830" spans="1:18">
      <c r="A1830" s="15" t="str">
        <f t="shared" si="33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8" t="s">
        <v>75</v>
      </c>
      <c r="P1830" s="48">
        <f>HEX2DEC(RIGHT(Table13232127535868[[#This Row],[h1]],8))</f>
        <v>0</v>
      </c>
      <c r="Q1830" s="48" t="s">
        <v>75</v>
      </c>
      <c r="R1830" s="48">
        <f>HEX2DEC(RIGHT(Table13232127535868[[#This Row],[h2]],8))</f>
        <v>0</v>
      </c>
    </row>
    <row r="1831" spans="1:18">
      <c r="A1831" s="15" t="str">
        <f t="shared" si="33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8" t="s">
        <v>75</v>
      </c>
      <c r="P1831" s="48">
        <f>HEX2DEC(RIGHT(Table13232127535868[[#This Row],[h1]],8))</f>
        <v>0</v>
      </c>
      <c r="Q1831" s="48" t="s">
        <v>75</v>
      </c>
      <c r="R1831" s="48">
        <f>HEX2DEC(RIGHT(Table13232127535868[[#This Row],[h2]],8))</f>
        <v>0</v>
      </c>
    </row>
    <row r="1832" spans="1:18">
      <c r="A1832" s="15" t="str">
        <f t="shared" si="33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8" t="s">
        <v>75</v>
      </c>
      <c r="P1832" s="48">
        <f>HEX2DEC(RIGHT(Table13232127535868[[#This Row],[h1]],8))</f>
        <v>0</v>
      </c>
      <c r="Q1832" s="48" t="s">
        <v>75</v>
      </c>
      <c r="R1832" s="48">
        <f>HEX2DEC(RIGHT(Table13232127535868[[#This Row],[h2]],8))</f>
        <v>0</v>
      </c>
    </row>
    <row r="1833" spans="1:18">
      <c r="A1833" s="15" t="str">
        <f t="shared" si="33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8" t="s">
        <v>75</v>
      </c>
      <c r="P1833" s="48">
        <f>HEX2DEC(RIGHT(Table13232127535868[[#This Row],[h1]],8))</f>
        <v>0</v>
      </c>
      <c r="Q1833" s="48" t="s">
        <v>75</v>
      </c>
      <c r="R1833" s="48">
        <f>HEX2DEC(RIGHT(Table13232127535868[[#This Row],[h2]],8))</f>
        <v>0</v>
      </c>
    </row>
    <row r="1834" spans="1:18">
      <c r="A1834" s="15" t="str">
        <f t="shared" si="33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8" t="s">
        <v>75</v>
      </c>
      <c r="P1834" s="48">
        <f>HEX2DEC(RIGHT(Table13232127535868[[#This Row],[h1]],8))</f>
        <v>0</v>
      </c>
      <c r="Q1834" s="48" t="s">
        <v>75</v>
      </c>
      <c r="R1834" s="48">
        <f>HEX2DEC(RIGHT(Table13232127535868[[#This Row],[h2]],8))</f>
        <v>0</v>
      </c>
    </row>
    <row r="1835" spans="1:18">
      <c r="A1835" s="15" t="str">
        <f t="shared" si="33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8" t="s">
        <v>75</v>
      </c>
      <c r="P1835" s="48">
        <f>HEX2DEC(RIGHT(Table13232127535868[[#This Row],[h1]],8))</f>
        <v>0</v>
      </c>
      <c r="Q1835" s="48" t="s">
        <v>75</v>
      </c>
      <c r="R1835" s="48">
        <f>HEX2DEC(RIGHT(Table13232127535868[[#This Row],[h2]],8))</f>
        <v>0</v>
      </c>
    </row>
    <row r="1836" spans="1:18">
      <c r="A1836" s="15" t="str">
        <f t="shared" si="33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8" t="s">
        <v>75</v>
      </c>
      <c r="P1836" s="48">
        <f>HEX2DEC(RIGHT(Table13232127535868[[#This Row],[h1]],8))</f>
        <v>0</v>
      </c>
      <c r="Q1836" s="48" t="s">
        <v>75</v>
      </c>
      <c r="R1836" s="48">
        <f>HEX2DEC(RIGHT(Table13232127535868[[#This Row],[h2]],8))</f>
        <v>0</v>
      </c>
    </row>
    <row r="1837" spans="1:18">
      <c r="A1837" s="15" t="str">
        <f t="shared" si="33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8" t="s">
        <v>75</v>
      </c>
      <c r="P1837" s="48">
        <f>HEX2DEC(RIGHT(Table13232127535868[[#This Row],[h1]],8))</f>
        <v>0</v>
      </c>
      <c r="Q1837" s="48" t="s">
        <v>75</v>
      </c>
      <c r="R1837" s="48">
        <f>HEX2DEC(RIGHT(Table13232127535868[[#This Row],[h2]],8))</f>
        <v>0</v>
      </c>
    </row>
    <row r="1838" spans="1:18">
      <c r="A1838" s="15" t="str">
        <f t="shared" si="33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8" t="s">
        <v>75</v>
      </c>
      <c r="P1838" s="48">
        <f>HEX2DEC(RIGHT(Table13232127535868[[#This Row],[h1]],8))</f>
        <v>0</v>
      </c>
      <c r="Q1838" s="48" t="s">
        <v>75</v>
      </c>
      <c r="R1838" s="48">
        <f>HEX2DEC(RIGHT(Table13232127535868[[#This Row],[h2]],8))</f>
        <v>0</v>
      </c>
    </row>
    <row r="1839" spans="1:18">
      <c r="A1839" s="15" t="str">
        <f t="shared" si="33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8" t="s">
        <v>75</v>
      </c>
      <c r="P1839" s="48">
        <f>HEX2DEC(RIGHT(Table13232127535868[[#This Row],[h1]],8))</f>
        <v>0</v>
      </c>
      <c r="Q1839" s="48" t="s">
        <v>75</v>
      </c>
      <c r="R1839" s="48">
        <f>HEX2DEC(RIGHT(Table13232127535868[[#This Row],[h2]],8))</f>
        <v>0</v>
      </c>
    </row>
    <row r="1840" spans="1:18">
      <c r="A1840" s="15" t="str">
        <f t="shared" si="33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8" t="s">
        <v>75</v>
      </c>
      <c r="P1840" s="48">
        <f>HEX2DEC(RIGHT(Table13232127535868[[#This Row],[h1]],8))</f>
        <v>0</v>
      </c>
      <c r="Q1840" s="48" t="s">
        <v>75</v>
      </c>
      <c r="R1840" s="48">
        <f>HEX2DEC(RIGHT(Table13232127535868[[#This Row],[h2]],8))</f>
        <v>0</v>
      </c>
    </row>
    <row r="1841" spans="1:18">
      <c r="A1841" s="15" t="str">
        <f t="shared" si="33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8" t="s">
        <v>75</v>
      </c>
      <c r="P1841" s="48">
        <f>HEX2DEC(RIGHT(Table13232127535868[[#This Row],[h1]],8))</f>
        <v>0</v>
      </c>
      <c r="Q1841" s="48" t="s">
        <v>75</v>
      </c>
      <c r="R1841" s="48">
        <f>HEX2DEC(RIGHT(Table13232127535868[[#This Row],[h2]],8))</f>
        <v>0</v>
      </c>
    </row>
    <row r="1842" spans="1:18">
      <c r="A1842" s="15" t="str">
        <f t="shared" si="33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8" t="s">
        <v>75</v>
      </c>
      <c r="P1842" s="48">
        <f>HEX2DEC(RIGHT(Table13232127535868[[#This Row],[h1]],8))</f>
        <v>0</v>
      </c>
      <c r="Q1842" s="48" t="s">
        <v>75</v>
      </c>
      <c r="R1842" s="48">
        <f>HEX2DEC(RIGHT(Table13232127535868[[#This Row],[h2]],8))</f>
        <v>0</v>
      </c>
    </row>
    <row r="1843" spans="1:18">
      <c r="A1843" s="15" t="str">
        <f t="shared" si="33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8" t="s">
        <v>75</v>
      </c>
      <c r="P1843" s="48">
        <f>HEX2DEC(RIGHT(Table13232127535868[[#This Row],[h1]],8))</f>
        <v>0</v>
      </c>
      <c r="Q1843" s="48" t="s">
        <v>75</v>
      </c>
      <c r="R1843" s="48">
        <f>HEX2DEC(RIGHT(Table13232127535868[[#This Row],[h2]],8))</f>
        <v>0</v>
      </c>
    </row>
    <row r="1844" spans="1:18">
      <c r="A1844" s="15" t="str">
        <f t="shared" si="33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8" t="s">
        <v>75</v>
      </c>
      <c r="P1844" s="48">
        <f>HEX2DEC(RIGHT(Table13232127535868[[#This Row],[h1]],8))</f>
        <v>0</v>
      </c>
      <c r="Q1844" s="48" t="s">
        <v>75</v>
      </c>
      <c r="R1844" s="48">
        <f>HEX2DEC(RIGHT(Table13232127535868[[#This Row],[h2]],8))</f>
        <v>0</v>
      </c>
    </row>
    <row r="1845" spans="1:18">
      <c r="A1845" s="15" t="str">
        <f t="shared" si="33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8" t="s">
        <v>75</v>
      </c>
      <c r="P1845" s="48">
        <f>HEX2DEC(RIGHT(Table13232127535868[[#This Row],[h1]],8))</f>
        <v>0</v>
      </c>
      <c r="Q1845" s="48" t="s">
        <v>75</v>
      </c>
      <c r="R1845" s="48">
        <f>HEX2DEC(RIGHT(Table13232127535868[[#This Row],[h2]],8))</f>
        <v>0</v>
      </c>
    </row>
    <row r="1846" spans="1:18">
      <c r="A1846" s="15" t="str">
        <f t="shared" si="33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8" t="s">
        <v>75</v>
      </c>
      <c r="P1846" s="48">
        <f>HEX2DEC(RIGHT(Table13232127535868[[#This Row],[h1]],8))</f>
        <v>0</v>
      </c>
      <c r="Q1846" s="48" t="s">
        <v>75</v>
      </c>
      <c r="R1846" s="48">
        <f>HEX2DEC(RIGHT(Table13232127535868[[#This Row],[h2]],8))</f>
        <v>0</v>
      </c>
    </row>
    <row r="1847" spans="1:18">
      <c r="A1847" s="15" t="str">
        <f t="shared" si="33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8" t="s">
        <v>75</v>
      </c>
      <c r="P1847" s="48">
        <f>HEX2DEC(RIGHT(Table13232127535868[[#This Row],[h1]],8))</f>
        <v>0</v>
      </c>
      <c r="Q1847" s="48" t="s">
        <v>75</v>
      </c>
      <c r="R1847" s="48">
        <f>HEX2DEC(RIGHT(Table13232127535868[[#This Row],[h2]],8))</f>
        <v>0</v>
      </c>
    </row>
    <row r="1848" spans="1:18">
      <c r="A1848" s="15" t="str">
        <f t="shared" si="33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8" t="s">
        <v>75</v>
      </c>
      <c r="P1848" s="48">
        <f>HEX2DEC(RIGHT(Table13232127535868[[#This Row],[h1]],8))</f>
        <v>0</v>
      </c>
      <c r="Q1848" s="48" t="s">
        <v>75</v>
      </c>
      <c r="R1848" s="48">
        <f>HEX2DEC(RIGHT(Table13232127535868[[#This Row],[h2]],8))</f>
        <v>0</v>
      </c>
    </row>
    <row r="1849" spans="1:18">
      <c r="A1849" s="15" t="str">
        <f t="shared" si="33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8" t="s">
        <v>75</v>
      </c>
      <c r="P1849" s="48">
        <f>HEX2DEC(RIGHT(Table13232127535868[[#This Row],[h1]],8))</f>
        <v>0</v>
      </c>
      <c r="Q1849" s="48" t="s">
        <v>75</v>
      </c>
      <c r="R1849" s="48">
        <f>HEX2DEC(RIGHT(Table13232127535868[[#This Row],[h2]],8))</f>
        <v>0</v>
      </c>
    </row>
    <row r="1850" spans="1:18">
      <c r="A1850" s="15" t="str">
        <f t="shared" si="33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8" t="s">
        <v>75</v>
      </c>
      <c r="P1850" s="48">
        <f>HEX2DEC(RIGHT(Table13232127535868[[#This Row],[h1]],8))</f>
        <v>0</v>
      </c>
      <c r="Q1850" s="48" t="s">
        <v>75</v>
      </c>
      <c r="R1850" s="48">
        <f>HEX2DEC(RIGHT(Table13232127535868[[#This Row],[h2]],8))</f>
        <v>0</v>
      </c>
    </row>
    <row r="1851" spans="1:18">
      <c r="A1851" s="15" t="str">
        <f t="shared" si="33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8" t="s">
        <v>75</v>
      </c>
      <c r="P1851" s="48">
        <f>HEX2DEC(RIGHT(Table13232127535868[[#This Row],[h1]],8))</f>
        <v>0</v>
      </c>
      <c r="Q1851" s="48" t="s">
        <v>75</v>
      </c>
      <c r="R1851" s="48">
        <f>HEX2DEC(RIGHT(Table13232127535868[[#This Row],[h2]],8))</f>
        <v>0</v>
      </c>
    </row>
    <row r="1852" spans="1:18">
      <c r="A1852" s="15" t="str">
        <f t="shared" si="33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8" t="s">
        <v>75</v>
      </c>
      <c r="P1852" s="48">
        <f>HEX2DEC(RIGHT(Table13232127535868[[#This Row],[h1]],8))</f>
        <v>0</v>
      </c>
      <c r="Q1852" s="48" t="s">
        <v>75</v>
      </c>
      <c r="R1852" s="48">
        <f>HEX2DEC(RIGHT(Table13232127535868[[#This Row],[h2]],8))</f>
        <v>0</v>
      </c>
    </row>
    <row r="1853" spans="1:18">
      <c r="A1853" s="15" t="str">
        <f t="shared" si="33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8" t="s">
        <v>75</v>
      </c>
      <c r="P1853" s="48">
        <f>HEX2DEC(RIGHT(Table13232127535868[[#This Row],[h1]],8))</f>
        <v>0</v>
      </c>
      <c r="Q1853" s="48" t="s">
        <v>75</v>
      </c>
      <c r="R1853" s="48">
        <f>HEX2DEC(RIGHT(Table13232127535868[[#This Row],[h2]],8))</f>
        <v>0</v>
      </c>
    </row>
    <row r="1854" spans="1:18">
      <c r="A1854" s="15" t="str">
        <f t="shared" si="33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8" t="s">
        <v>75</v>
      </c>
      <c r="P1854" s="48">
        <f>HEX2DEC(RIGHT(Table13232127535868[[#This Row],[h1]],8))</f>
        <v>0</v>
      </c>
      <c r="Q1854" s="48" t="s">
        <v>75</v>
      </c>
      <c r="R1854" s="48">
        <f>HEX2DEC(RIGHT(Table13232127535868[[#This Row],[h2]],8))</f>
        <v>0</v>
      </c>
    </row>
    <row r="1855" spans="1:18">
      <c r="A1855" s="15" t="str">
        <f t="shared" si="33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8" t="s">
        <v>75</v>
      </c>
      <c r="P1855" s="48">
        <f>HEX2DEC(RIGHT(Table13232127535868[[#This Row],[h1]],8))</f>
        <v>0</v>
      </c>
      <c r="Q1855" s="48" t="s">
        <v>75</v>
      </c>
      <c r="R1855" s="48">
        <f>HEX2DEC(RIGHT(Table13232127535868[[#This Row],[h2]],8))</f>
        <v>0</v>
      </c>
    </row>
    <row r="1856" spans="1:18">
      <c r="A1856" s="15" t="str">
        <f t="shared" si="33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8" t="s">
        <v>75</v>
      </c>
      <c r="P1856" s="48">
        <f>HEX2DEC(RIGHT(Table13232127535868[[#This Row],[h1]],8))</f>
        <v>0</v>
      </c>
      <c r="Q1856" s="48" t="s">
        <v>75</v>
      </c>
      <c r="R1856" s="48">
        <f>HEX2DEC(RIGHT(Table13232127535868[[#This Row],[h2]],8))</f>
        <v>0</v>
      </c>
    </row>
    <row r="1857" spans="1:18">
      <c r="A1857" s="15" t="str">
        <f t="shared" si="33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8" t="s">
        <v>75</v>
      </c>
      <c r="P1857" s="48">
        <f>HEX2DEC(RIGHT(Table13232127535868[[#This Row],[h1]],8))</f>
        <v>0</v>
      </c>
      <c r="Q1857" s="48" t="s">
        <v>75</v>
      </c>
      <c r="R1857" s="48">
        <f>HEX2DEC(RIGHT(Table13232127535868[[#This Row],[h2]],8))</f>
        <v>0</v>
      </c>
    </row>
    <row r="1858" spans="1:18">
      <c r="A1858" s="15" t="str">
        <f t="shared" si="33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8" t="s">
        <v>75</v>
      </c>
      <c r="P1858" s="48">
        <f>HEX2DEC(RIGHT(Table13232127535868[[#This Row],[h1]],8))</f>
        <v>0</v>
      </c>
      <c r="Q1858" s="48" t="s">
        <v>75</v>
      </c>
      <c r="R1858" s="48">
        <f>HEX2DEC(RIGHT(Table13232127535868[[#This Row],[h2]],8))</f>
        <v>0</v>
      </c>
    </row>
    <row r="1859" spans="1:18">
      <c r="A1859" s="15" t="str">
        <f t="shared" si="33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8" t="s">
        <v>75</v>
      </c>
      <c r="P1859" s="48">
        <f>HEX2DEC(RIGHT(Table13232127535868[[#This Row],[h1]],8))</f>
        <v>0</v>
      </c>
      <c r="Q1859" s="48" t="s">
        <v>75</v>
      </c>
      <c r="R1859" s="48">
        <f>HEX2DEC(RIGHT(Table13232127535868[[#This Row],[h2]],8))</f>
        <v>0</v>
      </c>
    </row>
    <row r="1860" spans="1:18">
      <c r="A1860" s="15" t="str">
        <f t="shared" si="33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8" t="s">
        <v>75</v>
      </c>
      <c r="P1860" s="48">
        <f>HEX2DEC(RIGHT(Table13232127535868[[#This Row],[h1]],8))</f>
        <v>0</v>
      </c>
      <c r="Q1860" s="48" t="s">
        <v>75</v>
      </c>
      <c r="R1860" s="48">
        <f>HEX2DEC(RIGHT(Table13232127535868[[#This Row],[h2]],8))</f>
        <v>0</v>
      </c>
    </row>
    <row r="1861" spans="1:18">
      <c r="A1861" s="15" t="str">
        <f t="shared" si="33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8" t="s">
        <v>75</v>
      </c>
      <c r="P1861" s="48">
        <f>HEX2DEC(RIGHT(Table13232127535868[[#This Row],[h1]],8))</f>
        <v>0</v>
      </c>
      <c r="Q1861" s="48" t="s">
        <v>75</v>
      </c>
      <c r="R1861" s="48">
        <f>HEX2DEC(RIGHT(Table13232127535868[[#This Row],[h2]],8))</f>
        <v>0</v>
      </c>
    </row>
    <row r="1862" spans="1:18">
      <c r="A1862" s="15" t="str">
        <f t="shared" si="33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8" t="s">
        <v>75</v>
      </c>
      <c r="P1862" s="48">
        <f>HEX2DEC(RIGHT(Table13232127535868[[#This Row],[h1]],8))</f>
        <v>0</v>
      </c>
      <c r="Q1862" s="48" t="s">
        <v>75</v>
      </c>
      <c r="R1862" s="48">
        <f>HEX2DEC(RIGHT(Table13232127535868[[#This Row],[h2]],8))</f>
        <v>0</v>
      </c>
    </row>
    <row r="1863" spans="1:18">
      <c r="A1863" s="15" t="str">
        <f t="shared" si="33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8" t="s">
        <v>75</v>
      </c>
      <c r="P1863" s="48">
        <f>HEX2DEC(RIGHT(Table13232127535868[[#This Row],[h1]],8))</f>
        <v>0</v>
      </c>
      <c r="Q1863" s="48" t="s">
        <v>75</v>
      </c>
      <c r="R1863" s="48">
        <f>HEX2DEC(RIGHT(Table13232127535868[[#This Row],[h2]],8))</f>
        <v>0</v>
      </c>
    </row>
    <row r="1864" spans="1:18">
      <c r="A1864" s="15" t="str">
        <f t="shared" si="33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8" t="s">
        <v>75</v>
      </c>
      <c r="P1864" s="48">
        <f>HEX2DEC(RIGHT(Table13232127535868[[#This Row],[h1]],8))</f>
        <v>0</v>
      </c>
      <c r="Q1864" s="48" t="s">
        <v>75</v>
      </c>
      <c r="R1864" s="48">
        <f>HEX2DEC(RIGHT(Table13232127535868[[#This Row],[h2]],8))</f>
        <v>0</v>
      </c>
    </row>
    <row r="1865" spans="1:18">
      <c r="A1865" s="15" t="str">
        <f t="shared" si="33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8" t="s">
        <v>75</v>
      </c>
      <c r="P1865" s="48">
        <f>HEX2DEC(RIGHT(Table13232127535868[[#This Row],[h1]],8))</f>
        <v>0</v>
      </c>
      <c r="Q1865" s="48" t="s">
        <v>75</v>
      </c>
      <c r="R1865" s="48">
        <f>HEX2DEC(RIGHT(Table13232127535868[[#This Row],[h2]],8))</f>
        <v>0</v>
      </c>
    </row>
    <row r="1866" spans="1:18">
      <c r="A1866" s="15" t="str">
        <f t="shared" si="33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8" t="s">
        <v>75</v>
      </c>
      <c r="P1866" s="48">
        <f>HEX2DEC(RIGHT(Table13232127535868[[#This Row],[h1]],8))</f>
        <v>0</v>
      </c>
      <c r="Q1866" s="48" t="s">
        <v>75</v>
      </c>
      <c r="R1866" s="48">
        <f>HEX2DEC(RIGHT(Table13232127535868[[#This Row],[h2]],8))</f>
        <v>0</v>
      </c>
    </row>
    <row r="1867" spans="1:18">
      <c r="A1867" s="15" t="str">
        <f t="shared" ref="A1867:A1930" si="34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8" t="s">
        <v>75</v>
      </c>
      <c r="P1867" s="48">
        <f>HEX2DEC(RIGHT(Table13232127535868[[#This Row],[h1]],8))</f>
        <v>0</v>
      </c>
      <c r="Q1867" s="48" t="s">
        <v>75</v>
      </c>
      <c r="R1867" s="48">
        <f>HEX2DEC(RIGHT(Table13232127535868[[#This Row],[h2]],8))</f>
        <v>0</v>
      </c>
    </row>
    <row r="1868" spans="1:18">
      <c r="A1868" s="15" t="str">
        <f t="shared" si="34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8" t="s">
        <v>75</v>
      </c>
      <c r="P1868" s="48">
        <f>HEX2DEC(RIGHT(Table13232127535868[[#This Row],[h1]],8))</f>
        <v>0</v>
      </c>
      <c r="Q1868" s="48" t="s">
        <v>75</v>
      </c>
      <c r="R1868" s="48">
        <f>HEX2DEC(RIGHT(Table13232127535868[[#This Row],[h2]],8))</f>
        <v>0</v>
      </c>
    </row>
    <row r="1869" spans="1:18">
      <c r="A1869" s="15" t="str">
        <f t="shared" si="34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8" t="s">
        <v>75</v>
      </c>
      <c r="P1869" s="48">
        <f>HEX2DEC(RIGHT(Table13232127535868[[#This Row],[h1]],8))</f>
        <v>0</v>
      </c>
      <c r="Q1869" s="48" t="s">
        <v>75</v>
      </c>
      <c r="R1869" s="48">
        <f>HEX2DEC(RIGHT(Table13232127535868[[#This Row],[h2]],8))</f>
        <v>0</v>
      </c>
    </row>
    <row r="1870" spans="1:18">
      <c r="A1870" s="15" t="str">
        <f t="shared" si="34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8" t="s">
        <v>75</v>
      </c>
      <c r="P1870" s="48">
        <f>HEX2DEC(RIGHT(Table13232127535868[[#This Row],[h1]],8))</f>
        <v>0</v>
      </c>
      <c r="Q1870" s="48" t="s">
        <v>75</v>
      </c>
      <c r="R1870" s="48">
        <f>HEX2DEC(RIGHT(Table13232127535868[[#This Row],[h2]],8))</f>
        <v>0</v>
      </c>
    </row>
    <row r="1871" spans="1:18">
      <c r="A1871" s="15" t="str">
        <f t="shared" si="34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8" t="s">
        <v>75</v>
      </c>
      <c r="P1871" s="48">
        <f>HEX2DEC(RIGHT(Table13232127535868[[#This Row],[h1]],8))</f>
        <v>0</v>
      </c>
      <c r="Q1871" s="48" t="s">
        <v>75</v>
      </c>
      <c r="R1871" s="48">
        <f>HEX2DEC(RIGHT(Table13232127535868[[#This Row],[h2]],8))</f>
        <v>0</v>
      </c>
    </row>
    <row r="1872" spans="1:18">
      <c r="A1872" s="15" t="str">
        <f t="shared" si="34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8" t="s">
        <v>75</v>
      </c>
      <c r="P1872" s="48">
        <f>HEX2DEC(RIGHT(Table13232127535868[[#This Row],[h1]],8))</f>
        <v>0</v>
      </c>
      <c r="Q1872" s="48" t="s">
        <v>75</v>
      </c>
      <c r="R1872" s="48">
        <f>HEX2DEC(RIGHT(Table13232127535868[[#This Row],[h2]],8))</f>
        <v>0</v>
      </c>
    </row>
    <row r="1873" spans="1:18">
      <c r="A1873" s="15" t="str">
        <f t="shared" si="34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8" t="s">
        <v>75</v>
      </c>
      <c r="P1873" s="48">
        <f>HEX2DEC(RIGHT(Table13232127535868[[#This Row],[h1]],8))</f>
        <v>0</v>
      </c>
      <c r="Q1873" s="48" t="s">
        <v>75</v>
      </c>
      <c r="R1873" s="48">
        <f>HEX2DEC(RIGHT(Table13232127535868[[#This Row],[h2]],8))</f>
        <v>0</v>
      </c>
    </row>
    <row r="1874" spans="1:18">
      <c r="A1874" s="15" t="str">
        <f t="shared" si="34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8" t="s">
        <v>75</v>
      </c>
      <c r="P1874" s="48">
        <f>HEX2DEC(RIGHT(Table13232127535868[[#This Row],[h1]],8))</f>
        <v>0</v>
      </c>
      <c r="Q1874" s="48" t="s">
        <v>75</v>
      </c>
      <c r="R1874" s="48">
        <f>HEX2DEC(RIGHT(Table13232127535868[[#This Row],[h2]],8))</f>
        <v>0</v>
      </c>
    </row>
    <row r="1875" spans="1:18">
      <c r="A1875" s="15" t="str">
        <f t="shared" si="34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8" t="s">
        <v>75</v>
      </c>
      <c r="P1875" s="48">
        <f>HEX2DEC(RIGHT(Table13232127535868[[#This Row],[h1]],8))</f>
        <v>0</v>
      </c>
      <c r="Q1875" s="48" t="s">
        <v>75</v>
      </c>
      <c r="R1875" s="48">
        <f>HEX2DEC(RIGHT(Table13232127535868[[#This Row],[h2]],8))</f>
        <v>0</v>
      </c>
    </row>
    <row r="1876" spans="1:18">
      <c r="A1876" s="15" t="str">
        <f t="shared" si="34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8" t="s">
        <v>75</v>
      </c>
      <c r="P1876" s="48">
        <f>HEX2DEC(RIGHT(Table13232127535868[[#This Row],[h1]],8))</f>
        <v>0</v>
      </c>
      <c r="Q1876" s="48" t="s">
        <v>75</v>
      </c>
      <c r="R1876" s="48">
        <f>HEX2DEC(RIGHT(Table13232127535868[[#This Row],[h2]],8))</f>
        <v>0</v>
      </c>
    </row>
    <row r="1877" spans="1:18">
      <c r="A1877" s="15" t="str">
        <f t="shared" si="34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8" t="s">
        <v>75</v>
      </c>
      <c r="P1877" s="48">
        <f>HEX2DEC(RIGHT(Table13232127535868[[#This Row],[h1]],8))</f>
        <v>0</v>
      </c>
      <c r="Q1877" s="48" t="s">
        <v>75</v>
      </c>
      <c r="R1877" s="48">
        <f>HEX2DEC(RIGHT(Table13232127535868[[#This Row],[h2]],8))</f>
        <v>0</v>
      </c>
    </row>
    <row r="1878" spans="1:18">
      <c r="A1878" s="15" t="str">
        <f t="shared" si="34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8" t="s">
        <v>75</v>
      </c>
      <c r="P1878" s="48">
        <f>HEX2DEC(RIGHT(Table13232127535868[[#This Row],[h1]],8))</f>
        <v>0</v>
      </c>
      <c r="Q1878" s="48" t="s">
        <v>75</v>
      </c>
      <c r="R1878" s="48">
        <f>HEX2DEC(RIGHT(Table13232127535868[[#This Row],[h2]],8))</f>
        <v>0</v>
      </c>
    </row>
    <row r="1879" spans="1:18">
      <c r="A1879" s="15" t="str">
        <f t="shared" si="34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8" t="s">
        <v>75</v>
      </c>
      <c r="P1879" s="48">
        <f>HEX2DEC(RIGHT(Table13232127535868[[#This Row],[h1]],8))</f>
        <v>0</v>
      </c>
      <c r="Q1879" s="48" t="s">
        <v>75</v>
      </c>
      <c r="R1879" s="48">
        <f>HEX2DEC(RIGHT(Table13232127535868[[#This Row],[h2]],8))</f>
        <v>0</v>
      </c>
    </row>
    <row r="1880" spans="1:18">
      <c r="A1880" s="15" t="str">
        <f t="shared" si="34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8" t="s">
        <v>75</v>
      </c>
      <c r="P1880" s="48">
        <f>HEX2DEC(RIGHT(Table13232127535868[[#This Row],[h1]],8))</f>
        <v>0</v>
      </c>
      <c r="Q1880" s="48" t="s">
        <v>75</v>
      </c>
      <c r="R1880" s="48">
        <f>HEX2DEC(RIGHT(Table13232127535868[[#This Row],[h2]],8))</f>
        <v>0</v>
      </c>
    </row>
    <row r="1881" spans="1:18">
      <c r="A1881" s="15" t="str">
        <f t="shared" si="34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8" t="s">
        <v>75</v>
      </c>
      <c r="P1881" s="48">
        <f>HEX2DEC(RIGHT(Table13232127535868[[#This Row],[h1]],8))</f>
        <v>0</v>
      </c>
      <c r="Q1881" s="48" t="s">
        <v>75</v>
      </c>
      <c r="R1881" s="48">
        <f>HEX2DEC(RIGHT(Table13232127535868[[#This Row],[h2]],8))</f>
        <v>0</v>
      </c>
    </row>
    <row r="1882" spans="1:18">
      <c r="A1882" s="15" t="str">
        <f t="shared" si="34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8" t="s">
        <v>75</v>
      </c>
      <c r="P1882" s="48">
        <f>HEX2DEC(RIGHT(Table13232127535868[[#This Row],[h1]],8))</f>
        <v>0</v>
      </c>
      <c r="Q1882" s="48" t="s">
        <v>75</v>
      </c>
      <c r="R1882" s="48">
        <f>HEX2DEC(RIGHT(Table13232127535868[[#This Row],[h2]],8))</f>
        <v>0</v>
      </c>
    </row>
    <row r="1883" spans="1:18">
      <c r="A1883" s="15" t="str">
        <f t="shared" si="34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8" t="s">
        <v>75</v>
      </c>
      <c r="P1883" s="48">
        <f>HEX2DEC(RIGHT(Table13232127535868[[#This Row],[h1]],8))</f>
        <v>0</v>
      </c>
      <c r="Q1883" s="48" t="s">
        <v>75</v>
      </c>
      <c r="R1883" s="48">
        <f>HEX2DEC(RIGHT(Table13232127535868[[#This Row],[h2]],8))</f>
        <v>0</v>
      </c>
    </row>
    <row r="1884" spans="1:18">
      <c r="A1884" s="15" t="str">
        <f t="shared" si="34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8" t="s">
        <v>75</v>
      </c>
      <c r="P1884" s="48">
        <f>HEX2DEC(RIGHT(Table13232127535868[[#This Row],[h1]],8))</f>
        <v>0</v>
      </c>
      <c r="Q1884" s="48" t="s">
        <v>75</v>
      </c>
      <c r="R1884" s="48">
        <f>HEX2DEC(RIGHT(Table13232127535868[[#This Row],[h2]],8))</f>
        <v>0</v>
      </c>
    </row>
    <row r="1885" spans="1:18">
      <c r="A1885" s="15" t="str">
        <f t="shared" si="34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8" t="s">
        <v>75</v>
      </c>
      <c r="P1885" s="48">
        <f>HEX2DEC(RIGHT(Table13232127535868[[#This Row],[h1]],8))</f>
        <v>0</v>
      </c>
      <c r="Q1885" s="48" t="s">
        <v>75</v>
      </c>
      <c r="R1885" s="48">
        <f>HEX2DEC(RIGHT(Table13232127535868[[#This Row],[h2]],8))</f>
        <v>0</v>
      </c>
    </row>
    <row r="1886" spans="1:18">
      <c r="A1886" s="15" t="str">
        <f t="shared" si="34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8" t="s">
        <v>75</v>
      </c>
      <c r="P1886" s="48">
        <f>HEX2DEC(RIGHT(Table13232127535868[[#This Row],[h1]],8))</f>
        <v>0</v>
      </c>
      <c r="Q1886" s="48" t="s">
        <v>75</v>
      </c>
      <c r="R1886" s="48">
        <f>HEX2DEC(RIGHT(Table13232127535868[[#This Row],[h2]],8))</f>
        <v>0</v>
      </c>
    </row>
    <row r="1887" spans="1:18">
      <c r="A1887" s="15" t="str">
        <f t="shared" si="34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8" t="s">
        <v>75</v>
      </c>
      <c r="P1887" s="48">
        <f>HEX2DEC(RIGHT(Table13232127535868[[#This Row],[h1]],8))</f>
        <v>0</v>
      </c>
      <c r="Q1887" s="48" t="s">
        <v>75</v>
      </c>
      <c r="R1887" s="48">
        <f>HEX2DEC(RIGHT(Table13232127535868[[#This Row],[h2]],8))</f>
        <v>0</v>
      </c>
    </row>
    <row r="1888" spans="1:18">
      <c r="A1888" s="15" t="str">
        <f t="shared" si="34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8" t="s">
        <v>75</v>
      </c>
      <c r="P1888" s="48">
        <f>HEX2DEC(RIGHT(Table13232127535868[[#This Row],[h1]],8))</f>
        <v>0</v>
      </c>
      <c r="Q1888" s="48" t="s">
        <v>75</v>
      </c>
      <c r="R1888" s="48">
        <f>HEX2DEC(RIGHT(Table13232127535868[[#This Row],[h2]],8))</f>
        <v>0</v>
      </c>
    </row>
    <row r="1889" spans="1:18">
      <c r="A1889" s="15" t="str">
        <f t="shared" si="34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8" t="s">
        <v>75</v>
      </c>
      <c r="P1889" s="48">
        <f>HEX2DEC(RIGHT(Table13232127535868[[#This Row],[h1]],8))</f>
        <v>0</v>
      </c>
      <c r="Q1889" s="48" t="s">
        <v>75</v>
      </c>
      <c r="R1889" s="48">
        <f>HEX2DEC(RIGHT(Table13232127535868[[#This Row],[h2]],8))</f>
        <v>0</v>
      </c>
    </row>
    <row r="1890" spans="1:18">
      <c r="A1890" s="15" t="str">
        <f t="shared" si="34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8" t="s">
        <v>75</v>
      </c>
      <c r="P1890" s="48">
        <f>HEX2DEC(RIGHT(Table13232127535868[[#This Row],[h1]],8))</f>
        <v>0</v>
      </c>
      <c r="Q1890" s="48" t="s">
        <v>75</v>
      </c>
      <c r="R1890" s="48">
        <f>HEX2DEC(RIGHT(Table13232127535868[[#This Row],[h2]],8))</f>
        <v>0</v>
      </c>
    </row>
    <row r="1891" spans="1:18">
      <c r="A1891" s="15" t="str">
        <f t="shared" si="34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8" t="s">
        <v>75</v>
      </c>
      <c r="P1891" s="48">
        <f>HEX2DEC(RIGHT(Table13232127535868[[#This Row],[h1]],8))</f>
        <v>0</v>
      </c>
      <c r="Q1891" s="48" t="s">
        <v>75</v>
      </c>
      <c r="R1891" s="48">
        <f>HEX2DEC(RIGHT(Table13232127535868[[#This Row],[h2]],8))</f>
        <v>0</v>
      </c>
    </row>
    <row r="1892" spans="1:18">
      <c r="A1892" s="15" t="str">
        <f t="shared" si="34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8" t="s">
        <v>75</v>
      </c>
      <c r="P1892" s="48">
        <f>HEX2DEC(RIGHT(Table13232127535868[[#This Row],[h1]],8))</f>
        <v>0</v>
      </c>
      <c r="Q1892" s="48" t="s">
        <v>75</v>
      </c>
      <c r="R1892" s="48">
        <f>HEX2DEC(RIGHT(Table13232127535868[[#This Row],[h2]],8))</f>
        <v>0</v>
      </c>
    </row>
    <row r="1893" spans="1:18">
      <c r="A1893" s="15" t="str">
        <f t="shared" si="34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8" t="s">
        <v>75</v>
      </c>
      <c r="P1893" s="48">
        <f>HEX2DEC(RIGHT(Table13232127535868[[#This Row],[h1]],8))</f>
        <v>0</v>
      </c>
      <c r="Q1893" s="48" t="s">
        <v>75</v>
      </c>
      <c r="R1893" s="48">
        <f>HEX2DEC(RIGHT(Table13232127535868[[#This Row],[h2]],8))</f>
        <v>0</v>
      </c>
    </row>
    <row r="1894" spans="1:18">
      <c r="A1894" s="15" t="str">
        <f t="shared" si="34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8" t="s">
        <v>75</v>
      </c>
      <c r="P1894" s="48">
        <f>HEX2DEC(RIGHT(Table13232127535868[[#This Row],[h1]],8))</f>
        <v>0</v>
      </c>
      <c r="Q1894" s="48" t="s">
        <v>75</v>
      </c>
      <c r="R1894" s="48">
        <f>HEX2DEC(RIGHT(Table13232127535868[[#This Row],[h2]],8))</f>
        <v>0</v>
      </c>
    </row>
    <row r="1895" spans="1:18">
      <c r="A1895" s="15" t="str">
        <f t="shared" si="34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8" t="s">
        <v>75</v>
      </c>
      <c r="P1895" s="48">
        <f>HEX2DEC(RIGHT(Table13232127535868[[#This Row],[h1]],8))</f>
        <v>0</v>
      </c>
      <c r="Q1895" s="48" t="s">
        <v>75</v>
      </c>
      <c r="R1895" s="48">
        <f>HEX2DEC(RIGHT(Table13232127535868[[#This Row],[h2]],8))</f>
        <v>0</v>
      </c>
    </row>
    <row r="1896" spans="1:18">
      <c r="A1896" s="15" t="str">
        <f t="shared" si="34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8" t="s">
        <v>75</v>
      </c>
      <c r="P1896" s="48">
        <f>HEX2DEC(RIGHT(Table13232127535868[[#This Row],[h1]],8))</f>
        <v>0</v>
      </c>
      <c r="Q1896" s="48" t="s">
        <v>75</v>
      </c>
      <c r="R1896" s="48">
        <f>HEX2DEC(RIGHT(Table13232127535868[[#This Row],[h2]],8))</f>
        <v>0</v>
      </c>
    </row>
    <row r="1897" spans="1:18">
      <c r="A1897" s="15" t="str">
        <f t="shared" si="34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8" t="s">
        <v>75</v>
      </c>
      <c r="P1897" s="48">
        <f>HEX2DEC(RIGHT(Table13232127535868[[#This Row],[h1]],8))</f>
        <v>0</v>
      </c>
      <c r="Q1897" s="48" t="s">
        <v>75</v>
      </c>
      <c r="R1897" s="48">
        <f>HEX2DEC(RIGHT(Table13232127535868[[#This Row],[h2]],8))</f>
        <v>0</v>
      </c>
    </row>
    <row r="1898" spans="1:18">
      <c r="A1898" s="15" t="str">
        <f t="shared" si="34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8" t="s">
        <v>75</v>
      </c>
      <c r="P1898" s="48">
        <f>HEX2DEC(RIGHT(Table13232127535868[[#This Row],[h1]],8))</f>
        <v>0</v>
      </c>
      <c r="Q1898" s="48" t="s">
        <v>75</v>
      </c>
      <c r="R1898" s="48">
        <f>HEX2DEC(RIGHT(Table13232127535868[[#This Row],[h2]],8))</f>
        <v>0</v>
      </c>
    </row>
    <row r="1899" spans="1:18">
      <c r="A1899" s="15" t="str">
        <f t="shared" si="34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8" t="s">
        <v>75</v>
      </c>
      <c r="P1899" s="48">
        <f>HEX2DEC(RIGHT(Table13232127535868[[#This Row],[h1]],8))</f>
        <v>0</v>
      </c>
      <c r="Q1899" s="48" t="s">
        <v>75</v>
      </c>
      <c r="R1899" s="48">
        <f>HEX2DEC(RIGHT(Table13232127535868[[#This Row],[h2]],8))</f>
        <v>0</v>
      </c>
    </row>
    <row r="1900" spans="1:18">
      <c r="A1900" s="15" t="str">
        <f t="shared" si="34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8" t="s">
        <v>75</v>
      </c>
      <c r="P1900" s="48">
        <f>HEX2DEC(RIGHT(Table13232127535868[[#This Row],[h1]],8))</f>
        <v>0</v>
      </c>
      <c r="Q1900" s="48" t="s">
        <v>75</v>
      </c>
      <c r="R1900" s="48">
        <f>HEX2DEC(RIGHT(Table13232127535868[[#This Row],[h2]],8))</f>
        <v>0</v>
      </c>
    </row>
    <row r="1901" spans="1:18">
      <c r="A1901" s="15" t="str">
        <f t="shared" si="34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8" t="s">
        <v>75</v>
      </c>
      <c r="P1901" s="48">
        <f>HEX2DEC(RIGHT(Table13232127535868[[#This Row],[h1]],8))</f>
        <v>0</v>
      </c>
      <c r="Q1901" s="48" t="s">
        <v>75</v>
      </c>
      <c r="R1901" s="48">
        <f>HEX2DEC(RIGHT(Table13232127535868[[#This Row],[h2]],8))</f>
        <v>0</v>
      </c>
    </row>
    <row r="1902" spans="1:18">
      <c r="A1902" s="15" t="str">
        <f t="shared" si="34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8" t="s">
        <v>75</v>
      </c>
      <c r="P1902" s="48">
        <f>HEX2DEC(RIGHT(Table13232127535868[[#This Row],[h1]],8))</f>
        <v>0</v>
      </c>
      <c r="Q1902" s="48" t="s">
        <v>75</v>
      </c>
      <c r="R1902" s="48">
        <f>HEX2DEC(RIGHT(Table13232127535868[[#This Row],[h2]],8))</f>
        <v>0</v>
      </c>
    </row>
    <row r="1903" spans="1:18">
      <c r="A1903" s="15" t="str">
        <f t="shared" si="34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8" t="s">
        <v>75</v>
      </c>
      <c r="P1903" s="48">
        <f>HEX2DEC(RIGHT(Table13232127535868[[#This Row],[h1]],8))</f>
        <v>0</v>
      </c>
      <c r="Q1903" s="48" t="s">
        <v>75</v>
      </c>
      <c r="R1903" s="48">
        <f>HEX2DEC(RIGHT(Table13232127535868[[#This Row],[h2]],8))</f>
        <v>0</v>
      </c>
    </row>
    <row r="1904" spans="1:18">
      <c r="A1904" s="15" t="str">
        <f t="shared" si="34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8" t="s">
        <v>75</v>
      </c>
      <c r="P1904" s="48">
        <f>HEX2DEC(RIGHT(Table13232127535868[[#This Row],[h1]],8))</f>
        <v>0</v>
      </c>
      <c r="Q1904" s="48" t="s">
        <v>75</v>
      </c>
      <c r="R1904" s="48">
        <f>HEX2DEC(RIGHT(Table13232127535868[[#This Row],[h2]],8))</f>
        <v>0</v>
      </c>
    </row>
    <row r="1905" spans="1:18">
      <c r="A1905" s="15" t="str">
        <f t="shared" si="34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8" t="s">
        <v>75</v>
      </c>
      <c r="P1905" s="48">
        <f>HEX2DEC(RIGHT(Table13232127535868[[#This Row],[h1]],8))</f>
        <v>0</v>
      </c>
      <c r="Q1905" s="48" t="s">
        <v>75</v>
      </c>
      <c r="R1905" s="48">
        <f>HEX2DEC(RIGHT(Table13232127535868[[#This Row],[h2]],8))</f>
        <v>0</v>
      </c>
    </row>
    <row r="1906" spans="1:18">
      <c r="A1906" s="15" t="str">
        <f t="shared" si="34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8" t="s">
        <v>75</v>
      </c>
      <c r="P1906" s="48">
        <f>HEX2DEC(RIGHT(Table13232127535868[[#This Row],[h1]],8))</f>
        <v>0</v>
      </c>
      <c r="Q1906" s="48" t="s">
        <v>75</v>
      </c>
      <c r="R1906" s="48">
        <f>HEX2DEC(RIGHT(Table13232127535868[[#This Row],[h2]],8))</f>
        <v>0</v>
      </c>
    </row>
    <row r="1907" spans="1:18">
      <c r="A1907" s="15" t="str">
        <f t="shared" si="34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8" t="s">
        <v>75</v>
      </c>
      <c r="P1907" s="48">
        <f>HEX2DEC(RIGHT(Table13232127535868[[#This Row],[h1]],8))</f>
        <v>0</v>
      </c>
      <c r="Q1907" s="48" t="s">
        <v>75</v>
      </c>
      <c r="R1907" s="48">
        <f>HEX2DEC(RIGHT(Table13232127535868[[#This Row],[h2]],8))</f>
        <v>0</v>
      </c>
    </row>
    <row r="1908" spans="1:18">
      <c r="A1908" s="15" t="str">
        <f t="shared" si="34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8" t="s">
        <v>75</v>
      </c>
      <c r="P1908" s="48">
        <f>HEX2DEC(RIGHT(Table13232127535868[[#This Row],[h1]],8))</f>
        <v>0</v>
      </c>
      <c r="Q1908" s="48" t="s">
        <v>75</v>
      </c>
      <c r="R1908" s="48">
        <f>HEX2DEC(RIGHT(Table13232127535868[[#This Row],[h2]],8))</f>
        <v>0</v>
      </c>
    </row>
    <row r="1909" spans="1:18">
      <c r="A1909" s="15" t="str">
        <f t="shared" si="34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8" t="s">
        <v>75</v>
      </c>
      <c r="P1909" s="48">
        <f>HEX2DEC(RIGHT(Table13232127535868[[#This Row],[h1]],8))</f>
        <v>0</v>
      </c>
      <c r="Q1909" s="48" t="s">
        <v>75</v>
      </c>
      <c r="R1909" s="48">
        <f>HEX2DEC(RIGHT(Table13232127535868[[#This Row],[h2]],8))</f>
        <v>0</v>
      </c>
    </row>
    <row r="1910" spans="1:18">
      <c r="A1910" s="15" t="str">
        <f t="shared" si="34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8" t="s">
        <v>75</v>
      </c>
      <c r="P1910" s="48">
        <f>HEX2DEC(RIGHT(Table13232127535868[[#This Row],[h1]],8))</f>
        <v>0</v>
      </c>
      <c r="Q1910" s="48" t="s">
        <v>75</v>
      </c>
      <c r="R1910" s="48">
        <f>HEX2DEC(RIGHT(Table13232127535868[[#This Row],[h2]],8))</f>
        <v>0</v>
      </c>
    </row>
    <row r="1911" spans="1:18">
      <c r="A1911" s="15" t="str">
        <f t="shared" si="34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8" t="s">
        <v>75</v>
      </c>
      <c r="P1911" s="48">
        <f>HEX2DEC(RIGHT(Table13232127535868[[#This Row],[h1]],8))</f>
        <v>0</v>
      </c>
      <c r="Q1911" s="48" t="s">
        <v>75</v>
      </c>
      <c r="R1911" s="48">
        <f>HEX2DEC(RIGHT(Table13232127535868[[#This Row],[h2]],8))</f>
        <v>0</v>
      </c>
    </row>
    <row r="1912" spans="1:18">
      <c r="A1912" s="15" t="str">
        <f t="shared" si="34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8" t="s">
        <v>75</v>
      </c>
      <c r="P1912" s="48">
        <f>HEX2DEC(RIGHT(Table13232127535868[[#This Row],[h1]],8))</f>
        <v>0</v>
      </c>
      <c r="Q1912" s="48" t="s">
        <v>75</v>
      </c>
      <c r="R1912" s="48">
        <f>HEX2DEC(RIGHT(Table13232127535868[[#This Row],[h2]],8))</f>
        <v>0</v>
      </c>
    </row>
    <row r="1913" spans="1:18">
      <c r="A1913" s="15" t="str">
        <f t="shared" si="34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8" t="s">
        <v>75</v>
      </c>
      <c r="P1913" s="48">
        <f>HEX2DEC(RIGHT(Table13232127535868[[#This Row],[h1]],8))</f>
        <v>0</v>
      </c>
      <c r="Q1913" s="48" t="s">
        <v>75</v>
      </c>
      <c r="R1913" s="48">
        <f>HEX2DEC(RIGHT(Table13232127535868[[#This Row],[h2]],8))</f>
        <v>0</v>
      </c>
    </row>
    <row r="1914" spans="1:18">
      <c r="A1914" s="15" t="str">
        <f t="shared" si="34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8" t="s">
        <v>75</v>
      </c>
      <c r="P1914" s="48">
        <f>HEX2DEC(RIGHT(Table13232127535868[[#This Row],[h1]],8))</f>
        <v>0</v>
      </c>
      <c r="Q1914" s="48" t="s">
        <v>75</v>
      </c>
      <c r="R1914" s="48">
        <f>HEX2DEC(RIGHT(Table13232127535868[[#This Row],[h2]],8))</f>
        <v>0</v>
      </c>
    </row>
    <row r="1915" spans="1:18">
      <c r="A1915" s="15" t="str">
        <f t="shared" si="34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8" t="s">
        <v>75</v>
      </c>
      <c r="P1915" s="48">
        <f>HEX2DEC(RIGHT(Table13232127535868[[#This Row],[h1]],8))</f>
        <v>0</v>
      </c>
      <c r="Q1915" s="48" t="s">
        <v>75</v>
      </c>
      <c r="R1915" s="48">
        <f>HEX2DEC(RIGHT(Table13232127535868[[#This Row],[h2]],8))</f>
        <v>0</v>
      </c>
    </row>
    <row r="1916" spans="1:18">
      <c r="A1916" s="15" t="str">
        <f t="shared" si="34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8" t="s">
        <v>75</v>
      </c>
      <c r="P1916" s="48">
        <f>HEX2DEC(RIGHT(Table13232127535868[[#This Row],[h1]],8))</f>
        <v>0</v>
      </c>
      <c r="Q1916" s="48" t="s">
        <v>75</v>
      </c>
      <c r="R1916" s="48">
        <f>HEX2DEC(RIGHT(Table13232127535868[[#This Row],[h2]],8))</f>
        <v>0</v>
      </c>
    </row>
    <row r="1917" spans="1:18">
      <c r="A1917" s="15" t="str">
        <f t="shared" si="34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8" t="s">
        <v>75</v>
      </c>
      <c r="P1917" s="48">
        <f>HEX2DEC(RIGHT(Table13232127535868[[#This Row],[h1]],8))</f>
        <v>0</v>
      </c>
      <c r="Q1917" s="48" t="s">
        <v>75</v>
      </c>
      <c r="R1917" s="48">
        <f>HEX2DEC(RIGHT(Table13232127535868[[#This Row],[h2]],8))</f>
        <v>0</v>
      </c>
    </row>
    <row r="1918" spans="1:18">
      <c r="A1918" s="15" t="str">
        <f t="shared" si="34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8" t="s">
        <v>75</v>
      </c>
      <c r="P1918" s="48">
        <f>HEX2DEC(RIGHT(Table13232127535868[[#This Row],[h1]],8))</f>
        <v>0</v>
      </c>
      <c r="Q1918" s="48" t="s">
        <v>75</v>
      </c>
      <c r="R1918" s="48">
        <f>HEX2DEC(RIGHT(Table13232127535868[[#This Row],[h2]],8))</f>
        <v>0</v>
      </c>
    </row>
    <row r="1919" spans="1:18">
      <c r="A1919" s="15" t="str">
        <f t="shared" si="34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8" t="s">
        <v>75</v>
      </c>
      <c r="P1919" s="48">
        <f>HEX2DEC(RIGHT(Table13232127535868[[#This Row],[h1]],8))</f>
        <v>0</v>
      </c>
      <c r="Q1919" s="48" t="s">
        <v>75</v>
      </c>
      <c r="R1919" s="48">
        <f>HEX2DEC(RIGHT(Table13232127535868[[#This Row],[h2]],8))</f>
        <v>0</v>
      </c>
    </row>
    <row r="1920" spans="1:18">
      <c r="A1920" s="15" t="str">
        <f t="shared" si="34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8" t="s">
        <v>75</v>
      </c>
      <c r="P1920" s="48">
        <f>HEX2DEC(RIGHT(Table13232127535868[[#This Row],[h1]],8))</f>
        <v>0</v>
      </c>
      <c r="Q1920" s="48" t="s">
        <v>75</v>
      </c>
      <c r="R1920" s="48">
        <f>HEX2DEC(RIGHT(Table13232127535868[[#This Row],[h2]],8))</f>
        <v>0</v>
      </c>
    </row>
    <row r="1921" spans="1:18">
      <c r="A1921" s="15" t="str">
        <f t="shared" si="34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8" t="s">
        <v>75</v>
      </c>
      <c r="P1921" s="48">
        <f>HEX2DEC(RIGHT(Table13232127535868[[#This Row],[h1]],8))</f>
        <v>0</v>
      </c>
      <c r="Q1921" s="48" t="s">
        <v>75</v>
      </c>
      <c r="R1921" s="48">
        <f>HEX2DEC(RIGHT(Table13232127535868[[#This Row],[h2]],8))</f>
        <v>0</v>
      </c>
    </row>
    <row r="1922" spans="1:18">
      <c r="A1922" s="15" t="str">
        <f t="shared" si="34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8" t="s">
        <v>75</v>
      </c>
      <c r="P1922" s="48">
        <f>HEX2DEC(RIGHT(Table13232127535868[[#This Row],[h1]],8))</f>
        <v>0</v>
      </c>
      <c r="Q1922" s="48" t="s">
        <v>75</v>
      </c>
      <c r="R1922" s="48">
        <f>HEX2DEC(RIGHT(Table13232127535868[[#This Row],[h2]],8))</f>
        <v>0</v>
      </c>
    </row>
    <row r="1923" spans="1:18">
      <c r="A1923" s="15" t="str">
        <f t="shared" si="34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8" t="s">
        <v>75</v>
      </c>
      <c r="P1923" s="48">
        <f>HEX2DEC(RIGHT(Table13232127535868[[#This Row],[h1]],8))</f>
        <v>0</v>
      </c>
      <c r="Q1923" s="48" t="s">
        <v>75</v>
      </c>
      <c r="R1923" s="48">
        <f>HEX2DEC(RIGHT(Table13232127535868[[#This Row],[h2]],8))</f>
        <v>0</v>
      </c>
    </row>
    <row r="1924" spans="1:18">
      <c r="A1924" s="15" t="str">
        <f t="shared" si="34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8" t="s">
        <v>75</v>
      </c>
      <c r="P1924" s="48">
        <f>HEX2DEC(RIGHT(Table13232127535868[[#This Row],[h1]],8))</f>
        <v>0</v>
      </c>
      <c r="Q1924" s="48" t="s">
        <v>75</v>
      </c>
      <c r="R1924" s="48">
        <f>HEX2DEC(RIGHT(Table13232127535868[[#This Row],[h2]],8))</f>
        <v>0</v>
      </c>
    </row>
    <row r="1925" spans="1:18">
      <c r="A1925" s="15" t="str">
        <f t="shared" si="34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8" t="s">
        <v>75</v>
      </c>
      <c r="P1925" s="48">
        <f>HEX2DEC(RIGHT(Table13232127535868[[#This Row],[h1]],8))</f>
        <v>0</v>
      </c>
      <c r="Q1925" s="48" t="s">
        <v>75</v>
      </c>
      <c r="R1925" s="48">
        <f>HEX2DEC(RIGHT(Table13232127535868[[#This Row],[h2]],8))</f>
        <v>0</v>
      </c>
    </row>
    <row r="1926" spans="1:18">
      <c r="A1926" s="15" t="str">
        <f t="shared" si="34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8" t="s">
        <v>75</v>
      </c>
      <c r="P1926" s="48">
        <f>HEX2DEC(RIGHT(Table13232127535868[[#This Row],[h1]],8))</f>
        <v>0</v>
      </c>
      <c r="Q1926" s="48" t="s">
        <v>75</v>
      </c>
      <c r="R1926" s="48">
        <f>HEX2DEC(RIGHT(Table13232127535868[[#This Row],[h2]],8))</f>
        <v>0</v>
      </c>
    </row>
    <row r="1927" spans="1:18">
      <c r="A1927" s="15" t="str">
        <f t="shared" si="34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8" t="s">
        <v>75</v>
      </c>
      <c r="P1927" s="48">
        <f>HEX2DEC(RIGHT(Table13232127535868[[#This Row],[h1]],8))</f>
        <v>0</v>
      </c>
      <c r="Q1927" s="48" t="s">
        <v>75</v>
      </c>
      <c r="R1927" s="48">
        <f>HEX2DEC(RIGHT(Table13232127535868[[#This Row],[h2]],8))</f>
        <v>0</v>
      </c>
    </row>
    <row r="1928" spans="1:18">
      <c r="A1928" s="15" t="str">
        <f t="shared" si="34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8" t="s">
        <v>75</v>
      </c>
      <c r="P1928" s="48">
        <f>HEX2DEC(RIGHT(Table13232127535868[[#This Row],[h1]],8))</f>
        <v>0</v>
      </c>
      <c r="Q1928" s="48" t="s">
        <v>75</v>
      </c>
      <c r="R1928" s="48">
        <f>HEX2DEC(RIGHT(Table13232127535868[[#This Row],[h2]],8))</f>
        <v>0</v>
      </c>
    </row>
    <row r="1929" spans="1:18">
      <c r="A1929" s="15" t="str">
        <f t="shared" si="34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8" t="s">
        <v>75</v>
      </c>
      <c r="P1929" s="48">
        <f>HEX2DEC(RIGHT(Table13232127535868[[#This Row],[h1]],8))</f>
        <v>0</v>
      </c>
      <c r="Q1929" s="48" t="s">
        <v>75</v>
      </c>
      <c r="R1929" s="48">
        <f>HEX2DEC(RIGHT(Table13232127535868[[#This Row],[h2]],8))</f>
        <v>0</v>
      </c>
    </row>
    <row r="1930" spans="1:18">
      <c r="A1930" s="15" t="str">
        <f t="shared" si="34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8" t="s">
        <v>75</v>
      </c>
      <c r="P1930" s="48">
        <f>HEX2DEC(RIGHT(Table13232127535868[[#This Row],[h1]],8))</f>
        <v>0</v>
      </c>
      <c r="Q1930" s="48" t="s">
        <v>75</v>
      </c>
      <c r="R1930" s="48">
        <f>HEX2DEC(RIGHT(Table13232127535868[[#This Row],[h2]],8))</f>
        <v>0</v>
      </c>
    </row>
    <row r="1931" spans="1:18">
      <c r="A1931" s="15" t="str">
        <f t="shared" ref="A1931:A1994" si="35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8" t="s">
        <v>75</v>
      </c>
      <c r="P1931" s="48">
        <f>HEX2DEC(RIGHT(Table13232127535868[[#This Row],[h1]],8))</f>
        <v>0</v>
      </c>
      <c r="Q1931" s="48" t="s">
        <v>75</v>
      </c>
      <c r="R1931" s="48">
        <f>HEX2DEC(RIGHT(Table13232127535868[[#This Row],[h2]],8))</f>
        <v>0</v>
      </c>
    </row>
    <row r="1932" spans="1:18">
      <c r="A1932" s="15" t="str">
        <f t="shared" si="35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8" t="s">
        <v>75</v>
      </c>
      <c r="P1932" s="48">
        <f>HEX2DEC(RIGHT(Table13232127535868[[#This Row],[h1]],8))</f>
        <v>0</v>
      </c>
      <c r="Q1932" s="48" t="s">
        <v>75</v>
      </c>
      <c r="R1932" s="48">
        <f>HEX2DEC(RIGHT(Table13232127535868[[#This Row],[h2]],8))</f>
        <v>0</v>
      </c>
    </row>
    <row r="1933" spans="1:18">
      <c r="A1933" s="15" t="str">
        <f t="shared" si="35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8" t="s">
        <v>75</v>
      </c>
      <c r="P1933" s="48">
        <f>HEX2DEC(RIGHT(Table13232127535868[[#This Row],[h1]],8))</f>
        <v>0</v>
      </c>
      <c r="Q1933" s="48" t="s">
        <v>75</v>
      </c>
      <c r="R1933" s="48">
        <f>HEX2DEC(RIGHT(Table13232127535868[[#This Row],[h2]],8))</f>
        <v>0</v>
      </c>
    </row>
    <row r="1934" spans="1:18">
      <c r="A1934" s="15" t="str">
        <f t="shared" si="35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8" t="s">
        <v>75</v>
      </c>
      <c r="P1934" s="48">
        <f>HEX2DEC(RIGHT(Table13232127535868[[#This Row],[h1]],8))</f>
        <v>0</v>
      </c>
      <c r="Q1934" s="48" t="s">
        <v>75</v>
      </c>
      <c r="R1934" s="48">
        <f>HEX2DEC(RIGHT(Table13232127535868[[#This Row],[h2]],8))</f>
        <v>0</v>
      </c>
    </row>
    <row r="1935" spans="1:18">
      <c r="A1935" s="15" t="str">
        <f t="shared" si="35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8" t="s">
        <v>75</v>
      </c>
      <c r="P1935" s="48">
        <f>HEX2DEC(RIGHT(Table13232127535868[[#This Row],[h1]],8))</f>
        <v>0</v>
      </c>
      <c r="Q1935" s="48" t="s">
        <v>75</v>
      </c>
      <c r="R1935" s="48">
        <f>HEX2DEC(RIGHT(Table13232127535868[[#This Row],[h2]],8))</f>
        <v>0</v>
      </c>
    </row>
    <row r="1936" spans="1:18">
      <c r="A1936" s="15" t="str">
        <f t="shared" si="35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8" t="s">
        <v>75</v>
      </c>
      <c r="P1936" s="48">
        <f>HEX2DEC(RIGHT(Table13232127535868[[#This Row],[h1]],8))</f>
        <v>0</v>
      </c>
      <c r="Q1936" s="48" t="s">
        <v>75</v>
      </c>
      <c r="R1936" s="48">
        <f>HEX2DEC(RIGHT(Table13232127535868[[#This Row],[h2]],8))</f>
        <v>0</v>
      </c>
    </row>
    <row r="1937" spans="1:18">
      <c r="A1937" s="15" t="str">
        <f t="shared" si="35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8" t="s">
        <v>75</v>
      </c>
      <c r="P1937" s="48">
        <f>HEX2DEC(RIGHT(Table13232127535868[[#This Row],[h1]],8))</f>
        <v>0</v>
      </c>
      <c r="Q1937" s="48" t="s">
        <v>75</v>
      </c>
      <c r="R1937" s="48">
        <f>HEX2DEC(RIGHT(Table13232127535868[[#This Row],[h2]],8))</f>
        <v>0</v>
      </c>
    </row>
    <row r="1938" spans="1:18">
      <c r="A1938" s="15" t="str">
        <f t="shared" si="35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8" t="s">
        <v>75</v>
      </c>
      <c r="P1938" s="48">
        <f>HEX2DEC(RIGHT(Table13232127535868[[#This Row],[h1]],8))</f>
        <v>0</v>
      </c>
      <c r="Q1938" s="48" t="s">
        <v>75</v>
      </c>
      <c r="R1938" s="48">
        <f>HEX2DEC(RIGHT(Table13232127535868[[#This Row],[h2]],8))</f>
        <v>0</v>
      </c>
    </row>
    <row r="1939" spans="1:18">
      <c r="A1939" s="15" t="str">
        <f t="shared" si="35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8" t="s">
        <v>75</v>
      </c>
      <c r="P1939" s="48">
        <f>HEX2DEC(RIGHT(Table13232127535868[[#This Row],[h1]],8))</f>
        <v>0</v>
      </c>
      <c r="Q1939" s="48" t="s">
        <v>75</v>
      </c>
      <c r="R1939" s="48">
        <f>HEX2DEC(RIGHT(Table13232127535868[[#This Row],[h2]],8))</f>
        <v>0</v>
      </c>
    </row>
    <row r="1940" spans="1:18">
      <c r="A1940" s="15" t="str">
        <f t="shared" si="35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8" t="s">
        <v>75</v>
      </c>
      <c r="P1940" s="48">
        <f>HEX2DEC(RIGHT(Table13232127535868[[#This Row],[h1]],8))</f>
        <v>0</v>
      </c>
      <c r="Q1940" s="48" t="s">
        <v>75</v>
      </c>
      <c r="R1940" s="48">
        <f>HEX2DEC(RIGHT(Table13232127535868[[#This Row],[h2]],8))</f>
        <v>0</v>
      </c>
    </row>
    <row r="1941" spans="1:18">
      <c r="A1941" s="15" t="str">
        <f t="shared" si="35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8" t="s">
        <v>75</v>
      </c>
      <c r="P1941" s="48">
        <f>HEX2DEC(RIGHT(Table13232127535868[[#This Row],[h1]],8))</f>
        <v>0</v>
      </c>
      <c r="Q1941" s="48" t="s">
        <v>75</v>
      </c>
      <c r="R1941" s="48">
        <f>HEX2DEC(RIGHT(Table13232127535868[[#This Row],[h2]],8))</f>
        <v>0</v>
      </c>
    </row>
    <row r="1942" spans="1:18">
      <c r="A1942" s="15" t="str">
        <f t="shared" si="35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8" t="s">
        <v>75</v>
      </c>
      <c r="P1942" s="48">
        <f>HEX2DEC(RIGHT(Table13232127535868[[#This Row],[h1]],8))</f>
        <v>0</v>
      </c>
      <c r="Q1942" s="48" t="s">
        <v>75</v>
      </c>
      <c r="R1942" s="48">
        <f>HEX2DEC(RIGHT(Table13232127535868[[#This Row],[h2]],8))</f>
        <v>0</v>
      </c>
    </row>
    <row r="1943" spans="1:18">
      <c r="A1943" s="15" t="str">
        <f t="shared" si="35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8" t="s">
        <v>75</v>
      </c>
      <c r="P1943" s="48">
        <f>HEX2DEC(RIGHT(Table13232127535868[[#This Row],[h1]],8))</f>
        <v>0</v>
      </c>
      <c r="Q1943" s="48" t="s">
        <v>75</v>
      </c>
      <c r="R1943" s="48">
        <f>HEX2DEC(RIGHT(Table13232127535868[[#This Row],[h2]],8))</f>
        <v>0</v>
      </c>
    </row>
    <row r="1944" spans="1:18">
      <c r="A1944" s="15" t="str">
        <f t="shared" si="35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8" t="s">
        <v>75</v>
      </c>
      <c r="P1944" s="48">
        <f>HEX2DEC(RIGHT(Table13232127535868[[#This Row],[h1]],8))</f>
        <v>0</v>
      </c>
      <c r="Q1944" s="48" t="s">
        <v>75</v>
      </c>
      <c r="R1944" s="48">
        <f>HEX2DEC(RIGHT(Table13232127535868[[#This Row],[h2]],8))</f>
        <v>0</v>
      </c>
    </row>
    <row r="1945" spans="1:18">
      <c r="A1945" s="15" t="str">
        <f t="shared" si="35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8" t="s">
        <v>75</v>
      </c>
      <c r="P1945" s="48">
        <f>HEX2DEC(RIGHT(Table13232127535868[[#This Row],[h1]],8))</f>
        <v>0</v>
      </c>
      <c r="Q1945" s="48" t="s">
        <v>75</v>
      </c>
      <c r="R1945" s="48">
        <f>HEX2DEC(RIGHT(Table13232127535868[[#This Row],[h2]],8))</f>
        <v>0</v>
      </c>
    </row>
    <row r="1946" spans="1:18">
      <c r="A1946" s="15" t="str">
        <f t="shared" si="35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8" t="s">
        <v>75</v>
      </c>
      <c r="P1946" s="48">
        <f>HEX2DEC(RIGHT(Table13232127535868[[#This Row],[h1]],8))</f>
        <v>0</v>
      </c>
      <c r="Q1946" s="48" t="s">
        <v>75</v>
      </c>
      <c r="R1946" s="48">
        <f>HEX2DEC(RIGHT(Table13232127535868[[#This Row],[h2]],8))</f>
        <v>0</v>
      </c>
    </row>
    <row r="1947" spans="1:18">
      <c r="A1947" s="15" t="str">
        <f t="shared" si="35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8" t="s">
        <v>75</v>
      </c>
      <c r="P1947" s="48">
        <f>HEX2DEC(RIGHT(Table13232127535868[[#This Row],[h1]],8))</f>
        <v>0</v>
      </c>
      <c r="Q1947" s="48" t="s">
        <v>75</v>
      </c>
      <c r="R1947" s="48">
        <f>HEX2DEC(RIGHT(Table13232127535868[[#This Row],[h2]],8))</f>
        <v>0</v>
      </c>
    </row>
    <row r="1948" spans="1:18">
      <c r="A1948" s="15" t="str">
        <f t="shared" si="35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8" t="s">
        <v>75</v>
      </c>
      <c r="P1948" s="48">
        <f>HEX2DEC(RIGHT(Table13232127535868[[#This Row],[h1]],8))</f>
        <v>0</v>
      </c>
      <c r="Q1948" s="48" t="s">
        <v>75</v>
      </c>
      <c r="R1948" s="48">
        <f>HEX2DEC(RIGHT(Table13232127535868[[#This Row],[h2]],8))</f>
        <v>0</v>
      </c>
    </row>
    <row r="1949" spans="1:18">
      <c r="A1949" s="15" t="str">
        <f t="shared" si="35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8" t="s">
        <v>75</v>
      </c>
      <c r="P1949" s="48">
        <f>HEX2DEC(RIGHT(Table13232127535868[[#This Row],[h1]],8))</f>
        <v>0</v>
      </c>
      <c r="Q1949" s="48" t="s">
        <v>75</v>
      </c>
      <c r="R1949" s="48">
        <f>HEX2DEC(RIGHT(Table13232127535868[[#This Row],[h2]],8))</f>
        <v>0</v>
      </c>
    </row>
    <row r="1950" spans="1:18">
      <c r="A1950" s="15" t="str">
        <f t="shared" si="35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8" t="s">
        <v>75</v>
      </c>
      <c r="P1950" s="48">
        <f>HEX2DEC(RIGHT(Table13232127535868[[#This Row],[h1]],8))</f>
        <v>0</v>
      </c>
      <c r="Q1950" s="48" t="s">
        <v>75</v>
      </c>
      <c r="R1950" s="48">
        <f>HEX2DEC(RIGHT(Table13232127535868[[#This Row],[h2]],8))</f>
        <v>0</v>
      </c>
    </row>
    <row r="1951" spans="1:18">
      <c r="A1951" s="15" t="str">
        <f t="shared" si="35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8" t="s">
        <v>75</v>
      </c>
      <c r="P1951" s="48">
        <f>HEX2DEC(RIGHT(Table13232127535868[[#This Row],[h1]],8))</f>
        <v>0</v>
      </c>
      <c r="Q1951" s="48" t="s">
        <v>75</v>
      </c>
      <c r="R1951" s="48">
        <f>HEX2DEC(RIGHT(Table13232127535868[[#This Row],[h2]],8))</f>
        <v>0</v>
      </c>
    </row>
    <row r="1952" spans="1:18">
      <c r="A1952" s="15" t="str">
        <f t="shared" si="35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8" t="s">
        <v>75</v>
      </c>
      <c r="P1952" s="48">
        <f>HEX2DEC(RIGHT(Table13232127535868[[#This Row],[h1]],8))</f>
        <v>0</v>
      </c>
      <c r="Q1952" s="48" t="s">
        <v>75</v>
      </c>
      <c r="R1952" s="48">
        <f>HEX2DEC(RIGHT(Table13232127535868[[#This Row],[h2]],8))</f>
        <v>0</v>
      </c>
    </row>
    <row r="1953" spans="1:18">
      <c r="A1953" s="15" t="str">
        <f t="shared" si="35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8" t="s">
        <v>75</v>
      </c>
      <c r="P1953" s="48">
        <f>HEX2DEC(RIGHT(Table13232127535868[[#This Row],[h1]],8))</f>
        <v>0</v>
      </c>
      <c r="Q1953" s="48" t="s">
        <v>75</v>
      </c>
      <c r="R1953" s="48">
        <f>HEX2DEC(RIGHT(Table13232127535868[[#This Row],[h2]],8))</f>
        <v>0</v>
      </c>
    </row>
    <row r="1954" spans="1:18">
      <c r="A1954" s="15" t="str">
        <f t="shared" si="35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8" t="s">
        <v>75</v>
      </c>
      <c r="P1954" s="48">
        <f>HEX2DEC(RIGHT(Table13232127535868[[#This Row],[h1]],8))</f>
        <v>0</v>
      </c>
      <c r="Q1954" s="48" t="s">
        <v>75</v>
      </c>
      <c r="R1954" s="48">
        <f>HEX2DEC(RIGHT(Table13232127535868[[#This Row],[h2]],8))</f>
        <v>0</v>
      </c>
    </row>
    <row r="1955" spans="1:18">
      <c r="A1955" s="15" t="str">
        <f t="shared" si="35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8" t="s">
        <v>75</v>
      </c>
      <c r="P1955" s="48">
        <f>HEX2DEC(RIGHT(Table13232127535868[[#This Row],[h1]],8))</f>
        <v>0</v>
      </c>
      <c r="Q1955" s="48" t="s">
        <v>75</v>
      </c>
      <c r="R1955" s="48">
        <f>HEX2DEC(RIGHT(Table13232127535868[[#This Row],[h2]],8))</f>
        <v>0</v>
      </c>
    </row>
    <row r="1956" spans="1:18">
      <c r="A1956" s="15" t="str">
        <f t="shared" si="35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8" t="s">
        <v>75</v>
      </c>
      <c r="P1956" s="48">
        <f>HEX2DEC(RIGHT(Table13232127535868[[#This Row],[h1]],8))</f>
        <v>0</v>
      </c>
      <c r="Q1956" s="48" t="s">
        <v>75</v>
      </c>
      <c r="R1956" s="48">
        <f>HEX2DEC(RIGHT(Table13232127535868[[#This Row],[h2]],8))</f>
        <v>0</v>
      </c>
    </row>
    <row r="1957" spans="1:18">
      <c r="A1957" s="15" t="str">
        <f t="shared" si="35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8" t="s">
        <v>75</v>
      </c>
      <c r="P1957" s="48">
        <f>HEX2DEC(RIGHT(Table13232127535868[[#This Row],[h1]],8))</f>
        <v>0</v>
      </c>
      <c r="Q1957" s="48" t="s">
        <v>75</v>
      </c>
      <c r="R1957" s="48">
        <f>HEX2DEC(RIGHT(Table13232127535868[[#This Row],[h2]],8))</f>
        <v>0</v>
      </c>
    </row>
    <row r="1958" spans="1:18">
      <c r="A1958" s="15" t="str">
        <f t="shared" si="35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8" t="s">
        <v>75</v>
      </c>
      <c r="P1958" s="48">
        <f>HEX2DEC(RIGHT(Table13232127535868[[#This Row],[h1]],8))</f>
        <v>0</v>
      </c>
      <c r="Q1958" s="48" t="s">
        <v>75</v>
      </c>
      <c r="R1958" s="48">
        <f>HEX2DEC(RIGHT(Table13232127535868[[#This Row],[h2]],8))</f>
        <v>0</v>
      </c>
    </row>
    <row r="1959" spans="1:18">
      <c r="A1959" s="15" t="str">
        <f t="shared" si="35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8" t="s">
        <v>75</v>
      </c>
      <c r="P1959" s="48">
        <f>HEX2DEC(RIGHT(Table13232127535868[[#This Row],[h1]],8))</f>
        <v>0</v>
      </c>
      <c r="Q1959" s="48" t="s">
        <v>75</v>
      </c>
      <c r="R1959" s="48">
        <f>HEX2DEC(RIGHT(Table13232127535868[[#This Row],[h2]],8))</f>
        <v>0</v>
      </c>
    </row>
    <row r="1960" spans="1:18">
      <c r="A1960" s="15" t="str">
        <f t="shared" si="35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8" t="s">
        <v>75</v>
      </c>
      <c r="P1960" s="48">
        <f>HEX2DEC(RIGHT(Table13232127535868[[#This Row],[h1]],8))</f>
        <v>0</v>
      </c>
      <c r="Q1960" s="48" t="s">
        <v>75</v>
      </c>
      <c r="R1960" s="48">
        <f>HEX2DEC(RIGHT(Table13232127535868[[#This Row],[h2]],8))</f>
        <v>0</v>
      </c>
    </row>
    <row r="1961" spans="1:18">
      <c r="A1961" s="15" t="str">
        <f t="shared" si="35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8" t="s">
        <v>75</v>
      </c>
      <c r="P1961" s="48">
        <f>HEX2DEC(RIGHT(Table13232127535868[[#This Row],[h1]],8))</f>
        <v>0</v>
      </c>
      <c r="Q1961" s="48" t="s">
        <v>75</v>
      </c>
      <c r="R1961" s="48">
        <f>HEX2DEC(RIGHT(Table13232127535868[[#This Row],[h2]],8))</f>
        <v>0</v>
      </c>
    </row>
    <row r="1962" spans="1:18">
      <c r="A1962" s="15" t="str">
        <f t="shared" si="35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8" t="s">
        <v>75</v>
      </c>
      <c r="P1962" s="48">
        <f>HEX2DEC(RIGHT(Table13232127535868[[#This Row],[h1]],8))</f>
        <v>0</v>
      </c>
      <c r="Q1962" s="48" t="s">
        <v>75</v>
      </c>
      <c r="R1962" s="48">
        <f>HEX2DEC(RIGHT(Table13232127535868[[#This Row],[h2]],8))</f>
        <v>0</v>
      </c>
    </row>
    <row r="1963" spans="1:18">
      <c r="A1963" s="15" t="str">
        <f t="shared" si="35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8" t="s">
        <v>75</v>
      </c>
      <c r="P1963" s="48">
        <f>HEX2DEC(RIGHT(Table13232127535868[[#This Row],[h1]],8))</f>
        <v>0</v>
      </c>
      <c r="Q1963" s="48" t="s">
        <v>75</v>
      </c>
      <c r="R1963" s="48">
        <f>HEX2DEC(RIGHT(Table13232127535868[[#This Row],[h2]],8))</f>
        <v>0</v>
      </c>
    </row>
    <row r="1964" spans="1:18">
      <c r="A1964" s="15" t="str">
        <f t="shared" si="35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8" t="s">
        <v>75</v>
      </c>
      <c r="P1964" s="48">
        <f>HEX2DEC(RIGHT(Table13232127535868[[#This Row],[h1]],8))</f>
        <v>0</v>
      </c>
      <c r="Q1964" s="48" t="s">
        <v>75</v>
      </c>
      <c r="R1964" s="48">
        <f>HEX2DEC(RIGHT(Table13232127535868[[#This Row],[h2]],8))</f>
        <v>0</v>
      </c>
    </row>
    <row r="1965" spans="1:18">
      <c r="A1965" s="15" t="str">
        <f t="shared" si="35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8" t="s">
        <v>75</v>
      </c>
      <c r="P1965" s="48">
        <f>HEX2DEC(RIGHT(Table13232127535868[[#This Row],[h1]],8))</f>
        <v>0</v>
      </c>
      <c r="Q1965" s="48" t="s">
        <v>75</v>
      </c>
      <c r="R1965" s="48">
        <f>HEX2DEC(RIGHT(Table13232127535868[[#This Row],[h2]],8))</f>
        <v>0</v>
      </c>
    </row>
    <row r="1966" spans="1:18">
      <c r="A1966" s="15" t="str">
        <f t="shared" si="35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8" t="s">
        <v>75</v>
      </c>
      <c r="P1966" s="48">
        <f>HEX2DEC(RIGHT(Table13232127535868[[#This Row],[h1]],8))</f>
        <v>0</v>
      </c>
      <c r="Q1966" s="48" t="s">
        <v>75</v>
      </c>
      <c r="R1966" s="48">
        <f>HEX2DEC(RIGHT(Table13232127535868[[#This Row],[h2]],8))</f>
        <v>0</v>
      </c>
    </row>
    <row r="1967" spans="1:18">
      <c r="A1967" s="15" t="str">
        <f t="shared" si="35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8" t="s">
        <v>75</v>
      </c>
      <c r="P1967" s="48">
        <f>HEX2DEC(RIGHT(Table13232127535868[[#This Row],[h1]],8))</f>
        <v>0</v>
      </c>
      <c r="Q1967" s="48" t="s">
        <v>75</v>
      </c>
      <c r="R1967" s="48">
        <f>HEX2DEC(RIGHT(Table13232127535868[[#This Row],[h2]],8))</f>
        <v>0</v>
      </c>
    </row>
    <row r="1968" spans="1:18">
      <c r="A1968" s="15" t="str">
        <f t="shared" si="35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8" t="s">
        <v>75</v>
      </c>
      <c r="P1968" s="48">
        <f>HEX2DEC(RIGHT(Table13232127535868[[#This Row],[h1]],8))</f>
        <v>0</v>
      </c>
      <c r="Q1968" s="48" t="s">
        <v>75</v>
      </c>
      <c r="R1968" s="48">
        <f>HEX2DEC(RIGHT(Table13232127535868[[#This Row],[h2]],8))</f>
        <v>0</v>
      </c>
    </row>
    <row r="1969" spans="1:18">
      <c r="A1969" s="15" t="str">
        <f t="shared" si="35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8" t="s">
        <v>75</v>
      </c>
      <c r="P1969" s="48">
        <f>HEX2DEC(RIGHT(Table13232127535868[[#This Row],[h1]],8))</f>
        <v>0</v>
      </c>
      <c r="Q1969" s="48" t="s">
        <v>75</v>
      </c>
      <c r="R1969" s="48">
        <f>HEX2DEC(RIGHT(Table13232127535868[[#This Row],[h2]],8))</f>
        <v>0</v>
      </c>
    </row>
    <row r="1970" spans="1:18">
      <c r="A1970" s="15" t="str">
        <f t="shared" si="35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8" t="s">
        <v>75</v>
      </c>
      <c r="P1970" s="48">
        <f>HEX2DEC(RIGHT(Table13232127535868[[#This Row],[h1]],8))</f>
        <v>0</v>
      </c>
      <c r="Q1970" s="48" t="s">
        <v>75</v>
      </c>
      <c r="R1970" s="48">
        <f>HEX2DEC(RIGHT(Table13232127535868[[#This Row],[h2]],8))</f>
        <v>0</v>
      </c>
    </row>
    <row r="1971" spans="1:18">
      <c r="A1971" s="15" t="str">
        <f t="shared" si="35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8" t="s">
        <v>75</v>
      </c>
      <c r="P1971" s="48">
        <f>HEX2DEC(RIGHT(Table13232127535868[[#This Row],[h1]],8))</f>
        <v>0</v>
      </c>
      <c r="Q1971" s="48" t="s">
        <v>75</v>
      </c>
      <c r="R1971" s="48">
        <f>HEX2DEC(RIGHT(Table13232127535868[[#This Row],[h2]],8))</f>
        <v>0</v>
      </c>
    </row>
    <row r="1972" spans="1:18">
      <c r="A1972" s="15" t="str">
        <f t="shared" si="35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8" t="s">
        <v>75</v>
      </c>
      <c r="P1972" s="48">
        <f>HEX2DEC(RIGHT(Table13232127535868[[#This Row],[h1]],8))</f>
        <v>0</v>
      </c>
      <c r="Q1972" s="48" t="s">
        <v>75</v>
      </c>
      <c r="R1972" s="48">
        <f>HEX2DEC(RIGHT(Table13232127535868[[#This Row],[h2]],8))</f>
        <v>0</v>
      </c>
    </row>
    <row r="1973" spans="1:18">
      <c r="A1973" s="15" t="str">
        <f t="shared" si="35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8" t="s">
        <v>75</v>
      </c>
      <c r="P1973" s="48">
        <f>HEX2DEC(RIGHT(Table13232127535868[[#This Row],[h1]],8))</f>
        <v>0</v>
      </c>
      <c r="Q1973" s="48" t="s">
        <v>75</v>
      </c>
      <c r="R1973" s="48">
        <f>HEX2DEC(RIGHT(Table13232127535868[[#This Row],[h2]],8))</f>
        <v>0</v>
      </c>
    </row>
    <row r="1974" spans="1:18">
      <c r="A1974" s="15" t="str">
        <f t="shared" si="35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8" t="s">
        <v>75</v>
      </c>
      <c r="P1974" s="48">
        <f>HEX2DEC(RIGHT(Table13232127535868[[#This Row],[h1]],8))</f>
        <v>0</v>
      </c>
      <c r="Q1974" s="48" t="s">
        <v>75</v>
      </c>
      <c r="R1974" s="48">
        <f>HEX2DEC(RIGHT(Table13232127535868[[#This Row],[h2]],8))</f>
        <v>0</v>
      </c>
    </row>
    <row r="1975" spans="1:18">
      <c r="A1975" s="15" t="str">
        <f t="shared" si="35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8" t="s">
        <v>75</v>
      </c>
      <c r="P1975" s="48">
        <f>HEX2DEC(RIGHT(Table13232127535868[[#This Row],[h1]],8))</f>
        <v>0</v>
      </c>
      <c r="Q1975" s="48" t="s">
        <v>75</v>
      </c>
      <c r="R1975" s="48">
        <f>HEX2DEC(RIGHT(Table13232127535868[[#This Row],[h2]],8))</f>
        <v>0</v>
      </c>
    </row>
    <row r="1976" spans="1:18">
      <c r="A1976" s="15" t="str">
        <f t="shared" si="35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8" t="s">
        <v>75</v>
      </c>
      <c r="P1976" s="48">
        <f>HEX2DEC(RIGHT(Table13232127535868[[#This Row],[h1]],8))</f>
        <v>0</v>
      </c>
      <c r="Q1976" s="48" t="s">
        <v>75</v>
      </c>
      <c r="R1976" s="48">
        <f>HEX2DEC(RIGHT(Table13232127535868[[#This Row],[h2]],8))</f>
        <v>0</v>
      </c>
    </row>
    <row r="1977" spans="1:18">
      <c r="A1977" s="15" t="str">
        <f t="shared" si="35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8" t="s">
        <v>75</v>
      </c>
      <c r="P1977" s="48">
        <f>HEX2DEC(RIGHT(Table13232127535868[[#This Row],[h1]],8))</f>
        <v>0</v>
      </c>
      <c r="Q1977" s="48" t="s">
        <v>75</v>
      </c>
      <c r="R1977" s="48">
        <f>HEX2DEC(RIGHT(Table13232127535868[[#This Row],[h2]],8))</f>
        <v>0</v>
      </c>
    </row>
    <row r="1978" spans="1:18">
      <c r="A1978" s="15" t="str">
        <f t="shared" si="35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8" t="s">
        <v>75</v>
      </c>
      <c r="P1978" s="48">
        <f>HEX2DEC(RIGHT(Table13232127535868[[#This Row],[h1]],8))</f>
        <v>0</v>
      </c>
      <c r="Q1978" s="48" t="s">
        <v>75</v>
      </c>
      <c r="R1978" s="48">
        <f>HEX2DEC(RIGHT(Table13232127535868[[#This Row],[h2]],8))</f>
        <v>0</v>
      </c>
    </row>
    <row r="1979" spans="1:18">
      <c r="A1979" s="15" t="str">
        <f t="shared" si="35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8" t="s">
        <v>75</v>
      </c>
      <c r="P1979" s="48">
        <f>HEX2DEC(RIGHT(Table13232127535868[[#This Row],[h1]],8))</f>
        <v>0</v>
      </c>
      <c r="Q1979" s="48" t="s">
        <v>75</v>
      </c>
      <c r="R1979" s="48">
        <f>HEX2DEC(RIGHT(Table13232127535868[[#This Row],[h2]],8))</f>
        <v>0</v>
      </c>
    </row>
    <row r="1980" spans="1:18">
      <c r="A1980" s="15" t="str">
        <f t="shared" si="35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8" t="s">
        <v>75</v>
      </c>
      <c r="P1980" s="48">
        <f>HEX2DEC(RIGHT(Table13232127535868[[#This Row],[h1]],8))</f>
        <v>0</v>
      </c>
      <c r="Q1980" s="48" t="s">
        <v>75</v>
      </c>
      <c r="R1980" s="48">
        <f>HEX2DEC(RIGHT(Table13232127535868[[#This Row],[h2]],8))</f>
        <v>0</v>
      </c>
    </row>
    <row r="1981" spans="1:18">
      <c r="A1981" s="15" t="str">
        <f t="shared" si="35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8" t="s">
        <v>75</v>
      </c>
      <c r="P1981" s="48">
        <f>HEX2DEC(RIGHT(Table13232127535868[[#This Row],[h1]],8))</f>
        <v>0</v>
      </c>
      <c r="Q1981" s="48" t="s">
        <v>75</v>
      </c>
      <c r="R1981" s="48">
        <f>HEX2DEC(RIGHT(Table13232127535868[[#This Row],[h2]],8))</f>
        <v>0</v>
      </c>
    </row>
    <row r="1982" spans="1:18">
      <c r="A1982" s="15" t="str">
        <f t="shared" si="35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8" t="s">
        <v>75</v>
      </c>
      <c r="P1982" s="48">
        <f>HEX2DEC(RIGHT(Table13232127535868[[#This Row],[h1]],8))</f>
        <v>0</v>
      </c>
      <c r="Q1982" s="48" t="s">
        <v>75</v>
      </c>
      <c r="R1982" s="48">
        <f>HEX2DEC(RIGHT(Table13232127535868[[#This Row],[h2]],8))</f>
        <v>0</v>
      </c>
    </row>
    <row r="1983" spans="1:18">
      <c r="A1983" s="15" t="str">
        <f t="shared" si="35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8" t="s">
        <v>75</v>
      </c>
      <c r="P1983" s="48">
        <f>HEX2DEC(RIGHT(Table13232127535868[[#This Row],[h1]],8))</f>
        <v>0</v>
      </c>
      <c r="Q1983" s="48" t="s">
        <v>75</v>
      </c>
      <c r="R1983" s="48">
        <f>HEX2DEC(RIGHT(Table13232127535868[[#This Row],[h2]],8))</f>
        <v>0</v>
      </c>
    </row>
    <row r="1984" spans="1:18">
      <c r="A1984" s="15" t="str">
        <f t="shared" si="35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8" t="s">
        <v>75</v>
      </c>
      <c r="P1984" s="48">
        <f>HEX2DEC(RIGHT(Table13232127535868[[#This Row],[h1]],8))</f>
        <v>0</v>
      </c>
      <c r="Q1984" s="48" t="s">
        <v>75</v>
      </c>
      <c r="R1984" s="48">
        <f>HEX2DEC(RIGHT(Table13232127535868[[#This Row],[h2]],8))</f>
        <v>0</v>
      </c>
    </row>
    <row r="1985" spans="1:18">
      <c r="A1985" s="15" t="str">
        <f t="shared" si="35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8" t="s">
        <v>75</v>
      </c>
      <c r="P1985" s="48">
        <f>HEX2DEC(RIGHT(Table13232127535868[[#This Row],[h1]],8))</f>
        <v>0</v>
      </c>
      <c r="Q1985" s="48" t="s">
        <v>75</v>
      </c>
      <c r="R1985" s="48">
        <f>HEX2DEC(RIGHT(Table13232127535868[[#This Row],[h2]],8))</f>
        <v>0</v>
      </c>
    </row>
    <row r="1986" spans="1:18">
      <c r="A1986" s="15" t="str">
        <f t="shared" si="35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8" t="s">
        <v>75</v>
      </c>
      <c r="P1986" s="48">
        <f>HEX2DEC(RIGHT(Table13232127535868[[#This Row],[h1]],8))</f>
        <v>0</v>
      </c>
      <c r="Q1986" s="48" t="s">
        <v>75</v>
      </c>
      <c r="R1986" s="48">
        <f>HEX2DEC(RIGHT(Table13232127535868[[#This Row],[h2]],8))</f>
        <v>0</v>
      </c>
    </row>
    <row r="1987" spans="1:18">
      <c r="A1987" s="15" t="str">
        <f t="shared" si="35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8" t="s">
        <v>75</v>
      </c>
      <c r="P1987" s="48">
        <f>HEX2DEC(RIGHT(Table13232127535868[[#This Row],[h1]],8))</f>
        <v>0</v>
      </c>
      <c r="Q1987" s="48" t="s">
        <v>75</v>
      </c>
      <c r="R1987" s="48">
        <f>HEX2DEC(RIGHT(Table13232127535868[[#This Row],[h2]],8))</f>
        <v>0</v>
      </c>
    </row>
    <row r="1988" spans="1:18">
      <c r="A1988" s="15" t="str">
        <f t="shared" si="35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8" t="s">
        <v>75</v>
      </c>
      <c r="P1988" s="48">
        <f>HEX2DEC(RIGHT(Table13232127535868[[#This Row],[h1]],8))</f>
        <v>0</v>
      </c>
      <c r="Q1988" s="48" t="s">
        <v>75</v>
      </c>
      <c r="R1988" s="48">
        <f>HEX2DEC(RIGHT(Table13232127535868[[#This Row],[h2]],8))</f>
        <v>0</v>
      </c>
    </row>
    <row r="1989" spans="1:18">
      <c r="A1989" s="15" t="str">
        <f t="shared" si="35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8" t="s">
        <v>75</v>
      </c>
      <c r="P1989" s="48">
        <f>HEX2DEC(RIGHT(Table13232127535868[[#This Row],[h1]],8))</f>
        <v>0</v>
      </c>
      <c r="Q1989" s="48" t="s">
        <v>75</v>
      </c>
      <c r="R1989" s="48">
        <f>HEX2DEC(RIGHT(Table13232127535868[[#This Row],[h2]],8))</f>
        <v>0</v>
      </c>
    </row>
    <row r="1990" spans="1:18">
      <c r="A1990" s="15" t="str">
        <f t="shared" si="35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8" t="s">
        <v>75</v>
      </c>
      <c r="P1990" s="48">
        <f>HEX2DEC(RIGHT(Table13232127535868[[#This Row],[h1]],8))</f>
        <v>0</v>
      </c>
      <c r="Q1990" s="48" t="s">
        <v>75</v>
      </c>
      <c r="R1990" s="48">
        <f>HEX2DEC(RIGHT(Table13232127535868[[#This Row],[h2]],8))</f>
        <v>0</v>
      </c>
    </row>
    <row r="1991" spans="1:18">
      <c r="A1991" s="15" t="str">
        <f t="shared" si="35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8" t="s">
        <v>75</v>
      </c>
      <c r="P1991" s="48">
        <f>HEX2DEC(RIGHT(Table13232127535868[[#This Row],[h1]],8))</f>
        <v>0</v>
      </c>
      <c r="Q1991" s="48" t="s">
        <v>75</v>
      </c>
      <c r="R1991" s="48">
        <f>HEX2DEC(RIGHT(Table13232127535868[[#This Row],[h2]],8))</f>
        <v>0</v>
      </c>
    </row>
    <row r="1992" spans="1:18">
      <c r="A1992" s="15" t="str">
        <f t="shared" si="35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8" t="s">
        <v>75</v>
      </c>
      <c r="P1992" s="48">
        <f>HEX2DEC(RIGHT(Table13232127535868[[#This Row],[h1]],8))</f>
        <v>0</v>
      </c>
      <c r="Q1992" s="48" t="s">
        <v>75</v>
      </c>
      <c r="R1992" s="48">
        <f>HEX2DEC(RIGHT(Table13232127535868[[#This Row],[h2]],8))</f>
        <v>0</v>
      </c>
    </row>
    <row r="1993" spans="1:18">
      <c r="A1993" s="15" t="str">
        <f t="shared" si="35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8" t="s">
        <v>75</v>
      </c>
      <c r="P1993" s="48">
        <f>HEX2DEC(RIGHT(Table13232127535868[[#This Row],[h1]],8))</f>
        <v>0</v>
      </c>
      <c r="Q1993" s="48" t="s">
        <v>75</v>
      </c>
      <c r="R1993" s="48">
        <f>HEX2DEC(RIGHT(Table13232127535868[[#This Row],[h2]],8))</f>
        <v>0</v>
      </c>
    </row>
    <row r="1994" spans="1:18">
      <c r="A1994" s="15" t="str">
        <f t="shared" si="35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8" t="s">
        <v>75</v>
      </c>
      <c r="P1994" s="48">
        <f>HEX2DEC(RIGHT(Table13232127535868[[#This Row],[h1]],8))</f>
        <v>0</v>
      </c>
      <c r="Q1994" s="48" t="s">
        <v>75</v>
      </c>
      <c r="R1994" s="48">
        <f>HEX2DEC(RIGHT(Table13232127535868[[#This Row],[h2]],8))</f>
        <v>0</v>
      </c>
    </row>
    <row r="1995" spans="1:18">
      <c r="A1995" s="15" t="str">
        <f t="shared" ref="A1995:A2057" si="36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8" t="s">
        <v>75</v>
      </c>
      <c r="P1995" s="48">
        <f>HEX2DEC(RIGHT(Table13232127535868[[#This Row],[h1]],8))</f>
        <v>0</v>
      </c>
      <c r="Q1995" s="48" t="s">
        <v>75</v>
      </c>
      <c r="R1995" s="48">
        <f>HEX2DEC(RIGHT(Table13232127535868[[#This Row],[h2]],8))</f>
        <v>0</v>
      </c>
    </row>
    <row r="1996" spans="1:18">
      <c r="A1996" s="15" t="str">
        <f t="shared" si="36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8" t="s">
        <v>75</v>
      </c>
      <c r="P1996" s="48">
        <f>HEX2DEC(RIGHT(Table13232127535868[[#This Row],[h1]],8))</f>
        <v>0</v>
      </c>
      <c r="Q1996" s="48" t="s">
        <v>75</v>
      </c>
      <c r="R1996" s="48">
        <f>HEX2DEC(RIGHT(Table13232127535868[[#This Row],[h2]],8))</f>
        <v>0</v>
      </c>
    </row>
    <row r="1997" spans="1:18">
      <c r="A1997" s="15" t="str">
        <f t="shared" si="36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8" t="s">
        <v>75</v>
      </c>
      <c r="P1997" s="48">
        <f>HEX2DEC(RIGHT(Table13232127535868[[#This Row],[h1]],8))</f>
        <v>0</v>
      </c>
      <c r="Q1997" s="48" t="s">
        <v>75</v>
      </c>
      <c r="R1997" s="48">
        <f>HEX2DEC(RIGHT(Table13232127535868[[#This Row],[h2]],8))</f>
        <v>0</v>
      </c>
    </row>
    <row r="1998" spans="1:18">
      <c r="A1998" s="15" t="str">
        <f t="shared" si="36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8" t="s">
        <v>75</v>
      </c>
      <c r="P1998" s="48">
        <f>HEX2DEC(RIGHT(Table13232127535868[[#This Row],[h1]],8))</f>
        <v>0</v>
      </c>
      <c r="Q1998" s="48" t="s">
        <v>75</v>
      </c>
      <c r="R1998" s="48">
        <f>HEX2DEC(RIGHT(Table13232127535868[[#This Row],[h2]],8))</f>
        <v>0</v>
      </c>
    </row>
    <row r="1999" spans="1:18">
      <c r="A1999" s="15" t="str">
        <f t="shared" si="36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8" t="s">
        <v>75</v>
      </c>
      <c r="P1999" s="48">
        <f>HEX2DEC(RIGHT(Table13232127535868[[#This Row],[h1]],8))</f>
        <v>0</v>
      </c>
      <c r="Q1999" s="48" t="s">
        <v>75</v>
      </c>
      <c r="R1999" s="48">
        <f>HEX2DEC(RIGHT(Table13232127535868[[#This Row],[h2]],8))</f>
        <v>0</v>
      </c>
    </row>
    <row r="2000" spans="1:18">
      <c r="A2000" s="15" t="str">
        <f t="shared" si="36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8" t="s">
        <v>75</v>
      </c>
      <c r="P2000" s="48">
        <f>HEX2DEC(RIGHT(Table13232127535868[[#This Row],[h1]],8))</f>
        <v>0</v>
      </c>
      <c r="Q2000" s="48" t="s">
        <v>75</v>
      </c>
      <c r="R2000" s="48">
        <f>HEX2DEC(RIGHT(Table13232127535868[[#This Row],[h2]],8))</f>
        <v>0</v>
      </c>
    </row>
    <row r="2001" spans="1:18">
      <c r="A2001" s="15" t="str">
        <f t="shared" si="36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8" t="s">
        <v>75</v>
      </c>
      <c r="P2001" s="48">
        <f>HEX2DEC(RIGHT(Table13232127535868[[#This Row],[h1]],8))</f>
        <v>0</v>
      </c>
      <c r="Q2001" s="48" t="s">
        <v>75</v>
      </c>
      <c r="R2001" s="48">
        <f>HEX2DEC(RIGHT(Table13232127535868[[#This Row],[h2]],8))</f>
        <v>0</v>
      </c>
    </row>
    <row r="2002" spans="1:18">
      <c r="A2002" s="15" t="str">
        <f t="shared" si="36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8" t="s">
        <v>75</v>
      </c>
      <c r="P2002" s="48">
        <f>HEX2DEC(RIGHT(Table13232127535868[[#This Row],[h1]],8))</f>
        <v>0</v>
      </c>
      <c r="Q2002" s="48" t="s">
        <v>75</v>
      </c>
      <c r="R2002" s="48">
        <f>HEX2DEC(RIGHT(Table13232127535868[[#This Row],[h2]],8))</f>
        <v>0</v>
      </c>
    </row>
    <row r="2003" spans="1:18">
      <c r="A2003" s="15" t="str">
        <f t="shared" si="36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8" t="s">
        <v>75</v>
      </c>
      <c r="P2003" s="48">
        <f>HEX2DEC(RIGHT(Table13232127535868[[#This Row],[h1]],8))</f>
        <v>0</v>
      </c>
      <c r="Q2003" s="48" t="s">
        <v>75</v>
      </c>
      <c r="R2003" s="48">
        <f>HEX2DEC(RIGHT(Table13232127535868[[#This Row],[h2]],8))</f>
        <v>0</v>
      </c>
    </row>
    <row r="2004" spans="1:18">
      <c r="A2004" s="15" t="str">
        <f t="shared" si="36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8" t="s">
        <v>75</v>
      </c>
      <c r="P2004" s="48">
        <f>HEX2DEC(RIGHT(Table13232127535868[[#This Row],[h1]],8))</f>
        <v>0</v>
      </c>
      <c r="Q2004" s="48" t="s">
        <v>75</v>
      </c>
      <c r="R2004" s="48">
        <f>HEX2DEC(RIGHT(Table13232127535868[[#This Row],[h2]],8))</f>
        <v>0</v>
      </c>
    </row>
    <row r="2005" spans="1:18">
      <c r="A2005" s="15" t="str">
        <f t="shared" si="36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8" t="s">
        <v>75</v>
      </c>
      <c r="P2005" s="48">
        <f>HEX2DEC(RIGHT(Table13232127535868[[#This Row],[h1]],8))</f>
        <v>0</v>
      </c>
      <c r="Q2005" s="48" t="s">
        <v>75</v>
      </c>
      <c r="R2005" s="48">
        <f>HEX2DEC(RIGHT(Table13232127535868[[#This Row],[h2]],8))</f>
        <v>0</v>
      </c>
    </row>
    <row r="2006" spans="1:18">
      <c r="A2006" s="15" t="str">
        <f t="shared" si="36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8" t="s">
        <v>75</v>
      </c>
      <c r="P2006" s="48">
        <f>HEX2DEC(RIGHT(Table13232127535868[[#This Row],[h1]],8))</f>
        <v>0</v>
      </c>
      <c r="Q2006" s="48" t="s">
        <v>75</v>
      </c>
      <c r="R2006" s="48">
        <f>HEX2DEC(RIGHT(Table13232127535868[[#This Row],[h2]],8))</f>
        <v>0</v>
      </c>
    </row>
    <row r="2007" spans="1:18">
      <c r="A2007" s="15" t="str">
        <f t="shared" si="36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8" t="s">
        <v>75</v>
      </c>
      <c r="P2007" s="48">
        <f>HEX2DEC(RIGHT(Table13232127535868[[#This Row],[h1]],8))</f>
        <v>0</v>
      </c>
      <c r="Q2007" s="48" t="s">
        <v>75</v>
      </c>
      <c r="R2007" s="48">
        <f>HEX2DEC(RIGHT(Table13232127535868[[#This Row],[h2]],8))</f>
        <v>0</v>
      </c>
    </row>
    <row r="2008" spans="1:18">
      <c r="A2008" s="15" t="str">
        <f t="shared" si="36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8" t="s">
        <v>75</v>
      </c>
      <c r="P2008" s="48">
        <f>HEX2DEC(RIGHT(Table13232127535868[[#This Row],[h1]],8))</f>
        <v>0</v>
      </c>
      <c r="Q2008" s="48" t="s">
        <v>75</v>
      </c>
      <c r="R2008" s="48">
        <f>HEX2DEC(RIGHT(Table13232127535868[[#This Row],[h2]],8))</f>
        <v>0</v>
      </c>
    </row>
    <row r="2009" spans="1:18">
      <c r="A2009" s="15" t="str">
        <f t="shared" si="36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8" t="s">
        <v>75</v>
      </c>
      <c r="P2009" s="48">
        <f>HEX2DEC(RIGHT(Table13232127535868[[#This Row],[h1]],8))</f>
        <v>0</v>
      </c>
      <c r="Q2009" s="48" t="s">
        <v>75</v>
      </c>
      <c r="R2009" s="48">
        <f>HEX2DEC(RIGHT(Table13232127535868[[#This Row],[h2]],8))</f>
        <v>0</v>
      </c>
    </row>
    <row r="2010" spans="1:18">
      <c r="A2010" s="15" t="str">
        <f t="shared" si="36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8" t="s">
        <v>75</v>
      </c>
      <c r="P2010" s="48">
        <f>HEX2DEC(RIGHT(Table13232127535868[[#This Row],[h1]],8))</f>
        <v>0</v>
      </c>
      <c r="Q2010" s="48" t="s">
        <v>75</v>
      </c>
      <c r="R2010" s="48">
        <f>HEX2DEC(RIGHT(Table13232127535868[[#This Row],[h2]],8))</f>
        <v>0</v>
      </c>
    </row>
    <row r="2011" spans="1:18">
      <c r="A2011" s="15" t="str">
        <f t="shared" si="36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8" t="s">
        <v>75</v>
      </c>
      <c r="P2011" s="48">
        <f>HEX2DEC(RIGHT(Table13232127535868[[#This Row],[h1]],8))</f>
        <v>0</v>
      </c>
      <c r="Q2011" s="48" t="s">
        <v>75</v>
      </c>
      <c r="R2011" s="48">
        <f>HEX2DEC(RIGHT(Table13232127535868[[#This Row],[h2]],8))</f>
        <v>0</v>
      </c>
    </row>
    <row r="2012" spans="1:18">
      <c r="A2012" s="15" t="str">
        <f t="shared" si="36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8" t="s">
        <v>75</v>
      </c>
      <c r="P2012" s="48">
        <f>HEX2DEC(RIGHT(Table13232127535868[[#This Row],[h1]],8))</f>
        <v>0</v>
      </c>
      <c r="Q2012" s="48" t="s">
        <v>75</v>
      </c>
      <c r="R2012" s="48">
        <f>HEX2DEC(RIGHT(Table13232127535868[[#This Row],[h2]],8))</f>
        <v>0</v>
      </c>
    </row>
    <row r="2013" spans="1:18">
      <c r="A2013" s="15" t="str">
        <f t="shared" si="36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8" t="s">
        <v>75</v>
      </c>
      <c r="P2013" s="48">
        <f>HEX2DEC(RIGHT(Table13232127535868[[#This Row],[h1]],8))</f>
        <v>0</v>
      </c>
      <c r="Q2013" s="48" t="s">
        <v>75</v>
      </c>
      <c r="R2013" s="48">
        <f>HEX2DEC(RIGHT(Table13232127535868[[#This Row],[h2]],8))</f>
        <v>0</v>
      </c>
    </row>
    <row r="2014" spans="1:18">
      <c r="A2014" s="15" t="str">
        <f t="shared" si="36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8" t="s">
        <v>75</v>
      </c>
      <c r="P2014" s="48">
        <f>HEX2DEC(RIGHT(Table13232127535868[[#This Row],[h1]],8))</f>
        <v>0</v>
      </c>
      <c r="Q2014" s="48" t="s">
        <v>75</v>
      </c>
      <c r="R2014" s="48">
        <f>HEX2DEC(RIGHT(Table13232127535868[[#This Row],[h2]],8))</f>
        <v>0</v>
      </c>
    </row>
    <row r="2015" spans="1:18">
      <c r="A2015" s="15" t="str">
        <f t="shared" si="36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8" t="s">
        <v>75</v>
      </c>
      <c r="P2015" s="48">
        <f>HEX2DEC(RIGHT(Table13232127535868[[#This Row],[h1]],8))</f>
        <v>0</v>
      </c>
      <c r="Q2015" s="48" t="s">
        <v>75</v>
      </c>
      <c r="R2015" s="48">
        <f>HEX2DEC(RIGHT(Table13232127535868[[#This Row],[h2]],8))</f>
        <v>0</v>
      </c>
    </row>
    <row r="2016" spans="1:18">
      <c r="A2016" s="15" t="str">
        <f t="shared" si="36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8" t="s">
        <v>75</v>
      </c>
      <c r="P2016" s="48">
        <f>HEX2DEC(RIGHT(Table13232127535868[[#This Row],[h1]],8))</f>
        <v>0</v>
      </c>
      <c r="Q2016" s="48" t="s">
        <v>75</v>
      </c>
      <c r="R2016" s="48">
        <f>HEX2DEC(RIGHT(Table13232127535868[[#This Row],[h2]],8))</f>
        <v>0</v>
      </c>
    </row>
    <row r="2017" spans="1:18">
      <c r="A2017" s="15" t="str">
        <f t="shared" si="36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8" t="s">
        <v>75</v>
      </c>
      <c r="P2017" s="48">
        <f>HEX2DEC(RIGHT(Table13232127535868[[#This Row],[h1]],8))</f>
        <v>0</v>
      </c>
      <c r="Q2017" s="48" t="s">
        <v>75</v>
      </c>
      <c r="R2017" s="48">
        <f>HEX2DEC(RIGHT(Table13232127535868[[#This Row],[h2]],8))</f>
        <v>0</v>
      </c>
    </row>
    <row r="2018" spans="1:18">
      <c r="A2018" s="15" t="str">
        <f t="shared" si="36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8" t="s">
        <v>75</v>
      </c>
      <c r="P2018" s="48">
        <f>HEX2DEC(RIGHT(Table13232127535868[[#This Row],[h1]],8))</f>
        <v>0</v>
      </c>
      <c r="Q2018" s="48" t="s">
        <v>75</v>
      </c>
      <c r="R2018" s="48">
        <f>HEX2DEC(RIGHT(Table13232127535868[[#This Row],[h2]],8))</f>
        <v>0</v>
      </c>
    </row>
    <row r="2019" spans="1:18">
      <c r="A2019" s="15" t="str">
        <f t="shared" si="36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8" t="s">
        <v>75</v>
      </c>
      <c r="P2019" s="48">
        <f>HEX2DEC(RIGHT(Table13232127535868[[#This Row],[h1]],8))</f>
        <v>0</v>
      </c>
      <c r="Q2019" s="48" t="s">
        <v>75</v>
      </c>
      <c r="R2019" s="48">
        <f>HEX2DEC(RIGHT(Table13232127535868[[#This Row],[h2]],8))</f>
        <v>0</v>
      </c>
    </row>
    <row r="2020" spans="1:18">
      <c r="A2020" s="15" t="str">
        <f t="shared" si="36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8" t="s">
        <v>75</v>
      </c>
      <c r="P2020" s="48">
        <f>HEX2DEC(RIGHT(Table13232127535868[[#This Row],[h1]],8))</f>
        <v>0</v>
      </c>
      <c r="Q2020" s="48" t="s">
        <v>75</v>
      </c>
      <c r="R2020" s="48">
        <f>HEX2DEC(RIGHT(Table13232127535868[[#This Row],[h2]],8))</f>
        <v>0</v>
      </c>
    </row>
    <row r="2021" spans="1:18">
      <c r="A2021" s="15" t="str">
        <f t="shared" si="36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8" t="s">
        <v>75</v>
      </c>
      <c r="P2021" s="48">
        <f>HEX2DEC(RIGHT(Table13232127535868[[#This Row],[h1]],8))</f>
        <v>0</v>
      </c>
      <c r="Q2021" s="48" t="s">
        <v>75</v>
      </c>
      <c r="R2021" s="48">
        <f>HEX2DEC(RIGHT(Table13232127535868[[#This Row],[h2]],8))</f>
        <v>0</v>
      </c>
    </row>
    <row r="2022" spans="1:18">
      <c r="A2022" s="15" t="str">
        <f t="shared" si="36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8" t="s">
        <v>75</v>
      </c>
      <c r="P2022" s="48">
        <f>HEX2DEC(RIGHT(Table13232127535868[[#This Row],[h1]],8))</f>
        <v>0</v>
      </c>
      <c r="Q2022" s="48" t="s">
        <v>75</v>
      </c>
      <c r="R2022" s="48">
        <f>HEX2DEC(RIGHT(Table13232127535868[[#This Row],[h2]],8))</f>
        <v>0</v>
      </c>
    </row>
    <row r="2023" spans="1:18">
      <c r="A2023" s="15" t="str">
        <f t="shared" si="36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8" t="s">
        <v>75</v>
      </c>
      <c r="P2023" s="48">
        <f>HEX2DEC(RIGHT(Table13232127535868[[#This Row],[h1]],8))</f>
        <v>0</v>
      </c>
      <c r="Q2023" s="48" t="s">
        <v>75</v>
      </c>
      <c r="R2023" s="48">
        <f>HEX2DEC(RIGHT(Table13232127535868[[#This Row],[h2]],8))</f>
        <v>0</v>
      </c>
    </row>
    <row r="2024" spans="1:18">
      <c r="A2024" s="15" t="str">
        <f t="shared" si="36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8" t="s">
        <v>75</v>
      </c>
      <c r="P2024" s="48">
        <f>HEX2DEC(RIGHT(Table13232127535868[[#This Row],[h1]],8))</f>
        <v>0</v>
      </c>
      <c r="Q2024" s="48" t="s">
        <v>75</v>
      </c>
      <c r="R2024" s="48">
        <f>HEX2DEC(RIGHT(Table13232127535868[[#This Row],[h2]],8))</f>
        <v>0</v>
      </c>
    </row>
    <row r="2025" spans="1:18">
      <c r="A2025" s="15" t="str">
        <f t="shared" si="36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8" t="s">
        <v>75</v>
      </c>
      <c r="P2025" s="48">
        <f>HEX2DEC(RIGHT(Table13232127535868[[#This Row],[h1]],8))</f>
        <v>0</v>
      </c>
      <c r="Q2025" s="48" t="s">
        <v>75</v>
      </c>
      <c r="R2025" s="48">
        <f>HEX2DEC(RIGHT(Table13232127535868[[#This Row],[h2]],8))</f>
        <v>0</v>
      </c>
    </row>
    <row r="2026" spans="1:18">
      <c r="A2026" s="15" t="str">
        <f t="shared" si="36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8" t="s">
        <v>75</v>
      </c>
      <c r="P2026" s="48">
        <f>HEX2DEC(RIGHT(Table13232127535868[[#This Row],[h1]],8))</f>
        <v>0</v>
      </c>
      <c r="Q2026" s="48" t="s">
        <v>75</v>
      </c>
      <c r="R2026" s="48">
        <f>HEX2DEC(RIGHT(Table13232127535868[[#This Row],[h2]],8))</f>
        <v>0</v>
      </c>
    </row>
    <row r="2027" spans="1:18">
      <c r="A2027" s="15" t="str">
        <f t="shared" si="36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8" t="s">
        <v>75</v>
      </c>
      <c r="P2027" s="48">
        <f>HEX2DEC(RIGHT(Table13232127535868[[#This Row],[h1]],8))</f>
        <v>0</v>
      </c>
      <c r="Q2027" s="48" t="s">
        <v>75</v>
      </c>
      <c r="R2027" s="48">
        <f>HEX2DEC(RIGHT(Table13232127535868[[#This Row],[h2]],8))</f>
        <v>0</v>
      </c>
    </row>
    <row r="2028" spans="1:18">
      <c r="A2028" s="15" t="str">
        <f t="shared" si="36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8" t="s">
        <v>75</v>
      </c>
      <c r="P2028" s="48">
        <f>HEX2DEC(RIGHT(Table13232127535868[[#This Row],[h1]],8))</f>
        <v>0</v>
      </c>
      <c r="Q2028" s="48" t="s">
        <v>75</v>
      </c>
      <c r="R2028" s="48">
        <f>HEX2DEC(RIGHT(Table13232127535868[[#This Row],[h2]],8))</f>
        <v>0</v>
      </c>
    </row>
    <row r="2029" spans="1:18">
      <c r="A2029" s="15" t="str">
        <f t="shared" si="36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8" t="s">
        <v>75</v>
      </c>
      <c r="P2029" s="48">
        <f>HEX2DEC(RIGHT(Table13232127535868[[#This Row],[h1]],8))</f>
        <v>0</v>
      </c>
      <c r="Q2029" s="48" t="s">
        <v>75</v>
      </c>
      <c r="R2029" s="48">
        <f>HEX2DEC(RIGHT(Table13232127535868[[#This Row],[h2]],8))</f>
        <v>0</v>
      </c>
    </row>
    <row r="2030" spans="1:18">
      <c r="A2030" s="15" t="str">
        <f t="shared" si="36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8" t="s">
        <v>75</v>
      </c>
      <c r="P2030" s="48">
        <f>HEX2DEC(RIGHT(Table13232127535868[[#This Row],[h1]],8))</f>
        <v>0</v>
      </c>
      <c r="Q2030" s="48" t="s">
        <v>75</v>
      </c>
      <c r="R2030" s="48">
        <f>HEX2DEC(RIGHT(Table13232127535868[[#This Row],[h2]],8))</f>
        <v>0</v>
      </c>
    </row>
    <row r="2031" spans="1:18">
      <c r="A2031" s="15" t="str">
        <f t="shared" si="36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8" t="s">
        <v>75</v>
      </c>
      <c r="P2031" s="48">
        <f>HEX2DEC(RIGHT(Table13232127535868[[#This Row],[h1]],8))</f>
        <v>0</v>
      </c>
      <c r="Q2031" s="48" t="s">
        <v>75</v>
      </c>
      <c r="R2031" s="48">
        <f>HEX2DEC(RIGHT(Table13232127535868[[#This Row],[h2]],8))</f>
        <v>0</v>
      </c>
    </row>
    <row r="2032" spans="1:18">
      <c r="A2032" s="15" t="str">
        <f t="shared" si="36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8" t="s">
        <v>75</v>
      </c>
      <c r="P2032" s="48">
        <f>HEX2DEC(RIGHT(Table13232127535868[[#This Row],[h1]],8))</f>
        <v>0</v>
      </c>
      <c r="Q2032" s="48" t="s">
        <v>75</v>
      </c>
      <c r="R2032" s="48">
        <f>HEX2DEC(RIGHT(Table13232127535868[[#This Row],[h2]],8))</f>
        <v>0</v>
      </c>
    </row>
    <row r="2033" spans="1:18">
      <c r="A2033" s="15" t="str">
        <f t="shared" si="36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8" t="s">
        <v>75</v>
      </c>
      <c r="P2033" s="48">
        <f>HEX2DEC(RIGHT(Table13232127535868[[#This Row],[h1]],8))</f>
        <v>0</v>
      </c>
      <c r="Q2033" s="48" t="s">
        <v>75</v>
      </c>
      <c r="R2033" s="48">
        <f>HEX2DEC(RIGHT(Table13232127535868[[#This Row],[h2]],8))</f>
        <v>0</v>
      </c>
    </row>
    <row r="2034" spans="1:18">
      <c r="A2034" s="15" t="str">
        <f t="shared" si="36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8" t="s">
        <v>75</v>
      </c>
      <c r="P2034" s="48">
        <f>HEX2DEC(RIGHT(Table13232127535868[[#This Row],[h1]],8))</f>
        <v>0</v>
      </c>
      <c r="Q2034" s="48" t="s">
        <v>75</v>
      </c>
      <c r="R2034" s="48">
        <f>HEX2DEC(RIGHT(Table13232127535868[[#This Row],[h2]],8))</f>
        <v>0</v>
      </c>
    </row>
    <row r="2035" spans="1:18">
      <c r="A2035" s="15" t="str">
        <f t="shared" si="36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8" t="s">
        <v>75</v>
      </c>
      <c r="P2035" s="48">
        <f>HEX2DEC(RIGHT(Table13232127535868[[#This Row],[h1]],8))</f>
        <v>0</v>
      </c>
      <c r="Q2035" s="48" t="s">
        <v>75</v>
      </c>
      <c r="R2035" s="48">
        <f>HEX2DEC(RIGHT(Table13232127535868[[#This Row],[h2]],8))</f>
        <v>0</v>
      </c>
    </row>
    <row r="2036" spans="1:18">
      <c r="A2036" s="15" t="str">
        <f t="shared" si="36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8" t="s">
        <v>75</v>
      </c>
      <c r="P2036" s="48">
        <f>HEX2DEC(RIGHT(Table13232127535868[[#This Row],[h1]],8))</f>
        <v>0</v>
      </c>
      <c r="Q2036" s="48" t="s">
        <v>75</v>
      </c>
      <c r="R2036" s="48">
        <f>HEX2DEC(RIGHT(Table13232127535868[[#This Row],[h2]],8))</f>
        <v>0</v>
      </c>
    </row>
    <row r="2037" spans="1:18">
      <c r="A2037" s="15" t="str">
        <f t="shared" si="36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8" t="s">
        <v>75</v>
      </c>
      <c r="P2037" s="48">
        <f>HEX2DEC(RIGHT(Table13232127535868[[#This Row],[h1]],8))</f>
        <v>0</v>
      </c>
      <c r="Q2037" s="48" t="s">
        <v>75</v>
      </c>
      <c r="R2037" s="48">
        <f>HEX2DEC(RIGHT(Table13232127535868[[#This Row],[h2]],8))</f>
        <v>0</v>
      </c>
    </row>
    <row r="2038" spans="1:18">
      <c r="A2038" s="15" t="str">
        <f t="shared" si="36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8" t="s">
        <v>75</v>
      </c>
      <c r="P2038" s="48">
        <f>HEX2DEC(RIGHT(Table13232127535868[[#This Row],[h1]],8))</f>
        <v>0</v>
      </c>
      <c r="Q2038" s="48" t="s">
        <v>75</v>
      </c>
      <c r="R2038" s="48">
        <f>HEX2DEC(RIGHT(Table13232127535868[[#This Row],[h2]],8))</f>
        <v>0</v>
      </c>
    </row>
    <row r="2039" spans="1:18">
      <c r="A2039" s="15" t="str">
        <f t="shared" si="36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8" t="s">
        <v>75</v>
      </c>
      <c r="P2039" s="48">
        <f>HEX2DEC(RIGHT(Table13232127535868[[#This Row],[h1]],8))</f>
        <v>0</v>
      </c>
      <c r="Q2039" s="48" t="s">
        <v>75</v>
      </c>
      <c r="R2039" s="48">
        <f>HEX2DEC(RIGHT(Table13232127535868[[#This Row],[h2]],8))</f>
        <v>0</v>
      </c>
    </row>
    <row r="2040" spans="1:18">
      <c r="A2040" s="15" t="str">
        <f t="shared" si="36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8" t="s">
        <v>75</v>
      </c>
      <c r="P2040" s="48">
        <f>HEX2DEC(RIGHT(Table13232127535868[[#This Row],[h1]],8))</f>
        <v>0</v>
      </c>
      <c r="Q2040" s="48" t="s">
        <v>75</v>
      </c>
      <c r="R2040" s="48">
        <f>HEX2DEC(RIGHT(Table13232127535868[[#This Row],[h2]],8))</f>
        <v>0</v>
      </c>
    </row>
    <row r="2041" spans="1:18">
      <c r="A2041" s="15" t="str">
        <f t="shared" si="36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8" t="s">
        <v>75</v>
      </c>
      <c r="P2041" s="48">
        <f>HEX2DEC(RIGHT(Table13232127535868[[#This Row],[h1]],8))</f>
        <v>0</v>
      </c>
      <c r="Q2041" s="48" t="s">
        <v>75</v>
      </c>
      <c r="R2041" s="48">
        <f>HEX2DEC(RIGHT(Table13232127535868[[#This Row],[h2]],8))</f>
        <v>0</v>
      </c>
    </row>
    <row r="2042" spans="1:18">
      <c r="A2042" s="15" t="str">
        <f t="shared" si="36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8" t="s">
        <v>26</v>
      </c>
      <c r="Q2042" s="48" t="s">
        <v>26</v>
      </c>
    </row>
    <row r="2043" spans="1:18">
      <c r="A2043" s="15" t="str">
        <f t="shared" si="36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6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6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6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6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6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6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6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6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6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6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6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6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6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6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48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67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>
          <x14:formula1>
            <xm:f>org!$B$36:$B$43</xm:f>
          </x14:formula1>
          <xm:sqref>A5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W2115"/>
  <sheetViews>
    <sheetView tabSelected="1" zoomScaleNormal="100" workbookViewId="0">
      <pane xSplit="3" ySplit="6" topLeftCell="D79" activePane="bottomRight" state="frozen"/>
      <selection pane="topRight" activeCell="C1" sqref="C1"/>
      <selection pane="bottomLeft" activeCell="A7" sqref="A7"/>
      <selection pane="bottomRight" activeCell="G88" sqref="G88"/>
    </sheetView>
  </sheetViews>
  <sheetFormatPr defaultColWidth="11.5" defaultRowHeight="12"/>
  <cols>
    <col min="1" max="1" width="8.5" style="15" bestFit="1" customWidth="1"/>
    <col min="2" max="2" width="16.09765625" style="15" bestFit="1" customWidth="1"/>
    <col min="3" max="3" width="5" style="48" bestFit="1" customWidth="1"/>
    <col min="4" max="4" width="25.69921875" style="15" bestFit="1" customWidth="1"/>
    <col min="5" max="5" width="11.19921875" style="15" bestFit="1" customWidth="1"/>
    <col min="6" max="6" width="11.59765625" style="15" bestFit="1" customWidth="1"/>
    <col min="7" max="7" width="24.8984375" style="15" bestFit="1" customWidth="1"/>
    <col min="8" max="8" width="1.5" style="15" bestFit="1" customWidth="1"/>
    <col min="9" max="9" width="13.09765625" style="23" bestFit="1" customWidth="1"/>
    <col min="10" max="10" width="16.09765625" style="23" bestFit="1" customWidth="1"/>
    <col min="11" max="11" width="1.69921875" style="15" bestFit="1" customWidth="1"/>
    <col min="12" max="12" width="13.09765625" style="23" bestFit="1" customWidth="1"/>
    <col min="13" max="13" width="16.09765625" style="23" bestFit="1" customWidth="1"/>
    <col min="14" max="14" width="3.19921875" style="48" hidden="1" customWidth="1"/>
    <col min="15" max="16" width="12.19921875" style="48" hidden="1" customWidth="1"/>
    <col min="17" max="18" width="14.09765625" style="48" hidden="1" customWidth="1"/>
    <col min="19" max="19" width="1.69921875" style="48" hidden="1" customWidth="1"/>
    <col min="20" max="20" width="11.59765625" style="15" hidden="1" customWidth="1"/>
    <col min="21" max="21" width="10.69921875" style="15" hidden="1" customWidth="1"/>
    <col min="22" max="22" width="9" style="15" hidden="1" customWidth="1"/>
    <col min="23" max="23" width="13.3984375" style="15" hidden="1" customWidth="1"/>
    <col min="24" max="24" width="13.69921875" style="15" customWidth="1"/>
    <col min="25" max="16384" width="11.5" style="15"/>
  </cols>
  <sheetData>
    <row r="1" spans="1:23" s="48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8" customFormat="1">
      <c r="A2" s="9" t="s">
        <v>30</v>
      </c>
      <c r="B2" s="10" t="s">
        <v>33</v>
      </c>
      <c r="D2" s="60" t="s">
        <v>28</v>
      </c>
      <c r="E2" s="60"/>
      <c r="F2" s="60"/>
      <c r="G2" s="60"/>
      <c r="I2" s="60" t="s">
        <v>68</v>
      </c>
      <c r="J2" s="60"/>
      <c r="K2" s="11"/>
      <c r="L2" s="60" t="s">
        <v>69</v>
      </c>
      <c r="M2" s="60"/>
      <c r="O2" s="60" t="s">
        <v>135</v>
      </c>
      <c r="P2" s="60"/>
      <c r="Q2" s="60"/>
      <c r="R2" s="60"/>
      <c r="T2" s="60" t="s">
        <v>29</v>
      </c>
      <c r="U2" s="60"/>
      <c r="V2" s="60"/>
      <c r="W2" s="60"/>
    </row>
    <row r="3" spans="1:23" s="48" customFormat="1">
      <c r="A3" s="12" t="s">
        <v>31</v>
      </c>
      <c r="C3" s="48" t="s">
        <v>22</v>
      </c>
      <c r="D3" s="48" t="s">
        <v>9</v>
      </c>
      <c r="E3" s="48" t="s">
        <v>10</v>
      </c>
      <c r="F3" s="48" t="s">
        <v>11</v>
      </c>
      <c r="G3" s="48" t="s">
        <v>83</v>
      </c>
      <c r="I3" s="48" t="s">
        <v>6</v>
      </c>
      <c r="J3" s="48" t="s">
        <v>7</v>
      </c>
      <c r="L3" s="48" t="s">
        <v>6</v>
      </c>
      <c r="M3" s="48" t="s">
        <v>7</v>
      </c>
      <c r="O3" s="48" t="s">
        <v>76</v>
      </c>
      <c r="P3" s="32" t="s">
        <v>77</v>
      </c>
      <c r="Q3" s="48" t="s">
        <v>78</v>
      </c>
      <c r="R3" s="48" t="s">
        <v>79</v>
      </c>
      <c r="T3" s="48" t="s">
        <v>5</v>
      </c>
      <c r="U3" s="48" t="s">
        <v>6</v>
      </c>
      <c r="V3" s="48" t="s">
        <v>8</v>
      </c>
      <c r="W3" s="48" t="s">
        <v>7</v>
      </c>
    </row>
    <row r="4" spans="1:23" s="48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8" customFormat="1">
      <c r="A5" s="12" t="s">
        <v>329</v>
      </c>
      <c r="B5" s="48" t="str">
        <f>A3&amp;"."&amp;A4&amp;"."&amp;A5&amp;A6&amp;"."</f>
        <v>SCL3.TS.EVR003.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8" customFormat="1">
      <c r="A6" s="12" t="s">
        <v>430</v>
      </c>
      <c r="B6" s="48" t="str">
        <f>A3&amp;":"&amp;A4&amp;":"&amp;A5&amp;A6&amp;":"</f>
        <v>SCL3:TS:EVR003: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48"/>
      <c r="I7" s="27" t="s">
        <v>250</v>
      </c>
      <c r="J7" s="28" t="s">
        <v>251</v>
      </c>
      <c r="K7" s="29"/>
      <c r="L7" s="27" t="s">
        <v>252</v>
      </c>
      <c r="M7" s="28" t="s">
        <v>253</v>
      </c>
      <c r="O7" s="18" t="s">
        <v>136</v>
      </c>
      <c r="P7" s="18"/>
      <c r="Q7" s="18" t="s">
        <v>137</v>
      </c>
    </row>
    <row r="8" spans="1:23">
      <c r="C8" s="38"/>
      <c r="G8" s="19"/>
      <c r="H8" s="48"/>
      <c r="I8" s="58">
        <v>32768</v>
      </c>
      <c r="J8" s="59">
        <v>10</v>
      </c>
      <c r="K8" s="14"/>
      <c r="L8" s="58">
        <v>32768</v>
      </c>
      <c r="M8" s="59">
        <v>10</v>
      </c>
      <c r="O8" s="18"/>
      <c r="P8" s="18"/>
      <c r="Q8" s="18"/>
      <c r="R8" s="18"/>
    </row>
    <row r="9" spans="1:23">
      <c r="C9" s="38"/>
      <c r="G9" s="19"/>
      <c r="H9" s="48"/>
      <c r="I9" s="58">
        <v>0</v>
      </c>
      <c r="J9" s="59">
        <v>10</v>
      </c>
      <c r="K9" s="14"/>
      <c r="L9" s="58">
        <v>0</v>
      </c>
      <c r="M9" s="59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8"/>
      <c r="I10" s="58">
        <v>0</v>
      </c>
      <c r="J10" s="58">
        <v>10</v>
      </c>
      <c r="K10" s="14"/>
      <c r="L10" s="58">
        <v>0</v>
      </c>
      <c r="M10" s="58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138</v>
      </c>
      <c r="G11" s="31">
        <v>500</v>
      </c>
      <c r="H11" s="48"/>
      <c r="I11" s="27">
        <v>5</v>
      </c>
      <c r="J11" s="27">
        <v>50000</v>
      </c>
      <c r="K11" s="48"/>
      <c r="L11" s="27">
        <v>31</v>
      </c>
      <c r="M11" s="27">
        <v>249999</v>
      </c>
      <c r="N11" s="48">
        <v>1</v>
      </c>
      <c r="O11" s="48" t="s">
        <v>332</v>
      </c>
      <c r="P11" s="48">
        <f>HEX2DEC(RIGHT(Table1323212753586873[[#This Row],[h1]],8))</f>
        <v>65536</v>
      </c>
      <c r="Q11" s="48" t="s">
        <v>75</v>
      </c>
      <c r="R11" s="48">
        <f>HEX2DEC(RIGHT(Table1323212753586873[[#This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48"/>
      <c r="I12" s="27">
        <v>1</v>
      </c>
      <c r="J12" s="27">
        <v>50000</v>
      </c>
      <c r="K12" s="48"/>
      <c r="L12" s="27">
        <v>32</v>
      </c>
      <c r="M12" s="27">
        <v>249999</v>
      </c>
      <c r="N12" s="48">
        <v>2</v>
      </c>
      <c r="O12" s="48" t="s">
        <v>333</v>
      </c>
      <c r="P12" s="48">
        <f>HEX2DEC(RIGHT(Table1323212753586873[[#This Row],[h1]],8))</f>
        <v>196608</v>
      </c>
      <c r="Q12" s="48" t="s">
        <v>75</v>
      </c>
      <c r="R12" s="48">
        <f>HEX2DEC(RIGHT(Table1323212753586873[[#This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48"/>
      <c r="I13" s="27">
        <v>2</v>
      </c>
      <c r="J13" s="27">
        <v>50000</v>
      </c>
      <c r="K13" s="48"/>
      <c r="L13" s="27">
        <v>33</v>
      </c>
      <c r="M13" s="27">
        <v>249999</v>
      </c>
      <c r="N13" s="48">
        <v>3</v>
      </c>
      <c r="O13" s="48" t="s">
        <v>334</v>
      </c>
      <c r="P13" s="48">
        <f>HEX2DEC(RIGHT(Table1323212753586873[[#This Row],[h1]],8))</f>
        <v>458752</v>
      </c>
      <c r="Q13" s="48" t="s">
        <v>75</v>
      </c>
      <c r="R13" s="48">
        <f>HEX2DEC(RIGHT(Table1323212753586873[[#This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9"/>
      <c r="H14" s="48"/>
      <c r="I14" s="27">
        <v>1</v>
      </c>
      <c r="J14" s="27">
        <v>50000</v>
      </c>
      <c r="K14" s="48"/>
      <c r="L14" s="27">
        <v>34</v>
      </c>
      <c r="M14" s="27">
        <v>249999</v>
      </c>
      <c r="N14" s="48">
        <v>4</v>
      </c>
      <c r="O14" s="48" t="s">
        <v>335</v>
      </c>
      <c r="P14" s="48">
        <f>HEX2DEC(RIGHT(Table1323212753586873[[#This Row],[h1]],8))</f>
        <v>983040</v>
      </c>
      <c r="Q14" s="48" t="s">
        <v>75</v>
      </c>
      <c r="R14" s="48">
        <f>HEX2DEC(RIGHT(Table1323212753586873[[#This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147</v>
      </c>
      <c r="G15" s="49">
        <v>0</v>
      </c>
      <c r="H15" s="48"/>
      <c r="I15" s="27">
        <v>3</v>
      </c>
      <c r="J15" s="27">
        <v>50000</v>
      </c>
      <c r="K15" s="48"/>
      <c r="L15" s="57" t="s">
        <v>67</v>
      </c>
      <c r="M15" s="57">
        <v>249999</v>
      </c>
      <c r="N15" s="48">
        <v>5</v>
      </c>
      <c r="O15" s="48" t="s">
        <v>407</v>
      </c>
      <c r="P15" s="48">
        <f>HEX2DEC(RIGHT(Table1323212753586873[[#This Row],[h1]],8))</f>
        <v>2031616</v>
      </c>
      <c r="Q15" s="48" t="s">
        <v>75</v>
      </c>
      <c r="R15" s="48">
        <f>HEX2DEC(RIGHT(Table1323212753586873[[#This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148</v>
      </c>
      <c r="G16" s="49">
        <v>0</v>
      </c>
      <c r="H16" s="48"/>
      <c r="I16" s="27">
        <v>1</v>
      </c>
      <c r="J16" s="27">
        <v>50000</v>
      </c>
      <c r="K16" s="48"/>
      <c r="L16" s="27"/>
      <c r="M16" s="27">
        <v>50000</v>
      </c>
      <c r="N16" s="48">
        <v>6</v>
      </c>
      <c r="O16" s="48" t="s">
        <v>75</v>
      </c>
      <c r="P16" s="48">
        <f>HEX2DEC(RIGHT(Table1323212753586873[[#This Row],[h1]],8))</f>
        <v>0</v>
      </c>
      <c r="Q16" s="48" t="s">
        <v>75</v>
      </c>
      <c r="R16" s="48">
        <f>HEX2DEC(RIGHT(Table1323212753586873[[#This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149</v>
      </c>
      <c r="G17" s="49">
        <v>0</v>
      </c>
      <c r="H17" s="48"/>
      <c r="I17" s="27">
        <v>2</v>
      </c>
      <c r="J17" s="27">
        <v>50000</v>
      </c>
      <c r="K17" s="48"/>
      <c r="L17" s="27"/>
      <c r="M17" s="27">
        <v>50000</v>
      </c>
      <c r="N17" s="48">
        <v>7</v>
      </c>
      <c r="O17" s="48" t="s">
        <v>75</v>
      </c>
      <c r="P17" s="48">
        <f>HEX2DEC(RIGHT(Table1323212753586873[[#This Row],[h1]],8))</f>
        <v>0</v>
      </c>
      <c r="Q17" s="48" t="s">
        <v>75</v>
      </c>
      <c r="R17" s="48">
        <f>HEX2DEC(RIGHT(Table1323212753586873[[#This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150</v>
      </c>
      <c r="G18" s="49">
        <v>0</v>
      </c>
      <c r="H18" s="48"/>
      <c r="I18" s="27">
        <v>1</v>
      </c>
      <c r="J18" s="27">
        <v>50000</v>
      </c>
      <c r="K18" s="48"/>
      <c r="L18" s="27"/>
      <c r="M18" s="27">
        <v>50000</v>
      </c>
      <c r="N18" s="48">
        <v>8</v>
      </c>
      <c r="O18" s="48" t="s">
        <v>75</v>
      </c>
      <c r="P18" s="48">
        <f>HEX2DEC(RIGHT(Table1323212753586873[[#This Row],[h1]],8))</f>
        <v>0</v>
      </c>
      <c r="Q18" s="48" t="s">
        <v>75</v>
      </c>
      <c r="R18" s="48">
        <f>HEX2DEC(RIGHT(Table1323212753586873[[#This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151</v>
      </c>
      <c r="G19" s="49">
        <v>0</v>
      </c>
      <c r="H19" s="48"/>
      <c r="I19" s="27">
        <v>3</v>
      </c>
      <c r="J19" s="27">
        <v>50000</v>
      </c>
      <c r="K19" s="48"/>
      <c r="L19" s="27"/>
      <c r="M19" s="27">
        <v>50000</v>
      </c>
      <c r="N19" s="48">
        <v>9</v>
      </c>
      <c r="O19" s="48" t="s">
        <v>75</v>
      </c>
      <c r="P19" s="48">
        <f>HEX2DEC(RIGHT(Table1323212753586873[[#This Row],[h1]],8))</f>
        <v>0</v>
      </c>
      <c r="Q19" s="48" t="s">
        <v>75</v>
      </c>
      <c r="R19" s="48">
        <f>HEX2DEC(RIGHT(Table1323212753586873[[#This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152</v>
      </c>
      <c r="G20" s="49">
        <v>0</v>
      </c>
      <c r="H20" s="48"/>
      <c r="I20" s="27">
        <v>1</v>
      </c>
      <c r="J20" s="27">
        <v>50000</v>
      </c>
      <c r="K20" s="48"/>
      <c r="L20" s="27"/>
      <c r="M20" s="27">
        <v>50000</v>
      </c>
      <c r="N20" s="48">
        <v>10</v>
      </c>
      <c r="O20" s="48" t="s">
        <v>75</v>
      </c>
      <c r="P20" s="48">
        <f>HEX2DEC(RIGHT(Table1323212753586873[[#This Row],[h1]],8))</f>
        <v>0</v>
      </c>
      <c r="Q20" s="48" t="s">
        <v>75</v>
      </c>
      <c r="R20" s="48">
        <f>HEX2DEC(RIGHT(Table1323212753586873[[#This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153</v>
      </c>
      <c r="G21" s="49">
        <v>0</v>
      </c>
      <c r="H21" s="48"/>
      <c r="I21" s="27">
        <v>2</v>
      </c>
      <c r="J21" s="27">
        <v>50000</v>
      </c>
      <c r="K21" s="48"/>
      <c r="L21" s="27"/>
      <c r="M21" s="27">
        <v>50000</v>
      </c>
      <c r="N21" s="48">
        <v>11</v>
      </c>
      <c r="O21" s="48" t="s">
        <v>75</v>
      </c>
      <c r="P21" s="48">
        <f>HEX2DEC(RIGHT(Table1323212753586873[[#This Row],[h1]],8))</f>
        <v>0</v>
      </c>
      <c r="Q21" s="48" t="s">
        <v>75</v>
      </c>
      <c r="R21" s="48">
        <f>HEX2DEC(RIGHT(Table1323212753586873[[#This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154</v>
      </c>
      <c r="G22" s="49">
        <v>0</v>
      </c>
      <c r="H22" s="48"/>
      <c r="I22" s="27">
        <v>1</v>
      </c>
      <c r="J22" s="27">
        <v>50000</v>
      </c>
      <c r="K22" s="48"/>
      <c r="L22" s="27"/>
      <c r="M22" s="27">
        <v>50000</v>
      </c>
      <c r="N22" s="48">
        <v>12</v>
      </c>
      <c r="O22" s="48" t="s">
        <v>75</v>
      </c>
      <c r="P22" s="48">
        <f>HEX2DEC(RIGHT(Table1323212753586873[[#This Row],[h1]],8))</f>
        <v>0</v>
      </c>
      <c r="Q22" s="48" t="s">
        <v>75</v>
      </c>
      <c r="R22" s="48">
        <f>HEX2DEC(RIGHT(Table1323212753586873[[#This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155</v>
      </c>
      <c r="G23" s="49">
        <v>0</v>
      </c>
      <c r="H23" s="48"/>
      <c r="I23" s="27">
        <v>4</v>
      </c>
      <c r="J23" s="27">
        <v>50000</v>
      </c>
      <c r="K23" s="48"/>
      <c r="L23" s="27"/>
      <c r="M23" s="27">
        <v>50000</v>
      </c>
      <c r="N23" s="48">
        <v>13</v>
      </c>
      <c r="O23" s="48" t="s">
        <v>75</v>
      </c>
      <c r="P23" s="48">
        <f>HEX2DEC(RIGHT(Table1323212753586873[[#This Row],[h1]],8))</f>
        <v>0</v>
      </c>
      <c r="Q23" s="48" t="s">
        <v>75</v>
      </c>
      <c r="R23" s="48">
        <f>HEX2DEC(RIGHT(Table1323212753586873[[#This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156</v>
      </c>
      <c r="G24" s="49">
        <v>0</v>
      </c>
      <c r="H24" s="48"/>
      <c r="I24" s="27">
        <v>1</v>
      </c>
      <c r="J24" s="27">
        <v>50000</v>
      </c>
      <c r="K24" s="48"/>
      <c r="L24" s="27"/>
      <c r="M24" s="27">
        <v>50000</v>
      </c>
      <c r="N24" s="48">
        <v>14</v>
      </c>
      <c r="O24" s="48" t="s">
        <v>75</v>
      </c>
      <c r="P24" s="48">
        <f>HEX2DEC(RIGHT(Table1323212753586873[[#This Row],[h1]],8))</f>
        <v>0</v>
      </c>
      <c r="Q24" s="48" t="s">
        <v>75</v>
      </c>
      <c r="R24" s="48">
        <f>HEX2DEC(RIGHT(Table1323212753586873[[#This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157</v>
      </c>
      <c r="G25" s="49">
        <v>0</v>
      </c>
      <c r="H25" s="48"/>
      <c r="I25" s="27">
        <v>2</v>
      </c>
      <c r="J25" s="27">
        <v>50000</v>
      </c>
      <c r="K25" s="48"/>
      <c r="L25" s="27"/>
      <c r="M25" s="27">
        <v>50000</v>
      </c>
      <c r="N25" s="48">
        <v>15</v>
      </c>
      <c r="O25" s="48" t="s">
        <v>75</v>
      </c>
      <c r="P25" s="48">
        <f>HEX2DEC(RIGHT(Table1323212753586873[[#This Row],[h1]],8))</f>
        <v>0</v>
      </c>
      <c r="Q25" s="48" t="s">
        <v>75</v>
      </c>
      <c r="R25" s="48">
        <f>HEX2DEC(RIGHT(Table1323212753586873[[#This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158</v>
      </c>
      <c r="G26" s="49">
        <v>0</v>
      </c>
      <c r="H26" s="48"/>
      <c r="I26" s="27">
        <v>1</v>
      </c>
      <c r="J26" s="27">
        <v>50000</v>
      </c>
      <c r="K26" s="48"/>
      <c r="L26" s="27"/>
      <c r="M26" s="27">
        <v>50000</v>
      </c>
      <c r="N26" s="48">
        <v>16</v>
      </c>
      <c r="O26" s="48" t="s">
        <v>75</v>
      </c>
      <c r="P26" s="48">
        <f>HEX2DEC(RIGHT(Table1323212753586873[[#This Row],[h1]],8))</f>
        <v>0</v>
      </c>
      <c r="Q26" s="48" t="s">
        <v>75</v>
      </c>
      <c r="R26" s="48">
        <f>HEX2DEC(RIGHT(Table1323212753586873[[#This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159</v>
      </c>
      <c r="G27" s="49">
        <v>0</v>
      </c>
      <c r="H27" s="48"/>
      <c r="I27" s="27">
        <v>3</v>
      </c>
      <c r="J27" s="27">
        <v>50000</v>
      </c>
      <c r="K27" s="48"/>
      <c r="L27" s="27"/>
      <c r="M27" s="27">
        <v>50000</v>
      </c>
      <c r="N27" s="48">
        <v>17</v>
      </c>
      <c r="O27" s="48" t="s">
        <v>75</v>
      </c>
      <c r="P27" s="48">
        <f>HEX2DEC(RIGHT(Table1323212753586873[[#This Row],[h1]],8))</f>
        <v>0</v>
      </c>
      <c r="Q27" s="48" t="s">
        <v>75</v>
      </c>
      <c r="R27" s="48">
        <f>HEX2DEC(RIGHT(Table1323212753586873[[#This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160</v>
      </c>
      <c r="G28" s="49">
        <v>0</v>
      </c>
      <c r="H28" s="48"/>
      <c r="I28" s="27">
        <v>1</v>
      </c>
      <c r="J28" s="27">
        <v>50000</v>
      </c>
      <c r="K28" s="48"/>
      <c r="L28" s="27"/>
      <c r="M28" s="27">
        <v>50000</v>
      </c>
      <c r="N28" s="48">
        <v>18</v>
      </c>
      <c r="O28" s="48" t="s">
        <v>75</v>
      </c>
      <c r="P28" s="48">
        <f>HEX2DEC(RIGHT(Table1323212753586873[[#This Row],[h1]],8))</f>
        <v>0</v>
      </c>
      <c r="Q28" s="48" t="s">
        <v>75</v>
      </c>
      <c r="R28" s="48">
        <f>HEX2DEC(RIGHT(Table1323212753586873[[#This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161</v>
      </c>
      <c r="G29" s="49">
        <v>0</v>
      </c>
      <c r="H29" s="48"/>
      <c r="I29" s="27">
        <v>2</v>
      </c>
      <c r="J29" s="27">
        <v>50000</v>
      </c>
      <c r="K29" s="48"/>
      <c r="L29" s="27"/>
      <c r="M29" s="27">
        <v>50000</v>
      </c>
      <c r="N29" s="48">
        <v>19</v>
      </c>
      <c r="O29" s="48" t="s">
        <v>75</v>
      </c>
      <c r="P29" s="48">
        <f>HEX2DEC(RIGHT(Table1323212753586873[[#This Row],[h1]],8))</f>
        <v>0</v>
      </c>
      <c r="Q29" s="48" t="s">
        <v>75</v>
      </c>
      <c r="R29" s="48">
        <f>HEX2DEC(RIGHT(Table1323212753586873[[#This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162</v>
      </c>
      <c r="G30" s="49">
        <v>0</v>
      </c>
      <c r="H30" s="48"/>
      <c r="I30" s="27">
        <v>1</v>
      </c>
      <c r="J30" s="27">
        <v>50000</v>
      </c>
      <c r="K30" s="48"/>
      <c r="L30" s="27"/>
      <c r="M30" s="27">
        <v>50000</v>
      </c>
      <c r="N30" s="48">
        <v>20</v>
      </c>
      <c r="O30" s="48" t="s">
        <v>75</v>
      </c>
      <c r="P30" s="48">
        <f>HEX2DEC(RIGHT(Table1323212753586873[[#This Row],[h1]],8))</f>
        <v>0</v>
      </c>
      <c r="Q30" s="48" t="s">
        <v>75</v>
      </c>
      <c r="R30" s="48">
        <f>HEX2DEC(RIGHT(Table1323212753586873[[#This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163</v>
      </c>
      <c r="G31" s="49">
        <v>0</v>
      </c>
      <c r="H31" s="48"/>
      <c r="I31" s="27">
        <v>3</v>
      </c>
      <c r="J31" s="27">
        <v>50000</v>
      </c>
      <c r="K31" s="48"/>
      <c r="L31" s="27"/>
      <c r="M31" s="27">
        <v>50000</v>
      </c>
      <c r="N31" s="48">
        <v>21</v>
      </c>
      <c r="O31" s="48" t="s">
        <v>75</v>
      </c>
      <c r="P31" s="48">
        <f>HEX2DEC(RIGHT(Table1323212753586873[[#This Row],[h1]],8))</f>
        <v>0</v>
      </c>
      <c r="Q31" s="48" t="s">
        <v>75</v>
      </c>
      <c r="R31" s="48">
        <f>HEX2DEC(RIGHT(Table1323212753586873[[#This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164</v>
      </c>
      <c r="G32" s="49">
        <v>0</v>
      </c>
      <c r="H32" s="48"/>
      <c r="I32" s="27">
        <v>1</v>
      </c>
      <c r="J32" s="27">
        <v>50000</v>
      </c>
      <c r="K32" s="48"/>
      <c r="L32" s="27"/>
      <c r="M32" s="27">
        <v>50000</v>
      </c>
      <c r="N32" s="48">
        <v>22</v>
      </c>
      <c r="O32" s="48" t="s">
        <v>75</v>
      </c>
      <c r="P32" s="48">
        <f>HEX2DEC(RIGHT(Table1323212753586873[[#This Row],[h1]],8))</f>
        <v>0</v>
      </c>
      <c r="Q32" s="48" t="s">
        <v>75</v>
      </c>
      <c r="R32" s="48">
        <f>HEX2DEC(RIGHT(Table1323212753586873[[#This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165</v>
      </c>
      <c r="G33" s="49">
        <v>0</v>
      </c>
      <c r="H33" s="48"/>
      <c r="I33" s="27">
        <v>2</v>
      </c>
      <c r="J33" s="27">
        <v>50000</v>
      </c>
      <c r="K33" s="48"/>
      <c r="L33" s="27"/>
      <c r="M33" s="27">
        <v>50000</v>
      </c>
      <c r="N33" s="48">
        <v>23</v>
      </c>
      <c r="O33" s="48" t="s">
        <v>75</v>
      </c>
      <c r="P33" s="48">
        <f>HEX2DEC(RIGHT(Table1323212753586873[[#This Row],[h1]],8))</f>
        <v>0</v>
      </c>
      <c r="Q33" s="48" t="s">
        <v>75</v>
      </c>
      <c r="R33" s="48">
        <f>HEX2DEC(RIGHT(Table1323212753586873[[#This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166</v>
      </c>
      <c r="G34" s="49">
        <v>0</v>
      </c>
      <c r="H34" s="48"/>
      <c r="I34" s="27">
        <v>1</v>
      </c>
      <c r="J34" s="27">
        <v>50000</v>
      </c>
      <c r="K34" s="48"/>
      <c r="L34" s="27"/>
      <c r="M34" s="27">
        <v>50000</v>
      </c>
      <c r="N34" s="48">
        <v>24</v>
      </c>
      <c r="O34" s="48" t="s">
        <v>75</v>
      </c>
      <c r="P34" s="48">
        <f>HEX2DEC(RIGHT(Table1323212753586873[[#This Row],[h1]],8))</f>
        <v>0</v>
      </c>
      <c r="Q34" s="48" t="s">
        <v>75</v>
      </c>
      <c r="R34" s="48">
        <f>HEX2DEC(RIGHT(Table1323212753586873[[#This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167</v>
      </c>
      <c r="G35" s="49">
        <v>0</v>
      </c>
      <c r="H35" s="48"/>
      <c r="I35" s="27">
        <v>4</v>
      </c>
      <c r="J35" s="27">
        <v>50000</v>
      </c>
      <c r="K35" s="48"/>
      <c r="L35" s="27"/>
      <c r="M35" s="27">
        <v>50000</v>
      </c>
      <c r="N35" s="48">
        <v>25</v>
      </c>
      <c r="O35" s="48" t="s">
        <v>75</v>
      </c>
      <c r="P35" s="48">
        <f>HEX2DEC(RIGHT(Table1323212753586873[[#This Row],[h1]],8))</f>
        <v>0</v>
      </c>
      <c r="Q35" s="48" t="s">
        <v>75</v>
      </c>
      <c r="R35" s="48">
        <f>HEX2DEC(RIGHT(Table1323212753586873[[#This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168</v>
      </c>
      <c r="G36" s="49">
        <v>0</v>
      </c>
      <c r="H36" s="48"/>
      <c r="I36" s="27">
        <v>1</v>
      </c>
      <c r="J36" s="27">
        <v>50000</v>
      </c>
      <c r="K36" s="48"/>
      <c r="L36" s="27"/>
      <c r="M36" s="27">
        <v>50000</v>
      </c>
      <c r="N36" s="48">
        <v>26</v>
      </c>
      <c r="O36" s="48" t="s">
        <v>75</v>
      </c>
      <c r="P36" s="48">
        <f>HEX2DEC(RIGHT(Table1323212753586873[[#This Row],[h1]],8))</f>
        <v>0</v>
      </c>
      <c r="Q36" s="48" t="s">
        <v>75</v>
      </c>
      <c r="R36" s="48">
        <f>HEX2DEC(RIGHT(Table1323212753586873[[#This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169</v>
      </c>
      <c r="G37" s="49">
        <v>0</v>
      </c>
      <c r="H37" s="48"/>
      <c r="I37" s="27">
        <v>2</v>
      </c>
      <c r="J37" s="27">
        <v>50000</v>
      </c>
      <c r="K37" s="48"/>
      <c r="L37" s="27"/>
      <c r="M37" s="27">
        <v>50000</v>
      </c>
      <c r="N37" s="48">
        <v>27</v>
      </c>
      <c r="O37" s="48" t="s">
        <v>75</v>
      </c>
      <c r="P37" s="48">
        <f>HEX2DEC(RIGHT(Table1323212753586873[[#This Row],[h1]],8))</f>
        <v>0</v>
      </c>
      <c r="Q37" s="48" t="s">
        <v>75</v>
      </c>
      <c r="R37" s="48">
        <f>HEX2DEC(RIGHT(Table1323212753586873[[#This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170</v>
      </c>
      <c r="G38" s="49">
        <v>0</v>
      </c>
      <c r="H38" s="48"/>
      <c r="I38" s="27">
        <v>1</v>
      </c>
      <c r="J38" s="27">
        <v>50000</v>
      </c>
      <c r="K38" s="48"/>
      <c r="L38" s="27"/>
      <c r="M38" s="27">
        <v>50000</v>
      </c>
      <c r="N38" s="48">
        <v>28</v>
      </c>
      <c r="O38" s="48" t="s">
        <v>75</v>
      </c>
      <c r="P38" s="48">
        <f>HEX2DEC(RIGHT(Table1323212753586873[[#This Row],[h1]],8))</f>
        <v>0</v>
      </c>
      <c r="Q38" s="48" t="s">
        <v>75</v>
      </c>
      <c r="R38" s="48">
        <f>HEX2DEC(RIGHT(Table1323212753586873[[#This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171</v>
      </c>
      <c r="G39" s="49">
        <v>0</v>
      </c>
      <c r="H39" s="48"/>
      <c r="I39" s="27">
        <v>3</v>
      </c>
      <c r="J39" s="27">
        <v>50000</v>
      </c>
      <c r="K39" s="48"/>
      <c r="L39" s="27"/>
      <c r="M39" s="27">
        <v>50000</v>
      </c>
      <c r="N39" s="48">
        <v>29</v>
      </c>
      <c r="O39" s="48" t="s">
        <v>75</v>
      </c>
      <c r="P39" s="48">
        <f>HEX2DEC(RIGHT(Table1323212753586873[[#This Row],[h1]],8))</f>
        <v>0</v>
      </c>
      <c r="Q39" s="48" t="s">
        <v>75</v>
      </c>
      <c r="R39" s="48">
        <f>HEX2DEC(RIGHT(Table1323212753586873[[#This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172</v>
      </c>
      <c r="G40" s="49">
        <v>0</v>
      </c>
      <c r="H40" s="48"/>
      <c r="I40" s="27">
        <v>1</v>
      </c>
      <c r="J40" s="27">
        <v>50000</v>
      </c>
      <c r="K40" s="48"/>
      <c r="L40" s="27"/>
      <c r="M40" s="27">
        <v>50000</v>
      </c>
      <c r="N40" s="48">
        <v>30</v>
      </c>
      <c r="O40" s="48" t="s">
        <v>75</v>
      </c>
      <c r="P40" s="48">
        <f>HEX2DEC(RIGHT(Table1323212753586873[[#This Row],[h1]],8))</f>
        <v>0</v>
      </c>
      <c r="Q40" s="48" t="s">
        <v>75</v>
      </c>
      <c r="R40" s="48">
        <f>HEX2DEC(RIGHT(Table1323212753586873[[#This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173</v>
      </c>
      <c r="G41" s="49">
        <v>0</v>
      </c>
      <c r="H41" s="48"/>
      <c r="I41" s="27">
        <v>2</v>
      </c>
      <c r="J41" s="27">
        <v>50000</v>
      </c>
      <c r="K41" s="48"/>
      <c r="L41" s="27"/>
      <c r="M41" s="27">
        <v>50000</v>
      </c>
      <c r="N41" s="48">
        <v>31</v>
      </c>
      <c r="O41" s="48" t="s">
        <v>75</v>
      </c>
      <c r="P41" s="48">
        <f>HEX2DEC(RIGHT(Table1323212753586873[[#This Row],[h1]],8))</f>
        <v>0</v>
      </c>
      <c r="Q41" s="48" t="s">
        <v>75</v>
      </c>
      <c r="R41" s="48">
        <f>HEX2DEC(RIGHT(Table1323212753586873[[#This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174</v>
      </c>
      <c r="G42" s="49">
        <v>0</v>
      </c>
      <c r="H42" s="48"/>
      <c r="I42" s="27">
        <v>1</v>
      </c>
      <c r="J42" s="27">
        <v>50000</v>
      </c>
      <c r="K42" s="48"/>
      <c r="L42" s="27"/>
      <c r="M42" s="27">
        <v>50000</v>
      </c>
      <c r="N42" s="48">
        <v>32</v>
      </c>
      <c r="O42" s="48" t="s">
        <v>75</v>
      </c>
      <c r="P42" s="48">
        <f>HEX2DEC(RIGHT(Table1323212753586873[[#This Row],[h1]],8))</f>
        <v>0</v>
      </c>
      <c r="Q42" s="48" t="s">
        <v>75</v>
      </c>
      <c r="R42" s="48">
        <f>HEX2DEC(RIGHT(Table1323212753586873[[#This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175</v>
      </c>
      <c r="G43" s="49">
        <v>0</v>
      </c>
      <c r="H43" s="48"/>
      <c r="I43" s="27">
        <v>3</v>
      </c>
      <c r="J43" s="27">
        <v>50000</v>
      </c>
      <c r="K43" s="48"/>
      <c r="L43" s="27"/>
      <c r="M43" s="27">
        <v>50000</v>
      </c>
      <c r="N43" s="48">
        <v>33</v>
      </c>
      <c r="O43" s="48" t="s">
        <v>75</v>
      </c>
      <c r="P43" s="48">
        <f>HEX2DEC(RIGHT(Table1323212753586873[[#This Row],[h1]],8))</f>
        <v>0</v>
      </c>
      <c r="Q43" s="48" t="s">
        <v>75</v>
      </c>
      <c r="R43" s="48">
        <f>HEX2DEC(RIGHT(Table1323212753586873[[#This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176</v>
      </c>
      <c r="G44" s="49">
        <v>0</v>
      </c>
      <c r="H44" s="48"/>
      <c r="I44" s="27">
        <v>1</v>
      </c>
      <c r="J44" s="27">
        <v>50000</v>
      </c>
      <c r="K44" s="48"/>
      <c r="L44" s="27"/>
      <c r="M44" s="27">
        <v>50000</v>
      </c>
      <c r="N44" s="48">
        <v>34</v>
      </c>
      <c r="O44" s="48" t="s">
        <v>75</v>
      </c>
      <c r="P44" s="48">
        <f>HEX2DEC(RIGHT(Table1323212753586873[[#This Row],[h1]],8))</f>
        <v>0</v>
      </c>
      <c r="Q44" s="48" t="s">
        <v>75</v>
      </c>
      <c r="R44" s="48">
        <f>HEX2DEC(RIGHT(Table1323212753586873[[#This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177</v>
      </c>
      <c r="G45" s="49">
        <v>0</v>
      </c>
      <c r="H45" s="48"/>
      <c r="I45" s="27">
        <v>2</v>
      </c>
      <c r="J45" s="27">
        <v>50000</v>
      </c>
      <c r="K45" s="48"/>
      <c r="L45" s="27"/>
      <c r="M45" s="27">
        <v>50000</v>
      </c>
      <c r="N45" s="48">
        <v>35</v>
      </c>
      <c r="O45" s="48" t="s">
        <v>75</v>
      </c>
      <c r="P45" s="48">
        <f>HEX2DEC(RIGHT(Table1323212753586873[[#This Row],[h1]],8))</f>
        <v>0</v>
      </c>
      <c r="Q45" s="48" t="s">
        <v>75</v>
      </c>
      <c r="R45" s="48">
        <f>HEX2DEC(RIGHT(Table1323212753586873[[#This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178</v>
      </c>
      <c r="G46" s="49">
        <v>0</v>
      </c>
      <c r="H46" s="48"/>
      <c r="I46" s="27">
        <v>1</v>
      </c>
      <c r="J46" s="27">
        <v>50000</v>
      </c>
      <c r="K46" s="48"/>
      <c r="L46" s="27"/>
      <c r="M46" s="27">
        <v>50000</v>
      </c>
      <c r="N46" s="48">
        <v>36</v>
      </c>
      <c r="O46" s="48" t="s">
        <v>75</v>
      </c>
      <c r="P46" s="48">
        <f>HEX2DEC(RIGHT(Table1323212753586873[[#This Row],[h1]],8))</f>
        <v>0</v>
      </c>
      <c r="Q46" s="48" t="s">
        <v>75</v>
      </c>
      <c r="R46" s="48">
        <f>HEX2DEC(RIGHT(Table1323212753586873[[#This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9"/>
      <c r="H47" s="48"/>
      <c r="I47" s="27">
        <v>4</v>
      </c>
      <c r="J47" s="27">
        <v>50000</v>
      </c>
      <c r="K47" s="48"/>
      <c r="L47" s="27"/>
      <c r="M47" s="27">
        <v>50000</v>
      </c>
      <c r="N47" s="48">
        <v>37</v>
      </c>
      <c r="O47" s="48" t="s">
        <v>75</v>
      </c>
      <c r="P47" s="48">
        <f>HEX2DEC(RIGHT(Table1323212753586873[[#This Row],[h1]],8))</f>
        <v>0</v>
      </c>
      <c r="Q47" s="48" t="s">
        <v>75</v>
      </c>
      <c r="R47" s="48">
        <f>HEX2DEC(RIGHT(Table1323212753586873[[#This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179</v>
      </c>
      <c r="G48" s="49">
        <v>0</v>
      </c>
      <c r="H48" s="48"/>
      <c r="I48" s="27">
        <v>1</v>
      </c>
      <c r="J48" s="27">
        <v>50000</v>
      </c>
      <c r="K48" s="48"/>
      <c r="L48" s="27"/>
      <c r="M48" s="27">
        <v>50000</v>
      </c>
      <c r="N48" s="48">
        <v>38</v>
      </c>
      <c r="O48" s="48" t="s">
        <v>75</v>
      </c>
      <c r="P48" s="48">
        <f>HEX2DEC(RIGHT(Table1323212753586873[[#This Row],[h1]],8))</f>
        <v>0</v>
      </c>
      <c r="Q48" s="48" t="s">
        <v>75</v>
      </c>
      <c r="R48" s="48">
        <f>HEX2DEC(RIGHT(Table1323212753586873[[#This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180</v>
      </c>
      <c r="G49" s="49">
        <v>0</v>
      </c>
      <c r="H49" s="48"/>
      <c r="I49" s="27">
        <v>2</v>
      </c>
      <c r="J49" s="27">
        <v>50000</v>
      </c>
      <c r="K49" s="48"/>
      <c r="L49" s="27"/>
      <c r="M49" s="27">
        <v>50000</v>
      </c>
      <c r="N49" s="48">
        <v>39</v>
      </c>
      <c r="O49" s="48" t="s">
        <v>75</v>
      </c>
      <c r="P49" s="48">
        <f>HEX2DEC(RIGHT(Table1323212753586873[[#This Row],[h1]],8))</f>
        <v>0</v>
      </c>
      <c r="Q49" s="48" t="s">
        <v>75</v>
      </c>
      <c r="R49" s="48">
        <f>HEX2DEC(RIGHT(Table1323212753586873[[#This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181</v>
      </c>
      <c r="G50" s="49">
        <v>0</v>
      </c>
      <c r="H50" s="48"/>
      <c r="I50" s="27">
        <v>1</v>
      </c>
      <c r="J50" s="27">
        <v>50000</v>
      </c>
      <c r="K50" s="48"/>
      <c r="L50" s="27"/>
      <c r="M50" s="27">
        <v>50000</v>
      </c>
      <c r="N50" s="48">
        <v>40</v>
      </c>
      <c r="O50" s="48" t="s">
        <v>75</v>
      </c>
      <c r="P50" s="48">
        <f>HEX2DEC(RIGHT(Table1323212753586873[[#This Row],[h1]],8))</f>
        <v>0</v>
      </c>
      <c r="Q50" s="48" t="s">
        <v>75</v>
      </c>
      <c r="R50" s="48">
        <f>HEX2DEC(RIGHT(Table1323212753586873[[#This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182</v>
      </c>
      <c r="G51" s="49">
        <v>0</v>
      </c>
      <c r="H51" s="48"/>
      <c r="I51" s="27">
        <v>3</v>
      </c>
      <c r="J51" s="27">
        <v>50000</v>
      </c>
      <c r="K51" s="48"/>
      <c r="L51" s="27"/>
      <c r="M51" s="27">
        <v>50000</v>
      </c>
      <c r="N51" s="48">
        <v>41</v>
      </c>
      <c r="O51" s="48" t="s">
        <v>75</v>
      </c>
      <c r="P51" s="48">
        <f>HEX2DEC(RIGHT(Table1323212753586873[[#This Row],[h1]],8))</f>
        <v>0</v>
      </c>
      <c r="Q51" s="48" t="s">
        <v>75</v>
      </c>
      <c r="R51" s="48">
        <f>HEX2DEC(RIGHT(Table1323212753586873[[#This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183</v>
      </c>
      <c r="G52" s="49">
        <v>0</v>
      </c>
      <c r="H52" s="48"/>
      <c r="I52" s="27">
        <v>1</v>
      </c>
      <c r="J52" s="27">
        <v>50000</v>
      </c>
      <c r="K52" s="48"/>
      <c r="L52" s="27"/>
      <c r="M52" s="27">
        <v>50000</v>
      </c>
      <c r="N52" s="48">
        <v>42</v>
      </c>
      <c r="O52" s="48" t="s">
        <v>75</v>
      </c>
      <c r="P52" s="48">
        <f>HEX2DEC(RIGHT(Table1323212753586873[[#This Row],[h1]],8))</f>
        <v>0</v>
      </c>
      <c r="Q52" s="48" t="s">
        <v>75</v>
      </c>
      <c r="R52" s="48">
        <f>HEX2DEC(RIGHT(Table1323212753586873[[#This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184</v>
      </c>
      <c r="G53" s="49">
        <v>0</v>
      </c>
      <c r="H53" s="48"/>
      <c r="I53" s="27">
        <v>2</v>
      </c>
      <c r="J53" s="27">
        <v>50000</v>
      </c>
      <c r="K53" s="48"/>
      <c r="L53" s="27"/>
      <c r="M53" s="27">
        <v>50000</v>
      </c>
      <c r="N53" s="48">
        <v>43</v>
      </c>
      <c r="O53" s="48" t="s">
        <v>75</v>
      </c>
      <c r="P53" s="48">
        <f>HEX2DEC(RIGHT(Table1323212753586873[[#This Row],[h1]],8))</f>
        <v>0</v>
      </c>
      <c r="Q53" s="48" t="s">
        <v>75</v>
      </c>
      <c r="R53" s="48">
        <f>HEX2DEC(RIGHT(Table1323212753586873[[#This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185</v>
      </c>
      <c r="G54" s="49">
        <v>0</v>
      </c>
      <c r="H54" s="48"/>
      <c r="I54" s="27">
        <v>1</v>
      </c>
      <c r="J54" s="27">
        <v>50000</v>
      </c>
      <c r="K54" s="48"/>
      <c r="L54" s="27"/>
      <c r="M54" s="27">
        <v>50000</v>
      </c>
      <c r="N54" s="48">
        <v>44</v>
      </c>
      <c r="O54" s="48" t="s">
        <v>75</v>
      </c>
      <c r="P54" s="48">
        <f>HEX2DEC(RIGHT(Table1323212753586873[[#This Row],[h1]],8))</f>
        <v>0</v>
      </c>
      <c r="Q54" s="48" t="s">
        <v>75</v>
      </c>
      <c r="R54" s="48">
        <f>HEX2DEC(RIGHT(Table1323212753586873[[#This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186</v>
      </c>
      <c r="G55" s="49">
        <v>0</v>
      </c>
      <c r="H55" s="48"/>
      <c r="I55" s="27">
        <v>3</v>
      </c>
      <c r="J55" s="27">
        <v>50000</v>
      </c>
      <c r="K55" s="48"/>
      <c r="L55" s="27"/>
      <c r="M55" s="27">
        <v>50000</v>
      </c>
      <c r="N55" s="48">
        <v>45</v>
      </c>
      <c r="O55" s="48" t="s">
        <v>75</v>
      </c>
      <c r="P55" s="48">
        <f>HEX2DEC(RIGHT(Table1323212753586873[[#This Row],[h1]],8))</f>
        <v>0</v>
      </c>
      <c r="Q55" s="48" t="s">
        <v>75</v>
      </c>
      <c r="R55" s="48">
        <f>HEX2DEC(RIGHT(Table1323212753586873[[#This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187</v>
      </c>
      <c r="G56" s="49">
        <v>0</v>
      </c>
      <c r="H56" s="48"/>
      <c r="I56" s="27">
        <v>1</v>
      </c>
      <c r="J56" s="27">
        <v>50000</v>
      </c>
      <c r="K56" s="48"/>
      <c r="L56" s="27"/>
      <c r="M56" s="27">
        <v>50000</v>
      </c>
      <c r="N56" s="48">
        <v>46</v>
      </c>
      <c r="O56" s="48" t="s">
        <v>75</v>
      </c>
      <c r="P56" s="48">
        <f>HEX2DEC(RIGHT(Table1323212753586873[[#This Row],[h1]],8))</f>
        <v>0</v>
      </c>
      <c r="Q56" s="48" t="s">
        <v>75</v>
      </c>
      <c r="R56" s="48">
        <f>HEX2DEC(RIGHT(Table1323212753586873[[#This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188</v>
      </c>
      <c r="G57" s="49">
        <v>0</v>
      </c>
      <c r="H57" s="48"/>
      <c r="I57" s="27">
        <v>2</v>
      </c>
      <c r="J57" s="27">
        <v>50000</v>
      </c>
      <c r="K57" s="48"/>
      <c r="L57" s="27"/>
      <c r="M57" s="27">
        <v>50000</v>
      </c>
      <c r="N57" s="48">
        <v>47</v>
      </c>
      <c r="O57" s="48" t="s">
        <v>75</v>
      </c>
      <c r="P57" s="48">
        <f>HEX2DEC(RIGHT(Table1323212753586873[[#This Row],[h1]],8))</f>
        <v>0</v>
      </c>
      <c r="Q57" s="48" t="s">
        <v>75</v>
      </c>
      <c r="R57" s="48">
        <f>HEX2DEC(RIGHT(Table1323212753586873[[#This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189</v>
      </c>
      <c r="G58" s="49">
        <v>0</v>
      </c>
      <c r="H58" s="48"/>
      <c r="I58" s="27">
        <v>1</v>
      </c>
      <c r="J58" s="27">
        <v>50000</v>
      </c>
      <c r="K58" s="48"/>
      <c r="L58" s="27"/>
      <c r="M58" s="27">
        <v>50000</v>
      </c>
      <c r="N58" s="48">
        <v>48</v>
      </c>
      <c r="O58" s="48" t="s">
        <v>75</v>
      </c>
      <c r="P58" s="48">
        <f>HEX2DEC(RIGHT(Table1323212753586873[[#This Row],[h1]],8))</f>
        <v>0</v>
      </c>
      <c r="Q58" s="48" t="s">
        <v>75</v>
      </c>
      <c r="R58" s="48">
        <f>HEX2DEC(RIGHT(Table1323212753586873[[#This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190</v>
      </c>
      <c r="G59" s="49">
        <v>0</v>
      </c>
      <c r="H59" s="48"/>
      <c r="I59" s="27">
        <v>4</v>
      </c>
      <c r="J59" s="27">
        <v>50000</v>
      </c>
      <c r="K59" s="48"/>
      <c r="L59" s="27"/>
      <c r="M59" s="27">
        <v>50000</v>
      </c>
      <c r="N59" s="48">
        <v>49</v>
      </c>
      <c r="O59" s="48" t="s">
        <v>75</v>
      </c>
      <c r="P59" s="48">
        <f>HEX2DEC(RIGHT(Table1323212753586873[[#This Row],[h1]],8))</f>
        <v>0</v>
      </c>
      <c r="Q59" s="48" t="s">
        <v>75</v>
      </c>
      <c r="R59" s="48">
        <f>HEX2DEC(RIGHT(Table1323212753586873[[#This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191</v>
      </c>
      <c r="G60" s="49">
        <v>0</v>
      </c>
      <c r="H60" s="48"/>
      <c r="I60" s="27">
        <v>1</v>
      </c>
      <c r="J60" s="27">
        <v>50000</v>
      </c>
      <c r="K60" s="48"/>
      <c r="L60" s="27"/>
      <c r="M60" s="27">
        <v>50000</v>
      </c>
      <c r="N60" s="48">
        <v>50</v>
      </c>
      <c r="O60" s="48" t="s">
        <v>75</v>
      </c>
      <c r="P60" s="48">
        <f>HEX2DEC(RIGHT(Table1323212753586873[[#This Row],[h1]],8))</f>
        <v>0</v>
      </c>
      <c r="Q60" s="48" t="s">
        <v>75</v>
      </c>
      <c r="R60" s="48">
        <f>HEX2DEC(RIGHT(Table1323212753586873[[#This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192</v>
      </c>
      <c r="G61" s="49">
        <v>0</v>
      </c>
      <c r="H61" s="48"/>
      <c r="I61" s="27">
        <v>2</v>
      </c>
      <c r="J61" s="27">
        <v>50000</v>
      </c>
      <c r="K61" s="48"/>
      <c r="L61" s="27"/>
      <c r="M61" s="27">
        <v>50000</v>
      </c>
      <c r="O61" s="48" t="s">
        <v>75</v>
      </c>
      <c r="P61" s="48">
        <f>HEX2DEC(RIGHT(Table1323212753586873[[#This Row],[h1]],8))</f>
        <v>0</v>
      </c>
      <c r="Q61" s="48" t="s">
        <v>75</v>
      </c>
      <c r="R61" s="48">
        <f>HEX2DEC(RIGHT(Table1323212753586873[[#This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193</v>
      </c>
      <c r="G62" s="49">
        <v>0</v>
      </c>
      <c r="I62" s="27">
        <v>1</v>
      </c>
      <c r="J62" s="27">
        <v>50000</v>
      </c>
      <c r="L62" s="27"/>
      <c r="M62" s="27">
        <v>50000</v>
      </c>
      <c r="O62" s="48" t="s">
        <v>75</v>
      </c>
      <c r="P62" s="48">
        <f>HEX2DEC(RIGHT(Table1323212753586873[[#This Row],[h1]],8))</f>
        <v>0</v>
      </c>
      <c r="Q62" s="48" t="s">
        <v>75</v>
      </c>
      <c r="R62" s="48">
        <f>HEX2DEC(RIGHT(Table1323212753586873[[#This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194</v>
      </c>
      <c r="G63" s="49">
        <v>0</v>
      </c>
      <c r="I63" s="27">
        <v>3</v>
      </c>
      <c r="J63" s="27">
        <v>50000</v>
      </c>
      <c r="L63" s="27"/>
      <c r="M63" s="27">
        <v>50000</v>
      </c>
      <c r="O63" s="48" t="s">
        <v>75</v>
      </c>
      <c r="P63" s="48">
        <f>HEX2DEC(RIGHT(Table1323212753586873[[#This Row],[h1]],8))</f>
        <v>0</v>
      </c>
      <c r="Q63" s="48" t="s">
        <v>75</v>
      </c>
      <c r="R63" s="48">
        <f>HEX2DEC(RIGHT(Table1323212753586873[[#This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195</v>
      </c>
      <c r="F64" s="24" t="s">
        <v>427</v>
      </c>
      <c r="G64" s="49">
        <v>1</v>
      </c>
      <c r="I64" s="27">
        <v>1</v>
      </c>
      <c r="J64" s="27">
        <v>50000</v>
      </c>
      <c r="L64" s="27"/>
      <c r="M64" s="27">
        <v>50000</v>
      </c>
      <c r="O64" s="48" t="s">
        <v>75</v>
      </c>
      <c r="P64" s="48">
        <f>HEX2DEC(RIGHT(Table1323212753586873[[#This Row],[h1]],8))</f>
        <v>0</v>
      </c>
      <c r="Q64" s="48" t="s">
        <v>75</v>
      </c>
      <c r="R64" s="48">
        <f>HEX2DEC(RIGHT(Table1323212753586873[[#This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196</v>
      </c>
      <c r="F65" s="24" t="s">
        <v>427</v>
      </c>
      <c r="G65" s="49">
        <v>1</v>
      </c>
      <c r="I65" s="27">
        <v>2</v>
      </c>
      <c r="J65" s="27">
        <v>50000</v>
      </c>
      <c r="L65" s="27"/>
      <c r="M65" s="27">
        <v>50000</v>
      </c>
      <c r="O65" s="48" t="s">
        <v>75</v>
      </c>
      <c r="P65" s="48">
        <f>HEX2DEC(RIGHT(Table1323212753586873[[#This Row],[h1]],8))</f>
        <v>0</v>
      </c>
      <c r="Q65" s="48" t="s">
        <v>75</v>
      </c>
      <c r="R65" s="48">
        <f>HEX2DEC(RIGHT(Table1323212753586873[[#This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197</v>
      </c>
      <c r="F66" s="24" t="s">
        <v>427</v>
      </c>
      <c r="G66" s="49">
        <v>1</v>
      </c>
      <c r="I66" s="27">
        <v>1</v>
      </c>
      <c r="J66" s="27">
        <v>50000</v>
      </c>
      <c r="L66" s="27"/>
      <c r="M66" s="27">
        <v>50000</v>
      </c>
      <c r="O66" s="48" t="s">
        <v>75</v>
      </c>
      <c r="P66" s="48">
        <f>HEX2DEC(RIGHT(Table1323212753586873[[#This Row],[h1]],8))</f>
        <v>0</v>
      </c>
      <c r="Q66" s="48" t="s">
        <v>75</v>
      </c>
      <c r="R66" s="48">
        <f>HEX2DEC(RIGHT(Table1323212753586873[[#This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198</v>
      </c>
      <c r="F67" s="24" t="s">
        <v>427</v>
      </c>
      <c r="G67" s="49">
        <v>1</v>
      </c>
      <c r="I67" s="27">
        <v>3</v>
      </c>
      <c r="J67" s="27">
        <v>50000</v>
      </c>
      <c r="L67" s="27"/>
      <c r="M67" s="27">
        <v>50000</v>
      </c>
      <c r="O67" s="48" t="s">
        <v>75</v>
      </c>
      <c r="P67" s="48">
        <f>HEX2DEC(RIGHT(Table1323212753586873[[#This Row],[h1]],8))</f>
        <v>0</v>
      </c>
      <c r="Q67" s="48" t="s">
        <v>75</v>
      </c>
      <c r="R67" s="48">
        <f>HEX2DEC(RIGHT(Table1323212753586873[[#This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199</v>
      </c>
      <c r="F68" s="24" t="s">
        <v>427</v>
      </c>
      <c r="G68" s="49">
        <v>1</v>
      </c>
      <c r="I68" s="27">
        <v>1</v>
      </c>
      <c r="J68" s="27">
        <v>50000</v>
      </c>
      <c r="L68" s="27"/>
      <c r="M68" s="27">
        <v>50000</v>
      </c>
      <c r="O68" s="48" t="s">
        <v>75</v>
      </c>
      <c r="P68" s="48">
        <f>HEX2DEC(RIGHT(Table1323212753586873[[#This Row],[h1]],8))</f>
        <v>0</v>
      </c>
      <c r="Q68" s="48" t="s">
        <v>75</v>
      </c>
      <c r="R68" s="48">
        <f>HEX2DEC(RIGHT(Table1323212753586873[[#This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200</v>
      </c>
      <c r="F69" s="24" t="s">
        <v>427</v>
      </c>
      <c r="G69" s="49">
        <v>1</v>
      </c>
      <c r="I69" s="27">
        <v>2</v>
      </c>
      <c r="J69" s="27">
        <v>50000</v>
      </c>
      <c r="L69" s="27"/>
      <c r="M69" s="27">
        <v>50000</v>
      </c>
      <c r="O69" s="48" t="s">
        <v>75</v>
      </c>
      <c r="P69" s="48">
        <f>HEX2DEC(RIGHT(Table1323212753586873[[#This Row],[h1]],8))</f>
        <v>0</v>
      </c>
      <c r="Q69" s="48" t="s">
        <v>75</v>
      </c>
      <c r="R69" s="48">
        <f>HEX2DEC(RIGHT(Table1323212753586873[[#This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201</v>
      </c>
      <c r="F70" s="24" t="s">
        <v>427</v>
      </c>
      <c r="G70" s="49">
        <v>1</v>
      </c>
      <c r="I70" s="27">
        <v>1</v>
      </c>
      <c r="J70" s="27">
        <v>50000</v>
      </c>
      <c r="L70" s="27"/>
      <c r="M70" s="27">
        <v>50000</v>
      </c>
      <c r="O70" s="48" t="s">
        <v>75</v>
      </c>
      <c r="P70" s="48">
        <f>HEX2DEC(RIGHT(Table1323212753586873[[#This Row],[h1]],8))</f>
        <v>0</v>
      </c>
      <c r="Q70" s="48" t="s">
        <v>75</v>
      </c>
      <c r="R70" s="48">
        <f>HEX2DEC(RIGHT(Table1323212753586873[[#This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202</v>
      </c>
      <c r="F71" s="24" t="s">
        <v>427</v>
      </c>
      <c r="G71" s="49">
        <v>1</v>
      </c>
      <c r="I71" s="27">
        <v>4</v>
      </c>
      <c r="J71" s="27">
        <v>50000</v>
      </c>
      <c r="L71" s="27"/>
      <c r="M71" s="27">
        <v>50000</v>
      </c>
      <c r="O71" s="48" t="s">
        <v>75</v>
      </c>
      <c r="P71" s="48">
        <f>HEX2DEC(RIGHT(Table1323212753586873[[#This Row],[h1]],8))</f>
        <v>0</v>
      </c>
      <c r="Q71" s="48" t="s">
        <v>75</v>
      </c>
      <c r="R71" s="48">
        <f>HEX2DEC(RIGHT(Table1323212753586873[[#This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203</v>
      </c>
      <c r="F72" s="24" t="s">
        <v>427</v>
      </c>
      <c r="G72" s="49">
        <v>1</v>
      </c>
      <c r="I72" s="27">
        <v>1</v>
      </c>
      <c r="J72" s="27">
        <v>50000</v>
      </c>
      <c r="L72" s="27"/>
      <c r="M72" s="27">
        <v>50000</v>
      </c>
      <c r="O72" s="48" t="s">
        <v>75</v>
      </c>
      <c r="P72" s="48">
        <f>HEX2DEC(RIGHT(Table1323212753586873[[#This Row],[h1]],8))</f>
        <v>0</v>
      </c>
      <c r="Q72" s="48" t="s">
        <v>75</v>
      </c>
      <c r="R72" s="48">
        <f>HEX2DEC(RIGHT(Table1323212753586873[[#This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204</v>
      </c>
      <c r="F73" s="24" t="s">
        <v>427</v>
      </c>
      <c r="G73" s="49">
        <v>1</v>
      </c>
      <c r="I73" s="27">
        <v>2</v>
      </c>
      <c r="J73" s="27">
        <v>50000</v>
      </c>
      <c r="L73" s="27"/>
      <c r="M73" s="27">
        <v>50000</v>
      </c>
      <c r="O73" s="48" t="s">
        <v>75</v>
      </c>
      <c r="P73" s="48">
        <f>HEX2DEC(RIGHT(Table1323212753586873[[#This Row],[h1]],8))</f>
        <v>0</v>
      </c>
      <c r="Q73" s="48" t="s">
        <v>75</v>
      </c>
      <c r="R73" s="48">
        <f>HEX2DEC(RIGHT(Table1323212753586873[[#This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205</v>
      </c>
      <c r="F74" s="24" t="s">
        <v>427</v>
      </c>
      <c r="G74" s="49">
        <v>1</v>
      </c>
      <c r="I74" s="27">
        <v>1</v>
      </c>
      <c r="J74" s="27">
        <v>50000</v>
      </c>
      <c r="L74" s="27"/>
      <c r="M74" s="27">
        <v>50000</v>
      </c>
      <c r="O74" s="48" t="s">
        <v>75</v>
      </c>
      <c r="P74" s="48">
        <f>HEX2DEC(RIGHT(Table1323212753586873[[#This Row],[h1]],8))</f>
        <v>0</v>
      </c>
      <c r="Q74" s="48" t="s">
        <v>75</v>
      </c>
      <c r="R74" s="48">
        <f>HEX2DEC(RIGHT(Table1323212753586873[[#This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206</v>
      </c>
      <c r="F75" s="24" t="s">
        <v>427</v>
      </c>
      <c r="G75" s="49">
        <v>1</v>
      </c>
      <c r="I75" s="27">
        <v>3</v>
      </c>
      <c r="J75" s="27">
        <v>50000</v>
      </c>
      <c r="L75" s="27"/>
      <c r="M75" s="27">
        <v>50000</v>
      </c>
      <c r="O75" s="48" t="s">
        <v>75</v>
      </c>
      <c r="P75" s="48">
        <f>HEX2DEC(RIGHT(Table1323212753586873[[#This Row],[h1]],8))</f>
        <v>0</v>
      </c>
      <c r="Q75" s="48" t="s">
        <v>75</v>
      </c>
      <c r="R75" s="48">
        <f>HEX2DEC(RIGHT(Table1323212753586873[[#This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207</v>
      </c>
      <c r="F76" s="24" t="s">
        <v>427</v>
      </c>
      <c r="G76" s="49">
        <v>1</v>
      </c>
      <c r="I76" s="27">
        <v>1</v>
      </c>
      <c r="J76" s="27">
        <v>50000</v>
      </c>
      <c r="L76" s="27"/>
      <c r="M76" s="27">
        <v>50000</v>
      </c>
      <c r="O76" s="48" t="s">
        <v>75</v>
      </c>
      <c r="P76" s="48">
        <f>HEX2DEC(RIGHT(Table1323212753586873[[#This Row],[h1]],8))</f>
        <v>0</v>
      </c>
      <c r="Q76" s="48" t="s">
        <v>75</v>
      </c>
      <c r="R76" s="48">
        <f>HEX2DEC(RIGHT(Table1323212753586873[[#This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208</v>
      </c>
      <c r="F77" s="24" t="s">
        <v>427</v>
      </c>
      <c r="G77" s="49">
        <v>1</v>
      </c>
      <c r="I77" s="27">
        <v>2</v>
      </c>
      <c r="J77" s="27">
        <v>50000</v>
      </c>
      <c r="L77" s="27"/>
      <c r="M77" s="27">
        <v>50000</v>
      </c>
      <c r="O77" s="48" t="s">
        <v>75</v>
      </c>
      <c r="P77" s="48">
        <f>HEX2DEC(RIGHT(Table1323212753586873[[#This Row],[h1]],8))</f>
        <v>0</v>
      </c>
      <c r="Q77" s="48" t="s">
        <v>75</v>
      </c>
      <c r="R77" s="48">
        <f>HEX2DEC(RIGHT(Table1323212753586873[[#This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209</v>
      </c>
      <c r="F78" s="24" t="s">
        <v>427</v>
      </c>
      <c r="G78" s="49">
        <v>1</v>
      </c>
      <c r="I78" s="27">
        <v>1</v>
      </c>
      <c r="J78" s="27">
        <v>50000</v>
      </c>
      <c r="L78" s="27"/>
      <c r="M78" s="27">
        <v>50000</v>
      </c>
      <c r="O78" s="48" t="s">
        <v>75</v>
      </c>
      <c r="P78" s="48">
        <f>HEX2DEC(RIGHT(Table1323212753586873[[#This Row],[h1]],8))</f>
        <v>0</v>
      </c>
      <c r="Q78" s="48" t="s">
        <v>75</v>
      </c>
      <c r="R78" s="48">
        <f>HEX2DEC(RIGHT(Table1323212753586873[[#This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210</v>
      </c>
      <c r="F79" s="24" t="s">
        <v>427</v>
      </c>
      <c r="G79" s="49">
        <v>1</v>
      </c>
      <c r="I79" s="27">
        <v>3</v>
      </c>
      <c r="J79" s="27">
        <v>50000</v>
      </c>
      <c r="L79" s="27"/>
      <c r="M79" s="27">
        <v>50000</v>
      </c>
      <c r="O79" s="48" t="s">
        <v>75</v>
      </c>
      <c r="P79" s="48">
        <f>HEX2DEC(RIGHT(Table1323212753586873[[#This Row],[h1]],8))</f>
        <v>0</v>
      </c>
      <c r="Q79" s="48" t="s">
        <v>75</v>
      </c>
      <c r="R79" s="48">
        <f>HEX2DEC(RIGHT(Table1323212753586873[[#This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9"/>
      <c r="I80" s="27">
        <v>1</v>
      </c>
      <c r="J80" s="27">
        <v>50000</v>
      </c>
      <c r="L80" s="27"/>
      <c r="M80" s="27">
        <v>50000</v>
      </c>
      <c r="O80" s="48" t="s">
        <v>75</v>
      </c>
      <c r="P80" s="48">
        <f>HEX2DEC(RIGHT(Table1323212753586873[[#This Row],[h1]],8))</f>
        <v>0</v>
      </c>
      <c r="Q80" s="48" t="s">
        <v>75</v>
      </c>
      <c r="R80" s="48">
        <f>HEX2DEC(RIGHT(Table1323212753586873[[#This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211</v>
      </c>
      <c r="G81" s="49">
        <v>5000</v>
      </c>
      <c r="I81" s="27">
        <v>2</v>
      </c>
      <c r="J81" s="27">
        <v>50000</v>
      </c>
      <c r="L81" s="27"/>
      <c r="M81" s="27">
        <v>50000</v>
      </c>
      <c r="O81" s="48" t="s">
        <v>75</v>
      </c>
      <c r="P81" s="48">
        <f>HEX2DEC(RIGHT(Table1323212753586873[[#This Row],[h1]],8))</f>
        <v>0</v>
      </c>
      <c r="Q81" s="48" t="s">
        <v>75</v>
      </c>
      <c r="R81" s="48">
        <f>HEX2DEC(RIGHT(Table1323212753586873[[#This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212</v>
      </c>
      <c r="G82" s="49">
        <v>5000</v>
      </c>
      <c r="I82" s="27">
        <v>1</v>
      </c>
      <c r="J82" s="27">
        <v>50000</v>
      </c>
      <c r="L82" s="27"/>
      <c r="M82" s="27">
        <v>50000</v>
      </c>
      <c r="O82" s="48" t="s">
        <v>75</v>
      </c>
      <c r="P82" s="48">
        <f>HEX2DEC(RIGHT(Table1323212753586873[[#This Row],[h1]],8))</f>
        <v>0</v>
      </c>
      <c r="Q82" s="48" t="s">
        <v>75</v>
      </c>
      <c r="R82" s="48">
        <f>HEX2DEC(RIGHT(Table1323212753586873[[#This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213</v>
      </c>
      <c r="G83" s="49">
        <v>4</v>
      </c>
      <c r="I83" s="27">
        <v>4</v>
      </c>
      <c r="J83" s="27">
        <v>50000</v>
      </c>
      <c r="L83" s="27"/>
      <c r="M83" s="27">
        <v>50000</v>
      </c>
      <c r="O83" s="48" t="s">
        <v>75</v>
      </c>
      <c r="P83" s="48">
        <f>HEX2DEC(RIGHT(Table1323212753586873[[#This Row],[h1]],8))</f>
        <v>0</v>
      </c>
      <c r="Q83" s="48" t="s">
        <v>75</v>
      </c>
      <c r="R83" s="48">
        <f>HEX2DEC(RIGHT(Table1323212753586873[[#This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214</v>
      </c>
      <c r="G84" s="49">
        <v>4</v>
      </c>
      <c r="I84" s="27">
        <v>1</v>
      </c>
      <c r="J84" s="27">
        <v>50000</v>
      </c>
      <c r="L84" s="27"/>
      <c r="M84" s="27">
        <v>50000</v>
      </c>
      <c r="O84" s="48" t="s">
        <v>75</v>
      </c>
      <c r="P84" s="48">
        <f>HEX2DEC(RIGHT(Table1323212753586873[[#This Row],[h1]],8))</f>
        <v>0</v>
      </c>
      <c r="Q84" s="48" t="s">
        <v>75</v>
      </c>
      <c r="R84" s="48">
        <f>HEX2DEC(RIGHT(Table1323212753586873[[#This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215</v>
      </c>
      <c r="G85" s="49">
        <v>4</v>
      </c>
      <c r="I85" s="27">
        <v>2</v>
      </c>
      <c r="J85" s="27">
        <v>50000</v>
      </c>
      <c r="L85" s="27"/>
      <c r="M85" s="27">
        <v>50000</v>
      </c>
      <c r="O85" s="48" t="s">
        <v>75</v>
      </c>
      <c r="P85" s="48">
        <f>HEX2DEC(RIGHT(Table1323212753586873[[#This Row],[h1]],8))</f>
        <v>0</v>
      </c>
      <c r="Q85" s="48" t="s">
        <v>75</v>
      </c>
      <c r="R85" s="48">
        <f>HEX2DEC(RIGHT(Table1323212753586873[[#This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216</v>
      </c>
      <c r="G86" s="49">
        <v>4</v>
      </c>
      <c r="I86" s="27">
        <v>1</v>
      </c>
      <c r="J86" s="27">
        <v>50000</v>
      </c>
      <c r="L86" s="27"/>
      <c r="M86" s="27">
        <v>50000</v>
      </c>
      <c r="O86" s="48" t="s">
        <v>75</v>
      </c>
      <c r="P86" s="48">
        <f>HEX2DEC(RIGHT(Table1323212753586873[[#This Row],[h1]],8))</f>
        <v>0</v>
      </c>
      <c r="Q86" s="48" t="s">
        <v>75</v>
      </c>
      <c r="R86" s="48">
        <f>HEX2DEC(RIGHT(Table1323212753586873[[#This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217</v>
      </c>
      <c r="G87" s="49">
        <v>4</v>
      </c>
      <c r="I87" s="27">
        <v>3</v>
      </c>
      <c r="J87" s="27">
        <v>50000</v>
      </c>
      <c r="L87" s="27"/>
      <c r="M87" s="27">
        <v>50000</v>
      </c>
      <c r="O87" s="48" t="s">
        <v>75</v>
      </c>
      <c r="P87" s="48">
        <f>HEX2DEC(RIGHT(Table1323212753586873[[#This Row],[h1]],8))</f>
        <v>0</v>
      </c>
      <c r="Q87" s="48" t="s">
        <v>75</v>
      </c>
      <c r="R87" s="48">
        <f>HEX2DEC(RIGHT(Table1323212753586873[[#This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218</v>
      </c>
      <c r="G88" s="49">
        <v>5000</v>
      </c>
      <c r="I88" s="27">
        <v>1</v>
      </c>
      <c r="J88" s="27">
        <v>50000</v>
      </c>
      <c r="L88" s="27"/>
      <c r="M88" s="27">
        <v>50000</v>
      </c>
      <c r="O88" s="48" t="s">
        <v>75</v>
      </c>
      <c r="P88" s="48">
        <f>HEX2DEC(RIGHT(Table1323212753586873[[#This Row],[h1]],8))</f>
        <v>0</v>
      </c>
      <c r="Q88" s="48" t="s">
        <v>75</v>
      </c>
      <c r="R88" s="48">
        <f>HEX2DEC(RIGHT(Table1323212753586873[[#This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219</v>
      </c>
      <c r="G89" s="49">
        <v>5000</v>
      </c>
      <c r="I89" s="27">
        <v>2</v>
      </c>
      <c r="J89" s="27">
        <v>50000</v>
      </c>
      <c r="L89" s="27"/>
      <c r="M89" s="27">
        <v>50000</v>
      </c>
      <c r="O89" s="48" t="s">
        <v>75</v>
      </c>
      <c r="P89" s="48">
        <f>HEX2DEC(RIGHT(Table1323212753586873[[#This Row],[h1]],8))</f>
        <v>0</v>
      </c>
      <c r="Q89" s="48" t="s">
        <v>75</v>
      </c>
      <c r="R89" s="48">
        <f>HEX2DEC(RIGHT(Table1323212753586873[[#This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220</v>
      </c>
      <c r="G90" s="49">
        <v>5000</v>
      </c>
      <c r="I90" s="27">
        <v>1</v>
      </c>
      <c r="J90" s="27">
        <v>50000</v>
      </c>
      <c r="L90" s="27"/>
      <c r="M90" s="27">
        <v>50000</v>
      </c>
      <c r="O90" s="48" t="s">
        <v>75</v>
      </c>
      <c r="P90" s="48">
        <f>HEX2DEC(RIGHT(Table1323212753586873[[#This Row],[h1]],8))</f>
        <v>0</v>
      </c>
      <c r="Q90" s="48" t="s">
        <v>75</v>
      </c>
      <c r="R90" s="48">
        <f>HEX2DEC(RIGHT(Table1323212753586873[[#This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221</v>
      </c>
      <c r="G91" s="49">
        <v>5000</v>
      </c>
      <c r="I91" s="27">
        <v>3</v>
      </c>
      <c r="J91" s="27">
        <v>50000</v>
      </c>
      <c r="L91" s="27"/>
      <c r="M91" s="27">
        <v>50000</v>
      </c>
      <c r="O91" s="48" t="s">
        <v>75</v>
      </c>
      <c r="P91" s="48">
        <f>HEX2DEC(RIGHT(Table1323212753586873[[#This Row],[h1]],8))</f>
        <v>0</v>
      </c>
      <c r="Q91" s="48" t="s">
        <v>75</v>
      </c>
      <c r="R91" s="48">
        <f>HEX2DEC(RIGHT(Table1323212753586873[[#This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222</v>
      </c>
      <c r="G92" s="49">
        <v>5000</v>
      </c>
      <c r="I92" s="27">
        <v>1</v>
      </c>
      <c r="J92" s="27">
        <v>50000</v>
      </c>
      <c r="L92" s="27"/>
      <c r="M92" s="27">
        <v>50000</v>
      </c>
      <c r="O92" s="48" t="s">
        <v>75</v>
      </c>
      <c r="P92" s="48">
        <f>HEX2DEC(RIGHT(Table1323212753586873[[#This Row],[h1]],8))</f>
        <v>0</v>
      </c>
      <c r="Q92" s="48" t="s">
        <v>75</v>
      </c>
      <c r="R92" s="48">
        <f>HEX2DEC(RIGHT(Table1323212753586873[[#This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223</v>
      </c>
      <c r="G93" s="49">
        <v>5000</v>
      </c>
      <c r="I93" s="27">
        <v>2</v>
      </c>
      <c r="J93" s="27">
        <v>50000</v>
      </c>
      <c r="L93" s="27"/>
      <c r="M93" s="27">
        <v>50000</v>
      </c>
      <c r="O93" s="48" t="s">
        <v>75</v>
      </c>
      <c r="P93" s="48">
        <f>HEX2DEC(RIGHT(Table1323212753586873[[#This Row],[h1]],8))</f>
        <v>0</v>
      </c>
      <c r="Q93" s="48" t="s">
        <v>75</v>
      </c>
      <c r="R93" s="48">
        <f>HEX2DEC(RIGHT(Table1323212753586873[[#This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224</v>
      </c>
      <c r="G94" s="49">
        <v>5000</v>
      </c>
      <c r="I94" s="27">
        <v>1</v>
      </c>
      <c r="J94" s="27">
        <v>50000</v>
      </c>
      <c r="L94" s="27"/>
      <c r="M94" s="27">
        <v>50000</v>
      </c>
      <c r="O94" s="48" t="s">
        <v>75</v>
      </c>
      <c r="P94" s="48">
        <f>HEX2DEC(RIGHT(Table1323212753586873[[#This Row],[h1]],8))</f>
        <v>0</v>
      </c>
      <c r="Q94" s="48" t="s">
        <v>75</v>
      </c>
      <c r="R94" s="48">
        <f>HEX2DEC(RIGHT(Table1323212753586873[[#This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225</v>
      </c>
      <c r="G95" s="49">
        <v>5000</v>
      </c>
      <c r="I95" s="27">
        <v>4</v>
      </c>
      <c r="J95" s="27">
        <v>50000</v>
      </c>
      <c r="L95" s="27"/>
      <c r="M95" s="27">
        <v>50000</v>
      </c>
      <c r="O95" s="48" t="s">
        <v>75</v>
      </c>
      <c r="P95" s="48">
        <f>HEX2DEC(RIGHT(Table1323212753586873[[#This Row],[h1]],8))</f>
        <v>0</v>
      </c>
      <c r="Q95" s="48" t="s">
        <v>75</v>
      </c>
      <c r="R95" s="48">
        <f>HEX2DEC(RIGHT(Table1323212753586873[[#This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226</v>
      </c>
      <c r="G96" s="49">
        <v>5000</v>
      </c>
      <c r="I96" s="27">
        <v>1</v>
      </c>
      <c r="J96" s="27">
        <v>50000</v>
      </c>
      <c r="L96" s="27"/>
      <c r="M96" s="27">
        <v>50000</v>
      </c>
      <c r="O96" s="48" t="s">
        <v>75</v>
      </c>
      <c r="P96" s="48">
        <f>HEX2DEC(RIGHT(Table1323212753586873[[#This Row],[h1]],8))</f>
        <v>0</v>
      </c>
      <c r="Q96" s="48" t="s">
        <v>75</v>
      </c>
      <c r="R96" s="48">
        <f>HEX2DEC(RIGHT(Table1323212753586873[[#This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227</v>
      </c>
      <c r="G97" s="49">
        <v>5000</v>
      </c>
      <c r="I97" s="27">
        <v>2</v>
      </c>
      <c r="J97" s="27">
        <v>50000</v>
      </c>
      <c r="L97" s="27"/>
      <c r="M97" s="27">
        <v>50000</v>
      </c>
      <c r="O97" s="48" t="s">
        <v>75</v>
      </c>
      <c r="P97" s="48">
        <f>HEX2DEC(RIGHT(Table1323212753586873[[#This Row],[h1]],8))</f>
        <v>0</v>
      </c>
      <c r="Q97" s="48" t="s">
        <v>75</v>
      </c>
      <c r="R97" s="48">
        <f>HEX2DEC(RIGHT(Table1323212753586873[[#This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228</v>
      </c>
      <c r="G98" s="49">
        <v>5000</v>
      </c>
      <c r="I98" s="27">
        <v>1</v>
      </c>
      <c r="J98" s="27">
        <v>50000</v>
      </c>
      <c r="L98" s="27"/>
      <c r="M98" s="27">
        <v>50000</v>
      </c>
      <c r="O98" s="48" t="s">
        <v>75</v>
      </c>
      <c r="P98" s="48">
        <f>HEX2DEC(RIGHT(Table1323212753586873[[#This Row],[h1]],8))</f>
        <v>0</v>
      </c>
      <c r="Q98" s="48" t="s">
        <v>75</v>
      </c>
      <c r="R98" s="48">
        <f>HEX2DEC(RIGHT(Table1323212753586873[[#This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229</v>
      </c>
      <c r="G99" s="49">
        <v>5000</v>
      </c>
      <c r="I99" s="27">
        <v>3</v>
      </c>
      <c r="J99" s="27">
        <v>50000</v>
      </c>
      <c r="L99" s="27"/>
      <c r="M99" s="27">
        <v>50000</v>
      </c>
      <c r="O99" s="48" t="s">
        <v>75</v>
      </c>
      <c r="P99" s="48">
        <f>HEX2DEC(RIGHT(Table1323212753586873[[#This Row],[h1]],8))</f>
        <v>0</v>
      </c>
      <c r="Q99" s="48" t="s">
        <v>75</v>
      </c>
      <c r="R99" s="48">
        <f>HEX2DEC(RIGHT(Table1323212753586873[[#This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230</v>
      </c>
      <c r="G100" s="49">
        <v>5000</v>
      </c>
      <c r="I100" s="27">
        <v>1</v>
      </c>
      <c r="J100" s="27">
        <v>50000</v>
      </c>
      <c r="L100" s="27"/>
      <c r="M100" s="27">
        <v>50000</v>
      </c>
      <c r="O100" s="48" t="s">
        <v>75</v>
      </c>
      <c r="P100" s="48">
        <f>HEX2DEC(RIGHT(Table1323212753586873[[#This Row],[h1]],8))</f>
        <v>0</v>
      </c>
      <c r="Q100" s="48" t="s">
        <v>75</v>
      </c>
      <c r="R100" s="48">
        <f>HEX2DEC(RIGHT(Table1323212753586873[[#This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231</v>
      </c>
      <c r="G101" s="49">
        <v>5000</v>
      </c>
      <c r="I101" s="27">
        <v>2</v>
      </c>
      <c r="J101" s="27">
        <v>50000</v>
      </c>
      <c r="L101" s="27"/>
      <c r="M101" s="27">
        <v>50000</v>
      </c>
      <c r="O101" s="48" t="s">
        <v>75</v>
      </c>
      <c r="P101" s="48">
        <f>HEX2DEC(RIGHT(Table1323212753586873[[#This Row],[h1]],8))</f>
        <v>0</v>
      </c>
      <c r="Q101" s="48" t="s">
        <v>75</v>
      </c>
      <c r="R101" s="48">
        <f>HEX2DEC(RIGHT(Table1323212753586873[[#This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232</v>
      </c>
      <c r="G102" s="49">
        <v>5000</v>
      </c>
      <c r="I102" s="27">
        <v>1</v>
      </c>
      <c r="J102" s="27">
        <v>50000</v>
      </c>
      <c r="L102" s="27"/>
      <c r="M102" s="27">
        <v>50000</v>
      </c>
      <c r="O102" s="48" t="s">
        <v>75</v>
      </c>
      <c r="P102" s="48">
        <f>HEX2DEC(RIGHT(Table1323212753586873[[#This Row],[h1]],8))</f>
        <v>0</v>
      </c>
      <c r="Q102" s="48" t="s">
        <v>75</v>
      </c>
      <c r="R102" s="48">
        <f>HEX2DEC(RIGHT(Table1323212753586873[[#This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233</v>
      </c>
      <c r="G103" s="49">
        <v>5000</v>
      </c>
      <c r="I103" s="27">
        <v>3</v>
      </c>
      <c r="J103" s="27">
        <v>50000</v>
      </c>
      <c r="L103" s="27"/>
      <c r="M103" s="27">
        <v>50000</v>
      </c>
      <c r="O103" s="48" t="s">
        <v>75</v>
      </c>
      <c r="P103" s="48">
        <f>HEX2DEC(RIGHT(Table1323212753586873[[#This Row],[h1]],8))</f>
        <v>0</v>
      </c>
      <c r="Q103" s="48" t="s">
        <v>75</v>
      </c>
      <c r="R103" s="48">
        <f>HEX2DEC(RIGHT(Table1323212753586873[[#This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234</v>
      </c>
      <c r="G104" s="49">
        <v>5000</v>
      </c>
      <c r="I104" s="27">
        <v>1</v>
      </c>
      <c r="J104" s="27">
        <v>50000</v>
      </c>
      <c r="L104" s="27"/>
      <c r="M104" s="27">
        <v>50000</v>
      </c>
      <c r="O104" s="48" t="s">
        <v>75</v>
      </c>
      <c r="P104" s="48">
        <f>HEX2DEC(RIGHT(Table1323212753586873[[#This Row],[h1]],8))</f>
        <v>0</v>
      </c>
      <c r="Q104" s="48" t="s">
        <v>75</v>
      </c>
      <c r="R104" s="48">
        <f>HEX2DEC(RIGHT(Table1323212753586873[[#This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235</v>
      </c>
      <c r="G105" s="49">
        <v>5000</v>
      </c>
      <c r="I105" s="27">
        <v>2</v>
      </c>
      <c r="J105" s="27">
        <v>50000</v>
      </c>
      <c r="L105" s="27"/>
      <c r="M105" s="27">
        <v>50000</v>
      </c>
      <c r="O105" s="48" t="s">
        <v>75</v>
      </c>
      <c r="P105" s="48">
        <f>HEX2DEC(RIGHT(Table1323212753586873[[#This Row],[h1]],8))</f>
        <v>0</v>
      </c>
      <c r="Q105" s="48" t="s">
        <v>75</v>
      </c>
      <c r="R105" s="48">
        <f>HEX2DEC(RIGHT(Table1323212753586873[[#This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236</v>
      </c>
      <c r="G106" s="49">
        <v>5000</v>
      </c>
      <c r="I106" s="27">
        <v>1</v>
      </c>
      <c r="J106" s="27">
        <v>50000</v>
      </c>
      <c r="L106" s="27"/>
      <c r="M106" s="27">
        <v>50000</v>
      </c>
      <c r="O106" s="48" t="s">
        <v>75</v>
      </c>
      <c r="P106" s="48">
        <f>HEX2DEC(RIGHT(Table1323212753586873[[#This Row],[h1]],8))</f>
        <v>0</v>
      </c>
      <c r="Q106" s="48" t="s">
        <v>75</v>
      </c>
      <c r="R106" s="48">
        <f>HEX2DEC(RIGHT(Table1323212753586873[[#This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237</v>
      </c>
      <c r="G107" s="49">
        <v>5000</v>
      </c>
      <c r="I107" s="27">
        <v>4</v>
      </c>
      <c r="J107" s="27">
        <v>50000</v>
      </c>
      <c r="L107" s="27"/>
      <c r="M107" s="27">
        <v>50000</v>
      </c>
      <c r="O107" s="48" t="s">
        <v>75</v>
      </c>
      <c r="P107" s="48">
        <f>HEX2DEC(RIGHT(Table1323212753586873[[#This Row],[h1]],8))</f>
        <v>0</v>
      </c>
      <c r="Q107" s="48" t="s">
        <v>75</v>
      </c>
      <c r="R107" s="48">
        <f>HEX2DEC(RIGHT(Table1323212753586873[[#This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238</v>
      </c>
      <c r="F108" s="21"/>
      <c r="G108" s="49">
        <v>5000</v>
      </c>
      <c r="I108" s="27">
        <v>1</v>
      </c>
      <c r="J108" s="27">
        <v>50000</v>
      </c>
      <c r="L108" s="27"/>
      <c r="M108" s="27">
        <v>50000</v>
      </c>
      <c r="O108" s="48" t="s">
        <v>75</v>
      </c>
      <c r="P108" s="48">
        <f>HEX2DEC(RIGHT(Table1323212753586873[[#This Row],[h1]],8))</f>
        <v>0</v>
      </c>
      <c r="Q108" s="48" t="s">
        <v>75</v>
      </c>
      <c r="R108" s="48">
        <f>HEX2DEC(RIGHT(Table1323212753586873[[#This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239</v>
      </c>
      <c r="F109" s="21"/>
      <c r="G109" s="49">
        <v>5000</v>
      </c>
      <c r="I109" s="27">
        <v>2</v>
      </c>
      <c r="J109" s="27">
        <v>50000</v>
      </c>
      <c r="L109" s="27"/>
      <c r="M109" s="27">
        <v>50000</v>
      </c>
      <c r="O109" s="48" t="s">
        <v>75</v>
      </c>
      <c r="P109" s="48">
        <f>HEX2DEC(RIGHT(Table1323212753586873[[#This Row],[h1]],8))</f>
        <v>0</v>
      </c>
      <c r="Q109" s="48" t="s">
        <v>75</v>
      </c>
      <c r="R109" s="48">
        <f>HEX2DEC(RIGHT(Table1323212753586873[[#This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240</v>
      </c>
      <c r="F110" s="21"/>
      <c r="G110" s="49">
        <v>5000</v>
      </c>
      <c r="I110" s="27">
        <v>1</v>
      </c>
      <c r="J110" s="27">
        <v>50000</v>
      </c>
      <c r="L110" s="27"/>
      <c r="M110" s="27">
        <v>50000</v>
      </c>
      <c r="O110" s="48" t="s">
        <v>75</v>
      </c>
      <c r="P110" s="48">
        <f>HEX2DEC(RIGHT(Table1323212753586873[[#This Row],[h1]],8))</f>
        <v>0</v>
      </c>
      <c r="Q110" s="48" t="s">
        <v>75</v>
      </c>
      <c r="R110" s="48">
        <f>HEX2DEC(RIGHT(Table1323212753586873[[#This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241</v>
      </c>
      <c r="F111" s="21"/>
      <c r="G111" s="49">
        <v>5000</v>
      </c>
      <c r="I111" s="27">
        <v>3</v>
      </c>
      <c r="J111" s="27">
        <v>50000</v>
      </c>
      <c r="L111" s="27"/>
      <c r="M111" s="27">
        <v>50000</v>
      </c>
      <c r="O111" s="48" t="s">
        <v>75</v>
      </c>
      <c r="P111" s="48">
        <f>HEX2DEC(RIGHT(Table1323212753586873[[#This Row],[h1]],8))</f>
        <v>0</v>
      </c>
      <c r="Q111" s="48" t="s">
        <v>75</v>
      </c>
      <c r="R111" s="48">
        <f>HEX2DEC(RIGHT(Table1323212753586873[[#This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242</v>
      </c>
      <c r="F112" s="21"/>
      <c r="G112" s="49">
        <v>5000</v>
      </c>
      <c r="I112" s="27">
        <v>1</v>
      </c>
      <c r="J112" s="27">
        <v>50000</v>
      </c>
      <c r="L112" s="27"/>
      <c r="M112" s="27">
        <v>50000</v>
      </c>
      <c r="O112" s="48" t="s">
        <v>75</v>
      </c>
      <c r="P112" s="48">
        <f>HEX2DEC(RIGHT(Table1323212753586873[[#This Row],[h1]],8))</f>
        <v>0</v>
      </c>
      <c r="Q112" s="48" t="s">
        <v>75</v>
      </c>
      <c r="R112" s="48">
        <f>HEX2DEC(RIGHT(Table1323212753586873[[#This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9"/>
      <c r="I113" s="27">
        <v>2</v>
      </c>
      <c r="J113" s="27">
        <v>50000</v>
      </c>
      <c r="L113" s="27"/>
      <c r="M113" s="27">
        <v>50000</v>
      </c>
      <c r="O113" s="48" t="s">
        <v>75</v>
      </c>
      <c r="P113" s="48">
        <f>HEX2DEC(RIGHT(Table1323212753586873[[#This Row],[h1]],8))</f>
        <v>0</v>
      </c>
      <c r="Q113" s="48" t="s">
        <v>75</v>
      </c>
      <c r="R113" s="48">
        <f>HEX2DEC(RIGHT(Table1323212753586873[[#This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346</v>
      </c>
      <c r="G114" s="29" t="s">
        <v>378</v>
      </c>
      <c r="I114" s="27">
        <v>1</v>
      </c>
      <c r="J114" s="27">
        <v>50000</v>
      </c>
      <c r="L114" s="27"/>
      <c r="M114" s="27">
        <v>50000</v>
      </c>
      <c r="O114" s="48" t="s">
        <v>75</v>
      </c>
      <c r="P114" s="48">
        <f>HEX2DEC(RIGHT(Table1323212753586873[[#This Row],[h1]],8))</f>
        <v>0</v>
      </c>
      <c r="Q114" s="48" t="s">
        <v>75</v>
      </c>
      <c r="R114" s="48">
        <f>HEX2DEC(RIGHT(Table1323212753586873[[#This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347</v>
      </c>
      <c r="G115" s="29" t="s">
        <v>378</v>
      </c>
      <c r="I115" s="27">
        <v>3</v>
      </c>
      <c r="J115" s="27">
        <v>50000</v>
      </c>
      <c r="L115" s="27"/>
      <c r="M115" s="27">
        <v>50000</v>
      </c>
      <c r="O115" s="48" t="s">
        <v>75</v>
      </c>
      <c r="P115" s="48">
        <f>HEX2DEC(RIGHT(Table1323212753586873[[#This Row],[h1]],8))</f>
        <v>0</v>
      </c>
      <c r="Q115" s="48" t="s">
        <v>75</v>
      </c>
      <c r="R115" s="48">
        <f>HEX2DEC(RIGHT(Table1323212753586873[[#This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348</v>
      </c>
      <c r="G116" s="29" t="s">
        <v>380</v>
      </c>
      <c r="I116" s="27">
        <v>1</v>
      </c>
      <c r="J116" s="27">
        <v>50000</v>
      </c>
      <c r="L116" s="27"/>
      <c r="M116" s="27">
        <v>50000</v>
      </c>
      <c r="O116" s="48" t="s">
        <v>75</v>
      </c>
      <c r="P116" s="48">
        <f>HEX2DEC(RIGHT(Table1323212753586873[[#This Row],[h1]],8))</f>
        <v>0</v>
      </c>
      <c r="Q116" s="48" t="s">
        <v>75</v>
      </c>
      <c r="R116" s="48">
        <f>HEX2DEC(RIGHT(Table1323212753586873[[#This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349</v>
      </c>
      <c r="G117" s="29" t="s">
        <v>382</v>
      </c>
      <c r="I117" s="27">
        <v>2</v>
      </c>
      <c r="J117" s="27">
        <v>50000</v>
      </c>
      <c r="L117" s="27"/>
      <c r="M117" s="27">
        <v>50000</v>
      </c>
      <c r="O117" s="48" t="s">
        <v>75</v>
      </c>
      <c r="P117" s="48">
        <f>HEX2DEC(RIGHT(Table1323212753586873[[#This Row],[h1]],8))</f>
        <v>0</v>
      </c>
      <c r="Q117" s="48" t="s">
        <v>75</v>
      </c>
      <c r="R117" s="48">
        <f>HEX2DEC(RIGHT(Table1323212753586873[[#This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350</v>
      </c>
      <c r="G118" s="29" t="s">
        <v>383</v>
      </c>
      <c r="I118" s="27">
        <v>1</v>
      </c>
      <c r="J118" s="27">
        <v>50000</v>
      </c>
      <c r="L118" s="27"/>
      <c r="M118" s="27">
        <v>50000</v>
      </c>
      <c r="O118" s="48" t="s">
        <v>75</v>
      </c>
      <c r="P118" s="48">
        <f>HEX2DEC(RIGHT(Table1323212753586873[[#This Row],[h1]],8))</f>
        <v>0</v>
      </c>
      <c r="Q118" s="48" t="s">
        <v>75</v>
      </c>
      <c r="R118" s="48">
        <f>HEX2DEC(RIGHT(Table1323212753586873[[#This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351</v>
      </c>
      <c r="G119" s="29" t="s">
        <v>384</v>
      </c>
      <c r="I119" s="27">
        <v>4</v>
      </c>
      <c r="J119" s="27">
        <v>50000</v>
      </c>
      <c r="L119" s="27"/>
      <c r="M119" s="27">
        <v>50000</v>
      </c>
      <c r="O119" s="48" t="s">
        <v>75</v>
      </c>
      <c r="P119" s="48">
        <f>HEX2DEC(RIGHT(Table1323212753586873[[#This Row],[h1]],8))</f>
        <v>0</v>
      </c>
      <c r="Q119" s="48" t="s">
        <v>75</v>
      </c>
      <c r="R119" s="48">
        <f>HEX2DEC(RIGHT(Table1323212753586873[[#This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352</v>
      </c>
      <c r="G120" s="29" t="s">
        <v>385</v>
      </c>
      <c r="I120" s="27">
        <v>1</v>
      </c>
      <c r="J120" s="27">
        <v>50000</v>
      </c>
      <c r="L120" s="27"/>
      <c r="M120" s="27">
        <v>50000</v>
      </c>
      <c r="O120" s="48" t="s">
        <v>75</v>
      </c>
      <c r="P120" s="48">
        <f>HEX2DEC(RIGHT(Table1323212753586873[[#This Row],[h1]],8))</f>
        <v>0</v>
      </c>
      <c r="Q120" s="48" t="s">
        <v>75</v>
      </c>
      <c r="R120" s="48">
        <f>HEX2DEC(RIGHT(Table1323212753586873[[#This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353</v>
      </c>
      <c r="G121" s="29" t="s">
        <v>378</v>
      </c>
      <c r="I121" s="27">
        <v>2</v>
      </c>
      <c r="J121" s="27">
        <v>50000</v>
      </c>
      <c r="L121" s="27"/>
      <c r="M121" s="27">
        <v>50000</v>
      </c>
      <c r="O121" s="48" t="s">
        <v>75</v>
      </c>
      <c r="P121" s="48">
        <f>HEX2DEC(RIGHT(Table1323212753586873[[#This Row],[h1]],8))</f>
        <v>0</v>
      </c>
      <c r="Q121" s="48" t="s">
        <v>75</v>
      </c>
      <c r="R121" s="48">
        <f>HEX2DEC(RIGHT(Table1323212753586873[[#This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354</v>
      </c>
      <c r="G122" s="29" t="s">
        <v>378</v>
      </c>
      <c r="I122" s="27">
        <v>1</v>
      </c>
      <c r="J122" s="27">
        <v>50000</v>
      </c>
      <c r="L122" s="27"/>
      <c r="M122" s="27">
        <v>50000</v>
      </c>
      <c r="O122" s="48" t="s">
        <v>75</v>
      </c>
      <c r="P122" s="48">
        <f>HEX2DEC(RIGHT(Table1323212753586873[[#This Row],[h1]],8))</f>
        <v>0</v>
      </c>
      <c r="Q122" s="48" t="s">
        <v>75</v>
      </c>
      <c r="R122" s="48">
        <f>HEX2DEC(RIGHT(Table1323212753586873[[#This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355</v>
      </c>
      <c r="G123" s="29" t="s">
        <v>378</v>
      </c>
      <c r="I123" s="27">
        <v>3</v>
      </c>
      <c r="J123" s="27">
        <v>50000</v>
      </c>
      <c r="L123" s="27"/>
      <c r="M123" s="27">
        <v>50000</v>
      </c>
      <c r="O123" s="48" t="s">
        <v>75</v>
      </c>
      <c r="P123" s="48">
        <f>HEX2DEC(RIGHT(Table1323212753586873[[#This Row],[h1]],8))</f>
        <v>0</v>
      </c>
      <c r="Q123" s="48" t="s">
        <v>75</v>
      </c>
      <c r="R123" s="48">
        <f>HEX2DEC(RIGHT(Table1323212753586873[[#This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356</v>
      </c>
      <c r="G124" s="29" t="s">
        <v>378</v>
      </c>
      <c r="I124" s="27">
        <v>1</v>
      </c>
      <c r="J124" s="27">
        <v>50000</v>
      </c>
      <c r="L124" s="27"/>
      <c r="M124" s="27">
        <v>50000</v>
      </c>
      <c r="O124" s="48" t="s">
        <v>75</v>
      </c>
      <c r="P124" s="48">
        <f>HEX2DEC(RIGHT(Table1323212753586873[[#This Row],[h1]],8))</f>
        <v>0</v>
      </c>
      <c r="Q124" s="48" t="s">
        <v>75</v>
      </c>
      <c r="R124" s="48">
        <f>HEX2DEC(RIGHT(Table1323212753586873[[#This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357</v>
      </c>
      <c r="G125" s="29" t="s">
        <v>378</v>
      </c>
      <c r="I125" s="27">
        <v>2</v>
      </c>
      <c r="J125" s="27">
        <v>50000</v>
      </c>
      <c r="L125" s="27"/>
      <c r="M125" s="27">
        <v>50000</v>
      </c>
      <c r="O125" s="48" t="s">
        <v>75</v>
      </c>
      <c r="P125" s="48">
        <f>HEX2DEC(RIGHT(Table1323212753586873[[#This Row],[h1]],8))</f>
        <v>0</v>
      </c>
      <c r="Q125" s="48" t="s">
        <v>75</v>
      </c>
      <c r="R125" s="48">
        <f>HEX2DEC(RIGHT(Table1323212753586873[[#This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358</v>
      </c>
      <c r="G126" s="29" t="s">
        <v>378</v>
      </c>
      <c r="I126" s="27">
        <v>1</v>
      </c>
      <c r="J126" s="27">
        <v>50000</v>
      </c>
      <c r="L126" s="27"/>
      <c r="M126" s="27">
        <v>50000</v>
      </c>
      <c r="O126" s="48" t="s">
        <v>75</v>
      </c>
      <c r="P126" s="48">
        <f>HEX2DEC(RIGHT(Table1323212753586873[[#This Row],[h1]],8))</f>
        <v>0</v>
      </c>
      <c r="Q126" s="48" t="s">
        <v>75</v>
      </c>
      <c r="R126" s="48">
        <f>HEX2DEC(RIGHT(Table1323212753586873[[#This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359</v>
      </c>
      <c r="G127" s="29" t="s">
        <v>378</v>
      </c>
      <c r="I127" s="27">
        <v>3</v>
      </c>
      <c r="J127" s="27">
        <v>50000</v>
      </c>
      <c r="L127" s="27"/>
      <c r="M127" s="27">
        <v>50000</v>
      </c>
      <c r="O127" s="48" t="s">
        <v>75</v>
      </c>
      <c r="P127" s="48">
        <f>HEX2DEC(RIGHT(Table1323212753586873[[#This Row],[h1]],8))</f>
        <v>0</v>
      </c>
      <c r="Q127" s="48" t="s">
        <v>75</v>
      </c>
      <c r="R127" s="48">
        <f>HEX2DEC(RIGHT(Table1323212753586873[[#This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360</v>
      </c>
      <c r="G128" s="29" t="s">
        <v>378</v>
      </c>
      <c r="I128" s="27">
        <v>1</v>
      </c>
      <c r="J128" s="27">
        <v>50000</v>
      </c>
      <c r="L128" s="27"/>
      <c r="M128" s="27">
        <v>50000</v>
      </c>
      <c r="O128" s="48" t="s">
        <v>75</v>
      </c>
      <c r="P128" s="48">
        <f>HEX2DEC(RIGHT(Table1323212753586873[[#This Row],[h1]],8))</f>
        <v>0</v>
      </c>
      <c r="Q128" s="48" t="s">
        <v>75</v>
      </c>
      <c r="R128" s="48">
        <f>HEX2DEC(RIGHT(Table1323212753586873[[#This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361</v>
      </c>
      <c r="G129" s="29" t="s">
        <v>378</v>
      </c>
      <c r="I129" s="27">
        <v>2</v>
      </c>
      <c r="J129" s="27">
        <v>50000</v>
      </c>
      <c r="L129" s="27"/>
      <c r="M129" s="27">
        <v>50000</v>
      </c>
      <c r="O129" s="48" t="s">
        <v>75</v>
      </c>
      <c r="P129" s="48">
        <f>HEX2DEC(RIGHT(Table1323212753586873[[#This Row],[h1]],8))</f>
        <v>0</v>
      </c>
      <c r="Q129" s="48" t="s">
        <v>75</v>
      </c>
      <c r="R129" s="48">
        <f>HEX2DEC(RIGHT(Table1323212753586873[[#This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362</v>
      </c>
      <c r="G130" s="29" t="s">
        <v>378</v>
      </c>
      <c r="I130" s="27">
        <v>1</v>
      </c>
      <c r="J130" s="27">
        <v>50000</v>
      </c>
      <c r="L130" s="27"/>
      <c r="M130" s="27">
        <v>50000</v>
      </c>
      <c r="O130" s="48" t="s">
        <v>75</v>
      </c>
      <c r="P130" s="48">
        <f>HEX2DEC(RIGHT(Table1323212753586873[[#This Row],[h1]],8))</f>
        <v>0</v>
      </c>
      <c r="Q130" s="48" t="s">
        <v>75</v>
      </c>
      <c r="R130" s="48">
        <f>HEX2DEC(RIGHT(Table1323212753586873[[#This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363</v>
      </c>
      <c r="G131" s="29" t="s">
        <v>378</v>
      </c>
      <c r="I131" s="27">
        <v>4</v>
      </c>
      <c r="J131" s="27">
        <v>50000</v>
      </c>
      <c r="L131" s="27"/>
      <c r="M131" s="27">
        <v>50000</v>
      </c>
      <c r="O131" s="48" t="s">
        <v>75</v>
      </c>
      <c r="P131" s="48">
        <f>HEX2DEC(RIGHT(Table1323212753586873[[#This Row],[h1]],8))</f>
        <v>0</v>
      </c>
      <c r="Q131" s="48" t="s">
        <v>75</v>
      </c>
      <c r="R131" s="48">
        <f>HEX2DEC(RIGHT(Table1323212753586873[[#This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364</v>
      </c>
      <c r="G132" s="29" t="s">
        <v>378</v>
      </c>
      <c r="I132" s="27">
        <v>1</v>
      </c>
      <c r="J132" s="27">
        <v>50000</v>
      </c>
      <c r="L132" s="27"/>
      <c r="M132" s="27">
        <v>50000</v>
      </c>
      <c r="O132" s="48" t="s">
        <v>75</v>
      </c>
      <c r="P132" s="48">
        <f>HEX2DEC(RIGHT(Table1323212753586873[[#This Row],[h1]],8))</f>
        <v>0</v>
      </c>
      <c r="Q132" s="48" t="s">
        <v>75</v>
      </c>
      <c r="R132" s="48">
        <f>HEX2DEC(RIGHT(Table1323212753586873[[#This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365</v>
      </c>
      <c r="G133" s="29" t="s">
        <v>378</v>
      </c>
      <c r="I133" s="27">
        <v>2</v>
      </c>
      <c r="J133" s="27">
        <v>50000</v>
      </c>
      <c r="L133" s="27"/>
      <c r="M133" s="27">
        <v>50000</v>
      </c>
      <c r="O133" s="48" t="s">
        <v>75</v>
      </c>
      <c r="P133" s="48">
        <f>HEX2DEC(RIGHT(Table1323212753586873[[#This Row],[h1]],8))</f>
        <v>0</v>
      </c>
      <c r="Q133" s="48" t="s">
        <v>75</v>
      </c>
      <c r="R133" s="48">
        <f>HEX2DEC(RIGHT(Table1323212753586873[[#This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366</v>
      </c>
      <c r="G134" s="29" t="s">
        <v>378</v>
      </c>
      <c r="I134" s="27">
        <v>1</v>
      </c>
      <c r="J134" s="27">
        <v>50000</v>
      </c>
      <c r="L134" s="27"/>
      <c r="M134" s="27">
        <v>50000</v>
      </c>
      <c r="O134" s="48" t="s">
        <v>75</v>
      </c>
      <c r="P134" s="48">
        <f>HEX2DEC(RIGHT(Table1323212753586873[[#This Row],[h1]],8))</f>
        <v>0</v>
      </c>
      <c r="Q134" s="48" t="s">
        <v>75</v>
      </c>
      <c r="R134" s="48">
        <f>HEX2DEC(RIGHT(Table1323212753586873[[#This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367</v>
      </c>
      <c r="G135" s="29" t="s">
        <v>378</v>
      </c>
      <c r="I135" s="27">
        <v>3</v>
      </c>
      <c r="J135" s="27">
        <v>50000</v>
      </c>
      <c r="L135" s="27"/>
      <c r="M135" s="27">
        <v>50000</v>
      </c>
      <c r="O135" s="48" t="s">
        <v>75</v>
      </c>
      <c r="P135" s="48">
        <f>HEX2DEC(RIGHT(Table1323212753586873[[#This Row],[h1]],8))</f>
        <v>0</v>
      </c>
      <c r="Q135" s="48" t="s">
        <v>75</v>
      </c>
      <c r="R135" s="48">
        <f>HEX2DEC(RIGHT(Table1323212753586873[[#This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368</v>
      </c>
      <c r="G136" s="29" t="s">
        <v>378</v>
      </c>
      <c r="I136" s="27">
        <v>1</v>
      </c>
      <c r="J136" s="27">
        <v>50000</v>
      </c>
      <c r="L136" s="27"/>
      <c r="M136" s="27">
        <v>50000</v>
      </c>
      <c r="O136" s="48" t="s">
        <v>75</v>
      </c>
      <c r="P136" s="48">
        <f>HEX2DEC(RIGHT(Table1323212753586873[[#This Row],[h1]],8))</f>
        <v>0</v>
      </c>
      <c r="Q136" s="48" t="s">
        <v>75</v>
      </c>
      <c r="R136" s="48">
        <f>HEX2DEC(RIGHT(Table1323212753586873[[#This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369</v>
      </c>
      <c r="G137" s="29" t="s">
        <v>378</v>
      </c>
      <c r="I137" s="27">
        <v>2</v>
      </c>
      <c r="J137" s="27">
        <v>50000</v>
      </c>
      <c r="L137" s="27"/>
      <c r="M137" s="27">
        <v>50000</v>
      </c>
      <c r="O137" s="48" t="s">
        <v>75</v>
      </c>
      <c r="P137" s="48">
        <f>HEX2DEC(RIGHT(Table1323212753586873[[#This Row],[h1]],8))</f>
        <v>0</v>
      </c>
      <c r="Q137" s="48" t="s">
        <v>75</v>
      </c>
      <c r="R137" s="48">
        <f>HEX2DEC(RIGHT(Table1323212753586873[[#This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370</v>
      </c>
      <c r="G138" s="29" t="s">
        <v>378</v>
      </c>
      <c r="I138" s="27">
        <v>1</v>
      </c>
      <c r="J138" s="27">
        <v>50000</v>
      </c>
      <c r="L138" s="27"/>
      <c r="M138" s="27">
        <v>50000</v>
      </c>
      <c r="O138" s="48" t="s">
        <v>75</v>
      </c>
      <c r="P138" s="48">
        <f>HEX2DEC(RIGHT(Table1323212753586873[[#This Row],[h1]],8))</f>
        <v>0</v>
      </c>
      <c r="Q138" s="48" t="s">
        <v>75</v>
      </c>
      <c r="R138" s="48">
        <f>HEX2DEC(RIGHT(Table1323212753586873[[#This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371</v>
      </c>
      <c r="G139" s="29" t="s">
        <v>378</v>
      </c>
      <c r="I139" s="27">
        <v>3</v>
      </c>
      <c r="J139" s="27">
        <v>50000</v>
      </c>
      <c r="L139" s="27"/>
      <c r="M139" s="27">
        <v>50000</v>
      </c>
      <c r="O139" s="48" t="s">
        <v>75</v>
      </c>
      <c r="P139" s="48">
        <f>HEX2DEC(RIGHT(Table1323212753586873[[#This Row],[h1]],8))</f>
        <v>0</v>
      </c>
      <c r="Q139" s="48" t="s">
        <v>75</v>
      </c>
      <c r="R139" s="48">
        <f>HEX2DEC(RIGHT(Table1323212753586873[[#This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372</v>
      </c>
      <c r="G140" s="29" t="s">
        <v>378</v>
      </c>
      <c r="I140" s="27">
        <v>1</v>
      </c>
      <c r="J140" s="27">
        <v>50000</v>
      </c>
      <c r="L140" s="27"/>
      <c r="M140" s="27">
        <v>50000</v>
      </c>
      <c r="O140" s="48" t="s">
        <v>75</v>
      </c>
      <c r="P140" s="48">
        <f>HEX2DEC(RIGHT(Table1323212753586873[[#This Row],[h1]],8))</f>
        <v>0</v>
      </c>
      <c r="Q140" s="48" t="s">
        <v>75</v>
      </c>
      <c r="R140" s="48">
        <f>HEX2DEC(RIGHT(Table1323212753586873[[#This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373</v>
      </c>
      <c r="F141" s="21"/>
      <c r="G141" s="29" t="s">
        <v>378</v>
      </c>
      <c r="I141" s="27">
        <v>2</v>
      </c>
      <c r="J141" s="27">
        <v>50000</v>
      </c>
      <c r="L141" s="27"/>
      <c r="M141" s="27">
        <v>50000</v>
      </c>
      <c r="O141" s="48" t="s">
        <v>75</v>
      </c>
      <c r="P141" s="48">
        <f>HEX2DEC(RIGHT(Table1323212753586873[[#This Row],[h1]],8))</f>
        <v>0</v>
      </c>
      <c r="Q141" s="48" t="s">
        <v>75</v>
      </c>
      <c r="R141" s="48">
        <f>HEX2DEC(RIGHT(Table1323212753586873[[#This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374</v>
      </c>
      <c r="F142" s="21"/>
      <c r="G142" s="29" t="s">
        <v>378</v>
      </c>
      <c r="I142" s="27">
        <v>1</v>
      </c>
      <c r="J142" s="27">
        <v>50000</v>
      </c>
      <c r="L142" s="27"/>
      <c r="M142" s="27">
        <v>50000</v>
      </c>
      <c r="O142" s="48" t="s">
        <v>75</v>
      </c>
      <c r="P142" s="48">
        <f>HEX2DEC(RIGHT(Table1323212753586873[[#This Row],[h1]],8))</f>
        <v>0</v>
      </c>
      <c r="Q142" s="48" t="s">
        <v>75</v>
      </c>
      <c r="R142" s="48">
        <f>HEX2DEC(RIGHT(Table1323212753586873[[#This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375</v>
      </c>
      <c r="F143" s="21"/>
      <c r="G143" s="29" t="s">
        <v>378</v>
      </c>
      <c r="I143" s="27">
        <v>4</v>
      </c>
      <c r="J143" s="27">
        <v>50000</v>
      </c>
      <c r="L143" s="27"/>
      <c r="M143" s="27">
        <v>50000</v>
      </c>
      <c r="O143" s="48" t="s">
        <v>75</v>
      </c>
      <c r="P143" s="48">
        <f>HEX2DEC(RIGHT(Table1323212753586873[[#This Row],[h1]],8))</f>
        <v>0</v>
      </c>
      <c r="Q143" s="48" t="s">
        <v>75</v>
      </c>
      <c r="R143" s="48">
        <f>HEX2DEC(RIGHT(Table1323212753586873[[#This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376</v>
      </c>
      <c r="F144" s="21"/>
      <c r="G144" s="29" t="s">
        <v>378</v>
      </c>
      <c r="I144" s="27">
        <v>1</v>
      </c>
      <c r="J144" s="27">
        <v>50000</v>
      </c>
      <c r="L144" s="27"/>
      <c r="M144" s="27">
        <v>50000</v>
      </c>
      <c r="O144" s="48" t="s">
        <v>75</v>
      </c>
      <c r="P144" s="48">
        <f>HEX2DEC(RIGHT(Table1323212753586873[[#This Row],[h1]],8))</f>
        <v>0</v>
      </c>
      <c r="Q144" s="48" t="s">
        <v>75</v>
      </c>
      <c r="R144" s="48">
        <f>HEX2DEC(RIGHT(Table1323212753586873[[#This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377</v>
      </c>
      <c r="F145" s="21"/>
      <c r="G145" s="29" t="s">
        <v>378</v>
      </c>
      <c r="I145" s="27">
        <v>2</v>
      </c>
      <c r="J145" s="27">
        <v>50000</v>
      </c>
      <c r="L145" s="27"/>
      <c r="M145" s="27">
        <v>50000</v>
      </c>
      <c r="O145" s="48" t="s">
        <v>75</v>
      </c>
      <c r="P145" s="48">
        <f>HEX2DEC(RIGHT(Table1323212753586873[[#This Row],[h1]],8))</f>
        <v>0</v>
      </c>
      <c r="Q145" s="48" t="s">
        <v>75</v>
      </c>
      <c r="R145" s="48">
        <f>HEX2DEC(RIGHT(Table1323212753586873[[#This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1</v>
      </c>
      <c r="J146" s="27">
        <v>50000</v>
      </c>
      <c r="L146" s="27"/>
      <c r="M146" s="27">
        <v>50000</v>
      </c>
      <c r="O146" s="48" t="s">
        <v>75</v>
      </c>
      <c r="P146" s="48">
        <f>HEX2DEC(RIGHT(Table1323212753586873[[#This Row],[h1]],8))</f>
        <v>0</v>
      </c>
      <c r="Q146" s="48" t="s">
        <v>75</v>
      </c>
      <c r="R146" s="48">
        <f>HEX2DEC(RIGHT(Table1323212753586873[[#This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139</v>
      </c>
      <c r="G147" s="49">
        <v>0</v>
      </c>
      <c r="I147" s="27">
        <v>3</v>
      </c>
      <c r="J147" s="27">
        <v>50000</v>
      </c>
      <c r="L147" s="27"/>
      <c r="M147" s="27">
        <v>50000</v>
      </c>
      <c r="O147" s="48" t="s">
        <v>75</v>
      </c>
      <c r="P147" s="48">
        <f>HEX2DEC(RIGHT(Table1323212753586873[[#This Row],[h1]],8))</f>
        <v>0</v>
      </c>
      <c r="Q147" s="48" t="s">
        <v>75</v>
      </c>
      <c r="R147" s="48">
        <f>HEX2DEC(RIGHT(Table1323212753586873[[#This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140</v>
      </c>
      <c r="G148" s="49">
        <v>0</v>
      </c>
      <c r="I148" s="27">
        <v>1</v>
      </c>
      <c r="J148" s="27">
        <v>50000</v>
      </c>
      <c r="L148" s="27"/>
      <c r="M148" s="27">
        <v>50000</v>
      </c>
      <c r="O148" s="48" t="s">
        <v>75</v>
      </c>
      <c r="P148" s="48">
        <f>HEX2DEC(RIGHT(Table1323212753586873[[#This Row],[h1]],8))</f>
        <v>0</v>
      </c>
      <c r="Q148" s="48" t="s">
        <v>75</v>
      </c>
      <c r="R148" s="48">
        <f>HEX2DEC(RIGHT(Table1323212753586873[[#This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141</v>
      </c>
      <c r="G149" s="49">
        <v>0</v>
      </c>
      <c r="I149" s="27">
        <v>2</v>
      </c>
      <c r="J149" s="27">
        <v>50000</v>
      </c>
      <c r="L149" s="27"/>
      <c r="M149" s="27">
        <v>50000</v>
      </c>
      <c r="O149" s="48" t="s">
        <v>75</v>
      </c>
      <c r="P149" s="48">
        <f>HEX2DEC(RIGHT(Table1323212753586873[[#This Row],[h1]],8))</f>
        <v>0</v>
      </c>
      <c r="Q149" s="48" t="s">
        <v>75</v>
      </c>
      <c r="R149" s="48">
        <f>HEX2DEC(RIGHT(Table1323212753586873[[#This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142</v>
      </c>
      <c r="G150" s="49">
        <v>0</v>
      </c>
      <c r="I150" s="27">
        <v>1</v>
      </c>
      <c r="J150" s="27">
        <v>50000</v>
      </c>
      <c r="L150" s="27"/>
      <c r="M150" s="27">
        <v>50000</v>
      </c>
      <c r="O150" s="48" t="s">
        <v>75</v>
      </c>
      <c r="P150" s="48">
        <f>HEX2DEC(RIGHT(Table1323212753586873[[#This Row],[h1]],8))</f>
        <v>0</v>
      </c>
      <c r="Q150" s="48" t="s">
        <v>75</v>
      </c>
      <c r="R150" s="48">
        <f>HEX2DEC(RIGHT(Table1323212753586873[[#This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143</v>
      </c>
      <c r="G151" s="49">
        <v>0</v>
      </c>
      <c r="I151" s="27">
        <v>3</v>
      </c>
      <c r="J151" s="27">
        <v>50000</v>
      </c>
      <c r="L151" s="27"/>
      <c r="M151" s="27">
        <v>50000</v>
      </c>
      <c r="O151" s="48" t="s">
        <v>75</v>
      </c>
      <c r="P151" s="48">
        <f>HEX2DEC(RIGHT(Table1323212753586873[[#This Row],[h1]],8))</f>
        <v>0</v>
      </c>
      <c r="Q151" s="48" t="s">
        <v>75</v>
      </c>
      <c r="R151" s="48">
        <f>HEX2DEC(RIGHT(Table1323212753586873[[#This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144</v>
      </c>
      <c r="G152" s="49">
        <v>0</v>
      </c>
      <c r="I152" s="27">
        <v>1</v>
      </c>
      <c r="J152" s="27">
        <v>50000</v>
      </c>
      <c r="L152" s="27"/>
      <c r="M152" s="27">
        <v>50000</v>
      </c>
      <c r="O152" s="48" t="s">
        <v>75</v>
      </c>
      <c r="P152" s="48">
        <f>HEX2DEC(RIGHT(Table1323212753586873[[#This Row],[h1]],8))</f>
        <v>0</v>
      </c>
      <c r="Q152" s="48" t="s">
        <v>75</v>
      </c>
      <c r="R152" s="48">
        <f>HEX2DEC(RIGHT(Table1323212753586873[[#This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145</v>
      </c>
      <c r="G153" s="49">
        <v>0</v>
      </c>
      <c r="I153" s="27">
        <v>2</v>
      </c>
      <c r="J153" s="27">
        <v>50000</v>
      </c>
      <c r="L153" s="27"/>
      <c r="M153" s="27">
        <v>50000</v>
      </c>
      <c r="O153" s="48" t="s">
        <v>75</v>
      </c>
      <c r="P153" s="48">
        <f>HEX2DEC(RIGHT(Table1323212753586873[[#This Row],[h1]],8))</f>
        <v>0</v>
      </c>
      <c r="Q153" s="48" t="s">
        <v>75</v>
      </c>
      <c r="R153" s="48">
        <f>HEX2DEC(RIGHT(Table1323212753586873[[#This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146</v>
      </c>
      <c r="G154" s="49">
        <v>0</v>
      </c>
      <c r="I154" s="27">
        <v>1</v>
      </c>
      <c r="J154" s="27">
        <v>50000</v>
      </c>
      <c r="L154" s="27"/>
      <c r="M154" s="27">
        <v>50000</v>
      </c>
      <c r="O154" s="48" t="s">
        <v>75</v>
      </c>
      <c r="P154" s="48">
        <f>HEX2DEC(RIGHT(Table1323212753586873[[#This Row],[h1]],8))</f>
        <v>0</v>
      </c>
      <c r="Q154" s="48" t="s">
        <v>75</v>
      </c>
      <c r="R154" s="48">
        <f>HEX2DEC(RIGHT(Table1323212753586873[[#This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48"/>
      <c r="I155" s="27">
        <v>4</v>
      </c>
      <c r="J155" s="27">
        <v>50000</v>
      </c>
      <c r="L155" s="27"/>
      <c r="M155" s="27">
        <v>50000</v>
      </c>
      <c r="O155" s="48" t="s">
        <v>75</v>
      </c>
      <c r="P155" s="48">
        <f>HEX2DEC(RIGHT(Table1323212753586873[[#This Row],[h1]],8))</f>
        <v>0</v>
      </c>
      <c r="Q155" s="48" t="s">
        <v>75</v>
      </c>
      <c r="R155" s="48">
        <f>HEX2DEC(RIGHT(Table1323212753586873[[#This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243</v>
      </c>
      <c r="F156" s="21"/>
      <c r="G156" s="52">
        <v>1</v>
      </c>
      <c r="I156" s="27">
        <v>1</v>
      </c>
      <c r="J156" s="27">
        <v>50000</v>
      </c>
      <c r="L156" s="27"/>
      <c r="M156" s="27">
        <v>50000</v>
      </c>
      <c r="O156" s="48" t="s">
        <v>75</v>
      </c>
      <c r="P156" s="48">
        <f>HEX2DEC(RIGHT(Table1323212753586873[[#This Row],[h1]],8))</f>
        <v>0</v>
      </c>
      <c r="Q156" s="48" t="s">
        <v>75</v>
      </c>
      <c r="R156" s="48">
        <f>HEX2DEC(RIGHT(Table1323212753586873[[#This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243</v>
      </c>
      <c r="F157" s="21"/>
      <c r="G157" s="52">
        <v>0</v>
      </c>
      <c r="I157" s="27">
        <v>2</v>
      </c>
      <c r="J157" s="27">
        <v>50000</v>
      </c>
      <c r="L157" s="27"/>
      <c r="M157" s="27">
        <v>50000</v>
      </c>
      <c r="O157" s="48" t="s">
        <v>75</v>
      </c>
      <c r="P157" s="48">
        <f>HEX2DEC(RIGHT(Table1323212753586873[[#This Row],[h1]],8))</f>
        <v>0</v>
      </c>
      <c r="Q157" s="48" t="s">
        <v>75</v>
      </c>
      <c r="R157" s="48">
        <f>HEX2DEC(RIGHT(Table1323212753586873[[#This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1</v>
      </c>
      <c r="J158" s="27">
        <v>50000</v>
      </c>
      <c r="L158" s="27"/>
      <c r="M158" s="27">
        <v>50000</v>
      </c>
      <c r="O158" s="48" t="s">
        <v>75</v>
      </c>
      <c r="P158" s="48">
        <f>HEX2DEC(RIGHT(Table1323212753586873[[#This Row],[h1]],8))</f>
        <v>0</v>
      </c>
      <c r="Q158" s="48" t="s">
        <v>75</v>
      </c>
      <c r="R158" s="48">
        <f>HEX2DEC(RIGHT(Table1323212753586873[[#This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244</v>
      </c>
      <c r="F159" s="21"/>
      <c r="G159" s="49">
        <v>0</v>
      </c>
      <c r="I159" s="27">
        <v>3</v>
      </c>
      <c r="J159" s="27">
        <v>50000</v>
      </c>
      <c r="L159" s="27"/>
      <c r="M159" s="27">
        <v>50000</v>
      </c>
      <c r="O159" s="48" t="s">
        <v>75</v>
      </c>
      <c r="P159" s="48">
        <f>HEX2DEC(RIGHT(Table1323212753586873[[#This Row],[h1]],8))</f>
        <v>0</v>
      </c>
      <c r="Q159" s="48" t="s">
        <v>75</v>
      </c>
      <c r="R159" s="48">
        <f>HEX2DEC(RIGHT(Table1323212753586873[[#This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245</v>
      </c>
      <c r="F160" s="21"/>
      <c r="G160" s="49">
        <v>0</v>
      </c>
      <c r="I160" s="27">
        <v>1</v>
      </c>
      <c r="J160" s="27">
        <v>50000</v>
      </c>
      <c r="L160" s="27"/>
      <c r="M160" s="27">
        <v>50000</v>
      </c>
      <c r="O160" s="48" t="s">
        <v>75</v>
      </c>
      <c r="P160" s="48">
        <f>HEX2DEC(RIGHT(Table1323212753586873[[#This Row],[h1]],8))</f>
        <v>0</v>
      </c>
      <c r="Q160" s="48" t="s">
        <v>75</v>
      </c>
      <c r="R160" s="48">
        <f>HEX2DEC(RIGHT(Table1323212753586873[[#This Row],[h2]],8))</f>
        <v>0</v>
      </c>
    </row>
    <row r="161" spans="1:18">
      <c r="A161" s="15" t="str">
        <f t="shared" si="7"/>
        <v>097</v>
      </c>
      <c r="B161" s="15">
        <v>151</v>
      </c>
      <c r="C161" s="38"/>
      <c r="D161" s="15" t="s">
        <v>246</v>
      </c>
      <c r="F161" s="21"/>
      <c r="G161" s="49">
        <v>0</v>
      </c>
      <c r="I161" s="27">
        <v>2</v>
      </c>
      <c r="J161" s="27">
        <v>50000</v>
      </c>
      <c r="L161" s="27"/>
      <c r="M161" s="27">
        <v>50000</v>
      </c>
      <c r="O161" s="48" t="s">
        <v>75</v>
      </c>
      <c r="P161" s="48">
        <f>HEX2DEC(RIGHT(Table1323212753586873[[#This Row],[h1]],8))</f>
        <v>0</v>
      </c>
      <c r="Q161" s="48" t="s">
        <v>75</v>
      </c>
      <c r="R161" s="48">
        <f>HEX2DEC(RIGHT(Table1323212753586873[[#This Row],[h2]],8))</f>
        <v>0</v>
      </c>
    </row>
    <row r="162" spans="1:18">
      <c r="A162" s="15" t="str">
        <f t="shared" si="7"/>
        <v>098</v>
      </c>
      <c r="B162" s="15">
        <v>152</v>
      </c>
      <c r="C162" s="38"/>
      <c r="F162" s="21"/>
      <c r="G162" s="49"/>
      <c r="I162" s="27">
        <v>1</v>
      </c>
      <c r="J162" s="27">
        <v>50000</v>
      </c>
      <c r="L162" s="27"/>
      <c r="M162" s="27">
        <v>50000</v>
      </c>
      <c r="O162" s="48" t="s">
        <v>75</v>
      </c>
      <c r="P162" s="48">
        <f>HEX2DEC(RIGHT(Table1323212753586873[[#This Row],[h1]],8))</f>
        <v>0</v>
      </c>
      <c r="Q162" s="48" t="s">
        <v>75</v>
      </c>
      <c r="R162" s="48">
        <f>HEX2DEC(RIGHT(Table1323212753586873[[#This Row],[h2]],8))</f>
        <v>0</v>
      </c>
    </row>
    <row r="163" spans="1:18">
      <c r="A163" s="15" t="str">
        <f t="shared" si="7"/>
        <v>099</v>
      </c>
      <c r="B163" s="15">
        <v>153</v>
      </c>
      <c r="C163" s="38"/>
      <c r="D163" s="15" t="s">
        <v>247</v>
      </c>
      <c r="F163" s="21"/>
      <c r="G163" s="49">
        <v>1</v>
      </c>
      <c r="I163" s="27">
        <v>3</v>
      </c>
      <c r="J163" s="27">
        <v>50000</v>
      </c>
      <c r="L163" s="27"/>
      <c r="M163" s="27">
        <v>50000</v>
      </c>
      <c r="O163" s="48" t="s">
        <v>75</v>
      </c>
      <c r="P163" s="48">
        <f>HEX2DEC(RIGHT(Table1323212753586873[[#This Row],[h1]],8))</f>
        <v>0</v>
      </c>
      <c r="Q163" s="48" t="s">
        <v>75</v>
      </c>
      <c r="R163" s="48">
        <f>HEX2DEC(RIGHT(Table1323212753586873[[#This Row],[h2]],8))</f>
        <v>0</v>
      </c>
    </row>
    <row r="164" spans="1:18">
      <c r="A164" s="15" t="str">
        <f t="shared" si="7"/>
        <v>09A</v>
      </c>
      <c r="B164" s="15">
        <v>154</v>
      </c>
      <c r="C164" s="38"/>
      <c r="D164" s="15" t="s">
        <v>248</v>
      </c>
      <c r="F164" s="21"/>
      <c r="G164" s="49">
        <v>1</v>
      </c>
      <c r="I164" s="27">
        <v>1</v>
      </c>
      <c r="J164" s="27">
        <v>50000</v>
      </c>
      <c r="L164" s="27"/>
      <c r="M164" s="27">
        <v>50000</v>
      </c>
      <c r="O164" s="48" t="s">
        <v>75</v>
      </c>
      <c r="P164" s="48">
        <f>HEX2DEC(RIGHT(Table1323212753586873[[#This Row],[h1]],8))</f>
        <v>0</v>
      </c>
      <c r="Q164" s="48" t="s">
        <v>75</v>
      </c>
      <c r="R164" s="48">
        <f>HEX2DEC(RIGHT(Table1323212753586873[[#This Row],[h2]],8))</f>
        <v>0</v>
      </c>
    </row>
    <row r="165" spans="1:18">
      <c r="A165" s="15" t="str">
        <f t="shared" si="7"/>
        <v>09B</v>
      </c>
      <c r="B165" s="15">
        <v>155</v>
      </c>
      <c r="C165" s="38"/>
      <c r="D165" s="15" t="s">
        <v>249</v>
      </c>
      <c r="F165" s="21"/>
      <c r="G165" s="49">
        <v>1</v>
      </c>
      <c r="I165" s="27">
        <v>2</v>
      </c>
      <c r="J165" s="27">
        <v>50000</v>
      </c>
      <c r="L165" s="27"/>
      <c r="M165" s="27">
        <v>50000</v>
      </c>
      <c r="O165" s="48" t="s">
        <v>75</v>
      </c>
      <c r="P165" s="48">
        <f>HEX2DEC(RIGHT(Table1323212753586873[[#This Row],[h1]],8))</f>
        <v>0</v>
      </c>
      <c r="Q165" s="48" t="s">
        <v>75</v>
      </c>
      <c r="R165" s="48">
        <f>HEX2DEC(RIGHT(Table1323212753586873[[#This Row],[h2]],8))</f>
        <v>0</v>
      </c>
    </row>
    <row r="166" spans="1:18">
      <c r="A166" s="15" t="str">
        <f t="shared" si="7"/>
        <v>09C</v>
      </c>
      <c r="B166" s="15">
        <v>156</v>
      </c>
      <c r="C166" s="38"/>
      <c r="D166" s="15" t="s">
        <v>331</v>
      </c>
      <c r="F166" s="21"/>
      <c r="G166" s="49">
        <v>1</v>
      </c>
      <c r="I166" s="27">
        <v>1</v>
      </c>
      <c r="J166" s="27">
        <v>50000</v>
      </c>
      <c r="L166" s="27"/>
      <c r="M166" s="27">
        <v>50000</v>
      </c>
      <c r="O166" s="48" t="s">
        <v>75</v>
      </c>
      <c r="P166" s="48">
        <f>HEX2DEC(RIGHT(Table1323212753586873[[#This Row],[h1]],8))</f>
        <v>0</v>
      </c>
      <c r="Q166" s="48" t="s">
        <v>75</v>
      </c>
      <c r="R166" s="48">
        <f>HEX2DEC(RIGHT(Table1323212753586873[[#This Row],[h2]],8))</f>
        <v>0</v>
      </c>
    </row>
    <row r="167" spans="1:18">
      <c r="A167" s="15" t="str">
        <f t="shared" si="7"/>
        <v>09D</v>
      </c>
      <c r="B167" s="15">
        <v>157</v>
      </c>
      <c r="C167" s="38"/>
      <c r="G167" s="31"/>
      <c r="I167" s="27">
        <v>4</v>
      </c>
      <c r="J167" s="27">
        <v>50000</v>
      </c>
      <c r="L167" s="27"/>
      <c r="M167" s="27">
        <v>50000</v>
      </c>
      <c r="O167" s="48" t="s">
        <v>75</v>
      </c>
      <c r="P167" s="48">
        <f>HEX2DEC(RIGHT(Table1323212753586873[[#This Row],[h1]],8))</f>
        <v>0</v>
      </c>
      <c r="Q167" s="48" t="s">
        <v>75</v>
      </c>
      <c r="R167" s="48">
        <f>HEX2DEC(RIGHT(Table1323212753586873[[#This Row],[h2]],8))</f>
        <v>0</v>
      </c>
    </row>
    <row r="168" spans="1:18">
      <c r="A168" s="15" t="str">
        <f t="shared" si="7"/>
        <v>09E</v>
      </c>
      <c r="B168" s="15">
        <v>158</v>
      </c>
      <c r="C168" s="38"/>
      <c r="D168" s="15" t="s">
        <v>409</v>
      </c>
      <c r="F168" s="29" t="s">
        <v>332</v>
      </c>
      <c r="G168" s="18">
        <f>HEX2DEC(RIGHT(Table13192551566671[[#This Row],[dec val]],8))</f>
        <v>65536</v>
      </c>
      <c r="I168" s="27">
        <v>1</v>
      </c>
      <c r="J168" s="27">
        <v>50000</v>
      </c>
      <c r="L168" s="27"/>
      <c r="M168" s="27">
        <v>50000</v>
      </c>
      <c r="O168" s="48" t="s">
        <v>75</v>
      </c>
      <c r="P168" s="48">
        <f>HEX2DEC(RIGHT(Table1323212753586873[[#This Row],[h1]],8))</f>
        <v>0</v>
      </c>
      <c r="Q168" s="48" t="s">
        <v>75</v>
      </c>
      <c r="R168" s="48">
        <f>HEX2DEC(RIGHT(Table1323212753586873[[#This Row],[h2]],8))</f>
        <v>0</v>
      </c>
    </row>
    <row r="169" spans="1:18">
      <c r="A169" s="15" t="str">
        <f t="shared" si="7"/>
        <v>09F</v>
      </c>
      <c r="B169" s="15">
        <v>159</v>
      </c>
      <c r="C169" s="38"/>
      <c r="D169" s="15" t="s">
        <v>410</v>
      </c>
      <c r="F169" s="29" t="s">
        <v>333</v>
      </c>
      <c r="G169" s="18">
        <f>HEX2DEC(RIGHT(Table13192551566671[[#This Row],[dec val]],8))</f>
        <v>196608</v>
      </c>
      <c r="I169" s="27">
        <v>2</v>
      </c>
      <c r="J169" s="27">
        <v>50000</v>
      </c>
      <c r="L169" s="27"/>
      <c r="M169" s="27">
        <v>50000</v>
      </c>
      <c r="O169" s="48" t="s">
        <v>75</v>
      </c>
      <c r="P169" s="48">
        <f>HEX2DEC(RIGHT(Table1323212753586873[[#This Row],[h1]],8))</f>
        <v>0</v>
      </c>
      <c r="Q169" s="48" t="s">
        <v>75</v>
      </c>
      <c r="R169" s="48">
        <f>HEX2DEC(RIGHT(Table1323212753586873[[#This Row],[h2]],8))</f>
        <v>0</v>
      </c>
    </row>
    <row r="170" spans="1:18">
      <c r="A170" s="15" t="str">
        <f t="shared" si="7"/>
        <v>0A0</v>
      </c>
      <c r="B170" s="15">
        <v>160</v>
      </c>
      <c r="C170" s="38"/>
      <c r="D170" s="15" t="s">
        <v>411</v>
      </c>
      <c r="F170" s="29" t="s">
        <v>334</v>
      </c>
      <c r="G170" s="18">
        <f>HEX2DEC(RIGHT(Table13192551566671[[#This Row],[dec val]],8))</f>
        <v>458752</v>
      </c>
      <c r="I170" s="27">
        <v>1</v>
      </c>
      <c r="J170" s="27">
        <v>50000</v>
      </c>
      <c r="L170" s="27"/>
      <c r="M170" s="27">
        <v>50000</v>
      </c>
      <c r="O170" s="48" t="s">
        <v>75</v>
      </c>
      <c r="P170" s="48">
        <f>HEX2DEC(RIGHT(Table1323212753586873[[#This Row],[h1]],8))</f>
        <v>0</v>
      </c>
      <c r="Q170" s="48" t="s">
        <v>75</v>
      </c>
      <c r="R170" s="48">
        <f>HEX2DEC(RIGHT(Table1323212753586873[[#This Row],[h2]],8))</f>
        <v>0</v>
      </c>
    </row>
    <row r="171" spans="1:18">
      <c r="A171" s="15" t="str">
        <f t="shared" si="7"/>
        <v>0A1</v>
      </c>
      <c r="B171" s="15">
        <v>161</v>
      </c>
      <c r="C171" s="38"/>
      <c r="D171" s="15" t="s">
        <v>412</v>
      </c>
      <c r="F171" s="29" t="s">
        <v>335</v>
      </c>
      <c r="G171" s="18">
        <f>HEX2DEC(RIGHT(Table13192551566671[[#This Row],[dec val]],8))</f>
        <v>983040</v>
      </c>
      <c r="I171" s="27">
        <v>3</v>
      </c>
      <c r="J171" s="27">
        <v>50000</v>
      </c>
      <c r="L171" s="27"/>
      <c r="M171" s="27">
        <v>50000</v>
      </c>
      <c r="O171" s="48" t="s">
        <v>75</v>
      </c>
      <c r="P171" s="48">
        <f>HEX2DEC(RIGHT(Table1323212753586873[[#This Row],[h1]],8))</f>
        <v>0</v>
      </c>
      <c r="Q171" s="48" t="s">
        <v>75</v>
      </c>
      <c r="R171" s="48">
        <f>HEX2DEC(RIGHT(Table1323212753586873[[#This Row],[h2]],8))</f>
        <v>0</v>
      </c>
    </row>
    <row r="172" spans="1:18">
      <c r="A172" s="15" t="str">
        <f t="shared" si="7"/>
        <v>0A2</v>
      </c>
      <c r="B172" s="15">
        <v>162</v>
      </c>
      <c r="C172" s="38"/>
      <c r="D172" s="15" t="s">
        <v>413</v>
      </c>
      <c r="F172" s="29" t="s">
        <v>407</v>
      </c>
      <c r="G172" s="18">
        <f>HEX2DEC(RIGHT(Table13192551566671[[#This Row],[dec val]],8))</f>
        <v>2031616</v>
      </c>
      <c r="I172" s="27">
        <v>1</v>
      </c>
      <c r="J172" s="27">
        <v>50000</v>
      </c>
      <c r="L172" s="27"/>
      <c r="M172" s="27">
        <v>50000</v>
      </c>
      <c r="O172" s="48" t="s">
        <v>75</v>
      </c>
      <c r="P172" s="48">
        <f>HEX2DEC(RIGHT(Table1323212753586873[[#This Row],[h1]],8))</f>
        <v>0</v>
      </c>
      <c r="Q172" s="48" t="s">
        <v>75</v>
      </c>
      <c r="R172" s="48">
        <f>HEX2DEC(RIGHT(Table1323212753586873[[#This Row],[h2]],8))</f>
        <v>0</v>
      </c>
    </row>
    <row r="173" spans="1:18">
      <c r="A173" s="15" t="str">
        <f t="shared" si="7"/>
        <v>0A3</v>
      </c>
      <c r="B173" s="15">
        <v>163</v>
      </c>
      <c r="C173" s="38"/>
      <c r="D173" s="15" t="s">
        <v>414</v>
      </c>
      <c r="F173" s="29" t="s">
        <v>75</v>
      </c>
      <c r="G173" s="18">
        <f>HEX2DEC(RIGHT(Table13192551566671[[#This Row],[dec val]],8))</f>
        <v>0</v>
      </c>
      <c r="I173" s="27">
        <v>2</v>
      </c>
      <c r="J173" s="27">
        <v>50000</v>
      </c>
      <c r="L173" s="27"/>
      <c r="M173" s="27">
        <v>50000</v>
      </c>
      <c r="O173" s="48" t="s">
        <v>75</v>
      </c>
      <c r="P173" s="48">
        <f>HEX2DEC(RIGHT(Table1323212753586873[[#This Row],[h1]],8))</f>
        <v>0</v>
      </c>
      <c r="Q173" s="48" t="s">
        <v>75</v>
      </c>
      <c r="R173" s="48">
        <f>HEX2DEC(RIGHT(Table1323212753586873[[#This Row],[h2]],8))</f>
        <v>0</v>
      </c>
    </row>
    <row r="174" spans="1:18">
      <c r="A174" s="15" t="str">
        <f t="shared" si="7"/>
        <v>0A4</v>
      </c>
      <c r="B174" s="15">
        <v>164</v>
      </c>
      <c r="C174" s="38"/>
      <c r="D174" s="15" t="s">
        <v>415</v>
      </c>
      <c r="F174" s="29" t="s">
        <v>75</v>
      </c>
      <c r="G174" s="18">
        <f>HEX2DEC(RIGHT(Table13192551566671[[#This Row],[dec val]],8))</f>
        <v>0</v>
      </c>
      <c r="I174" s="27">
        <v>1</v>
      </c>
      <c r="J174" s="27">
        <v>50000</v>
      </c>
      <c r="L174" s="27"/>
      <c r="M174" s="27">
        <v>50000</v>
      </c>
      <c r="O174" s="48" t="s">
        <v>75</v>
      </c>
      <c r="P174" s="48">
        <f>HEX2DEC(RIGHT(Table1323212753586873[[#This Row],[h1]],8))</f>
        <v>0</v>
      </c>
      <c r="Q174" s="48" t="s">
        <v>75</v>
      </c>
      <c r="R174" s="48">
        <f>HEX2DEC(RIGHT(Table1323212753586873[[#This Row],[h2]],8))</f>
        <v>0</v>
      </c>
    </row>
    <row r="175" spans="1:18">
      <c r="A175" s="15" t="str">
        <f t="shared" si="7"/>
        <v>0A5</v>
      </c>
      <c r="B175" s="15">
        <v>165</v>
      </c>
      <c r="C175" s="38"/>
      <c r="D175" s="15" t="s">
        <v>416</v>
      </c>
      <c r="F175" s="29" t="s">
        <v>75</v>
      </c>
      <c r="G175" s="18">
        <f>HEX2DEC(RIGHT(Table13192551566671[[#This Row],[dec val]],8))</f>
        <v>0</v>
      </c>
      <c r="I175" s="27">
        <v>3</v>
      </c>
      <c r="J175" s="27">
        <v>50000</v>
      </c>
      <c r="L175" s="27"/>
      <c r="M175" s="27">
        <v>50000</v>
      </c>
      <c r="O175" s="48" t="s">
        <v>75</v>
      </c>
      <c r="P175" s="48">
        <f>HEX2DEC(RIGHT(Table1323212753586873[[#This Row],[h1]],8))</f>
        <v>0</v>
      </c>
      <c r="Q175" s="48" t="s">
        <v>75</v>
      </c>
      <c r="R175" s="48">
        <f>HEX2DEC(RIGHT(Table1323212753586873[[#This Row],[h2]],8))</f>
        <v>0</v>
      </c>
    </row>
    <row r="176" spans="1:18">
      <c r="A176" s="15" t="str">
        <f t="shared" si="7"/>
        <v>0A6</v>
      </c>
      <c r="B176" s="15">
        <v>166</v>
      </c>
      <c r="C176" s="38"/>
      <c r="D176" s="15" t="s">
        <v>417</v>
      </c>
      <c r="F176" s="29" t="s">
        <v>75</v>
      </c>
      <c r="G176" s="18">
        <f>HEX2DEC(RIGHT(Table13192551566671[[#This Row],[dec val]],8))</f>
        <v>0</v>
      </c>
      <c r="I176" s="27">
        <v>1</v>
      </c>
      <c r="J176" s="27">
        <v>50000</v>
      </c>
      <c r="L176" s="27"/>
      <c r="M176" s="27">
        <v>50000</v>
      </c>
      <c r="O176" s="48" t="s">
        <v>75</v>
      </c>
      <c r="P176" s="48">
        <f>HEX2DEC(RIGHT(Table1323212753586873[[#This Row],[h1]],8))</f>
        <v>0</v>
      </c>
      <c r="Q176" s="48" t="s">
        <v>75</v>
      </c>
      <c r="R176" s="48">
        <f>HEX2DEC(RIGHT(Table1323212753586873[[#This Row],[h2]],8))</f>
        <v>0</v>
      </c>
    </row>
    <row r="177" spans="1:18">
      <c r="A177" s="15" t="str">
        <f t="shared" si="7"/>
        <v>0A7</v>
      </c>
      <c r="B177" s="15">
        <v>167</v>
      </c>
      <c r="C177" s="38"/>
      <c r="D177" s="15" t="s">
        <v>418</v>
      </c>
      <c r="F177" s="29" t="s">
        <v>75</v>
      </c>
      <c r="G177" s="18">
        <f>HEX2DEC(RIGHT(Table13192551566671[[#This Row],[dec val]],8))</f>
        <v>0</v>
      </c>
      <c r="I177" s="27">
        <v>2</v>
      </c>
      <c r="J177" s="27">
        <v>50000</v>
      </c>
      <c r="L177" s="27"/>
      <c r="M177" s="27">
        <v>50000</v>
      </c>
      <c r="O177" s="48" t="s">
        <v>75</v>
      </c>
      <c r="P177" s="48">
        <f>HEX2DEC(RIGHT(Table1323212753586873[[#This Row],[h1]],8))</f>
        <v>0</v>
      </c>
      <c r="Q177" s="48" t="s">
        <v>75</v>
      </c>
      <c r="R177" s="48">
        <f>HEX2DEC(RIGHT(Table1323212753586873[[#This Row],[h2]],8))</f>
        <v>0</v>
      </c>
    </row>
    <row r="178" spans="1:18">
      <c r="A178" s="15" t="str">
        <f t="shared" si="7"/>
        <v>0A8</v>
      </c>
      <c r="B178" s="15">
        <v>168</v>
      </c>
      <c r="C178" s="38"/>
      <c r="D178" s="15" t="s">
        <v>419</v>
      </c>
      <c r="F178" s="29" t="s">
        <v>75</v>
      </c>
      <c r="G178" s="18">
        <f>HEX2DEC(RIGHT(Table13192551566671[[#This Row],[dec val]],8))</f>
        <v>0</v>
      </c>
      <c r="I178" s="27">
        <v>1</v>
      </c>
      <c r="J178" s="27">
        <v>50000</v>
      </c>
      <c r="L178" s="27"/>
      <c r="M178" s="27">
        <v>50000</v>
      </c>
      <c r="O178" s="48" t="s">
        <v>75</v>
      </c>
      <c r="P178" s="48">
        <f>HEX2DEC(RIGHT(Table1323212753586873[[#This Row],[h1]],8))</f>
        <v>0</v>
      </c>
      <c r="Q178" s="48" t="s">
        <v>75</v>
      </c>
      <c r="R178" s="48">
        <f>HEX2DEC(RIGHT(Table1323212753586873[[#This Row],[h2]],8))</f>
        <v>0</v>
      </c>
    </row>
    <row r="179" spans="1:18">
      <c r="A179" s="15" t="str">
        <f t="shared" si="7"/>
        <v>0A9</v>
      </c>
      <c r="B179" s="15">
        <v>169</v>
      </c>
      <c r="C179" s="38"/>
      <c r="D179" s="15" t="s">
        <v>420</v>
      </c>
      <c r="F179" s="29" t="s">
        <v>75</v>
      </c>
      <c r="G179" s="18">
        <f>HEX2DEC(RIGHT(Table13192551566671[[#This Row],[dec val]],8))</f>
        <v>0</v>
      </c>
      <c r="I179" s="27">
        <v>4</v>
      </c>
      <c r="J179" s="27">
        <v>50000</v>
      </c>
      <c r="L179" s="27"/>
      <c r="M179" s="27">
        <v>50000</v>
      </c>
      <c r="O179" s="48" t="s">
        <v>75</v>
      </c>
      <c r="P179" s="48">
        <f>HEX2DEC(RIGHT(Table1323212753586873[[#This Row],[h1]],8))</f>
        <v>0</v>
      </c>
      <c r="Q179" s="48" t="s">
        <v>75</v>
      </c>
      <c r="R179" s="48">
        <f>HEX2DEC(RIGHT(Table1323212753586873[[#This Row],[h2]],8))</f>
        <v>0</v>
      </c>
    </row>
    <row r="180" spans="1:18">
      <c r="A180" s="15" t="str">
        <f t="shared" si="7"/>
        <v>0AA</v>
      </c>
      <c r="B180" s="15">
        <v>170</v>
      </c>
      <c r="C180" s="38"/>
      <c r="D180" s="15" t="s">
        <v>421</v>
      </c>
      <c r="F180" s="29" t="s">
        <v>75</v>
      </c>
      <c r="G180" s="18">
        <f>HEX2DEC(RIGHT(Table13192551566671[[#This Row],[dec val]],8))</f>
        <v>0</v>
      </c>
      <c r="I180" s="27">
        <v>1</v>
      </c>
      <c r="J180" s="27">
        <v>50000</v>
      </c>
      <c r="L180" s="27"/>
      <c r="M180" s="27">
        <v>50000</v>
      </c>
      <c r="O180" s="48" t="s">
        <v>75</v>
      </c>
      <c r="P180" s="48">
        <f>HEX2DEC(RIGHT(Table1323212753586873[[#This Row],[h1]],8))</f>
        <v>0</v>
      </c>
      <c r="Q180" s="48" t="s">
        <v>75</v>
      </c>
      <c r="R180" s="48">
        <f>HEX2DEC(RIGHT(Table1323212753586873[[#This Row],[h2]],8))</f>
        <v>0</v>
      </c>
    </row>
    <row r="181" spans="1:18">
      <c r="A181" s="15" t="str">
        <f t="shared" si="7"/>
        <v>0AB</v>
      </c>
      <c r="B181" s="15">
        <v>171</v>
      </c>
      <c r="C181" s="38"/>
      <c r="D181" s="15" t="s">
        <v>422</v>
      </c>
      <c r="F181" s="29" t="s">
        <v>75</v>
      </c>
      <c r="G181" s="18">
        <f>HEX2DEC(RIGHT(Table13192551566671[[#This Row],[dec val]],8))</f>
        <v>0</v>
      </c>
      <c r="I181" s="27">
        <v>2</v>
      </c>
      <c r="J181" s="27">
        <v>50000</v>
      </c>
      <c r="L181" s="27"/>
      <c r="M181" s="27">
        <v>50000</v>
      </c>
      <c r="O181" s="48" t="s">
        <v>75</v>
      </c>
      <c r="P181" s="48">
        <f>HEX2DEC(RIGHT(Table1323212753586873[[#This Row],[h1]],8))</f>
        <v>0</v>
      </c>
      <c r="Q181" s="48" t="s">
        <v>75</v>
      </c>
      <c r="R181" s="48">
        <f>HEX2DEC(RIGHT(Table1323212753586873[[#This Row],[h2]],8))</f>
        <v>0</v>
      </c>
    </row>
    <row r="182" spans="1:18">
      <c r="A182" s="15" t="str">
        <f t="shared" si="7"/>
        <v>0AC</v>
      </c>
      <c r="B182" s="15">
        <v>172</v>
      </c>
      <c r="C182" s="38"/>
      <c r="D182" s="15" t="s">
        <v>423</v>
      </c>
      <c r="F182" s="29" t="s">
        <v>75</v>
      </c>
      <c r="G182" s="18">
        <f>HEX2DEC(RIGHT(Table13192551566671[[#This Row],[dec val]],8))</f>
        <v>0</v>
      </c>
      <c r="I182" s="27">
        <v>1</v>
      </c>
      <c r="J182" s="27">
        <v>50000</v>
      </c>
      <c r="L182" s="27"/>
      <c r="M182" s="27">
        <v>50000</v>
      </c>
      <c r="O182" s="48" t="s">
        <v>75</v>
      </c>
      <c r="P182" s="48">
        <f>HEX2DEC(RIGHT(Table1323212753586873[[#This Row],[h1]],8))</f>
        <v>0</v>
      </c>
      <c r="Q182" s="48" t="s">
        <v>75</v>
      </c>
      <c r="R182" s="48">
        <f>HEX2DEC(RIGHT(Table1323212753586873[[#This Row],[h2]],8))</f>
        <v>0</v>
      </c>
    </row>
    <row r="183" spans="1:18">
      <c r="A183" s="15" t="str">
        <f t="shared" si="7"/>
        <v>0AD</v>
      </c>
      <c r="B183" s="15">
        <v>173</v>
      </c>
      <c r="C183" s="38"/>
      <c r="D183" s="15" t="s">
        <v>424</v>
      </c>
      <c r="F183" s="29" t="s">
        <v>75</v>
      </c>
      <c r="G183" s="18">
        <f>HEX2DEC(RIGHT(Table13192551566671[[#This Row],[dec val]],8))</f>
        <v>0</v>
      </c>
      <c r="I183" s="27">
        <v>3</v>
      </c>
      <c r="J183" s="27">
        <v>50000</v>
      </c>
      <c r="L183" s="27"/>
      <c r="M183" s="27">
        <v>50000</v>
      </c>
      <c r="O183" s="48" t="s">
        <v>75</v>
      </c>
      <c r="P183" s="48">
        <f>HEX2DEC(RIGHT(Table1323212753586873[[#This Row],[h1]],8))</f>
        <v>0</v>
      </c>
      <c r="Q183" s="48" t="s">
        <v>75</v>
      </c>
      <c r="R183" s="48">
        <f>HEX2DEC(RIGHT(Table1323212753586873[[#This Row],[h2]],8))</f>
        <v>0</v>
      </c>
    </row>
    <row r="184" spans="1:18">
      <c r="A184" s="15" t="str">
        <f t="shared" si="7"/>
        <v>0AE</v>
      </c>
      <c r="B184" s="15">
        <v>174</v>
      </c>
      <c r="C184" s="38"/>
      <c r="G184" s="48"/>
      <c r="I184" s="27">
        <v>1</v>
      </c>
      <c r="J184" s="27">
        <v>50000</v>
      </c>
      <c r="L184" s="27"/>
      <c r="M184" s="27">
        <v>50000</v>
      </c>
      <c r="O184" s="48" t="s">
        <v>75</v>
      </c>
      <c r="P184" s="48">
        <f>HEX2DEC(RIGHT(Table1323212753586873[[#This Row],[h1]],8))</f>
        <v>0</v>
      </c>
      <c r="Q184" s="48" t="s">
        <v>75</v>
      </c>
      <c r="R184" s="48">
        <f>HEX2DEC(RIGHT(Table1323212753586873[[#This Row],[h2]],8))</f>
        <v>0</v>
      </c>
    </row>
    <row r="185" spans="1:18">
      <c r="A185" s="15" t="str">
        <f t="shared" si="7"/>
        <v>0AF</v>
      </c>
      <c r="B185" s="15">
        <v>175</v>
      </c>
      <c r="C185" s="38"/>
      <c r="I185" s="27">
        <v>2</v>
      </c>
      <c r="J185" s="27">
        <v>50000</v>
      </c>
      <c r="L185" s="27"/>
      <c r="M185" s="27">
        <v>50000</v>
      </c>
      <c r="O185" s="48" t="s">
        <v>75</v>
      </c>
      <c r="P185" s="48">
        <f>HEX2DEC(RIGHT(Table1323212753586873[[#This Row],[h1]],8))</f>
        <v>0</v>
      </c>
      <c r="Q185" s="48" t="s">
        <v>75</v>
      </c>
      <c r="R185" s="48">
        <f>HEX2DEC(RIGHT(Table1323212753586873[[#This Row],[h2]],8))</f>
        <v>0</v>
      </c>
    </row>
    <row r="186" spans="1:18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8" t="s">
        <v>75</v>
      </c>
      <c r="P186" s="48">
        <f>HEX2DEC(RIGHT(Table1323212753586873[[#This Row],[h1]],8))</f>
        <v>0</v>
      </c>
      <c r="Q186" s="48" t="s">
        <v>75</v>
      </c>
      <c r="R186" s="48">
        <f>HEX2DEC(RIGHT(Table1323212753586873[[#This Row],[h2]],8))</f>
        <v>0</v>
      </c>
    </row>
    <row r="187" spans="1:18">
      <c r="A187" s="15" t="str">
        <f t="shared" si="7"/>
        <v>0B1</v>
      </c>
      <c r="B187" s="15">
        <v>177</v>
      </c>
      <c r="C187" s="38"/>
      <c r="I187" s="27">
        <v>3</v>
      </c>
      <c r="J187" s="27">
        <v>50000</v>
      </c>
      <c r="L187" s="27"/>
      <c r="M187" s="27">
        <v>50000</v>
      </c>
      <c r="O187" s="48" t="s">
        <v>75</v>
      </c>
      <c r="P187" s="48">
        <f>HEX2DEC(RIGHT(Table1323212753586873[[#This Row],[h1]],8))</f>
        <v>0</v>
      </c>
      <c r="Q187" s="48" t="s">
        <v>75</v>
      </c>
      <c r="R187" s="48">
        <f>HEX2DEC(RIGHT(Table1323212753586873[[#This Row],[h2]],8))</f>
        <v>0</v>
      </c>
    </row>
    <row r="188" spans="1:18">
      <c r="A188" s="15" t="str">
        <f t="shared" si="7"/>
        <v>0B2</v>
      </c>
      <c r="B188" s="15">
        <v>178</v>
      </c>
      <c r="C188" s="38"/>
      <c r="I188" s="27">
        <v>1</v>
      </c>
      <c r="J188" s="27">
        <v>50000</v>
      </c>
      <c r="L188" s="27"/>
      <c r="M188" s="27">
        <v>50000</v>
      </c>
      <c r="O188" s="48" t="s">
        <v>75</v>
      </c>
      <c r="P188" s="48">
        <f>HEX2DEC(RIGHT(Table1323212753586873[[#This Row],[h1]],8))</f>
        <v>0</v>
      </c>
      <c r="Q188" s="48" t="s">
        <v>75</v>
      </c>
      <c r="R188" s="48">
        <f>HEX2DEC(RIGHT(Table1323212753586873[[#This Row],[h2]],8))</f>
        <v>0</v>
      </c>
    </row>
    <row r="189" spans="1:18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8" t="s">
        <v>75</v>
      </c>
      <c r="P189" s="48">
        <f>HEX2DEC(RIGHT(Table1323212753586873[[#This Row],[h1]],8))</f>
        <v>0</v>
      </c>
      <c r="Q189" s="48" t="s">
        <v>75</v>
      </c>
      <c r="R189" s="48">
        <f>HEX2DEC(RIGHT(Table1323212753586873[[#This Row],[h2]],8))</f>
        <v>0</v>
      </c>
    </row>
    <row r="190" spans="1:18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8" t="s">
        <v>75</v>
      </c>
      <c r="P190" s="48">
        <f>HEX2DEC(RIGHT(Table1323212753586873[[#This Row],[h1]],8))</f>
        <v>0</v>
      </c>
      <c r="Q190" s="48" t="s">
        <v>75</v>
      </c>
      <c r="R190" s="48">
        <f>HEX2DEC(RIGHT(Table1323212753586873[[#This Row],[h2]],8))</f>
        <v>0</v>
      </c>
    </row>
    <row r="191" spans="1:18">
      <c r="A191" s="15" t="str">
        <f t="shared" si="7"/>
        <v>0B5</v>
      </c>
      <c r="B191" s="15">
        <v>181</v>
      </c>
      <c r="C191" s="38"/>
      <c r="D191" s="15" t="s">
        <v>254</v>
      </c>
      <c r="E191" s="51">
        <v>1</v>
      </c>
      <c r="F191" s="51">
        <v>15</v>
      </c>
      <c r="G191" s="50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1" s="27">
        <v>4</v>
      </c>
      <c r="J191" s="27">
        <v>50000</v>
      </c>
      <c r="L191" s="27"/>
      <c r="M191" s="27">
        <v>50000</v>
      </c>
      <c r="O191" s="48" t="s">
        <v>75</v>
      </c>
      <c r="P191" s="48">
        <f>HEX2DEC(RIGHT(Table1323212753586873[[#This Row],[h1]],8))</f>
        <v>0</v>
      </c>
      <c r="Q191" s="48" t="s">
        <v>75</v>
      </c>
      <c r="R191" s="48">
        <f>HEX2DEC(RIGHT(Table1323212753586873[[#This Row],[h2]],8))</f>
        <v>0</v>
      </c>
    </row>
    <row r="192" spans="1:18">
      <c r="A192" s="15" t="str">
        <f t="shared" si="7"/>
        <v>0B6</v>
      </c>
      <c r="B192" s="15">
        <v>182</v>
      </c>
      <c r="C192" s="38"/>
      <c r="D192" s="15" t="s">
        <v>255</v>
      </c>
      <c r="E192" s="51">
        <v>1</v>
      </c>
      <c r="F192" s="51">
        <v>555</v>
      </c>
      <c r="G192" s="50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48" t="s">
        <v>75</v>
      </c>
      <c r="P192" s="48">
        <f>HEX2DEC(RIGHT(Table1323212753586873[[#This Row],[h1]],8))</f>
        <v>0</v>
      </c>
      <c r="Q192" s="48" t="s">
        <v>75</v>
      </c>
      <c r="R192" s="48">
        <f>HEX2DEC(RIGHT(Table1323212753586873[[#This Row],[h2]],8))</f>
        <v>0</v>
      </c>
    </row>
    <row r="193" spans="1:18">
      <c r="A193" s="15" t="str">
        <f t="shared" si="7"/>
        <v>0B7</v>
      </c>
      <c r="B193" s="15">
        <v>183</v>
      </c>
      <c r="C193" s="38"/>
      <c r="D193" s="15" t="s">
        <v>256</v>
      </c>
      <c r="E193" s="51">
        <v>1</v>
      </c>
      <c r="F193" s="51">
        <v>10545</v>
      </c>
      <c r="G193" s="50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48" t="s">
        <v>75</v>
      </c>
      <c r="P193" s="48">
        <f>HEX2DEC(RIGHT(Table1323212753586873[[#This Row],[h1]],8))</f>
        <v>0</v>
      </c>
      <c r="Q193" s="48" t="s">
        <v>75</v>
      </c>
      <c r="R193" s="48">
        <f>HEX2DEC(RIGHT(Table1323212753586873[[#This Row],[h2]],8))</f>
        <v>0</v>
      </c>
    </row>
    <row r="194" spans="1:18">
      <c r="A194" s="15" t="str">
        <f t="shared" si="7"/>
        <v>0B8</v>
      </c>
      <c r="B194" s="15">
        <v>184</v>
      </c>
      <c r="C194" s="38"/>
      <c r="D194" s="15" t="s">
        <v>257</v>
      </c>
      <c r="E194" s="51">
        <v>1</v>
      </c>
      <c r="F194" s="51">
        <v>9</v>
      </c>
      <c r="G194" s="50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4" s="27">
        <v>1</v>
      </c>
      <c r="J194" s="27">
        <v>50000</v>
      </c>
      <c r="L194" s="27"/>
      <c r="M194" s="27">
        <v>50000</v>
      </c>
      <c r="O194" s="48" t="s">
        <v>75</v>
      </c>
      <c r="P194" s="48">
        <f>HEX2DEC(RIGHT(Table1323212753586873[[#This Row],[h1]],8))</f>
        <v>0</v>
      </c>
      <c r="Q194" s="48" t="s">
        <v>75</v>
      </c>
      <c r="R194" s="48">
        <f>HEX2DEC(RIGHT(Table1323212753586873[[#This Row],[h2]],8))</f>
        <v>0</v>
      </c>
    </row>
    <row r="195" spans="1:18">
      <c r="A195" s="15" t="str">
        <f t="shared" si="7"/>
        <v>0B9</v>
      </c>
      <c r="B195" s="15">
        <v>185</v>
      </c>
      <c r="C195" s="38"/>
      <c r="D195" s="15" t="s">
        <v>258</v>
      </c>
      <c r="E195" s="51">
        <v>1</v>
      </c>
      <c r="F195" s="51">
        <v>37</v>
      </c>
      <c r="G195" s="50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5" s="27">
        <v>3</v>
      </c>
      <c r="J195" s="27">
        <v>50000</v>
      </c>
      <c r="L195" s="27"/>
      <c r="M195" s="27">
        <v>50000</v>
      </c>
      <c r="O195" s="48" t="s">
        <v>75</v>
      </c>
      <c r="P195" s="48">
        <f>HEX2DEC(RIGHT(Table1323212753586873[[#This Row],[h1]],8))</f>
        <v>0</v>
      </c>
      <c r="Q195" s="48" t="s">
        <v>75</v>
      </c>
      <c r="R195" s="48">
        <f>HEX2DEC(RIGHT(Table1323212753586873[[#This Row],[h2]],8))</f>
        <v>0</v>
      </c>
    </row>
    <row r="196" spans="1:18">
      <c r="A196" s="15" t="str">
        <f t="shared" si="7"/>
        <v>0BA</v>
      </c>
      <c r="B196" s="15">
        <v>186</v>
      </c>
      <c r="C196" s="38"/>
      <c r="D196" s="15" t="s">
        <v>259</v>
      </c>
      <c r="E196" s="51">
        <v>1</v>
      </c>
      <c r="F196" s="51">
        <v>5</v>
      </c>
      <c r="G196" s="50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8" t="s">
        <v>75</v>
      </c>
      <c r="P196" s="48">
        <f>HEX2DEC(RIGHT(Table1323212753586873[[#This Row],[h1]],8))</f>
        <v>0</v>
      </c>
      <c r="Q196" s="48" t="s">
        <v>75</v>
      </c>
      <c r="R196" s="48">
        <f>HEX2DEC(RIGHT(Table1323212753586873[[#This Row],[h2]],8))</f>
        <v>0</v>
      </c>
    </row>
    <row r="197" spans="1:18">
      <c r="A197" s="15" t="str">
        <f t="shared" si="7"/>
        <v>0BB</v>
      </c>
      <c r="B197" s="15">
        <v>187</v>
      </c>
      <c r="C197" s="38"/>
      <c r="D197" s="15" t="s">
        <v>260</v>
      </c>
      <c r="E197" s="51">
        <v>1</v>
      </c>
      <c r="F197" s="51">
        <v>6</v>
      </c>
      <c r="G197" s="50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7" s="27">
        <v>2</v>
      </c>
      <c r="J197" s="27">
        <v>50000</v>
      </c>
      <c r="L197" s="27"/>
      <c r="M197" s="27">
        <v>50000</v>
      </c>
      <c r="O197" s="48" t="s">
        <v>75</v>
      </c>
      <c r="P197" s="48">
        <f>HEX2DEC(RIGHT(Table1323212753586873[[#This Row],[h1]],8))</f>
        <v>0</v>
      </c>
      <c r="Q197" s="48" t="s">
        <v>75</v>
      </c>
      <c r="R197" s="48">
        <f>HEX2DEC(RIGHT(Table1323212753586873[[#This Row],[h2]],8))</f>
        <v>0</v>
      </c>
    </row>
    <row r="198" spans="1:18">
      <c r="A198" s="15" t="str">
        <f t="shared" si="7"/>
        <v>0BC</v>
      </c>
      <c r="B198" s="15">
        <v>188</v>
      </c>
      <c r="C198" s="38"/>
      <c r="D198" s="15" t="s">
        <v>261</v>
      </c>
      <c r="E198" s="51">
        <v>1</v>
      </c>
      <c r="F198" s="51">
        <v>7</v>
      </c>
      <c r="G198" s="50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8" t="s">
        <v>75</v>
      </c>
      <c r="P198" s="48">
        <f>HEX2DEC(RIGHT(Table1323212753586873[[#This Row],[h1]],8))</f>
        <v>0</v>
      </c>
      <c r="Q198" s="48" t="s">
        <v>75</v>
      </c>
      <c r="R198" s="48">
        <f>HEX2DEC(RIGHT(Table1323212753586873[[#This Row],[h2]],8))</f>
        <v>0</v>
      </c>
    </row>
    <row r="199" spans="1:18">
      <c r="A199" s="15" t="str">
        <f t="shared" si="7"/>
        <v>0BD</v>
      </c>
      <c r="B199" s="15">
        <v>189</v>
      </c>
      <c r="C199" s="38"/>
      <c r="D199" s="15" t="s">
        <v>262</v>
      </c>
      <c r="E199" s="51">
        <v>1</v>
      </c>
      <c r="F199" s="51">
        <v>8</v>
      </c>
      <c r="G199" s="50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9" s="27">
        <v>3</v>
      </c>
      <c r="J199" s="27">
        <v>50000</v>
      </c>
      <c r="L199" s="27"/>
      <c r="M199" s="27">
        <v>50000</v>
      </c>
      <c r="O199" s="48" t="s">
        <v>75</v>
      </c>
      <c r="P199" s="48">
        <f>HEX2DEC(RIGHT(Table1323212753586873[[#This Row],[h1]],8))</f>
        <v>0</v>
      </c>
      <c r="Q199" s="48" t="s">
        <v>75</v>
      </c>
      <c r="R199" s="48">
        <f>HEX2DEC(RIGHT(Table1323212753586873[[#This Row],[h2]],8))</f>
        <v>0</v>
      </c>
    </row>
    <row r="200" spans="1:18">
      <c r="A200" s="15" t="str">
        <f t="shared" si="7"/>
        <v>0BE</v>
      </c>
      <c r="B200" s="15">
        <v>190</v>
      </c>
      <c r="C200" s="38"/>
      <c r="D200" s="15" t="s">
        <v>263</v>
      </c>
      <c r="E200" s="51">
        <v>1</v>
      </c>
      <c r="F200" s="51">
        <v>9</v>
      </c>
      <c r="G200" s="50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200" s="27">
        <v>1</v>
      </c>
      <c r="J200" s="27">
        <v>50000</v>
      </c>
      <c r="L200" s="27"/>
      <c r="M200" s="27">
        <v>50000</v>
      </c>
      <c r="O200" s="48" t="s">
        <v>75</v>
      </c>
      <c r="P200" s="48">
        <f>HEX2DEC(RIGHT(Table1323212753586873[[#This Row],[h1]],8))</f>
        <v>0</v>
      </c>
      <c r="Q200" s="48" t="s">
        <v>75</v>
      </c>
      <c r="R200" s="48">
        <f>HEX2DEC(RIGHT(Table1323212753586873[[#This Row],[h2]],8))</f>
        <v>0</v>
      </c>
    </row>
    <row r="201" spans="1:18">
      <c r="A201" s="15" t="str">
        <f t="shared" si="7"/>
        <v>0BF</v>
      </c>
      <c r="B201" s="15">
        <v>191</v>
      </c>
      <c r="C201" s="38"/>
      <c r="D201" s="15" t="s">
        <v>264</v>
      </c>
      <c r="E201" s="51">
        <v>1</v>
      </c>
      <c r="F201" s="51">
        <v>10</v>
      </c>
      <c r="G201" s="50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201" s="27">
        <v>2</v>
      </c>
      <c r="J201" s="27">
        <v>50000</v>
      </c>
      <c r="L201" s="27"/>
      <c r="M201" s="27">
        <v>50000</v>
      </c>
      <c r="O201" s="48" t="s">
        <v>75</v>
      </c>
      <c r="P201" s="48">
        <f>HEX2DEC(RIGHT(Table1323212753586873[[#This Row],[h1]],8))</f>
        <v>0</v>
      </c>
      <c r="Q201" s="48" t="s">
        <v>75</v>
      </c>
      <c r="R201" s="48">
        <f>HEX2DEC(RIGHT(Table1323212753586873[[#This Row],[h2]],8))</f>
        <v>0</v>
      </c>
    </row>
    <row r="202" spans="1:18">
      <c r="A202" s="15" t="str">
        <f t="shared" si="7"/>
        <v>0C0</v>
      </c>
      <c r="B202" s="15">
        <v>192</v>
      </c>
      <c r="C202" s="38"/>
      <c r="D202" s="15" t="s">
        <v>265</v>
      </c>
      <c r="E202" s="51">
        <v>1</v>
      </c>
      <c r="F202" s="51">
        <v>11</v>
      </c>
      <c r="G202" s="50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8" t="s">
        <v>75</v>
      </c>
      <c r="P202" s="48">
        <f>HEX2DEC(RIGHT(Table1323212753586873[[#This Row],[h1]],8))</f>
        <v>0</v>
      </c>
      <c r="Q202" s="48" t="s">
        <v>75</v>
      </c>
      <c r="R202" s="48">
        <f>HEX2DEC(RIGHT(Table1323212753586873[[#This Row],[h2]],8))</f>
        <v>0</v>
      </c>
    </row>
    <row r="203" spans="1:18">
      <c r="A203" s="15" t="str">
        <f t="shared" ref="A203:A266" si="8">DEC2HEX(B203,3)</f>
        <v>0C1</v>
      </c>
      <c r="B203" s="15">
        <v>193</v>
      </c>
      <c r="C203" s="38"/>
      <c r="D203" s="15" t="s">
        <v>266</v>
      </c>
      <c r="E203" s="51">
        <v>1</v>
      </c>
      <c r="F203" s="51">
        <v>12</v>
      </c>
      <c r="G203" s="50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203" s="27">
        <v>4</v>
      </c>
      <c r="J203" s="27">
        <v>50000</v>
      </c>
      <c r="L203" s="27"/>
      <c r="M203" s="27">
        <v>50000</v>
      </c>
      <c r="O203" s="48" t="s">
        <v>75</v>
      </c>
      <c r="P203" s="48">
        <f>HEX2DEC(RIGHT(Table1323212753586873[[#This Row],[h1]],8))</f>
        <v>0</v>
      </c>
      <c r="Q203" s="48" t="s">
        <v>75</v>
      </c>
      <c r="R203" s="48">
        <f>HEX2DEC(RIGHT(Table1323212753586873[[#This Row],[h2]],8))</f>
        <v>0</v>
      </c>
    </row>
    <row r="204" spans="1:18">
      <c r="A204" s="15" t="str">
        <f t="shared" si="8"/>
        <v>0C2</v>
      </c>
      <c r="B204" s="15">
        <v>194</v>
      </c>
      <c r="C204" s="38"/>
      <c r="D204" s="15" t="s">
        <v>267</v>
      </c>
      <c r="E204" s="51">
        <v>1</v>
      </c>
      <c r="F204" s="51">
        <v>13</v>
      </c>
      <c r="G204" s="50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8" t="s">
        <v>75</v>
      </c>
      <c r="P204" s="48">
        <f>HEX2DEC(RIGHT(Table1323212753586873[[#This Row],[h1]],8))</f>
        <v>0</v>
      </c>
      <c r="Q204" s="48" t="s">
        <v>75</v>
      </c>
      <c r="R204" s="48">
        <f>HEX2DEC(RIGHT(Table1323212753586873[[#This Row],[h2]],8))</f>
        <v>0</v>
      </c>
    </row>
    <row r="205" spans="1:18">
      <c r="A205" s="15" t="str">
        <f t="shared" si="8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8" t="s">
        <v>75</v>
      </c>
      <c r="P205" s="48">
        <f>HEX2DEC(RIGHT(Table1323212753586873[[#This Row],[h1]],8))</f>
        <v>0</v>
      </c>
      <c r="Q205" s="48" t="s">
        <v>75</v>
      </c>
      <c r="R205" s="48">
        <f>HEX2DEC(RIGHT(Table1323212753586873[[#This Row],[h2]],8))</f>
        <v>0</v>
      </c>
    </row>
    <row r="206" spans="1:18">
      <c r="A206" s="15" t="str">
        <f t="shared" si="8"/>
        <v>0C4</v>
      </c>
      <c r="B206" s="15">
        <v>196</v>
      </c>
      <c r="C206" s="38"/>
      <c r="D206" s="15" t="s">
        <v>268</v>
      </c>
      <c r="G206" s="29" t="s">
        <v>12</v>
      </c>
      <c r="I206" s="27">
        <v>1</v>
      </c>
      <c r="J206" s="27">
        <v>50000</v>
      </c>
      <c r="L206" s="27"/>
      <c r="M206" s="27">
        <v>50000</v>
      </c>
      <c r="O206" s="48" t="s">
        <v>75</v>
      </c>
      <c r="P206" s="48">
        <f>HEX2DEC(RIGHT(Table1323212753586873[[#This Row],[h1]],8))</f>
        <v>0</v>
      </c>
      <c r="Q206" s="48" t="s">
        <v>75</v>
      </c>
      <c r="R206" s="48">
        <f>HEX2DEC(RIGHT(Table1323212753586873[[#This Row],[h2]],8))</f>
        <v>0</v>
      </c>
    </row>
    <row r="207" spans="1:18">
      <c r="A207" s="15" t="str">
        <f t="shared" si="8"/>
        <v>0C5</v>
      </c>
      <c r="B207" s="15">
        <v>197</v>
      </c>
      <c r="C207" s="38"/>
      <c r="D207" s="15" t="s">
        <v>269</v>
      </c>
      <c r="G207" s="29" t="s">
        <v>13</v>
      </c>
      <c r="I207" s="27">
        <v>3</v>
      </c>
      <c r="J207" s="27">
        <v>50000</v>
      </c>
      <c r="L207" s="27"/>
      <c r="M207" s="27">
        <v>50000</v>
      </c>
      <c r="O207" s="48" t="s">
        <v>75</v>
      </c>
      <c r="P207" s="48">
        <f>HEX2DEC(RIGHT(Table1323212753586873[[#This Row],[h1]],8))</f>
        <v>0</v>
      </c>
      <c r="Q207" s="48" t="s">
        <v>75</v>
      </c>
      <c r="R207" s="48">
        <f>HEX2DEC(RIGHT(Table1323212753586873[[#This Row],[h2]],8))</f>
        <v>0</v>
      </c>
    </row>
    <row r="208" spans="1:18">
      <c r="A208" s="15" t="str">
        <f t="shared" si="8"/>
        <v>0C6</v>
      </c>
      <c r="B208" s="15">
        <v>198</v>
      </c>
      <c r="C208" s="38"/>
      <c r="D208" s="15" t="s">
        <v>270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48" t="s">
        <v>75</v>
      </c>
      <c r="P208" s="48">
        <f>HEX2DEC(RIGHT(Table1323212753586873[[#This Row],[h1]],8))</f>
        <v>0</v>
      </c>
      <c r="Q208" s="48" t="s">
        <v>75</v>
      </c>
      <c r="R208" s="48">
        <f>HEX2DEC(RIGHT(Table1323212753586873[[#This Row],[h2]],8))</f>
        <v>0</v>
      </c>
    </row>
    <row r="209" spans="1:18">
      <c r="A209" s="15" t="str">
        <f t="shared" si="8"/>
        <v>0C7</v>
      </c>
      <c r="B209" s="15">
        <v>199</v>
      </c>
      <c r="C209" s="38"/>
      <c r="D209" s="15" t="s">
        <v>271</v>
      </c>
      <c r="G209" s="29" t="s">
        <v>15</v>
      </c>
      <c r="I209" s="27">
        <v>2</v>
      </c>
      <c r="J209" s="27">
        <v>50000</v>
      </c>
      <c r="L209" s="27"/>
      <c r="M209" s="27">
        <v>50000</v>
      </c>
      <c r="O209" s="48" t="s">
        <v>75</v>
      </c>
      <c r="P209" s="48">
        <f>HEX2DEC(RIGHT(Table1323212753586873[[#This Row],[h1]],8))</f>
        <v>0</v>
      </c>
      <c r="Q209" s="48" t="s">
        <v>75</v>
      </c>
      <c r="R209" s="48">
        <f>HEX2DEC(RIGHT(Table1323212753586873[[#This Row],[h2]],8))</f>
        <v>0</v>
      </c>
    </row>
    <row r="210" spans="1:18">
      <c r="A210" s="15" t="str">
        <f t="shared" si="8"/>
        <v>0C8</v>
      </c>
      <c r="B210" s="15">
        <v>200</v>
      </c>
      <c r="C210" s="38"/>
      <c r="D210" s="15" t="s">
        <v>272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8" t="s">
        <v>75</v>
      </c>
      <c r="P210" s="48">
        <f>HEX2DEC(RIGHT(Table1323212753586873[[#This Row],[h1]],8))</f>
        <v>0</v>
      </c>
      <c r="Q210" s="48" t="s">
        <v>75</v>
      </c>
      <c r="R210" s="48">
        <f>HEX2DEC(RIGHT(Table1323212753586873[[#This Row],[h2]],8))</f>
        <v>0</v>
      </c>
    </row>
    <row r="211" spans="1:18">
      <c r="A211" s="15" t="str">
        <f t="shared" si="8"/>
        <v>0C9</v>
      </c>
      <c r="B211" s="15">
        <v>201</v>
      </c>
      <c r="C211" s="38"/>
      <c r="D211" s="15" t="s">
        <v>273</v>
      </c>
      <c r="G211" s="29" t="s">
        <v>41</v>
      </c>
      <c r="I211" s="27">
        <v>3</v>
      </c>
      <c r="J211" s="27">
        <v>50000</v>
      </c>
      <c r="L211" s="27"/>
      <c r="M211" s="27">
        <v>50000</v>
      </c>
      <c r="O211" s="48" t="s">
        <v>75</v>
      </c>
      <c r="P211" s="48">
        <f>HEX2DEC(RIGHT(Table1323212753586873[[#This Row],[h1]],8))</f>
        <v>0</v>
      </c>
      <c r="Q211" s="48" t="s">
        <v>75</v>
      </c>
      <c r="R211" s="48">
        <f>HEX2DEC(RIGHT(Table1323212753586873[[#This Row],[h2]],8))</f>
        <v>0</v>
      </c>
    </row>
    <row r="212" spans="1:18">
      <c r="A212" s="15" t="str">
        <f t="shared" si="8"/>
        <v>0CA</v>
      </c>
      <c r="B212" s="15">
        <v>202</v>
      </c>
      <c r="C212" s="38"/>
      <c r="D212" s="15" t="s">
        <v>274</v>
      </c>
      <c r="G212" s="29" t="s">
        <v>41</v>
      </c>
      <c r="I212" s="27">
        <v>1</v>
      </c>
      <c r="J212" s="27">
        <v>50000</v>
      </c>
      <c r="L212" s="27"/>
      <c r="M212" s="27">
        <v>50000</v>
      </c>
      <c r="O212" s="48" t="s">
        <v>75</v>
      </c>
      <c r="P212" s="48">
        <f>HEX2DEC(RIGHT(Table1323212753586873[[#This Row],[h1]],8))</f>
        <v>0</v>
      </c>
      <c r="Q212" s="48" t="s">
        <v>75</v>
      </c>
      <c r="R212" s="48">
        <f>HEX2DEC(RIGHT(Table1323212753586873[[#This Row],[h2]],8))</f>
        <v>0</v>
      </c>
    </row>
    <row r="213" spans="1:18">
      <c r="A213" s="15" t="str">
        <f t="shared" si="8"/>
        <v>0CB</v>
      </c>
      <c r="B213" s="15">
        <v>203</v>
      </c>
      <c r="C213" s="38"/>
      <c r="D213" s="15" t="s">
        <v>275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8" t="s">
        <v>75</v>
      </c>
      <c r="P213" s="48">
        <f>HEX2DEC(RIGHT(Table1323212753586873[[#This Row],[h1]],8))</f>
        <v>0</v>
      </c>
      <c r="Q213" s="48" t="s">
        <v>75</v>
      </c>
      <c r="R213" s="48">
        <f>HEX2DEC(RIGHT(Table1323212753586873[[#This Row],[h2]],8))</f>
        <v>0</v>
      </c>
    </row>
    <row r="214" spans="1:18">
      <c r="A214" s="15" t="str">
        <f t="shared" si="8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8" t="s">
        <v>75</v>
      </c>
      <c r="P214" s="48">
        <f>HEX2DEC(RIGHT(Table1323212753586873[[#This Row],[h1]],8))</f>
        <v>0</v>
      </c>
      <c r="Q214" s="48" t="s">
        <v>75</v>
      </c>
      <c r="R214" s="48">
        <f>HEX2DEC(RIGHT(Table1323212753586873[[#This Row],[h2]],8))</f>
        <v>0</v>
      </c>
    </row>
    <row r="215" spans="1:18">
      <c r="A215" s="15" t="str">
        <f t="shared" si="8"/>
        <v>0CD</v>
      </c>
      <c r="B215" s="15">
        <v>205</v>
      </c>
      <c r="C215" s="38"/>
      <c r="I215" s="27">
        <v>4</v>
      </c>
      <c r="J215" s="27">
        <v>50000</v>
      </c>
      <c r="L215" s="27"/>
      <c r="M215" s="27">
        <v>50000</v>
      </c>
      <c r="O215" s="48" t="s">
        <v>75</v>
      </c>
      <c r="P215" s="48">
        <f>HEX2DEC(RIGHT(Table1323212753586873[[#This Row],[h1]],8))</f>
        <v>0</v>
      </c>
      <c r="Q215" s="48" t="s">
        <v>75</v>
      </c>
      <c r="R215" s="48">
        <f>HEX2DEC(RIGHT(Table1323212753586873[[#This Row],[h2]],8))</f>
        <v>0</v>
      </c>
    </row>
    <row r="216" spans="1:18">
      <c r="A216" s="15" t="str">
        <f t="shared" si="8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8" t="s">
        <v>75</v>
      </c>
      <c r="P216" s="48">
        <f>HEX2DEC(RIGHT(Table1323212753586873[[#This Row],[h1]],8))</f>
        <v>0</v>
      </c>
      <c r="Q216" s="48" t="s">
        <v>75</v>
      </c>
      <c r="R216" s="48">
        <f>HEX2DEC(RIGHT(Table1323212753586873[[#This Row],[h2]],8))</f>
        <v>0</v>
      </c>
    </row>
    <row r="217" spans="1:18">
      <c r="A217" s="15" t="str">
        <f t="shared" si="8"/>
        <v>0CF</v>
      </c>
      <c r="B217" s="15">
        <v>207</v>
      </c>
      <c r="C217" s="38"/>
      <c r="F217" s="25"/>
      <c r="G217" s="56" t="s">
        <v>48</v>
      </c>
      <c r="I217" s="27">
        <v>2</v>
      </c>
      <c r="J217" s="27">
        <v>50000</v>
      </c>
      <c r="L217" s="27"/>
      <c r="M217" s="27">
        <v>50000</v>
      </c>
      <c r="O217" s="48" t="s">
        <v>75</v>
      </c>
      <c r="P217" s="48">
        <f>HEX2DEC(RIGHT(Table1323212753586873[[#This Row],[h1]],8))</f>
        <v>0</v>
      </c>
      <c r="Q217" s="48" t="s">
        <v>75</v>
      </c>
      <c r="R217" s="48">
        <f>HEX2DEC(RIGHT(Table1323212753586873[[#This Row],[h2]],8))</f>
        <v>0</v>
      </c>
    </row>
    <row r="218" spans="1:18">
      <c r="A218" s="15" t="str">
        <f t="shared" si="8"/>
        <v>0D0</v>
      </c>
      <c r="B218" s="15">
        <v>208</v>
      </c>
      <c r="C218" s="38"/>
      <c r="D218" s="15" t="s">
        <v>276</v>
      </c>
      <c r="F218" s="25"/>
      <c r="G218" s="29">
        <v>0</v>
      </c>
      <c r="I218" s="27">
        <v>1</v>
      </c>
      <c r="J218" s="27">
        <v>50000</v>
      </c>
      <c r="L218" s="27"/>
      <c r="M218" s="27">
        <v>50000</v>
      </c>
      <c r="O218" s="48" t="s">
        <v>75</v>
      </c>
      <c r="P218" s="48">
        <f>HEX2DEC(RIGHT(Table1323212753586873[[#This Row],[h1]],8))</f>
        <v>0</v>
      </c>
      <c r="Q218" s="48" t="s">
        <v>75</v>
      </c>
      <c r="R218" s="48">
        <f>HEX2DEC(RIGHT(Table1323212753586873[[#This Row],[h2]],8))</f>
        <v>0</v>
      </c>
    </row>
    <row r="219" spans="1:18">
      <c r="A219" s="15" t="str">
        <f t="shared" si="8"/>
        <v>0D1</v>
      </c>
      <c r="B219" s="15">
        <v>209</v>
      </c>
      <c r="C219" s="38"/>
      <c r="D219" s="15" t="s">
        <v>277</v>
      </c>
      <c r="G219" s="29">
        <v>0</v>
      </c>
      <c r="I219" s="27">
        <v>3</v>
      </c>
      <c r="J219" s="27">
        <v>50000</v>
      </c>
      <c r="L219" s="27"/>
      <c r="M219" s="27">
        <v>50000</v>
      </c>
      <c r="O219" s="48" t="s">
        <v>75</v>
      </c>
      <c r="P219" s="48">
        <f>HEX2DEC(RIGHT(Table1323212753586873[[#This Row],[h1]],8))</f>
        <v>0</v>
      </c>
      <c r="Q219" s="48" t="s">
        <v>75</v>
      </c>
      <c r="R219" s="48">
        <f>HEX2DEC(RIGHT(Table1323212753586873[[#This Row],[h2]],8))</f>
        <v>0</v>
      </c>
    </row>
    <row r="220" spans="1:18">
      <c r="A220" s="15" t="str">
        <f t="shared" si="8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8" t="s">
        <v>75</v>
      </c>
      <c r="P220" s="48">
        <f>HEX2DEC(RIGHT(Table1323212753586873[[#This Row],[h1]],8))</f>
        <v>0</v>
      </c>
      <c r="Q220" s="48" t="s">
        <v>75</v>
      </c>
      <c r="R220" s="48">
        <f>HEX2DEC(RIGHT(Table1323212753586873[[#This Row],[h2]],8))</f>
        <v>0</v>
      </c>
    </row>
    <row r="221" spans="1:18">
      <c r="A221" s="15" t="str">
        <f t="shared" si="8"/>
        <v>0D3</v>
      </c>
      <c r="B221" s="15">
        <v>211</v>
      </c>
      <c r="C221" s="38"/>
      <c r="D221" s="15" t="s">
        <v>278</v>
      </c>
      <c r="G221" s="29" t="s">
        <v>72</v>
      </c>
      <c r="I221" s="27">
        <v>2</v>
      </c>
      <c r="J221" s="27">
        <v>50000</v>
      </c>
      <c r="L221" s="27"/>
      <c r="M221" s="27">
        <v>50000</v>
      </c>
      <c r="O221" s="48" t="s">
        <v>75</v>
      </c>
      <c r="P221" s="48">
        <f>HEX2DEC(RIGHT(Table1323212753586873[[#This Row],[h1]],8))</f>
        <v>0</v>
      </c>
      <c r="Q221" s="48" t="s">
        <v>75</v>
      </c>
      <c r="R221" s="48">
        <f>HEX2DEC(RIGHT(Table1323212753586873[[#This Row],[h2]],8))</f>
        <v>0</v>
      </c>
    </row>
    <row r="222" spans="1:18">
      <c r="A222" s="15" t="str">
        <f t="shared" si="8"/>
        <v>0D4</v>
      </c>
      <c r="B222" s="15">
        <v>212</v>
      </c>
      <c r="C222" s="38"/>
      <c r="D222" s="15" t="s">
        <v>279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8" t="s">
        <v>75</v>
      </c>
      <c r="P222" s="48">
        <f>HEX2DEC(RIGHT(Table1323212753586873[[#This Row],[h1]],8))</f>
        <v>0</v>
      </c>
      <c r="Q222" s="48" t="s">
        <v>75</v>
      </c>
      <c r="R222" s="48">
        <f>HEX2DEC(RIGHT(Table1323212753586873[[#This Row],[h2]],8))</f>
        <v>0</v>
      </c>
    </row>
    <row r="223" spans="1:18">
      <c r="A223" s="15" t="str">
        <f t="shared" si="8"/>
        <v>0D5</v>
      </c>
      <c r="B223" s="15">
        <v>213</v>
      </c>
      <c r="C223" s="38"/>
      <c r="G223" s="48"/>
      <c r="I223" s="27">
        <v>3</v>
      </c>
      <c r="J223" s="27">
        <v>50000</v>
      </c>
      <c r="L223" s="27"/>
      <c r="M223" s="27">
        <v>50000</v>
      </c>
      <c r="O223" s="48" t="s">
        <v>75</v>
      </c>
      <c r="P223" s="48">
        <f>HEX2DEC(RIGHT(Table1323212753586873[[#This Row],[h1]],8))</f>
        <v>0</v>
      </c>
      <c r="Q223" s="48" t="s">
        <v>75</v>
      </c>
      <c r="R223" s="48">
        <f>HEX2DEC(RIGHT(Table1323212753586873[[#This Row],[h2]],8))</f>
        <v>0</v>
      </c>
    </row>
    <row r="224" spans="1:18">
      <c r="A224" s="15" t="str">
        <f t="shared" si="8"/>
        <v>0D6</v>
      </c>
      <c r="B224" s="15">
        <v>214</v>
      </c>
      <c r="C224" s="38"/>
      <c r="E224" s="48"/>
      <c r="F224" s="29" t="s">
        <v>23</v>
      </c>
      <c r="G224" s="18"/>
      <c r="I224" s="27">
        <v>1</v>
      </c>
      <c r="J224" s="27">
        <v>50000</v>
      </c>
      <c r="L224" s="27"/>
      <c r="M224" s="27">
        <v>50000</v>
      </c>
      <c r="O224" s="48" t="s">
        <v>75</v>
      </c>
      <c r="P224" s="48">
        <f>HEX2DEC(RIGHT(Table1323212753586873[[#This Row],[h1]],8))</f>
        <v>0</v>
      </c>
      <c r="Q224" s="48" t="s">
        <v>75</v>
      </c>
      <c r="R224" s="48">
        <f>HEX2DEC(RIGHT(Table1323212753586873[[#This Row],[h2]],8))</f>
        <v>0</v>
      </c>
    </row>
    <row r="225" spans="1:18">
      <c r="A225" s="15" t="str">
        <f t="shared" si="8"/>
        <v>0D7</v>
      </c>
      <c r="B225" s="15">
        <v>215</v>
      </c>
      <c r="C225" s="38"/>
      <c r="D225" s="15" t="s">
        <v>280</v>
      </c>
      <c r="E225" s="18" t="s">
        <v>53</v>
      </c>
      <c r="F225" s="29"/>
      <c r="G225" s="18">
        <f>IF(Table13192551566671[[#This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8" t="s">
        <v>75</v>
      </c>
      <c r="P225" s="48">
        <f>HEX2DEC(RIGHT(Table1323212753586873[[#This Row],[h1]],8))</f>
        <v>0</v>
      </c>
      <c r="Q225" s="48" t="s">
        <v>75</v>
      </c>
      <c r="R225" s="48">
        <f>HEX2DEC(RIGHT(Table1323212753586873[[#This Row],[h2]],8))</f>
        <v>0</v>
      </c>
    </row>
    <row r="226" spans="1:18">
      <c r="A226" s="15" t="str">
        <f t="shared" si="8"/>
        <v>0D8</v>
      </c>
      <c r="B226" s="15">
        <v>216</v>
      </c>
      <c r="C226" s="38"/>
      <c r="D226" s="15" t="s">
        <v>281</v>
      </c>
      <c r="E226" s="18" t="s">
        <v>54</v>
      </c>
      <c r="F226" s="29"/>
      <c r="G226" s="18">
        <f>IF(Table13192551566671[[#This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8" t="s">
        <v>75</v>
      </c>
      <c r="P226" s="48">
        <f>HEX2DEC(RIGHT(Table1323212753586873[[#This Row],[h1]],8))</f>
        <v>0</v>
      </c>
      <c r="Q226" s="48" t="s">
        <v>75</v>
      </c>
      <c r="R226" s="48">
        <f>HEX2DEC(RIGHT(Table1323212753586873[[#This Row],[h2]],8))</f>
        <v>0</v>
      </c>
    </row>
    <row r="227" spans="1:18">
      <c r="A227" s="15" t="str">
        <f t="shared" si="8"/>
        <v>0D9</v>
      </c>
      <c r="B227" s="15">
        <v>217</v>
      </c>
      <c r="C227" s="38"/>
      <c r="D227" s="15" t="s">
        <v>282</v>
      </c>
      <c r="E227" s="18" t="s">
        <v>55</v>
      </c>
      <c r="F227" s="29"/>
      <c r="G227" s="18">
        <f>IF(Table13192551566671[[#This Row],[dec val]]="",0,1)</f>
        <v>0</v>
      </c>
      <c r="I227" s="27">
        <v>4</v>
      </c>
      <c r="J227" s="27">
        <v>50000</v>
      </c>
      <c r="L227" s="27"/>
      <c r="M227" s="27">
        <v>50000</v>
      </c>
      <c r="O227" s="48" t="s">
        <v>75</v>
      </c>
      <c r="P227" s="48">
        <f>HEX2DEC(RIGHT(Table1323212753586873[[#This Row],[h1]],8))</f>
        <v>0</v>
      </c>
      <c r="Q227" s="48" t="s">
        <v>75</v>
      </c>
      <c r="R227" s="48">
        <f>HEX2DEC(RIGHT(Table1323212753586873[[#This Row],[h2]],8))</f>
        <v>0</v>
      </c>
    </row>
    <row r="228" spans="1:18">
      <c r="A228" s="15" t="str">
        <f t="shared" si="8"/>
        <v>0DA</v>
      </c>
      <c r="B228" s="15">
        <v>218</v>
      </c>
      <c r="C228" s="38"/>
      <c r="D228" s="15" t="s">
        <v>283</v>
      </c>
      <c r="E228" s="18" t="s">
        <v>56</v>
      </c>
      <c r="F228" s="29"/>
      <c r="G228" s="18">
        <f>IF(Table13192551566671[[#This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8" t="s">
        <v>75</v>
      </c>
      <c r="P228" s="48">
        <f>HEX2DEC(RIGHT(Table1323212753586873[[#This Row],[h1]],8))</f>
        <v>0</v>
      </c>
      <c r="Q228" s="48" t="s">
        <v>75</v>
      </c>
      <c r="R228" s="48">
        <f>HEX2DEC(RIGHT(Table1323212753586873[[#This Row],[h2]],8))</f>
        <v>0</v>
      </c>
    </row>
    <row r="229" spans="1:18">
      <c r="A229" s="15" t="str">
        <f t="shared" si="8"/>
        <v>0DB</v>
      </c>
      <c r="B229" s="15">
        <v>219</v>
      </c>
      <c r="C229" s="38"/>
      <c r="D229" s="15" t="s">
        <v>284</v>
      </c>
      <c r="E229" s="18" t="s">
        <v>57</v>
      </c>
      <c r="F229" s="29"/>
      <c r="G229" s="18">
        <f>IF(Table13192551566671[[#This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8" t="s">
        <v>75</v>
      </c>
      <c r="P229" s="48">
        <f>HEX2DEC(RIGHT(Table1323212753586873[[#This Row],[h1]],8))</f>
        <v>0</v>
      </c>
      <c r="Q229" s="48" t="s">
        <v>75</v>
      </c>
      <c r="R229" s="48">
        <f>HEX2DEC(RIGHT(Table1323212753586873[[#This Row],[h2]],8))</f>
        <v>0</v>
      </c>
    </row>
    <row r="230" spans="1:18">
      <c r="A230" s="15" t="str">
        <f t="shared" si="8"/>
        <v>0DC</v>
      </c>
      <c r="B230" s="15">
        <v>220</v>
      </c>
      <c r="C230" s="38"/>
      <c r="D230" s="15" t="s">
        <v>285</v>
      </c>
      <c r="E230" s="18" t="s">
        <v>58</v>
      </c>
      <c r="F230" s="29"/>
      <c r="G230" s="18">
        <f>IF(Table13192551566671[[#This Row],[dec val]]="",0,1)</f>
        <v>0</v>
      </c>
      <c r="I230" s="27">
        <v>1</v>
      </c>
      <c r="J230" s="27">
        <v>50000</v>
      </c>
      <c r="L230" s="27"/>
      <c r="M230" s="27">
        <v>50000</v>
      </c>
      <c r="O230" s="48" t="s">
        <v>75</v>
      </c>
      <c r="P230" s="48">
        <f>HEX2DEC(RIGHT(Table1323212753586873[[#This Row],[h1]],8))</f>
        <v>0</v>
      </c>
      <c r="Q230" s="48" t="s">
        <v>75</v>
      </c>
      <c r="R230" s="48">
        <f>HEX2DEC(RIGHT(Table1323212753586873[[#This Row],[h2]],8))</f>
        <v>0</v>
      </c>
    </row>
    <row r="231" spans="1:18">
      <c r="A231" s="15" t="str">
        <f t="shared" si="8"/>
        <v>0DD</v>
      </c>
      <c r="B231" s="15">
        <v>221</v>
      </c>
      <c r="C231" s="38"/>
      <c r="D231" s="15" t="s">
        <v>286</v>
      </c>
      <c r="E231" s="18" t="s">
        <v>59</v>
      </c>
      <c r="F231" s="29"/>
      <c r="G231" s="18">
        <f>IF(Table13192551566671[[#This Row],[dec val]]="",0,1)</f>
        <v>0</v>
      </c>
      <c r="I231" s="27">
        <v>3</v>
      </c>
      <c r="J231" s="27">
        <v>50000</v>
      </c>
      <c r="L231" s="27"/>
      <c r="M231" s="27">
        <v>50000</v>
      </c>
      <c r="O231" s="48" t="s">
        <v>75</v>
      </c>
      <c r="P231" s="48">
        <f>HEX2DEC(RIGHT(Table1323212753586873[[#This Row],[h1]],8))</f>
        <v>0</v>
      </c>
      <c r="Q231" s="48" t="s">
        <v>75</v>
      </c>
      <c r="R231" s="48">
        <f>HEX2DEC(RIGHT(Table1323212753586873[[#This Row],[h2]],8))</f>
        <v>0</v>
      </c>
    </row>
    <row r="232" spans="1:18">
      <c r="A232" s="15" t="str">
        <f t="shared" si="8"/>
        <v>0DE</v>
      </c>
      <c r="B232" s="15">
        <v>222</v>
      </c>
      <c r="C232" s="38"/>
      <c r="D232" s="15" t="s">
        <v>287</v>
      </c>
      <c r="E232" s="18" t="s">
        <v>60</v>
      </c>
      <c r="F232" s="29"/>
      <c r="G232" s="18">
        <f>IF(Table13192551566671[[#This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8" t="s">
        <v>75</v>
      </c>
      <c r="P232" s="48">
        <f>HEX2DEC(RIGHT(Table1323212753586873[[#This Row],[h1]],8))</f>
        <v>0</v>
      </c>
      <c r="Q232" s="48" t="s">
        <v>75</v>
      </c>
      <c r="R232" s="48">
        <f>HEX2DEC(RIGHT(Table1323212753586873[[#This Row],[h2]],8))</f>
        <v>0</v>
      </c>
    </row>
    <row r="233" spans="1:18">
      <c r="A233" s="15" t="str">
        <f t="shared" si="8"/>
        <v>0DF</v>
      </c>
      <c r="B233" s="15">
        <v>223</v>
      </c>
      <c r="C233" s="38"/>
      <c r="D233" s="15" t="s">
        <v>288</v>
      </c>
      <c r="E233" s="18" t="s">
        <v>61</v>
      </c>
      <c r="F233" s="29"/>
      <c r="G233" s="18">
        <f>IF(Table13192551566671[[#This Row],[dec val]]="",0,1)</f>
        <v>0</v>
      </c>
      <c r="I233" s="27">
        <v>2</v>
      </c>
      <c r="J233" s="27">
        <v>50000</v>
      </c>
      <c r="L233" s="27"/>
      <c r="M233" s="27">
        <v>50000</v>
      </c>
      <c r="O233" s="48" t="s">
        <v>75</v>
      </c>
      <c r="P233" s="48">
        <f>HEX2DEC(RIGHT(Table1323212753586873[[#This Row],[h1]],8))</f>
        <v>0</v>
      </c>
      <c r="Q233" s="48" t="s">
        <v>75</v>
      </c>
      <c r="R233" s="48">
        <f>HEX2DEC(RIGHT(Table1323212753586873[[#This Row],[h2]],8))</f>
        <v>0</v>
      </c>
    </row>
    <row r="234" spans="1:18">
      <c r="A234" s="15" t="str">
        <f t="shared" si="8"/>
        <v>0E0</v>
      </c>
      <c r="B234" s="15">
        <v>224</v>
      </c>
      <c r="C234" s="38"/>
      <c r="D234" s="15" t="s">
        <v>289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8" t="s">
        <v>75</v>
      </c>
      <c r="P234" s="48">
        <f>HEX2DEC(RIGHT(Table1323212753586873[[#This Row],[h1]],8))</f>
        <v>0</v>
      </c>
      <c r="Q234" s="48" t="s">
        <v>75</v>
      </c>
      <c r="R234" s="48">
        <f>HEX2DEC(RIGHT(Table1323212753586873[[#This Row],[h2]],8))</f>
        <v>0</v>
      </c>
    </row>
    <row r="235" spans="1:18">
      <c r="A235" s="15" t="str">
        <f t="shared" si="8"/>
        <v>0E1</v>
      </c>
      <c r="B235" s="15">
        <v>225</v>
      </c>
      <c r="C235" s="38"/>
      <c r="D235" s="15" t="s">
        <v>290</v>
      </c>
      <c r="E235" s="18" t="s">
        <v>63</v>
      </c>
      <c r="F235" s="29"/>
      <c r="G235" s="18">
        <f>IF(Table13192551566671[[#This Row],[dec val]]="",0,1)</f>
        <v>0</v>
      </c>
      <c r="I235" s="27">
        <v>3</v>
      </c>
      <c r="J235" s="27">
        <v>50000</v>
      </c>
      <c r="L235" s="27"/>
      <c r="M235" s="27">
        <v>50000</v>
      </c>
      <c r="O235" s="48" t="s">
        <v>75</v>
      </c>
      <c r="P235" s="48">
        <f>HEX2DEC(RIGHT(Table1323212753586873[[#This Row],[h1]],8))</f>
        <v>0</v>
      </c>
      <c r="Q235" s="48" t="s">
        <v>75</v>
      </c>
      <c r="R235" s="48">
        <f>HEX2DEC(RIGHT(Table1323212753586873[[#This Row],[h2]],8))</f>
        <v>0</v>
      </c>
    </row>
    <row r="236" spans="1:18">
      <c r="A236" s="15" t="str">
        <f t="shared" si="8"/>
        <v>0E2</v>
      </c>
      <c r="B236" s="15">
        <v>226</v>
      </c>
      <c r="C236" s="38"/>
      <c r="D236" s="15" t="s">
        <v>338</v>
      </c>
      <c r="E236" s="18" t="s">
        <v>339</v>
      </c>
      <c r="F236" s="29"/>
      <c r="G236" s="18">
        <f>IF(Table13192551566671[[#This Row],[dec val]]="",0,1)</f>
        <v>0</v>
      </c>
      <c r="I236" s="27">
        <v>1</v>
      </c>
      <c r="J236" s="27">
        <v>50000</v>
      </c>
      <c r="L236" s="27"/>
      <c r="M236" s="27">
        <v>50000</v>
      </c>
      <c r="O236" s="48" t="s">
        <v>75</v>
      </c>
      <c r="P236" s="48">
        <f>HEX2DEC(RIGHT(Table1323212753586873[[#This Row],[h1]],8))</f>
        <v>0</v>
      </c>
      <c r="Q236" s="48" t="s">
        <v>75</v>
      </c>
      <c r="R236" s="48">
        <f>HEX2DEC(RIGHT(Table1323212753586873[[#This Row],[h2]],8))</f>
        <v>0</v>
      </c>
    </row>
    <row r="237" spans="1:18">
      <c r="A237" s="15" t="str">
        <f t="shared" si="8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8" t="s">
        <v>75</v>
      </c>
      <c r="P237" s="48">
        <f>HEX2DEC(RIGHT(Table1323212753586873[[#This Row],[h1]],8))</f>
        <v>0</v>
      </c>
      <c r="Q237" s="48" t="s">
        <v>75</v>
      </c>
      <c r="R237" s="48">
        <f>HEX2DEC(RIGHT(Table1323212753586873[[#This Row],[h2]],8))</f>
        <v>0</v>
      </c>
    </row>
    <row r="238" spans="1:18">
      <c r="A238" s="15" t="str">
        <f t="shared" si="8"/>
        <v>0E4</v>
      </c>
      <c r="B238" s="15">
        <v>228</v>
      </c>
      <c r="C238" s="38"/>
      <c r="D238" s="15" t="s">
        <v>291</v>
      </c>
      <c r="E238" s="18" t="s">
        <v>53</v>
      </c>
      <c r="F238" s="29"/>
      <c r="G238" s="18">
        <f>IF(Table13192551566671[[#This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8" t="s">
        <v>75</v>
      </c>
      <c r="P238" s="48">
        <f>HEX2DEC(RIGHT(Table1323212753586873[[#This Row],[h1]],8))</f>
        <v>0</v>
      </c>
      <c r="Q238" s="48" t="s">
        <v>75</v>
      </c>
      <c r="R238" s="48">
        <f>HEX2DEC(RIGHT(Table1323212753586873[[#This Row],[h2]],8))</f>
        <v>0</v>
      </c>
    </row>
    <row r="239" spans="1:18">
      <c r="A239" s="15" t="str">
        <f t="shared" si="8"/>
        <v>0E5</v>
      </c>
      <c r="B239" s="15">
        <v>229</v>
      </c>
      <c r="C239" s="38"/>
      <c r="D239" s="15" t="s">
        <v>292</v>
      </c>
      <c r="E239" s="18" t="s">
        <v>54</v>
      </c>
      <c r="F239" s="29"/>
      <c r="G239" s="18">
        <f>IF(Table13192551566671[[#This Row],[dec val]]="",0,1)</f>
        <v>0</v>
      </c>
      <c r="I239" s="27">
        <v>4</v>
      </c>
      <c r="J239" s="27">
        <v>50000</v>
      </c>
      <c r="L239" s="27"/>
      <c r="M239" s="27">
        <v>50000</v>
      </c>
      <c r="O239" s="48" t="s">
        <v>75</v>
      </c>
      <c r="P239" s="48">
        <f>HEX2DEC(RIGHT(Table1323212753586873[[#This Row],[h1]],8))</f>
        <v>0</v>
      </c>
      <c r="Q239" s="48" t="s">
        <v>75</v>
      </c>
      <c r="R239" s="48">
        <f>HEX2DEC(RIGHT(Table1323212753586873[[#This Row],[h2]],8))</f>
        <v>0</v>
      </c>
    </row>
    <row r="240" spans="1:18">
      <c r="A240" s="15" t="str">
        <f t="shared" si="8"/>
        <v>0E6</v>
      </c>
      <c r="B240" s="15">
        <v>230</v>
      </c>
      <c r="C240" s="38"/>
      <c r="D240" s="15" t="s">
        <v>293</v>
      </c>
      <c r="E240" s="18" t="s">
        <v>55</v>
      </c>
      <c r="F240" s="29"/>
      <c r="G240" s="18">
        <f>IF(Table13192551566671[[#This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8" t="s">
        <v>75</v>
      </c>
      <c r="P240" s="48">
        <f>HEX2DEC(RIGHT(Table1323212753586873[[#This Row],[h1]],8))</f>
        <v>0</v>
      </c>
      <c r="Q240" s="48" t="s">
        <v>75</v>
      </c>
      <c r="R240" s="48">
        <f>HEX2DEC(RIGHT(Table1323212753586873[[#This Row],[h2]],8))</f>
        <v>0</v>
      </c>
    </row>
    <row r="241" spans="1:18">
      <c r="A241" s="15" t="str">
        <f t="shared" si="8"/>
        <v>0E7</v>
      </c>
      <c r="B241" s="15">
        <v>231</v>
      </c>
      <c r="C241" s="38"/>
      <c r="D241" s="15" t="s">
        <v>294</v>
      </c>
      <c r="E241" s="18" t="s">
        <v>56</v>
      </c>
      <c r="F241" s="29"/>
      <c r="G241" s="18">
        <f>IF(Table13192551566671[[#This Row],[dec val]]="",0,1)</f>
        <v>0</v>
      </c>
      <c r="I241" s="27">
        <v>2</v>
      </c>
      <c r="J241" s="27">
        <v>50000</v>
      </c>
      <c r="L241" s="27"/>
      <c r="M241" s="27">
        <v>50000</v>
      </c>
      <c r="O241" s="48" t="s">
        <v>75</v>
      </c>
      <c r="P241" s="48">
        <f>HEX2DEC(RIGHT(Table1323212753586873[[#This Row],[h1]],8))</f>
        <v>0</v>
      </c>
      <c r="Q241" s="48" t="s">
        <v>75</v>
      </c>
      <c r="R241" s="48">
        <f>HEX2DEC(RIGHT(Table1323212753586873[[#This Row],[h2]],8))</f>
        <v>0</v>
      </c>
    </row>
    <row r="242" spans="1:18">
      <c r="A242" s="15" t="str">
        <f t="shared" si="8"/>
        <v>0E8</v>
      </c>
      <c r="B242" s="15">
        <v>232</v>
      </c>
      <c r="C242" s="38"/>
      <c r="D242" s="15" t="s">
        <v>295</v>
      </c>
      <c r="E242" s="18" t="s">
        <v>57</v>
      </c>
      <c r="F242" s="29"/>
      <c r="G242" s="18">
        <f>IF(Table13192551566671[[#This Row],[dec val]]="",0,1)</f>
        <v>0</v>
      </c>
      <c r="I242" s="27">
        <v>1</v>
      </c>
      <c r="J242" s="27">
        <v>50000</v>
      </c>
      <c r="L242" s="27"/>
      <c r="M242" s="27">
        <v>50000</v>
      </c>
      <c r="O242" s="48" t="s">
        <v>75</v>
      </c>
      <c r="P242" s="48">
        <f>HEX2DEC(RIGHT(Table1323212753586873[[#This Row],[h1]],8))</f>
        <v>0</v>
      </c>
      <c r="Q242" s="48" t="s">
        <v>75</v>
      </c>
      <c r="R242" s="48">
        <f>HEX2DEC(RIGHT(Table1323212753586873[[#This Row],[h2]],8))</f>
        <v>0</v>
      </c>
    </row>
    <row r="243" spans="1:18">
      <c r="A243" s="15" t="str">
        <f t="shared" si="8"/>
        <v>0E9</v>
      </c>
      <c r="B243" s="15">
        <v>233</v>
      </c>
      <c r="C243" s="38"/>
      <c r="D243" s="15" t="s">
        <v>296</v>
      </c>
      <c r="E243" s="18" t="s">
        <v>58</v>
      </c>
      <c r="F243" s="29"/>
      <c r="G243" s="18">
        <f>IF(Table13192551566671[[#This Row],[dec val]]="",0,1)</f>
        <v>0</v>
      </c>
      <c r="I243" s="27">
        <v>3</v>
      </c>
      <c r="J243" s="27">
        <v>50000</v>
      </c>
      <c r="L243" s="27"/>
      <c r="M243" s="27">
        <v>50000</v>
      </c>
      <c r="O243" s="48" t="s">
        <v>75</v>
      </c>
      <c r="P243" s="48">
        <f>HEX2DEC(RIGHT(Table1323212753586873[[#This Row],[h1]],8))</f>
        <v>0</v>
      </c>
      <c r="Q243" s="48" t="s">
        <v>75</v>
      </c>
      <c r="R243" s="48">
        <f>HEX2DEC(RIGHT(Table1323212753586873[[#This Row],[h2]],8))</f>
        <v>0</v>
      </c>
    </row>
    <row r="244" spans="1:18">
      <c r="A244" s="15" t="str">
        <f t="shared" si="8"/>
        <v>0EA</v>
      </c>
      <c r="B244" s="15">
        <v>234</v>
      </c>
      <c r="C244" s="38"/>
      <c r="D244" s="15" t="s">
        <v>297</v>
      </c>
      <c r="E244" s="18" t="s">
        <v>59</v>
      </c>
      <c r="F244" s="29"/>
      <c r="G244" s="18">
        <f>IF(Table13192551566671[[#This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8" t="s">
        <v>75</v>
      </c>
      <c r="P244" s="48">
        <f>HEX2DEC(RIGHT(Table1323212753586873[[#This Row],[h1]],8))</f>
        <v>0</v>
      </c>
      <c r="Q244" s="48" t="s">
        <v>75</v>
      </c>
      <c r="R244" s="48">
        <f>HEX2DEC(RIGHT(Table1323212753586873[[#This Row],[h2]],8))</f>
        <v>0</v>
      </c>
    </row>
    <row r="245" spans="1:18">
      <c r="A245" s="15" t="str">
        <f t="shared" si="8"/>
        <v>0EB</v>
      </c>
      <c r="B245" s="15">
        <v>235</v>
      </c>
      <c r="C245" s="38"/>
      <c r="D245" s="15" t="s">
        <v>298</v>
      </c>
      <c r="E245" s="18" t="s">
        <v>60</v>
      </c>
      <c r="F245" s="29"/>
      <c r="G245" s="18">
        <f>IF(Table13192551566671[[#This Row],[dec val]]="",0,1)</f>
        <v>0</v>
      </c>
      <c r="I245" s="27">
        <v>2</v>
      </c>
      <c r="J245" s="27">
        <v>50000</v>
      </c>
      <c r="L245" s="27"/>
      <c r="M245" s="27">
        <v>50000</v>
      </c>
      <c r="O245" s="48" t="s">
        <v>75</v>
      </c>
      <c r="P245" s="48">
        <f>HEX2DEC(RIGHT(Table1323212753586873[[#This Row],[h1]],8))</f>
        <v>0</v>
      </c>
      <c r="Q245" s="48" t="s">
        <v>75</v>
      </c>
      <c r="R245" s="48">
        <f>HEX2DEC(RIGHT(Table1323212753586873[[#This Row],[h2]],8))</f>
        <v>0</v>
      </c>
    </row>
    <row r="246" spans="1:18">
      <c r="A246" s="15" t="str">
        <f t="shared" si="8"/>
        <v>0EC</v>
      </c>
      <c r="B246" s="15">
        <v>236</v>
      </c>
      <c r="C246" s="38"/>
      <c r="D246" s="15" t="s">
        <v>299</v>
      </c>
      <c r="E246" s="18" t="s">
        <v>61</v>
      </c>
      <c r="F246" s="29"/>
      <c r="G246" s="18">
        <f>IF(Table13192551566671[[#This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8" t="s">
        <v>75</v>
      </c>
      <c r="P246" s="48">
        <f>HEX2DEC(RIGHT(Table1323212753586873[[#This Row],[h1]],8))</f>
        <v>0</v>
      </c>
      <c r="Q246" s="48" t="s">
        <v>75</v>
      </c>
      <c r="R246" s="48">
        <f>HEX2DEC(RIGHT(Table1323212753586873[[#This Row],[h2]],8))</f>
        <v>0</v>
      </c>
    </row>
    <row r="247" spans="1:18">
      <c r="A247" s="15" t="str">
        <f t="shared" si="8"/>
        <v>0ED</v>
      </c>
      <c r="B247" s="15">
        <v>237</v>
      </c>
      <c r="C247" s="38"/>
      <c r="D247" s="15" t="s">
        <v>300</v>
      </c>
      <c r="E247" s="18" t="s">
        <v>62</v>
      </c>
      <c r="F247" s="29"/>
      <c r="G247" s="18">
        <f>IF(Table13192551566671[[#This Row],[dec val]]="",0,1)</f>
        <v>0</v>
      </c>
      <c r="I247" s="27">
        <v>3</v>
      </c>
      <c r="J247" s="27">
        <v>50000</v>
      </c>
      <c r="L247" s="27"/>
      <c r="M247" s="27">
        <v>50000</v>
      </c>
      <c r="O247" s="48" t="s">
        <v>75</v>
      </c>
      <c r="P247" s="48">
        <f>HEX2DEC(RIGHT(Table1323212753586873[[#This Row],[h1]],8))</f>
        <v>0</v>
      </c>
      <c r="Q247" s="48" t="s">
        <v>75</v>
      </c>
      <c r="R247" s="48">
        <f>HEX2DEC(RIGHT(Table1323212753586873[[#This Row],[h2]],8))</f>
        <v>0</v>
      </c>
    </row>
    <row r="248" spans="1:18">
      <c r="A248" s="15" t="str">
        <f t="shared" si="8"/>
        <v>0EE</v>
      </c>
      <c r="B248" s="15">
        <v>238</v>
      </c>
      <c r="C248" s="38"/>
      <c r="D248" s="15" t="s">
        <v>301</v>
      </c>
      <c r="E248" s="18" t="s">
        <v>63</v>
      </c>
      <c r="F248" s="29"/>
      <c r="G248" s="18">
        <f>IF(Table13192551566671[[#This Row],[dec val]]="",0,1)</f>
        <v>0</v>
      </c>
      <c r="I248" s="27">
        <v>1</v>
      </c>
      <c r="J248" s="27">
        <v>50000</v>
      </c>
      <c r="L248" s="27"/>
      <c r="M248" s="27">
        <v>50000</v>
      </c>
      <c r="O248" s="48" t="s">
        <v>75</v>
      </c>
      <c r="P248" s="48">
        <f>HEX2DEC(RIGHT(Table1323212753586873[[#This Row],[h1]],8))</f>
        <v>0</v>
      </c>
      <c r="Q248" s="48" t="s">
        <v>75</v>
      </c>
      <c r="R248" s="48">
        <f>HEX2DEC(RIGHT(Table1323212753586873[[#This Row],[h2]],8))</f>
        <v>0</v>
      </c>
    </row>
    <row r="249" spans="1:18">
      <c r="A249" s="15" t="str">
        <f t="shared" si="8"/>
        <v>0EF</v>
      </c>
      <c r="B249" s="15">
        <v>239</v>
      </c>
      <c r="C249" s="38"/>
      <c r="D249" s="15" t="s">
        <v>340</v>
      </c>
      <c r="E249" s="18" t="s">
        <v>339</v>
      </c>
      <c r="F249" s="29"/>
      <c r="G249" s="18">
        <f>IF(Table13192551566671[[#This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8" t="s">
        <v>75</v>
      </c>
      <c r="P249" s="48">
        <f>HEX2DEC(RIGHT(Table1323212753586873[[#This Row],[h1]],8))</f>
        <v>0</v>
      </c>
      <c r="Q249" s="48" t="s">
        <v>75</v>
      </c>
      <c r="R249" s="48">
        <f>HEX2DEC(RIGHT(Table1323212753586873[[#This Row],[h2]],8))</f>
        <v>0</v>
      </c>
    </row>
    <row r="250" spans="1:18">
      <c r="A250" s="15" t="str">
        <f t="shared" si="8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8" t="s">
        <v>75</v>
      </c>
      <c r="P250" s="48">
        <f>HEX2DEC(RIGHT(Table1323212753586873[[#This Row],[h1]],8))</f>
        <v>0</v>
      </c>
      <c r="Q250" s="48" t="s">
        <v>75</v>
      </c>
      <c r="R250" s="48">
        <f>HEX2DEC(RIGHT(Table1323212753586873[[#This Row],[h2]],8))</f>
        <v>0</v>
      </c>
    </row>
    <row r="251" spans="1:18">
      <c r="A251" s="15" t="str">
        <f t="shared" si="8"/>
        <v>0F1</v>
      </c>
      <c r="B251" s="15">
        <v>241</v>
      </c>
      <c r="C251" s="38"/>
      <c r="D251" s="15" t="s">
        <v>302</v>
      </c>
      <c r="E251" s="18" t="s">
        <v>53</v>
      </c>
      <c r="F251" s="29"/>
      <c r="G251" s="18">
        <f>IF(Table13192551566671[[#This Row],[dec val]]="",0,1)</f>
        <v>0</v>
      </c>
      <c r="I251" s="57" t="s">
        <v>408</v>
      </c>
      <c r="J251" s="57">
        <v>50000</v>
      </c>
      <c r="L251" s="27"/>
      <c r="M251" s="27">
        <v>50000</v>
      </c>
      <c r="O251" s="48" t="s">
        <v>75</v>
      </c>
      <c r="P251" s="48">
        <f>HEX2DEC(RIGHT(Table1323212753586873[[#This Row],[h1]],8))</f>
        <v>0</v>
      </c>
      <c r="Q251" s="48" t="s">
        <v>75</v>
      </c>
      <c r="R251" s="48">
        <f>HEX2DEC(RIGHT(Table1323212753586873[[#This Row],[h2]],8))</f>
        <v>0</v>
      </c>
    </row>
    <row r="252" spans="1:18">
      <c r="A252" s="15" t="str">
        <f t="shared" si="8"/>
        <v>0F2</v>
      </c>
      <c r="B252" s="15">
        <v>242</v>
      </c>
      <c r="C252" s="38"/>
      <c r="D252" s="15" t="s">
        <v>303</v>
      </c>
      <c r="E252" s="18" t="s">
        <v>54</v>
      </c>
      <c r="F252" s="29"/>
      <c r="G252" s="18">
        <f>IF(Table13192551566671[[#This Row],[dec val]]="",0,1)</f>
        <v>0</v>
      </c>
      <c r="I252" s="27"/>
      <c r="J252" s="27">
        <v>50000</v>
      </c>
      <c r="L252" s="27"/>
      <c r="M252" s="27">
        <v>50000</v>
      </c>
      <c r="O252" s="48" t="s">
        <v>75</v>
      </c>
      <c r="P252" s="48">
        <f>HEX2DEC(RIGHT(Table1323212753586873[[#This Row],[h1]],8))</f>
        <v>0</v>
      </c>
      <c r="Q252" s="48" t="s">
        <v>75</v>
      </c>
      <c r="R252" s="48">
        <f>HEX2DEC(RIGHT(Table1323212753586873[[#This Row],[h2]],8))</f>
        <v>0</v>
      </c>
    </row>
    <row r="253" spans="1:18">
      <c r="A253" s="15" t="str">
        <f t="shared" si="8"/>
        <v>0F3</v>
      </c>
      <c r="B253" s="15">
        <v>243</v>
      </c>
      <c r="C253" s="38"/>
      <c r="D253" s="15" t="s">
        <v>304</v>
      </c>
      <c r="E253" s="18" t="s">
        <v>55</v>
      </c>
      <c r="F253" s="29"/>
      <c r="G253" s="18">
        <f>IF(Table13192551566671[[#This Row],[dec val]]="",0,1)</f>
        <v>0</v>
      </c>
      <c r="I253" s="27"/>
      <c r="J253" s="27">
        <v>50000</v>
      </c>
      <c r="L253" s="27"/>
      <c r="M253" s="27">
        <v>50000</v>
      </c>
      <c r="O253" s="48" t="s">
        <v>75</v>
      </c>
      <c r="P253" s="48">
        <f>HEX2DEC(RIGHT(Table1323212753586873[[#This Row],[h1]],8))</f>
        <v>0</v>
      </c>
      <c r="Q253" s="48" t="s">
        <v>75</v>
      </c>
      <c r="R253" s="48">
        <f>HEX2DEC(RIGHT(Table1323212753586873[[#This Row],[h2]],8))</f>
        <v>0</v>
      </c>
    </row>
    <row r="254" spans="1:18">
      <c r="A254" s="15" t="str">
        <f t="shared" si="8"/>
        <v>0F4</v>
      </c>
      <c r="B254" s="15">
        <v>244</v>
      </c>
      <c r="C254" s="38"/>
      <c r="D254" s="15" t="s">
        <v>305</v>
      </c>
      <c r="E254" s="18" t="s">
        <v>56</v>
      </c>
      <c r="F254" s="29"/>
      <c r="G254" s="18">
        <f>IF(Table13192551566671[[#This Row],[dec val]]="",0,1)</f>
        <v>0</v>
      </c>
      <c r="I254" s="27"/>
      <c r="J254" s="27">
        <v>50000</v>
      </c>
      <c r="L254" s="27"/>
      <c r="M254" s="27">
        <v>50000</v>
      </c>
      <c r="O254" s="48" t="s">
        <v>75</v>
      </c>
      <c r="P254" s="48">
        <f>HEX2DEC(RIGHT(Table1323212753586873[[#This Row],[h1]],8))</f>
        <v>0</v>
      </c>
      <c r="Q254" s="48" t="s">
        <v>75</v>
      </c>
      <c r="R254" s="48">
        <f>HEX2DEC(RIGHT(Table1323212753586873[[#This Row],[h2]],8))</f>
        <v>0</v>
      </c>
    </row>
    <row r="255" spans="1:18">
      <c r="A255" s="15" t="str">
        <f t="shared" si="8"/>
        <v>0F5</v>
      </c>
      <c r="B255" s="15">
        <v>245</v>
      </c>
      <c r="C255" s="38"/>
      <c r="D255" s="15" t="s">
        <v>306</v>
      </c>
      <c r="E255" s="18" t="s">
        <v>57</v>
      </c>
      <c r="F255" s="29"/>
      <c r="G255" s="18">
        <f>IF(Table13192551566671[[#This Row],[dec val]]="",0,1)</f>
        <v>0</v>
      </c>
      <c r="I255" s="27"/>
      <c r="J255" s="27">
        <v>50000</v>
      </c>
      <c r="L255" s="27"/>
      <c r="M255" s="27">
        <v>50000</v>
      </c>
      <c r="O255" s="48" t="s">
        <v>75</v>
      </c>
      <c r="P255" s="48">
        <f>HEX2DEC(RIGHT(Table1323212753586873[[#This Row],[h1]],8))</f>
        <v>0</v>
      </c>
      <c r="Q255" s="48" t="s">
        <v>75</v>
      </c>
      <c r="R255" s="48">
        <f>HEX2DEC(RIGHT(Table1323212753586873[[#This Row],[h2]],8))</f>
        <v>0</v>
      </c>
    </row>
    <row r="256" spans="1:18">
      <c r="A256" s="15" t="str">
        <f t="shared" si="8"/>
        <v>0F6</v>
      </c>
      <c r="B256" s="15">
        <v>246</v>
      </c>
      <c r="C256" s="38"/>
      <c r="D256" s="15" t="s">
        <v>307</v>
      </c>
      <c r="E256" s="18" t="s">
        <v>58</v>
      </c>
      <c r="F256" s="29"/>
      <c r="G256" s="18">
        <f>IF(Table13192551566671[[#This Row],[dec val]]="",0,1)</f>
        <v>0</v>
      </c>
      <c r="I256" s="27"/>
      <c r="J256" s="27">
        <v>50000</v>
      </c>
      <c r="L256" s="27"/>
      <c r="M256" s="27">
        <v>50000</v>
      </c>
      <c r="O256" s="48" t="s">
        <v>75</v>
      </c>
      <c r="P256" s="48">
        <f>HEX2DEC(RIGHT(Table1323212753586873[[#This Row],[h1]],8))</f>
        <v>0</v>
      </c>
      <c r="Q256" s="48" t="s">
        <v>75</v>
      </c>
      <c r="R256" s="48">
        <f>HEX2DEC(RIGHT(Table1323212753586873[[#This Row],[h2]],8))</f>
        <v>0</v>
      </c>
    </row>
    <row r="257" spans="1:18">
      <c r="A257" s="15" t="str">
        <f t="shared" si="8"/>
        <v>0F7</v>
      </c>
      <c r="B257" s="15">
        <v>247</v>
      </c>
      <c r="C257" s="38"/>
      <c r="D257" s="15" t="s">
        <v>308</v>
      </c>
      <c r="E257" s="18" t="s">
        <v>59</v>
      </c>
      <c r="F257" s="29"/>
      <c r="G257" s="18">
        <f>IF(Table13192551566671[[#This Row],[dec val]]="",0,1)</f>
        <v>0</v>
      </c>
      <c r="I257" s="27"/>
      <c r="J257" s="27">
        <v>50000</v>
      </c>
      <c r="L257" s="27"/>
      <c r="M257" s="27">
        <v>50000</v>
      </c>
      <c r="O257" s="48" t="s">
        <v>75</v>
      </c>
      <c r="P257" s="48">
        <f>HEX2DEC(RIGHT(Table1323212753586873[[#This Row],[h1]],8))</f>
        <v>0</v>
      </c>
      <c r="Q257" s="48" t="s">
        <v>75</v>
      </c>
      <c r="R257" s="48">
        <f>HEX2DEC(RIGHT(Table1323212753586873[[#This Row],[h2]],8))</f>
        <v>0</v>
      </c>
    </row>
    <row r="258" spans="1:18">
      <c r="A258" s="15" t="str">
        <f t="shared" si="8"/>
        <v>0F8</v>
      </c>
      <c r="B258" s="15">
        <v>248</v>
      </c>
      <c r="C258" s="38"/>
      <c r="D258" s="15" t="s">
        <v>309</v>
      </c>
      <c r="E258" s="18" t="s">
        <v>60</v>
      </c>
      <c r="F258" s="29"/>
      <c r="G258" s="18">
        <f>IF(Table13192551566671[[#This Row],[dec val]]="",0,1)</f>
        <v>0</v>
      </c>
      <c r="I258" s="27"/>
      <c r="J258" s="27">
        <v>50000</v>
      </c>
      <c r="L258" s="27"/>
      <c r="M258" s="27">
        <v>50000</v>
      </c>
      <c r="O258" s="48" t="s">
        <v>75</v>
      </c>
      <c r="P258" s="48">
        <f>HEX2DEC(RIGHT(Table1323212753586873[[#This Row],[h1]],8))</f>
        <v>0</v>
      </c>
      <c r="Q258" s="48" t="s">
        <v>75</v>
      </c>
      <c r="R258" s="48">
        <f>HEX2DEC(RIGHT(Table1323212753586873[[#This Row],[h2]],8))</f>
        <v>0</v>
      </c>
    </row>
    <row r="259" spans="1:18">
      <c r="A259" s="15" t="str">
        <f t="shared" si="8"/>
        <v>0F9</v>
      </c>
      <c r="B259" s="15">
        <v>249</v>
      </c>
      <c r="C259" s="38"/>
      <c r="D259" s="15" t="s">
        <v>310</v>
      </c>
      <c r="E259" s="18" t="s">
        <v>61</v>
      </c>
      <c r="F259" s="29"/>
      <c r="G259" s="18">
        <f>IF(Table13192551566671[[#This Row],[dec val]]="",0,1)</f>
        <v>0</v>
      </c>
      <c r="I259" s="27"/>
      <c r="J259" s="27">
        <v>50000</v>
      </c>
      <c r="L259" s="27"/>
      <c r="M259" s="27">
        <v>50000</v>
      </c>
      <c r="O259" s="48" t="s">
        <v>75</v>
      </c>
      <c r="P259" s="48">
        <f>HEX2DEC(RIGHT(Table1323212753586873[[#This Row],[h1]],8))</f>
        <v>0</v>
      </c>
      <c r="Q259" s="48" t="s">
        <v>75</v>
      </c>
      <c r="R259" s="48">
        <f>HEX2DEC(RIGHT(Table1323212753586873[[#This Row],[h2]],8))</f>
        <v>0</v>
      </c>
    </row>
    <row r="260" spans="1:18">
      <c r="A260" s="15" t="str">
        <f t="shared" si="8"/>
        <v>0FA</v>
      </c>
      <c r="B260" s="15">
        <v>250</v>
      </c>
      <c r="C260" s="38"/>
      <c r="D260" s="15" t="s">
        <v>311</v>
      </c>
      <c r="E260" s="18" t="s">
        <v>62</v>
      </c>
      <c r="F260" s="29"/>
      <c r="G260" s="18">
        <f>IF(Table13192551566671[[#This Row],[dec val]]="",0,1)</f>
        <v>0</v>
      </c>
      <c r="I260" s="27"/>
      <c r="J260" s="27">
        <v>50000</v>
      </c>
      <c r="L260" s="27"/>
      <c r="M260" s="27">
        <v>50000</v>
      </c>
      <c r="O260" s="48" t="s">
        <v>75</v>
      </c>
      <c r="P260" s="48">
        <f>HEX2DEC(RIGHT(Table1323212753586873[[#This Row],[h1]],8))</f>
        <v>0</v>
      </c>
      <c r="Q260" s="48" t="s">
        <v>75</v>
      </c>
      <c r="R260" s="48">
        <f>HEX2DEC(RIGHT(Table1323212753586873[[#This Row],[h2]],8))</f>
        <v>0</v>
      </c>
    </row>
    <row r="261" spans="1:18">
      <c r="A261" s="15" t="str">
        <f t="shared" si="8"/>
        <v>0FB</v>
      </c>
      <c r="B261" s="15">
        <v>251</v>
      </c>
      <c r="C261" s="38"/>
      <c r="D261" s="15" t="s">
        <v>312</v>
      </c>
      <c r="E261" s="18" t="s">
        <v>63</v>
      </c>
      <c r="F261" s="29"/>
      <c r="G261" s="18">
        <f>IF(Table13192551566671[[#This Row],[dec val]]="",0,1)</f>
        <v>0</v>
      </c>
      <c r="I261" s="27"/>
      <c r="J261" s="27">
        <v>50000</v>
      </c>
      <c r="L261" s="27"/>
      <c r="M261" s="27">
        <v>50000</v>
      </c>
      <c r="O261" s="48" t="s">
        <v>75</v>
      </c>
      <c r="P261" s="48">
        <f>HEX2DEC(RIGHT(Table1323212753586873[[#This Row],[h1]],8))</f>
        <v>0</v>
      </c>
      <c r="Q261" s="48" t="s">
        <v>75</v>
      </c>
      <c r="R261" s="48">
        <f>HEX2DEC(RIGHT(Table1323212753586873[[#This Row],[h2]],8))</f>
        <v>0</v>
      </c>
    </row>
    <row r="262" spans="1:18">
      <c r="A262" s="15" t="str">
        <f t="shared" si="8"/>
        <v>0FC</v>
      </c>
      <c r="B262" s="15">
        <v>252</v>
      </c>
      <c r="C262" s="38"/>
      <c r="D262" s="15" t="s">
        <v>342</v>
      </c>
      <c r="E262" s="18" t="s">
        <v>339</v>
      </c>
      <c r="F262" s="29"/>
      <c r="G262" s="18">
        <f>IF(Table13192551566671[[#This Row],[dec val]]="",0,1)</f>
        <v>0</v>
      </c>
      <c r="I262" s="27"/>
      <c r="J262" s="27">
        <v>50000</v>
      </c>
      <c r="L262" s="27"/>
      <c r="M262" s="27">
        <v>50000</v>
      </c>
      <c r="O262" s="48" t="s">
        <v>75</v>
      </c>
      <c r="P262" s="48">
        <f>HEX2DEC(RIGHT(Table1323212753586873[[#This Row],[h1]],8))</f>
        <v>0</v>
      </c>
      <c r="Q262" s="48" t="s">
        <v>75</v>
      </c>
      <c r="R262" s="48">
        <f>HEX2DEC(RIGHT(Table1323212753586873[[#This Row],[h2]],8))</f>
        <v>0</v>
      </c>
    </row>
    <row r="263" spans="1:18">
      <c r="A263" s="15" t="str">
        <f t="shared" si="8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8" t="s">
        <v>75</v>
      </c>
      <c r="P263" s="48">
        <f>HEX2DEC(RIGHT(Table1323212753586873[[#This Row],[h1]],8))</f>
        <v>0</v>
      </c>
      <c r="Q263" s="48" t="s">
        <v>75</v>
      </c>
      <c r="R263" s="48">
        <f>HEX2DEC(RIGHT(Table1323212753586873[[#This Row],[h2]],8))</f>
        <v>0</v>
      </c>
    </row>
    <row r="264" spans="1:18">
      <c r="A264" s="15" t="str">
        <f t="shared" si="8"/>
        <v>0FE</v>
      </c>
      <c r="B264" s="15">
        <v>254</v>
      </c>
      <c r="C264" s="38"/>
      <c r="D264" s="15" t="s">
        <v>313</v>
      </c>
      <c r="E264" s="18" t="s">
        <v>53</v>
      </c>
      <c r="F264" s="29"/>
      <c r="G264" s="18">
        <f>IF(Table13192551566671[[#This Row],[dec val]]="",0,1)</f>
        <v>0</v>
      </c>
      <c r="I264" s="27"/>
      <c r="J264" s="27">
        <v>50000</v>
      </c>
      <c r="L264" s="27"/>
      <c r="M264" s="27">
        <v>50000</v>
      </c>
      <c r="O264" s="48" t="s">
        <v>75</v>
      </c>
      <c r="P264" s="48">
        <f>HEX2DEC(RIGHT(Table1323212753586873[[#This Row],[h1]],8))</f>
        <v>0</v>
      </c>
      <c r="Q264" s="48" t="s">
        <v>75</v>
      </c>
      <c r="R264" s="48">
        <f>HEX2DEC(RIGHT(Table1323212753586873[[#This Row],[h2]],8))</f>
        <v>0</v>
      </c>
    </row>
    <row r="265" spans="1:18">
      <c r="A265" s="15" t="str">
        <f t="shared" si="8"/>
        <v>0FF</v>
      </c>
      <c r="B265" s="15">
        <v>255</v>
      </c>
      <c r="C265" s="38"/>
      <c r="D265" s="15" t="s">
        <v>314</v>
      </c>
      <c r="E265" s="18" t="s">
        <v>54</v>
      </c>
      <c r="F265" s="29"/>
      <c r="G265" s="18">
        <f>IF(Table13192551566671[[#This Row],[dec val]]="",0,1)</f>
        <v>0</v>
      </c>
      <c r="I265" s="27"/>
      <c r="J265" s="27">
        <v>50000</v>
      </c>
      <c r="L265" s="27"/>
      <c r="M265" s="27">
        <v>50000</v>
      </c>
      <c r="O265" s="48" t="s">
        <v>75</v>
      </c>
      <c r="P265" s="48">
        <f>HEX2DEC(RIGHT(Table1323212753586873[[#This Row],[h1]],8))</f>
        <v>0</v>
      </c>
      <c r="Q265" s="48" t="s">
        <v>75</v>
      </c>
      <c r="R265" s="48">
        <f>HEX2DEC(RIGHT(Table1323212753586873[[#This Row],[h2]],8))</f>
        <v>0</v>
      </c>
    </row>
    <row r="266" spans="1:18">
      <c r="A266" s="15" t="str">
        <f t="shared" si="8"/>
        <v>100</v>
      </c>
      <c r="B266" s="15">
        <v>256</v>
      </c>
      <c r="C266" s="38"/>
      <c r="D266" s="15" t="s">
        <v>315</v>
      </c>
      <c r="E266" s="18" t="s">
        <v>55</v>
      </c>
      <c r="F266" s="29"/>
      <c r="G266" s="18">
        <f>IF(Table13192551566671[[#This Row],[dec val]]="",0,1)</f>
        <v>0</v>
      </c>
      <c r="I266" s="27"/>
      <c r="J266" s="27">
        <v>50000</v>
      </c>
      <c r="L266" s="27"/>
      <c r="M266" s="27">
        <v>50000</v>
      </c>
      <c r="O266" s="48" t="s">
        <v>75</v>
      </c>
      <c r="P266" s="48">
        <f>HEX2DEC(RIGHT(Table1323212753586873[[#This Row],[h1]],8))</f>
        <v>0</v>
      </c>
      <c r="Q266" s="48" t="s">
        <v>75</v>
      </c>
      <c r="R266" s="48">
        <f>HEX2DEC(RIGHT(Table1323212753586873[[#This Row],[h2]],8))</f>
        <v>0</v>
      </c>
    </row>
    <row r="267" spans="1:18">
      <c r="A267" s="15" t="str">
        <f t="shared" ref="A267:A330" si="9">DEC2HEX(B267,3)</f>
        <v>101</v>
      </c>
      <c r="B267" s="15">
        <v>257</v>
      </c>
      <c r="C267" s="38"/>
      <c r="D267" s="15" t="s">
        <v>316</v>
      </c>
      <c r="E267" s="18" t="s">
        <v>56</v>
      </c>
      <c r="F267" s="29"/>
      <c r="G267" s="18">
        <f>IF(Table13192551566671[[#This Row],[dec val]]="",0,1)</f>
        <v>0</v>
      </c>
      <c r="I267" s="27"/>
      <c r="J267" s="27">
        <v>50000</v>
      </c>
      <c r="L267" s="27"/>
      <c r="M267" s="27">
        <v>50000</v>
      </c>
      <c r="O267" s="48" t="s">
        <v>75</v>
      </c>
      <c r="P267" s="48">
        <f>HEX2DEC(RIGHT(Table1323212753586873[[#This Row],[h1]],8))</f>
        <v>0</v>
      </c>
      <c r="Q267" s="48" t="s">
        <v>75</v>
      </c>
      <c r="R267" s="48">
        <f>HEX2DEC(RIGHT(Table1323212753586873[[#This Row],[h2]],8))</f>
        <v>0</v>
      </c>
    </row>
    <row r="268" spans="1:18">
      <c r="A268" s="15" t="str">
        <f t="shared" si="9"/>
        <v>102</v>
      </c>
      <c r="B268" s="15">
        <v>258</v>
      </c>
      <c r="C268" s="38"/>
      <c r="D268" s="15" t="s">
        <v>317</v>
      </c>
      <c r="E268" s="18" t="s">
        <v>57</v>
      </c>
      <c r="F268" s="29"/>
      <c r="G268" s="18">
        <f>IF(Table13192551566671[[#This Row],[dec val]]="",0,1)</f>
        <v>0</v>
      </c>
      <c r="I268" s="27"/>
      <c r="J268" s="27">
        <v>50000</v>
      </c>
      <c r="L268" s="27"/>
      <c r="M268" s="27">
        <v>50000</v>
      </c>
      <c r="O268" s="48" t="s">
        <v>75</v>
      </c>
      <c r="P268" s="48">
        <f>HEX2DEC(RIGHT(Table1323212753586873[[#This Row],[h1]],8))</f>
        <v>0</v>
      </c>
      <c r="Q268" s="48" t="s">
        <v>75</v>
      </c>
      <c r="R268" s="48">
        <f>HEX2DEC(RIGHT(Table1323212753586873[[#This Row],[h2]],8))</f>
        <v>0</v>
      </c>
    </row>
    <row r="269" spans="1:18">
      <c r="A269" s="15" t="str">
        <f t="shared" si="9"/>
        <v>103</v>
      </c>
      <c r="B269" s="15">
        <v>259</v>
      </c>
      <c r="C269" s="38"/>
      <c r="D269" s="15" t="s">
        <v>318</v>
      </c>
      <c r="E269" s="18" t="s">
        <v>58</v>
      </c>
      <c r="F269" s="29"/>
      <c r="G269" s="18">
        <f>IF(Table13192551566671[[#This Row],[dec val]]="",0,1)</f>
        <v>0</v>
      </c>
      <c r="I269" s="27"/>
      <c r="J269" s="27">
        <v>50000</v>
      </c>
      <c r="L269" s="27"/>
      <c r="M269" s="27">
        <v>50000</v>
      </c>
      <c r="O269" s="48" t="s">
        <v>75</v>
      </c>
      <c r="P269" s="48">
        <f>HEX2DEC(RIGHT(Table1323212753586873[[#This Row],[h1]],8))</f>
        <v>0</v>
      </c>
      <c r="Q269" s="48" t="s">
        <v>75</v>
      </c>
      <c r="R269" s="48">
        <f>HEX2DEC(RIGHT(Table1323212753586873[[#This Row],[h2]],8))</f>
        <v>0</v>
      </c>
    </row>
    <row r="270" spans="1:18">
      <c r="A270" s="15" t="str">
        <f t="shared" si="9"/>
        <v>104</v>
      </c>
      <c r="B270" s="15">
        <v>260</v>
      </c>
      <c r="C270" s="38"/>
      <c r="D270" s="15" t="s">
        <v>319</v>
      </c>
      <c r="E270" s="18" t="s">
        <v>59</v>
      </c>
      <c r="F270" s="29"/>
      <c r="G270" s="18">
        <f>IF(Table13192551566671[[#This Row],[dec val]]="",0,1)</f>
        <v>0</v>
      </c>
      <c r="I270" s="27"/>
      <c r="J270" s="27">
        <v>50000</v>
      </c>
      <c r="L270" s="27"/>
      <c r="M270" s="27">
        <v>50000</v>
      </c>
      <c r="O270" s="48" t="s">
        <v>75</v>
      </c>
      <c r="P270" s="48">
        <f>HEX2DEC(RIGHT(Table1323212753586873[[#This Row],[h1]],8))</f>
        <v>0</v>
      </c>
      <c r="Q270" s="48" t="s">
        <v>75</v>
      </c>
      <c r="R270" s="48">
        <f>HEX2DEC(RIGHT(Table1323212753586873[[#This Row],[h2]],8))</f>
        <v>0</v>
      </c>
    </row>
    <row r="271" spans="1:18">
      <c r="A271" s="15" t="str">
        <f t="shared" si="9"/>
        <v>105</v>
      </c>
      <c r="B271" s="15">
        <v>261</v>
      </c>
      <c r="C271" s="38"/>
      <c r="D271" s="15" t="s">
        <v>320</v>
      </c>
      <c r="E271" s="18" t="s">
        <v>60</v>
      </c>
      <c r="F271" s="29"/>
      <c r="G271" s="18">
        <f>IF(Table13192551566671[[#This Row],[dec val]]="",0,1)</f>
        <v>0</v>
      </c>
      <c r="I271" s="27"/>
      <c r="J271" s="27">
        <v>50000</v>
      </c>
      <c r="L271" s="27"/>
      <c r="M271" s="27">
        <v>50000</v>
      </c>
      <c r="O271" s="48" t="s">
        <v>75</v>
      </c>
      <c r="P271" s="48">
        <f>HEX2DEC(RIGHT(Table1323212753586873[[#This Row],[h1]],8))</f>
        <v>0</v>
      </c>
      <c r="Q271" s="48" t="s">
        <v>75</v>
      </c>
      <c r="R271" s="48">
        <f>HEX2DEC(RIGHT(Table1323212753586873[[#This Row],[h2]],8))</f>
        <v>0</v>
      </c>
    </row>
    <row r="272" spans="1:18">
      <c r="A272" s="15" t="str">
        <f t="shared" si="9"/>
        <v>106</v>
      </c>
      <c r="B272" s="15">
        <v>262</v>
      </c>
      <c r="C272" s="38"/>
      <c r="D272" s="15" t="s">
        <v>321</v>
      </c>
      <c r="E272" s="18" t="s">
        <v>62</v>
      </c>
      <c r="F272" s="29"/>
      <c r="G272" s="18">
        <f>IF(Table13192551566671[[#This Row],[dec val]]="",0,1)</f>
        <v>0</v>
      </c>
      <c r="I272" s="27"/>
      <c r="J272" s="27">
        <v>50000</v>
      </c>
      <c r="L272" s="27"/>
      <c r="M272" s="27">
        <v>50000</v>
      </c>
      <c r="O272" s="48" t="s">
        <v>75</v>
      </c>
      <c r="P272" s="48">
        <f>HEX2DEC(RIGHT(Table1323212753586873[[#This Row],[h1]],8))</f>
        <v>0</v>
      </c>
      <c r="Q272" s="48" t="s">
        <v>75</v>
      </c>
      <c r="R272" s="48">
        <f>HEX2DEC(RIGHT(Table1323212753586873[[#This Row],[h2]],8))</f>
        <v>0</v>
      </c>
    </row>
    <row r="273" spans="1:18">
      <c r="A273" s="15" t="str">
        <f t="shared" si="9"/>
        <v>107</v>
      </c>
      <c r="B273" s="15">
        <v>263</v>
      </c>
      <c r="C273" s="38"/>
      <c r="D273" s="15" t="s">
        <v>322</v>
      </c>
      <c r="E273" s="18" t="s">
        <v>63</v>
      </c>
      <c r="F273" s="29"/>
      <c r="G273" s="18">
        <f>IF(Table13192551566671[[#This Row],[dec val]]="",0,1)</f>
        <v>0</v>
      </c>
      <c r="I273" s="27"/>
      <c r="J273" s="27">
        <v>50000</v>
      </c>
      <c r="L273" s="27"/>
      <c r="M273" s="27">
        <v>50000</v>
      </c>
      <c r="O273" s="48" t="s">
        <v>75</v>
      </c>
      <c r="P273" s="48">
        <f>HEX2DEC(RIGHT(Table1323212753586873[[#This Row],[h1]],8))</f>
        <v>0</v>
      </c>
      <c r="Q273" s="48" t="s">
        <v>75</v>
      </c>
      <c r="R273" s="48">
        <f>HEX2DEC(RIGHT(Table1323212753586873[[#This Row],[h2]],8))</f>
        <v>0</v>
      </c>
    </row>
    <row r="274" spans="1:18">
      <c r="A274" s="15" t="str">
        <f t="shared" si="9"/>
        <v>108</v>
      </c>
      <c r="B274" s="15">
        <v>264</v>
      </c>
      <c r="C274" s="38"/>
      <c r="D274" s="15" t="s">
        <v>343</v>
      </c>
      <c r="E274" s="18" t="s">
        <v>339</v>
      </c>
      <c r="F274" s="29"/>
      <c r="G274" s="18">
        <f>IF(Table13192551566671[[#This Row],[dec val]]="",0,1)</f>
        <v>0</v>
      </c>
      <c r="I274" s="27"/>
      <c r="J274" s="27">
        <v>50000</v>
      </c>
      <c r="L274" s="27"/>
      <c r="M274" s="27">
        <v>50000</v>
      </c>
      <c r="O274" s="48" t="s">
        <v>75</v>
      </c>
      <c r="P274" s="48">
        <f>HEX2DEC(RIGHT(Table1323212753586873[[#This Row],[h1]],8))</f>
        <v>0</v>
      </c>
      <c r="Q274" s="48" t="s">
        <v>75</v>
      </c>
      <c r="R274" s="48">
        <f>HEX2DEC(RIGHT(Table1323212753586873[[#This Row],[h2]],8))</f>
        <v>0</v>
      </c>
    </row>
    <row r="275" spans="1:18">
      <c r="A275" s="15" t="str">
        <f t="shared" si="9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8" t="s">
        <v>75</v>
      </c>
      <c r="P275" s="48">
        <f>HEX2DEC(RIGHT(Table1323212753586873[[#This Row],[h1]],8))</f>
        <v>0</v>
      </c>
      <c r="Q275" s="48" t="s">
        <v>75</v>
      </c>
      <c r="R275" s="48">
        <f>HEX2DEC(RIGHT(Table1323212753586873[[#This Row],[h2]],8))</f>
        <v>0</v>
      </c>
    </row>
    <row r="276" spans="1:18">
      <c r="A276" s="15" t="str">
        <f t="shared" si="9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8" t="s">
        <v>75</v>
      </c>
      <c r="P276" s="48">
        <f>HEX2DEC(RIGHT(Table1323212753586873[[#This Row],[h1]],8))</f>
        <v>0</v>
      </c>
      <c r="Q276" s="48" t="s">
        <v>75</v>
      </c>
      <c r="R276" s="48">
        <f>HEX2DEC(RIGHT(Table1323212753586873[[#This Row],[h2]],8))</f>
        <v>0</v>
      </c>
    </row>
    <row r="277" spans="1:18">
      <c r="A277" s="15" t="str">
        <f t="shared" si="9"/>
        <v>10B</v>
      </c>
      <c r="B277" s="15">
        <v>267</v>
      </c>
      <c r="C277" s="38"/>
      <c r="D277" s="15" t="s">
        <v>91</v>
      </c>
      <c r="G277" s="49" t="s">
        <v>428</v>
      </c>
      <c r="I277" s="27"/>
      <c r="J277" s="27">
        <v>50000</v>
      </c>
      <c r="L277" s="27"/>
      <c r="M277" s="27">
        <v>50000</v>
      </c>
      <c r="O277" s="48" t="s">
        <v>75</v>
      </c>
      <c r="P277" s="48">
        <f>HEX2DEC(RIGHT(Table1323212753586873[[#This Row],[h1]],8))</f>
        <v>0</v>
      </c>
      <c r="Q277" s="48" t="s">
        <v>75</v>
      </c>
      <c r="R277" s="48">
        <f>HEX2DEC(RIGHT(Table1323212753586873[[#This Row],[h2]],8))</f>
        <v>0</v>
      </c>
    </row>
    <row r="278" spans="1:18">
      <c r="A278" s="15" t="str">
        <f t="shared" si="9"/>
        <v>10C</v>
      </c>
      <c r="B278" s="15">
        <v>268</v>
      </c>
      <c r="C278" s="38"/>
      <c r="D278" s="15" t="s">
        <v>92</v>
      </c>
      <c r="G278" s="49" t="s">
        <v>428</v>
      </c>
      <c r="I278" s="27"/>
      <c r="J278" s="27">
        <v>50000</v>
      </c>
      <c r="L278" s="27"/>
      <c r="M278" s="27">
        <v>50000</v>
      </c>
      <c r="O278" s="48" t="s">
        <v>75</v>
      </c>
      <c r="P278" s="48">
        <f>HEX2DEC(RIGHT(Table1323212753586873[[#This Row],[h1]],8))</f>
        <v>0</v>
      </c>
      <c r="Q278" s="48" t="s">
        <v>75</v>
      </c>
      <c r="R278" s="48">
        <f>HEX2DEC(RIGHT(Table1323212753586873[[#This Row],[h2]],8))</f>
        <v>0</v>
      </c>
    </row>
    <row r="279" spans="1:18">
      <c r="A279" s="15" t="str">
        <f t="shared" si="9"/>
        <v>10D</v>
      </c>
      <c r="B279" s="15">
        <v>269</v>
      </c>
      <c r="C279" s="38"/>
      <c r="D279" s="15" t="s">
        <v>93</v>
      </c>
      <c r="G279" s="49" t="s">
        <v>428</v>
      </c>
      <c r="I279" s="27"/>
      <c r="J279" s="27">
        <v>50000</v>
      </c>
      <c r="L279" s="27"/>
      <c r="M279" s="27">
        <v>50000</v>
      </c>
      <c r="O279" s="48" t="s">
        <v>75</v>
      </c>
      <c r="P279" s="48">
        <f>HEX2DEC(RIGHT(Table1323212753586873[[#This Row],[h1]],8))</f>
        <v>0</v>
      </c>
      <c r="Q279" s="48" t="s">
        <v>75</v>
      </c>
      <c r="R279" s="48">
        <f>HEX2DEC(RIGHT(Table1323212753586873[[#This Row],[h2]],8))</f>
        <v>0</v>
      </c>
    </row>
    <row r="280" spans="1:18">
      <c r="A280" s="15" t="str">
        <f t="shared" si="9"/>
        <v>10E</v>
      </c>
      <c r="B280" s="15">
        <v>270</v>
      </c>
      <c r="C280" s="38"/>
      <c r="D280" s="15" t="s">
        <v>94</v>
      </c>
      <c r="G280" s="49" t="s">
        <v>428</v>
      </c>
      <c r="I280" s="27"/>
      <c r="J280" s="27">
        <v>50000</v>
      </c>
      <c r="L280" s="27"/>
      <c r="M280" s="27">
        <v>50000</v>
      </c>
      <c r="O280" s="48" t="s">
        <v>75</v>
      </c>
      <c r="P280" s="48">
        <f>HEX2DEC(RIGHT(Table1323212753586873[[#This Row],[h1]],8))</f>
        <v>0</v>
      </c>
      <c r="Q280" s="48" t="s">
        <v>75</v>
      </c>
      <c r="R280" s="48">
        <f>HEX2DEC(RIGHT(Table1323212753586873[[#This Row],[h2]],8))</f>
        <v>0</v>
      </c>
    </row>
    <row r="281" spans="1:18">
      <c r="A281" s="15" t="str">
        <f t="shared" si="9"/>
        <v>10F</v>
      </c>
      <c r="B281" s="15">
        <v>271</v>
      </c>
      <c r="C281" s="38"/>
      <c r="D281" s="15" t="s">
        <v>95</v>
      </c>
      <c r="G281" s="49" t="s">
        <v>428</v>
      </c>
      <c r="I281" s="27"/>
      <c r="J281" s="27">
        <v>50000</v>
      </c>
      <c r="L281" s="27"/>
      <c r="M281" s="27">
        <v>50000</v>
      </c>
      <c r="O281" s="48" t="s">
        <v>75</v>
      </c>
      <c r="P281" s="48">
        <f>HEX2DEC(RIGHT(Table1323212753586873[[#This Row],[h1]],8))</f>
        <v>0</v>
      </c>
      <c r="Q281" s="48" t="s">
        <v>75</v>
      </c>
      <c r="R281" s="48">
        <f>HEX2DEC(RIGHT(Table1323212753586873[[#This Row],[h2]],8))</f>
        <v>0</v>
      </c>
    </row>
    <row r="282" spans="1:18">
      <c r="A282" s="15" t="str">
        <f t="shared" si="9"/>
        <v>110</v>
      </c>
      <c r="B282" s="15">
        <v>272</v>
      </c>
      <c r="C282" s="38"/>
      <c r="D282" s="15" t="s">
        <v>96</v>
      </c>
      <c r="G282" s="49" t="s">
        <v>428</v>
      </c>
      <c r="I282" s="27"/>
      <c r="J282" s="27">
        <v>50000</v>
      </c>
      <c r="L282" s="27"/>
      <c r="M282" s="27">
        <v>50000</v>
      </c>
      <c r="O282" s="48" t="s">
        <v>75</v>
      </c>
      <c r="P282" s="48">
        <f>HEX2DEC(RIGHT(Table1323212753586873[[#This Row],[h1]],8))</f>
        <v>0</v>
      </c>
      <c r="Q282" s="48" t="s">
        <v>75</v>
      </c>
      <c r="R282" s="48">
        <f>HEX2DEC(RIGHT(Table1323212753586873[[#This Row],[h2]],8))</f>
        <v>0</v>
      </c>
    </row>
    <row r="283" spans="1:18">
      <c r="A283" s="15" t="str">
        <f t="shared" si="9"/>
        <v>111</v>
      </c>
      <c r="B283" s="15">
        <v>273</v>
      </c>
      <c r="C283" s="38"/>
      <c r="D283" s="15" t="s">
        <v>97</v>
      </c>
      <c r="G283" s="49" t="s">
        <v>428</v>
      </c>
      <c r="I283" s="27"/>
      <c r="J283" s="27">
        <v>50000</v>
      </c>
      <c r="L283" s="27"/>
      <c r="M283" s="27">
        <v>50000</v>
      </c>
      <c r="O283" s="48" t="s">
        <v>75</v>
      </c>
      <c r="P283" s="48">
        <f>HEX2DEC(RIGHT(Table1323212753586873[[#This Row],[h1]],8))</f>
        <v>0</v>
      </c>
      <c r="Q283" s="48" t="s">
        <v>75</v>
      </c>
      <c r="R283" s="48">
        <f>HEX2DEC(RIGHT(Table1323212753586873[[#This Row],[h2]],8))</f>
        <v>0</v>
      </c>
    </row>
    <row r="284" spans="1:18">
      <c r="A284" s="15" t="str">
        <f t="shared" si="9"/>
        <v>112</v>
      </c>
      <c r="B284" s="15">
        <v>274</v>
      </c>
      <c r="C284" s="38"/>
      <c r="D284" s="15" t="s">
        <v>98</v>
      </c>
      <c r="G284" s="49" t="s">
        <v>130</v>
      </c>
      <c r="I284" s="27"/>
      <c r="J284" s="27">
        <v>50000</v>
      </c>
      <c r="L284" s="27"/>
      <c r="M284" s="27">
        <v>50000</v>
      </c>
      <c r="O284" s="48" t="s">
        <v>75</v>
      </c>
      <c r="P284" s="48">
        <f>HEX2DEC(RIGHT(Table1323212753586873[[#This Row],[h1]],8))</f>
        <v>0</v>
      </c>
      <c r="Q284" s="48" t="s">
        <v>75</v>
      </c>
      <c r="R284" s="48">
        <f>HEX2DEC(RIGHT(Table1323212753586873[[#This Row],[h2]],8))</f>
        <v>0</v>
      </c>
    </row>
    <row r="285" spans="1:18">
      <c r="A285" s="15" t="str">
        <f t="shared" si="9"/>
        <v>113</v>
      </c>
      <c r="B285" s="15">
        <v>275</v>
      </c>
      <c r="C285" s="38"/>
      <c r="D285" s="15" t="s">
        <v>99</v>
      </c>
      <c r="G285" s="49" t="s">
        <v>130</v>
      </c>
      <c r="I285" s="27"/>
      <c r="J285" s="27">
        <v>50000</v>
      </c>
      <c r="L285" s="27"/>
      <c r="M285" s="27">
        <v>50000</v>
      </c>
      <c r="O285" s="48" t="s">
        <v>75</v>
      </c>
      <c r="P285" s="48">
        <f>HEX2DEC(RIGHT(Table1323212753586873[[#This Row],[h1]],8))</f>
        <v>0</v>
      </c>
      <c r="Q285" s="48" t="s">
        <v>75</v>
      </c>
      <c r="R285" s="48">
        <f>HEX2DEC(RIGHT(Table1323212753586873[[#This Row],[h2]],8))</f>
        <v>0</v>
      </c>
    </row>
    <row r="286" spans="1:18">
      <c r="A286" s="15" t="str">
        <f t="shared" si="9"/>
        <v>114</v>
      </c>
      <c r="B286" s="15">
        <v>276</v>
      </c>
      <c r="C286" s="38"/>
      <c r="D286" s="15" t="s">
        <v>100</v>
      </c>
      <c r="G286" s="49" t="s">
        <v>130</v>
      </c>
      <c r="I286" s="27"/>
      <c r="J286" s="27">
        <v>50000</v>
      </c>
      <c r="L286" s="27"/>
      <c r="M286" s="27">
        <v>50000</v>
      </c>
      <c r="O286" s="48" t="s">
        <v>75</v>
      </c>
      <c r="P286" s="48">
        <f>HEX2DEC(RIGHT(Table1323212753586873[[#This Row],[h1]],8))</f>
        <v>0</v>
      </c>
      <c r="Q286" s="48" t="s">
        <v>75</v>
      </c>
      <c r="R286" s="48">
        <f>HEX2DEC(RIGHT(Table1323212753586873[[#This Row],[h2]],8))</f>
        <v>0</v>
      </c>
    </row>
    <row r="287" spans="1:18">
      <c r="A287" s="15" t="str">
        <f t="shared" si="9"/>
        <v>115</v>
      </c>
      <c r="B287" s="15">
        <v>277</v>
      </c>
      <c r="C287" s="38"/>
      <c r="D287" s="15" t="s">
        <v>101</v>
      </c>
      <c r="G287" s="49" t="s">
        <v>130</v>
      </c>
      <c r="I287" s="27"/>
      <c r="J287" s="27">
        <v>50000</v>
      </c>
      <c r="L287" s="27"/>
      <c r="M287" s="27">
        <v>50000</v>
      </c>
      <c r="O287" s="48" t="s">
        <v>75</v>
      </c>
      <c r="P287" s="48">
        <f>HEX2DEC(RIGHT(Table1323212753586873[[#This Row],[h1]],8))</f>
        <v>0</v>
      </c>
      <c r="Q287" s="48" t="s">
        <v>75</v>
      </c>
      <c r="R287" s="48">
        <f>HEX2DEC(RIGHT(Table1323212753586873[[#This Row],[h2]],8))</f>
        <v>0</v>
      </c>
    </row>
    <row r="288" spans="1:18">
      <c r="A288" s="15" t="str">
        <f t="shared" si="9"/>
        <v>116</v>
      </c>
      <c r="B288" s="15">
        <v>278</v>
      </c>
      <c r="C288" s="38"/>
      <c r="D288" s="15" t="s">
        <v>102</v>
      </c>
      <c r="G288" s="49" t="s">
        <v>130</v>
      </c>
      <c r="I288" s="27"/>
      <c r="J288" s="27">
        <v>50000</v>
      </c>
      <c r="L288" s="27"/>
      <c r="M288" s="27">
        <v>50000</v>
      </c>
      <c r="O288" s="48" t="s">
        <v>75</v>
      </c>
      <c r="P288" s="48">
        <f>HEX2DEC(RIGHT(Table1323212753586873[[#This Row],[h1]],8))</f>
        <v>0</v>
      </c>
      <c r="Q288" s="48" t="s">
        <v>75</v>
      </c>
      <c r="R288" s="48">
        <f>HEX2DEC(RIGHT(Table1323212753586873[[#This Row],[h2]],8))</f>
        <v>0</v>
      </c>
    </row>
    <row r="289" spans="1:18">
      <c r="A289" s="15" t="str">
        <f t="shared" si="9"/>
        <v>117</v>
      </c>
      <c r="B289" s="15">
        <v>279</v>
      </c>
      <c r="C289" s="38"/>
      <c r="D289" s="15" t="s">
        <v>103</v>
      </c>
      <c r="G289" s="49" t="s">
        <v>130</v>
      </c>
      <c r="I289" s="27"/>
      <c r="J289" s="27">
        <v>50000</v>
      </c>
      <c r="L289" s="27"/>
      <c r="M289" s="27">
        <v>50000</v>
      </c>
      <c r="O289" s="48" t="s">
        <v>75</v>
      </c>
      <c r="P289" s="48">
        <f>HEX2DEC(RIGHT(Table1323212753586873[[#This Row],[h1]],8))</f>
        <v>0</v>
      </c>
      <c r="Q289" s="48" t="s">
        <v>75</v>
      </c>
      <c r="R289" s="48">
        <f>HEX2DEC(RIGHT(Table1323212753586873[[#This Row],[h2]],8))</f>
        <v>0</v>
      </c>
    </row>
    <row r="290" spans="1:18">
      <c r="A290" s="15" t="str">
        <f t="shared" si="9"/>
        <v>118</v>
      </c>
      <c r="B290" s="15">
        <v>280</v>
      </c>
      <c r="C290" s="38"/>
      <c r="D290" s="15" t="s">
        <v>104</v>
      </c>
      <c r="G290" s="49" t="s">
        <v>130</v>
      </c>
      <c r="I290" s="27"/>
      <c r="J290" s="27">
        <v>50000</v>
      </c>
      <c r="L290" s="27"/>
      <c r="M290" s="27">
        <v>50000</v>
      </c>
      <c r="O290" s="48" t="s">
        <v>75</v>
      </c>
      <c r="P290" s="48">
        <f>HEX2DEC(RIGHT(Table1323212753586873[[#This Row],[h1]],8))</f>
        <v>0</v>
      </c>
      <c r="Q290" s="48" t="s">
        <v>75</v>
      </c>
      <c r="R290" s="48">
        <f>HEX2DEC(RIGHT(Table1323212753586873[[#This Row],[h2]],8))</f>
        <v>0</v>
      </c>
    </row>
    <row r="291" spans="1:18">
      <c r="A291" s="15" t="str">
        <f t="shared" si="9"/>
        <v>119</v>
      </c>
      <c r="B291" s="15">
        <v>281</v>
      </c>
      <c r="C291" s="38"/>
      <c r="D291" s="15" t="s">
        <v>105</v>
      </c>
      <c r="G291" s="49" t="s">
        <v>130</v>
      </c>
      <c r="I291" s="27"/>
      <c r="J291" s="27">
        <v>50000</v>
      </c>
      <c r="L291" s="27"/>
      <c r="M291" s="27">
        <v>50000</v>
      </c>
      <c r="O291" s="48" t="s">
        <v>75</v>
      </c>
      <c r="P291" s="48">
        <f>HEX2DEC(RIGHT(Table1323212753586873[[#This Row],[h1]],8))</f>
        <v>0</v>
      </c>
      <c r="Q291" s="48" t="s">
        <v>75</v>
      </c>
      <c r="R291" s="48">
        <f>HEX2DEC(RIGHT(Table1323212753586873[[#This Row],[h2]],8))</f>
        <v>0</v>
      </c>
    </row>
    <row r="292" spans="1:18">
      <c r="A292" s="15" t="str">
        <f t="shared" si="9"/>
        <v>11A</v>
      </c>
      <c r="B292" s="15">
        <v>282</v>
      </c>
      <c r="C292" s="38"/>
      <c r="D292" s="15" t="s">
        <v>106</v>
      </c>
      <c r="G292" s="49" t="s">
        <v>130</v>
      </c>
      <c r="I292" s="27"/>
      <c r="J292" s="27">
        <v>50000</v>
      </c>
      <c r="L292" s="27"/>
      <c r="M292" s="27">
        <v>50000</v>
      </c>
      <c r="O292" s="48" t="s">
        <v>75</v>
      </c>
      <c r="P292" s="48">
        <f>HEX2DEC(RIGHT(Table1323212753586873[[#This Row],[h1]],8))</f>
        <v>0</v>
      </c>
      <c r="Q292" s="48" t="s">
        <v>75</v>
      </c>
      <c r="R292" s="48">
        <f>HEX2DEC(RIGHT(Table1323212753586873[[#This Row],[h2]],8))</f>
        <v>0</v>
      </c>
    </row>
    <row r="293" spans="1:18">
      <c r="A293" s="15" t="str">
        <f t="shared" si="9"/>
        <v>11B</v>
      </c>
      <c r="B293" s="15">
        <v>283</v>
      </c>
      <c r="C293" s="38"/>
      <c r="D293" s="15" t="s">
        <v>107</v>
      </c>
      <c r="G293" s="49" t="s">
        <v>130</v>
      </c>
      <c r="I293" s="27"/>
      <c r="J293" s="27">
        <v>50000</v>
      </c>
      <c r="L293" s="27"/>
      <c r="M293" s="27">
        <v>50000</v>
      </c>
      <c r="O293" s="48" t="s">
        <v>75</v>
      </c>
      <c r="P293" s="48">
        <f>HEX2DEC(RIGHT(Table1323212753586873[[#This Row],[h1]],8))</f>
        <v>0</v>
      </c>
      <c r="Q293" s="48" t="s">
        <v>75</v>
      </c>
      <c r="R293" s="48">
        <f>HEX2DEC(RIGHT(Table1323212753586873[[#This Row],[h2]],8))</f>
        <v>0</v>
      </c>
    </row>
    <row r="294" spans="1:18">
      <c r="A294" s="15" t="str">
        <f t="shared" si="9"/>
        <v>11C</v>
      </c>
      <c r="B294" s="15">
        <v>284</v>
      </c>
      <c r="C294" s="38"/>
      <c r="D294" s="15" t="s">
        <v>108</v>
      </c>
      <c r="G294" s="49" t="s">
        <v>130</v>
      </c>
      <c r="I294" s="27"/>
      <c r="J294" s="27">
        <v>50000</v>
      </c>
      <c r="L294" s="27"/>
      <c r="M294" s="27">
        <v>50000</v>
      </c>
      <c r="O294" s="48" t="s">
        <v>75</v>
      </c>
      <c r="P294" s="48">
        <f>HEX2DEC(RIGHT(Table1323212753586873[[#This Row],[h1]],8))</f>
        <v>0</v>
      </c>
      <c r="Q294" s="48" t="s">
        <v>75</v>
      </c>
      <c r="R294" s="48">
        <f>HEX2DEC(RIGHT(Table1323212753586873[[#This Row],[h2]],8))</f>
        <v>0</v>
      </c>
    </row>
    <row r="295" spans="1:18">
      <c r="A295" s="15" t="str">
        <f t="shared" si="9"/>
        <v>11D</v>
      </c>
      <c r="B295" s="15">
        <v>285</v>
      </c>
      <c r="C295" s="38"/>
      <c r="D295" s="15" t="s">
        <v>109</v>
      </c>
      <c r="G295" s="49" t="s">
        <v>130</v>
      </c>
      <c r="I295" s="27"/>
      <c r="J295" s="27">
        <v>50000</v>
      </c>
      <c r="L295" s="27"/>
      <c r="M295" s="27">
        <v>50000</v>
      </c>
      <c r="O295" s="48" t="s">
        <v>75</v>
      </c>
      <c r="P295" s="48">
        <f>HEX2DEC(RIGHT(Table1323212753586873[[#This Row],[h1]],8))</f>
        <v>0</v>
      </c>
      <c r="Q295" s="48" t="s">
        <v>75</v>
      </c>
      <c r="R295" s="48">
        <f>HEX2DEC(RIGHT(Table1323212753586873[[#This Row],[h2]],8))</f>
        <v>0</v>
      </c>
    </row>
    <row r="296" spans="1:18">
      <c r="A296" s="15" t="str">
        <f t="shared" si="9"/>
        <v>11E</v>
      </c>
      <c r="B296" s="15">
        <v>286</v>
      </c>
      <c r="C296" s="38"/>
      <c r="D296" s="15" t="s">
        <v>110</v>
      </c>
      <c r="G296" s="49" t="s">
        <v>130</v>
      </c>
      <c r="I296" s="27"/>
      <c r="J296" s="27">
        <v>50000</v>
      </c>
      <c r="L296" s="27"/>
      <c r="M296" s="27">
        <v>50000</v>
      </c>
      <c r="O296" s="48" t="s">
        <v>75</v>
      </c>
      <c r="P296" s="48">
        <f>HEX2DEC(RIGHT(Table1323212753586873[[#This Row],[h1]],8))</f>
        <v>0</v>
      </c>
      <c r="Q296" s="48" t="s">
        <v>75</v>
      </c>
      <c r="R296" s="48">
        <f>HEX2DEC(RIGHT(Table1323212753586873[[#This Row],[h2]],8))</f>
        <v>0</v>
      </c>
    </row>
    <row r="297" spans="1:18">
      <c r="A297" s="15" t="str">
        <f t="shared" si="9"/>
        <v>11F</v>
      </c>
      <c r="B297" s="15">
        <v>287</v>
      </c>
      <c r="C297" s="38"/>
      <c r="D297" s="15" t="s">
        <v>111</v>
      </c>
      <c r="G297" s="49" t="s">
        <v>130</v>
      </c>
      <c r="I297" s="27"/>
      <c r="J297" s="27">
        <v>50000</v>
      </c>
      <c r="L297" s="27"/>
      <c r="M297" s="27">
        <v>50000</v>
      </c>
      <c r="O297" s="48" t="s">
        <v>75</v>
      </c>
      <c r="P297" s="48">
        <f>HEX2DEC(RIGHT(Table1323212753586873[[#This Row],[h1]],8))</f>
        <v>0</v>
      </c>
      <c r="Q297" s="48" t="s">
        <v>75</v>
      </c>
      <c r="R297" s="48">
        <f>HEX2DEC(RIGHT(Table1323212753586873[[#This Row],[h2]],8))</f>
        <v>0</v>
      </c>
    </row>
    <row r="298" spans="1:18">
      <c r="A298" s="15" t="str">
        <f t="shared" si="9"/>
        <v>120</v>
      </c>
      <c r="B298" s="15">
        <v>288</v>
      </c>
      <c r="C298" s="38"/>
      <c r="D298" s="15" t="s">
        <v>112</v>
      </c>
      <c r="G298" s="49" t="s">
        <v>130</v>
      </c>
      <c r="I298" s="27"/>
      <c r="J298" s="27">
        <v>50000</v>
      </c>
      <c r="L298" s="27"/>
      <c r="M298" s="27">
        <v>50000</v>
      </c>
      <c r="O298" s="48" t="s">
        <v>75</v>
      </c>
      <c r="P298" s="48">
        <f>HEX2DEC(RIGHT(Table1323212753586873[[#This Row],[h1]],8))</f>
        <v>0</v>
      </c>
      <c r="Q298" s="48" t="s">
        <v>75</v>
      </c>
      <c r="R298" s="48">
        <f>HEX2DEC(RIGHT(Table1323212753586873[[#This Row],[h2]],8))</f>
        <v>0</v>
      </c>
    </row>
    <row r="299" spans="1:18">
      <c r="A299" s="15" t="str">
        <f t="shared" si="9"/>
        <v>121</v>
      </c>
      <c r="B299" s="15">
        <v>289</v>
      </c>
      <c r="C299" s="38"/>
      <c r="D299" s="15" t="s">
        <v>113</v>
      </c>
      <c r="G299" s="49" t="s">
        <v>130</v>
      </c>
      <c r="I299" s="27"/>
      <c r="J299" s="27">
        <v>50000</v>
      </c>
      <c r="L299" s="27"/>
      <c r="M299" s="27">
        <v>50000</v>
      </c>
      <c r="O299" s="48" t="s">
        <v>75</v>
      </c>
      <c r="P299" s="48">
        <f>HEX2DEC(RIGHT(Table1323212753586873[[#This Row],[h1]],8))</f>
        <v>0</v>
      </c>
      <c r="Q299" s="48" t="s">
        <v>75</v>
      </c>
      <c r="R299" s="48">
        <f>HEX2DEC(RIGHT(Table1323212753586873[[#This Row],[h2]],8))</f>
        <v>0</v>
      </c>
    </row>
    <row r="300" spans="1:18">
      <c r="A300" s="15" t="str">
        <f t="shared" si="9"/>
        <v>122</v>
      </c>
      <c r="B300" s="15">
        <v>290</v>
      </c>
      <c r="C300" s="38"/>
      <c r="D300" s="15" t="s">
        <v>114</v>
      </c>
      <c r="G300" s="49" t="s">
        <v>130</v>
      </c>
      <c r="I300" s="27"/>
      <c r="J300" s="27">
        <v>50000</v>
      </c>
      <c r="L300" s="27"/>
      <c r="M300" s="27">
        <v>50000</v>
      </c>
      <c r="O300" s="48" t="s">
        <v>75</v>
      </c>
      <c r="P300" s="48">
        <f>HEX2DEC(RIGHT(Table1323212753586873[[#This Row],[h1]],8))</f>
        <v>0</v>
      </c>
      <c r="Q300" s="48" t="s">
        <v>75</v>
      </c>
      <c r="R300" s="48">
        <f>HEX2DEC(RIGHT(Table1323212753586873[[#This Row],[h2]],8))</f>
        <v>0</v>
      </c>
    </row>
    <row r="301" spans="1:18">
      <c r="A301" s="15" t="str">
        <f t="shared" si="9"/>
        <v>123</v>
      </c>
      <c r="B301" s="15">
        <v>291</v>
      </c>
      <c r="C301" s="38"/>
      <c r="D301" s="15" t="s">
        <v>115</v>
      </c>
      <c r="G301" s="49" t="s">
        <v>130</v>
      </c>
      <c r="I301" s="27"/>
      <c r="J301" s="27">
        <v>50000</v>
      </c>
      <c r="L301" s="27"/>
      <c r="M301" s="27">
        <v>50000</v>
      </c>
      <c r="O301" s="48" t="s">
        <v>75</v>
      </c>
      <c r="P301" s="48">
        <f>HEX2DEC(RIGHT(Table1323212753586873[[#This Row],[h1]],8))</f>
        <v>0</v>
      </c>
      <c r="Q301" s="48" t="s">
        <v>75</v>
      </c>
      <c r="R301" s="48">
        <f>HEX2DEC(RIGHT(Table1323212753586873[[#This Row],[h2]],8))</f>
        <v>0</v>
      </c>
    </row>
    <row r="302" spans="1:18">
      <c r="A302" s="15" t="str">
        <f t="shared" si="9"/>
        <v>124</v>
      </c>
      <c r="B302" s="15">
        <v>292</v>
      </c>
      <c r="C302" s="38"/>
      <c r="D302" s="15" t="s">
        <v>116</v>
      </c>
      <c r="G302" s="49" t="s">
        <v>130</v>
      </c>
      <c r="I302" s="27"/>
      <c r="J302" s="27">
        <v>50000</v>
      </c>
      <c r="L302" s="27"/>
      <c r="M302" s="27">
        <v>50000</v>
      </c>
      <c r="O302" s="48" t="s">
        <v>75</v>
      </c>
      <c r="P302" s="48">
        <f>HEX2DEC(RIGHT(Table1323212753586873[[#This Row],[h1]],8))</f>
        <v>0</v>
      </c>
      <c r="Q302" s="48" t="s">
        <v>75</v>
      </c>
      <c r="R302" s="48">
        <f>HEX2DEC(RIGHT(Table1323212753586873[[#This Row],[h2]],8))</f>
        <v>0</v>
      </c>
    </row>
    <row r="303" spans="1:18">
      <c r="A303" s="15" t="str">
        <f t="shared" si="9"/>
        <v>125</v>
      </c>
      <c r="B303" s="15">
        <v>293</v>
      </c>
      <c r="C303" s="38"/>
      <c r="D303" s="15" t="s">
        <v>117</v>
      </c>
      <c r="G303" s="49" t="s">
        <v>130</v>
      </c>
      <c r="I303" s="27"/>
      <c r="J303" s="27">
        <v>50000</v>
      </c>
      <c r="L303" s="27"/>
      <c r="M303" s="27">
        <v>50000</v>
      </c>
      <c r="O303" s="48" t="s">
        <v>75</v>
      </c>
      <c r="P303" s="48">
        <f>HEX2DEC(RIGHT(Table1323212753586873[[#This Row],[h1]],8))</f>
        <v>0</v>
      </c>
      <c r="Q303" s="48" t="s">
        <v>75</v>
      </c>
      <c r="R303" s="48">
        <f>HEX2DEC(RIGHT(Table1323212753586873[[#This Row],[h2]],8))</f>
        <v>0</v>
      </c>
    </row>
    <row r="304" spans="1:18">
      <c r="A304" s="15" t="str">
        <f t="shared" si="9"/>
        <v>126</v>
      </c>
      <c r="B304" s="15">
        <v>294</v>
      </c>
      <c r="C304" s="38"/>
      <c r="D304" s="15" t="s">
        <v>118</v>
      </c>
      <c r="G304" s="49" t="s">
        <v>130</v>
      </c>
      <c r="I304" s="27"/>
      <c r="J304" s="27">
        <v>50000</v>
      </c>
      <c r="L304" s="27"/>
      <c r="M304" s="27">
        <v>50000</v>
      </c>
      <c r="O304" s="48" t="s">
        <v>75</v>
      </c>
      <c r="P304" s="48">
        <f>HEX2DEC(RIGHT(Table1323212753586873[[#This Row],[h1]],8))</f>
        <v>0</v>
      </c>
      <c r="Q304" s="48" t="s">
        <v>75</v>
      </c>
      <c r="R304" s="48">
        <f>HEX2DEC(RIGHT(Table1323212753586873[[#This Row],[h2]],8))</f>
        <v>0</v>
      </c>
    </row>
    <row r="305" spans="1:18">
      <c r="A305" s="15" t="str">
        <f t="shared" si="9"/>
        <v>127</v>
      </c>
      <c r="B305" s="15">
        <v>295</v>
      </c>
      <c r="C305" s="38"/>
      <c r="D305" s="15" t="s">
        <v>119</v>
      </c>
      <c r="G305" s="49" t="s">
        <v>130</v>
      </c>
      <c r="I305" s="27"/>
      <c r="J305" s="27">
        <v>50000</v>
      </c>
      <c r="L305" s="27"/>
      <c r="M305" s="27">
        <v>50000</v>
      </c>
      <c r="O305" s="48" t="s">
        <v>75</v>
      </c>
      <c r="P305" s="48">
        <f>HEX2DEC(RIGHT(Table1323212753586873[[#This Row],[h1]],8))</f>
        <v>0</v>
      </c>
      <c r="Q305" s="48" t="s">
        <v>75</v>
      </c>
      <c r="R305" s="48">
        <f>HEX2DEC(RIGHT(Table1323212753586873[[#This Row],[h2]],8))</f>
        <v>0</v>
      </c>
    </row>
    <row r="306" spans="1:18">
      <c r="A306" s="15" t="str">
        <f t="shared" si="9"/>
        <v>128</v>
      </c>
      <c r="B306" s="15">
        <v>296</v>
      </c>
      <c r="C306" s="38"/>
      <c r="D306" s="15" t="s">
        <v>120</v>
      </c>
      <c r="G306" s="49" t="s">
        <v>130</v>
      </c>
      <c r="I306" s="27"/>
      <c r="J306" s="27">
        <v>50000</v>
      </c>
      <c r="L306" s="27"/>
      <c r="M306" s="27">
        <v>50000</v>
      </c>
      <c r="O306" s="48" t="s">
        <v>75</v>
      </c>
      <c r="P306" s="48">
        <f>HEX2DEC(RIGHT(Table1323212753586873[[#This Row],[h1]],8))</f>
        <v>0</v>
      </c>
      <c r="Q306" s="48" t="s">
        <v>75</v>
      </c>
      <c r="R306" s="48">
        <f>HEX2DEC(RIGHT(Table1323212753586873[[#This Row],[h2]],8))</f>
        <v>0</v>
      </c>
    </row>
    <row r="307" spans="1:18">
      <c r="A307" s="15" t="str">
        <f t="shared" si="9"/>
        <v>129</v>
      </c>
      <c r="B307" s="15">
        <v>297</v>
      </c>
      <c r="C307" s="38"/>
      <c r="D307" s="15" t="s">
        <v>121</v>
      </c>
      <c r="G307" s="49" t="s">
        <v>130</v>
      </c>
      <c r="I307" s="27"/>
      <c r="J307" s="27">
        <v>50000</v>
      </c>
      <c r="L307" s="27"/>
      <c r="M307" s="27">
        <v>50000</v>
      </c>
      <c r="O307" s="48" t="s">
        <v>75</v>
      </c>
      <c r="P307" s="48">
        <f>HEX2DEC(RIGHT(Table1323212753586873[[#This Row],[h1]],8))</f>
        <v>0</v>
      </c>
      <c r="Q307" s="48" t="s">
        <v>75</v>
      </c>
      <c r="R307" s="48">
        <f>HEX2DEC(RIGHT(Table1323212753586873[[#This Row],[h2]],8))</f>
        <v>0</v>
      </c>
    </row>
    <row r="308" spans="1:18">
      <c r="A308" s="15" t="str">
        <f t="shared" si="9"/>
        <v>12A</v>
      </c>
      <c r="B308" s="15">
        <v>298</v>
      </c>
      <c r="C308" s="38"/>
      <c r="D308" s="15" t="s">
        <v>122</v>
      </c>
      <c r="G308" s="49" t="s">
        <v>130</v>
      </c>
      <c r="I308" s="27"/>
      <c r="J308" s="27">
        <v>50000</v>
      </c>
      <c r="L308" s="27"/>
      <c r="M308" s="27">
        <v>50000</v>
      </c>
      <c r="O308" s="48" t="s">
        <v>75</v>
      </c>
      <c r="P308" s="48">
        <f>HEX2DEC(RIGHT(Table1323212753586873[[#This Row],[h1]],8))</f>
        <v>0</v>
      </c>
      <c r="Q308" s="48" t="s">
        <v>75</v>
      </c>
      <c r="R308" s="48">
        <f>HEX2DEC(RIGHT(Table1323212753586873[[#This Row],[h2]],8))</f>
        <v>0</v>
      </c>
    </row>
    <row r="309" spans="1:18">
      <c r="A309" s="15" t="str">
        <f t="shared" si="9"/>
        <v>12B</v>
      </c>
      <c r="B309" s="15">
        <v>299</v>
      </c>
      <c r="C309" s="38"/>
      <c r="D309" s="15" t="s">
        <v>123</v>
      </c>
      <c r="G309" s="49" t="s">
        <v>130</v>
      </c>
      <c r="I309" s="27"/>
      <c r="J309" s="27">
        <v>50000</v>
      </c>
      <c r="L309" s="27"/>
      <c r="M309" s="27">
        <v>50000</v>
      </c>
      <c r="O309" s="48" t="s">
        <v>75</v>
      </c>
      <c r="P309" s="48">
        <f>HEX2DEC(RIGHT(Table1323212753586873[[#This Row],[h1]],8))</f>
        <v>0</v>
      </c>
      <c r="Q309" s="48" t="s">
        <v>75</v>
      </c>
      <c r="R309" s="48">
        <f>HEX2DEC(RIGHT(Table1323212753586873[[#This Row],[h2]],8))</f>
        <v>0</v>
      </c>
    </row>
    <row r="310" spans="1:18">
      <c r="A310" s="15" t="str">
        <f t="shared" si="9"/>
        <v>12C</v>
      </c>
      <c r="B310" s="15">
        <v>300</v>
      </c>
      <c r="C310" s="38"/>
      <c r="D310" s="15" t="s">
        <v>124</v>
      </c>
      <c r="G310" s="49" t="s">
        <v>130</v>
      </c>
      <c r="I310" s="27"/>
      <c r="J310" s="27">
        <v>50000</v>
      </c>
      <c r="L310" s="27"/>
      <c r="M310" s="27">
        <v>50000</v>
      </c>
      <c r="O310" s="48" t="s">
        <v>75</v>
      </c>
      <c r="P310" s="48">
        <f>HEX2DEC(RIGHT(Table1323212753586873[[#This Row],[h1]],8))</f>
        <v>0</v>
      </c>
      <c r="Q310" s="48" t="s">
        <v>75</v>
      </c>
      <c r="R310" s="48">
        <f>HEX2DEC(RIGHT(Table1323212753586873[[#This Row],[h2]],8))</f>
        <v>0</v>
      </c>
    </row>
    <row r="311" spans="1:18">
      <c r="A311" s="15" t="str">
        <f t="shared" si="9"/>
        <v>12D</v>
      </c>
      <c r="B311" s="15">
        <v>301</v>
      </c>
      <c r="C311" s="38"/>
      <c r="D311" s="15" t="s">
        <v>125</v>
      </c>
      <c r="G311" s="49" t="s">
        <v>130</v>
      </c>
      <c r="I311" s="27"/>
      <c r="J311" s="27">
        <v>50000</v>
      </c>
      <c r="L311" s="27"/>
      <c r="M311" s="27">
        <v>50000</v>
      </c>
      <c r="O311" s="48" t="s">
        <v>75</v>
      </c>
      <c r="P311" s="48">
        <f>HEX2DEC(RIGHT(Table1323212753586873[[#This Row],[h1]],8))</f>
        <v>0</v>
      </c>
      <c r="Q311" s="48" t="s">
        <v>75</v>
      </c>
      <c r="R311" s="48">
        <f>HEX2DEC(RIGHT(Table1323212753586873[[#This Row],[h2]],8))</f>
        <v>0</v>
      </c>
    </row>
    <row r="312" spans="1:18">
      <c r="A312" s="15" t="str">
        <f t="shared" si="9"/>
        <v>12E</v>
      </c>
      <c r="B312" s="15">
        <v>302</v>
      </c>
      <c r="C312" s="38"/>
      <c r="D312" s="15" t="s">
        <v>126</v>
      </c>
      <c r="G312" s="49" t="s">
        <v>130</v>
      </c>
      <c r="I312" s="27"/>
      <c r="J312" s="27">
        <v>50000</v>
      </c>
      <c r="L312" s="27"/>
      <c r="M312" s="27">
        <v>50000</v>
      </c>
      <c r="O312" s="48" t="s">
        <v>75</v>
      </c>
      <c r="P312" s="48">
        <f>HEX2DEC(RIGHT(Table1323212753586873[[#This Row],[h1]],8))</f>
        <v>0</v>
      </c>
      <c r="Q312" s="48" t="s">
        <v>75</v>
      </c>
      <c r="R312" s="48">
        <f>HEX2DEC(RIGHT(Table1323212753586873[[#This Row],[h2]],8))</f>
        <v>0</v>
      </c>
    </row>
    <row r="313" spans="1:18">
      <c r="A313" s="15" t="str">
        <f t="shared" si="9"/>
        <v>12F</v>
      </c>
      <c r="B313" s="15">
        <v>303</v>
      </c>
      <c r="C313" s="38"/>
      <c r="D313" s="15" t="s">
        <v>127</v>
      </c>
      <c r="G313" s="49" t="s">
        <v>130</v>
      </c>
      <c r="I313" s="27"/>
      <c r="J313" s="27">
        <v>50000</v>
      </c>
      <c r="L313" s="27"/>
      <c r="M313" s="27">
        <v>50000</v>
      </c>
      <c r="O313" s="48" t="s">
        <v>75</v>
      </c>
      <c r="P313" s="48">
        <f>HEX2DEC(RIGHT(Table1323212753586873[[#This Row],[h1]],8))</f>
        <v>0</v>
      </c>
      <c r="Q313" s="48" t="s">
        <v>75</v>
      </c>
      <c r="R313" s="48">
        <f>HEX2DEC(RIGHT(Table1323212753586873[[#This Row],[h2]],8))</f>
        <v>0</v>
      </c>
    </row>
    <row r="314" spans="1:18">
      <c r="A314" s="15" t="str">
        <f t="shared" si="9"/>
        <v>130</v>
      </c>
      <c r="B314" s="15">
        <v>304</v>
      </c>
      <c r="C314" s="38"/>
      <c r="D314" s="15" t="s">
        <v>128</v>
      </c>
      <c r="G314" s="49" t="s">
        <v>130</v>
      </c>
      <c r="I314" s="27"/>
      <c r="J314" s="27">
        <v>50000</v>
      </c>
      <c r="L314" s="27"/>
      <c r="M314" s="27">
        <v>50000</v>
      </c>
      <c r="O314" s="48" t="s">
        <v>75</v>
      </c>
      <c r="P314" s="48">
        <f>HEX2DEC(RIGHT(Table1323212753586873[[#This Row],[h1]],8))</f>
        <v>0</v>
      </c>
      <c r="Q314" s="48" t="s">
        <v>75</v>
      </c>
      <c r="R314" s="48">
        <f>HEX2DEC(RIGHT(Table1323212753586873[[#This Row],[h2]],8))</f>
        <v>0</v>
      </c>
    </row>
    <row r="315" spans="1:18">
      <c r="A315" s="15" t="str">
        <f t="shared" si="9"/>
        <v>131</v>
      </c>
      <c r="B315" s="15">
        <v>305</v>
      </c>
      <c r="C315" s="38"/>
      <c r="D315" s="15" t="s">
        <v>129</v>
      </c>
      <c r="G315" s="49" t="s">
        <v>130</v>
      </c>
      <c r="I315" s="27"/>
      <c r="J315" s="27">
        <v>50000</v>
      </c>
      <c r="L315" s="27"/>
      <c r="M315" s="27">
        <v>50000</v>
      </c>
      <c r="O315" s="48" t="s">
        <v>75</v>
      </c>
      <c r="P315" s="48">
        <f>HEX2DEC(RIGHT(Table1323212753586873[[#This Row],[h1]],8))</f>
        <v>0</v>
      </c>
      <c r="Q315" s="48" t="s">
        <v>75</v>
      </c>
      <c r="R315" s="48">
        <f>HEX2DEC(RIGHT(Table1323212753586873[[#This Row],[h2]],8))</f>
        <v>0</v>
      </c>
    </row>
    <row r="316" spans="1:18">
      <c r="A316" s="15" t="str">
        <f t="shared" si="9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8" t="s">
        <v>75</v>
      </c>
      <c r="P316" s="48">
        <f>HEX2DEC(RIGHT(Table1323212753586873[[#This Row],[h1]],8))</f>
        <v>0</v>
      </c>
      <c r="Q316" s="48" t="s">
        <v>75</v>
      </c>
      <c r="R316" s="48">
        <f>HEX2DEC(RIGHT(Table1323212753586873[[#This Row],[h2]],8))</f>
        <v>0</v>
      </c>
    </row>
    <row r="317" spans="1:18">
      <c r="A317" s="15" t="str">
        <f t="shared" si="9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8" t="s">
        <v>75</v>
      </c>
      <c r="P317" s="48">
        <f>HEX2DEC(RIGHT(Table1323212753586873[[#This Row],[h1]],8))</f>
        <v>0</v>
      </c>
      <c r="Q317" s="48" t="s">
        <v>75</v>
      </c>
      <c r="R317" s="48">
        <f>HEX2DEC(RIGHT(Table1323212753586873[[#This Row],[h2]],8))</f>
        <v>0</v>
      </c>
    </row>
    <row r="318" spans="1:18">
      <c r="A318" s="15" t="str">
        <f t="shared" si="9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8" t="s">
        <v>75</v>
      </c>
      <c r="P318" s="48">
        <f>HEX2DEC(RIGHT(Table1323212753586873[[#This Row],[h1]],8))</f>
        <v>0</v>
      </c>
      <c r="Q318" s="48" t="s">
        <v>75</v>
      </c>
      <c r="R318" s="48">
        <f>HEX2DEC(RIGHT(Table1323212753586873[[#This Row],[h2]],8))</f>
        <v>0</v>
      </c>
    </row>
    <row r="319" spans="1:18">
      <c r="A319" s="15" t="str">
        <f t="shared" si="9"/>
        <v>135</v>
      </c>
      <c r="B319" s="15">
        <v>309</v>
      </c>
      <c r="C319" s="38"/>
      <c r="D319" s="15" t="s">
        <v>426</v>
      </c>
      <c r="G319" s="29">
        <v>0</v>
      </c>
      <c r="I319" s="27"/>
      <c r="J319" s="27">
        <v>50000</v>
      </c>
      <c r="L319" s="27"/>
      <c r="M319" s="27">
        <v>50000</v>
      </c>
      <c r="O319" s="48" t="s">
        <v>75</v>
      </c>
      <c r="P319" s="48">
        <f>HEX2DEC(RIGHT(Table1323212753586873[[#This Row],[h1]],8))</f>
        <v>0</v>
      </c>
      <c r="Q319" s="48" t="s">
        <v>75</v>
      </c>
      <c r="R319" s="48">
        <f>HEX2DEC(RIGHT(Table1323212753586873[[#This Row],[h2]],8))</f>
        <v>0</v>
      </c>
    </row>
    <row r="320" spans="1:18">
      <c r="A320" s="15" t="str">
        <f t="shared" si="9"/>
        <v>136</v>
      </c>
      <c r="B320" s="15">
        <v>310</v>
      </c>
      <c r="C320" s="38"/>
      <c r="D320" s="33" t="s">
        <v>325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8" t="s">
        <v>75</v>
      </c>
      <c r="P320" s="48">
        <f>HEX2DEC(RIGHT(Table1323212753586873[[#This Row],[h1]],8))</f>
        <v>0</v>
      </c>
      <c r="Q320" s="48" t="s">
        <v>75</v>
      </c>
      <c r="R320" s="48">
        <f>HEX2DEC(RIGHT(Table1323212753586873[[#This Row],[h2]],8))</f>
        <v>0</v>
      </c>
    </row>
    <row r="321" spans="1:18">
      <c r="A321" s="15" t="str">
        <f t="shared" si="9"/>
        <v>137</v>
      </c>
      <c r="B321" s="15">
        <v>311</v>
      </c>
      <c r="C321" s="38"/>
      <c r="D321" s="26" t="s">
        <v>344</v>
      </c>
      <c r="G321" s="29">
        <v>0</v>
      </c>
      <c r="I321" s="27"/>
      <c r="J321" s="27">
        <v>50000</v>
      </c>
      <c r="L321" s="27"/>
      <c r="M321" s="27">
        <v>50000</v>
      </c>
      <c r="O321" s="48" t="s">
        <v>75</v>
      </c>
      <c r="P321" s="48">
        <f>HEX2DEC(RIGHT(Table1323212753586873[[#This Row],[h1]],8))</f>
        <v>0</v>
      </c>
      <c r="Q321" s="48" t="s">
        <v>75</v>
      </c>
      <c r="R321" s="48">
        <f>HEX2DEC(RIGHT(Table1323212753586873[[#This Row],[h2]],8))</f>
        <v>0</v>
      </c>
    </row>
    <row r="322" spans="1:18">
      <c r="A322" s="15" t="str">
        <f t="shared" si="9"/>
        <v>138</v>
      </c>
      <c r="B322" s="15">
        <v>312</v>
      </c>
      <c r="C322" s="38"/>
      <c r="D322" s="26" t="s">
        <v>345</v>
      </c>
      <c r="G322" s="29">
        <v>0</v>
      </c>
      <c r="I322" s="27"/>
      <c r="J322" s="27">
        <v>50000</v>
      </c>
      <c r="L322" s="27"/>
      <c r="M322" s="27">
        <v>50000</v>
      </c>
      <c r="O322" s="48" t="s">
        <v>75</v>
      </c>
      <c r="P322" s="48">
        <f>HEX2DEC(RIGHT(Table1323212753586873[[#This Row],[h1]],8))</f>
        <v>0</v>
      </c>
      <c r="Q322" s="48" t="s">
        <v>75</v>
      </c>
      <c r="R322" s="48">
        <f>HEX2DEC(RIGHT(Table1323212753586873[[#This Row],[h2]],8))</f>
        <v>0</v>
      </c>
    </row>
    <row r="323" spans="1:18">
      <c r="A323" s="15" t="str">
        <f t="shared" si="9"/>
        <v>139</v>
      </c>
      <c r="B323" s="15">
        <v>313</v>
      </c>
      <c r="C323" s="38"/>
      <c r="D323" s="15" t="s">
        <v>326</v>
      </c>
      <c r="G323" s="29">
        <v>0</v>
      </c>
      <c r="I323" s="27"/>
      <c r="J323" s="27">
        <v>50000</v>
      </c>
      <c r="L323" s="27"/>
      <c r="M323" s="27">
        <v>50000</v>
      </c>
      <c r="O323" s="48" t="s">
        <v>75</v>
      </c>
      <c r="P323" s="48">
        <f>HEX2DEC(RIGHT(Table1323212753586873[[#This Row],[h1]],8))</f>
        <v>0</v>
      </c>
      <c r="Q323" s="48" t="s">
        <v>75</v>
      </c>
      <c r="R323" s="48">
        <f>HEX2DEC(RIGHT(Table1323212753586873[[#This Row],[h2]],8))</f>
        <v>0</v>
      </c>
    </row>
    <row r="324" spans="1:18">
      <c r="A324" s="15" t="str">
        <f t="shared" si="9"/>
        <v>13A</v>
      </c>
      <c r="B324" s="15">
        <v>314</v>
      </c>
      <c r="C324" s="38"/>
      <c r="D324" s="15" t="s">
        <v>327</v>
      </c>
      <c r="G324" s="29">
        <v>0</v>
      </c>
      <c r="I324" s="27"/>
      <c r="J324" s="27">
        <v>50000</v>
      </c>
      <c r="L324" s="27"/>
      <c r="M324" s="27">
        <v>50000</v>
      </c>
      <c r="O324" s="48" t="s">
        <v>75</v>
      </c>
      <c r="P324" s="48">
        <f>HEX2DEC(RIGHT(Table1323212753586873[[#This Row],[h1]],8))</f>
        <v>0</v>
      </c>
      <c r="Q324" s="48" t="s">
        <v>75</v>
      </c>
      <c r="R324" s="48">
        <f>HEX2DEC(RIGHT(Table1323212753586873[[#This Row],[h2]],8))</f>
        <v>0</v>
      </c>
    </row>
    <row r="325" spans="1:18">
      <c r="A325" s="15" t="str">
        <f t="shared" si="9"/>
        <v>13B</v>
      </c>
      <c r="B325" s="15">
        <v>315</v>
      </c>
      <c r="C325" s="38"/>
      <c r="D325" s="33" t="s">
        <v>323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8" t="s">
        <v>75</v>
      </c>
      <c r="P325" s="48">
        <f>HEX2DEC(RIGHT(Table1323212753586873[[#This Row],[h1]],8))</f>
        <v>0</v>
      </c>
      <c r="Q325" s="48" t="s">
        <v>75</v>
      </c>
      <c r="R325" s="48">
        <f>HEX2DEC(RIGHT(Table1323212753586873[[#This Row],[h2]],8))</f>
        <v>0</v>
      </c>
    </row>
    <row r="326" spans="1:18">
      <c r="A326" s="15" t="str">
        <f t="shared" si="9"/>
        <v>13C</v>
      </c>
      <c r="B326" s="15">
        <v>316</v>
      </c>
      <c r="C326" s="38"/>
      <c r="D326" s="15" t="s">
        <v>324</v>
      </c>
      <c r="G326" s="29">
        <v>0</v>
      </c>
      <c r="I326" s="27"/>
      <c r="J326" s="27">
        <v>50000</v>
      </c>
      <c r="L326" s="27"/>
      <c r="M326" s="27">
        <v>50000</v>
      </c>
      <c r="O326" s="48" t="s">
        <v>75</v>
      </c>
      <c r="P326" s="48">
        <f>HEX2DEC(RIGHT(Table1323212753586873[[#This Row],[h1]],8))</f>
        <v>0</v>
      </c>
      <c r="Q326" s="48" t="s">
        <v>75</v>
      </c>
      <c r="R326" s="48">
        <f>HEX2DEC(RIGHT(Table1323212753586873[[#This Row],[h2]],8))</f>
        <v>0</v>
      </c>
    </row>
    <row r="327" spans="1:18">
      <c r="A327" s="15" t="str">
        <f t="shared" si="9"/>
        <v>13D</v>
      </c>
      <c r="B327" s="15">
        <v>317</v>
      </c>
      <c r="C327" s="38"/>
      <c r="D327" s="15" t="s">
        <v>328</v>
      </c>
      <c r="G327" s="29">
        <v>0</v>
      </c>
      <c r="I327" s="27"/>
      <c r="J327" s="27">
        <v>50000</v>
      </c>
      <c r="L327" s="27"/>
      <c r="M327" s="27">
        <v>50000</v>
      </c>
      <c r="O327" s="48" t="s">
        <v>75</v>
      </c>
      <c r="P327" s="48">
        <f>HEX2DEC(RIGHT(Table1323212753586873[[#This Row],[h1]],8))</f>
        <v>0</v>
      </c>
      <c r="Q327" s="48" t="s">
        <v>75</v>
      </c>
      <c r="R327" s="48">
        <f>HEX2DEC(RIGHT(Table1323212753586873[[#This Row],[h2]],8))</f>
        <v>0</v>
      </c>
    </row>
    <row r="328" spans="1:18">
      <c r="A328" s="15" t="str">
        <f t="shared" si="9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8" t="s">
        <v>75</v>
      </c>
      <c r="P328" s="48">
        <f>HEX2DEC(RIGHT(Table1323212753586873[[#This Row],[h1]],8))</f>
        <v>0</v>
      </c>
      <c r="Q328" s="48" t="s">
        <v>75</v>
      </c>
      <c r="R328" s="48">
        <f>HEX2DEC(RIGHT(Table1323212753586873[[#This Row],[h2]],8))</f>
        <v>0</v>
      </c>
    </row>
    <row r="329" spans="1:18">
      <c r="A329" s="15" t="str">
        <f t="shared" si="9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8" t="s">
        <v>75</v>
      </c>
      <c r="P329" s="48">
        <f>HEX2DEC(RIGHT(Table1323212753586873[[#This Row],[h1]],8))</f>
        <v>0</v>
      </c>
      <c r="Q329" s="48" t="s">
        <v>75</v>
      </c>
      <c r="R329" s="48">
        <f>HEX2DEC(RIGHT(Table1323212753586873[[#This Row],[h2]],8))</f>
        <v>0</v>
      </c>
    </row>
    <row r="330" spans="1:18">
      <c r="A330" s="15" t="str">
        <f t="shared" si="9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8" t="s">
        <v>75</v>
      </c>
      <c r="P330" s="48">
        <f>HEX2DEC(RIGHT(Table1323212753586873[[#This Row],[h1]],8))</f>
        <v>0</v>
      </c>
      <c r="Q330" s="48" t="s">
        <v>75</v>
      </c>
      <c r="R330" s="48">
        <f>HEX2DEC(RIGHT(Table1323212753586873[[#This Row],[h2]],8))</f>
        <v>0</v>
      </c>
    </row>
    <row r="331" spans="1:18">
      <c r="A331" s="15" t="str">
        <f t="shared" ref="A331:A394" si="10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8" t="s">
        <v>75</v>
      </c>
      <c r="P331" s="48">
        <f>HEX2DEC(RIGHT(Table1323212753586873[[#This Row],[h1]],8))</f>
        <v>0</v>
      </c>
      <c r="Q331" s="48" t="s">
        <v>75</v>
      </c>
      <c r="R331" s="48">
        <f>HEX2DEC(RIGHT(Table1323212753586873[[#This Row],[h2]],8))</f>
        <v>0</v>
      </c>
    </row>
    <row r="332" spans="1:18">
      <c r="A332" s="15" t="str">
        <f t="shared" si="10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8" t="s">
        <v>75</v>
      </c>
      <c r="P332" s="48">
        <f>HEX2DEC(RIGHT(Table1323212753586873[[#This Row],[h1]],8))</f>
        <v>0</v>
      </c>
      <c r="Q332" s="48" t="s">
        <v>75</v>
      </c>
      <c r="R332" s="48">
        <f>HEX2DEC(RIGHT(Table1323212753586873[[#This Row],[h2]],8))</f>
        <v>0</v>
      </c>
    </row>
    <row r="333" spans="1:18">
      <c r="A333" s="15" t="str">
        <f t="shared" si="10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8" t="s">
        <v>75</v>
      </c>
      <c r="P333" s="48">
        <f>HEX2DEC(RIGHT(Table1323212753586873[[#This Row],[h1]],8))</f>
        <v>0</v>
      </c>
      <c r="Q333" s="48" t="s">
        <v>75</v>
      </c>
      <c r="R333" s="48">
        <f>HEX2DEC(RIGHT(Table1323212753586873[[#This Row],[h2]],8))</f>
        <v>0</v>
      </c>
    </row>
    <row r="334" spans="1:18">
      <c r="A334" s="15" t="str">
        <f t="shared" si="10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8" t="s">
        <v>75</v>
      </c>
      <c r="P334" s="48">
        <f>HEX2DEC(RIGHT(Table1323212753586873[[#This Row],[h1]],8))</f>
        <v>0</v>
      </c>
      <c r="Q334" s="48" t="s">
        <v>75</v>
      </c>
      <c r="R334" s="48">
        <f>HEX2DEC(RIGHT(Table1323212753586873[[#This Row],[h2]],8))</f>
        <v>0</v>
      </c>
    </row>
    <row r="335" spans="1:18">
      <c r="A335" s="15" t="str">
        <f t="shared" si="10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8" t="s">
        <v>75</v>
      </c>
      <c r="P335" s="48">
        <f>HEX2DEC(RIGHT(Table1323212753586873[[#This Row],[h1]],8))</f>
        <v>0</v>
      </c>
      <c r="Q335" s="48" t="s">
        <v>75</v>
      </c>
      <c r="R335" s="48">
        <f>HEX2DEC(RIGHT(Table1323212753586873[[#This Row],[h2]],8))</f>
        <v>0</v>
      </c>
    </row>
    <row r="336" spans="1:18">
      <c r="A336" s="15" t="str">
        <f t="shared" si="10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8" t="s">
        <v>75</v>
      </c>
      <c r="P336" s="48">
        <f>HEX2DEC(RIGHT(Table1323212753586873[[#This Row],[h1]],8))</f>
        <v>0</v>
      </c>
      <c r="Q336" s="48" t="s">
        <v>75</v>
      </c>
      <c r="R336" s="48">
        <f>HEX2DEC(RIGHT(Table1323212753586873[[#This Row],[h2]],8))</f>
        <v>0</v>
      </c>
    </row>
    <row r="337" spans="1:18">
      <c r="A337" s="15" t="str">
        <f t="shared" si="10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8" t="s">
        <v>75</v>
      </c>
      <c r="P337" s="48">
        <f>HEX2DEC(RIGHT(Table1323212753586873[[#This Row],[h1]],8))</f>
        <v>0</v>
      </c>
      <c r="Q337" s="48" t="s">
        <v>75</v>
      </c>
      <c r="R337" s="48">
        <f>HEX2DEC(RIGHT(Table1323212753586873[[#This Row],[h2]],8))</f>
        <v>0</v>
      </c>
    </row>
    <row r="338" spans="1:18">
      <c r="A338" s="15" t="str">
        <f t="shared" si="10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8" t="s">
        <v>75</v>
      </c>
      <c r="P338" s="48">
        <f>HEX2DEC(RIGHT(Table1323212753586873[[#This Row],[h1]],8))</f>
        <v>0</v>
      </c>
      <c r="Q338" s="48" t="s">
        <v>75</v>
      </c>
      <c r="R338" s="48">
        <f>HEX2DEC(RIGHT(Table1323212753586873[[#This Row],[h2]],8))</f>
        <v>0</v>
      </c>
    </row>
    <row r="339" spans="1:18">
      <c r="A339" s="15" t="str">
        <f t="shared" si="10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8" t="s">
        <v>75</v>
      </c>
      <c r="P339" s="48">
        <f>HEX2DEC(RIGHT(Table1323212753586873[[#This Row],[h1]],8))</f>
        <v>0</v>
      </c>
      <c r="Q339" s="48" t="s">
        <v>75</v>
      </c>
      <c r="R339" s="48">
        <f>HEX2DEC(RIGHT(Table1323212753586873[[#This Row],[h2]],8))</f>
        <v>0</v>
      </c>
    </row>
    <row r="340" spans="1:18">
      <c r="A340" s="15" t="str">
        <f t="shared" si="10"/>
        <v>14A</v>
      </c>
      <c r="B340" s="15">
        <v>330</v>
      </c>
      <c r="C340" s="38"/>
      <c r="G340" s="48"/>
      <c r="I340" s="27"/>
      <c r="J340" s="27">
        <v>50000</v>
      </c>
      <c r="L340" s="27"/>
      <c r="M340" s="27">
        <v>50000</v>
      </c>
      <c r="O340" s="48" t="s">
        <v>75</v>
      </c>
      <c r="P340" s="48">
        <f>HEX2DEC(RIGHT(Table1323212753586873[[#This Row],[h1]],8))</f>
        <v>0</v>
      </c>
      <c r="Q340" s="48" t="s">
        <v>75</v>
      </c>
      <c r="R340" s="48">
        <f>HEX2DEC(RIGHT(Table1323212753586873[[#This Row],[h2]],8))</f>
        <v>0</v>
      </c>
    </row>
    <row r="341" spans="1:18">
      <c r="A341" s="15" t="str">
        <f t="shared" si="10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8" t="s">
        <v>75</v>
      </c>
      <c r="P341" s="48">
        <f>HEX2DEC(RIGHT(Table1323212753586873[[#This Row],[h1]],8))</f>
        <v>0</v>
      </c>
      <c r="Q341" s="48" t="s">
        <v>75</v>
      </c>
      <c r="R341" s="48">
        <f>HEX2DEC(RIGHT(Table1323212753586873[[#This Row],[h2]],8))</f>
        <v>0</v>
      </c>
    </row>
    <row r="342" spans="1:18">
      <c r="A342" s="15" t="str">
        <f t="shared" si="10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8" t="s">
        <v>75</v>
      </c>
      <c r="P342" s="48">
        <f>HEX2DEC(RIGHT(Table1323212753586873[[#This Row],[h1]],8))</f>
        <v>0</v>
      </c>
      <c r="Q342" s="48" t="s">
        <v>75</v>
      </c>
      <c r="R342" s="48">
        <f>HEX2DEC(RIGHT(Table1323212753586873[[#This Row],[h2]],8))</f>
        <v>0</v>
      </c>
    </row>
    <row r="343" spans="1:18">
      <c r="A343" s="15" t="str">
        <f t="shared" si="10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8" t="s">
        <v>75</v>
      </c>
      <c r="P343" s="48">
        <f>HEX2DEC(RIGHT(Table1323212753586873[[#This Row],[h1]],8))</f>
        <v>0</v>
      </c>
      <c r="Q343" s="48" t="s">
        <v>75</v>
      </c>
      <c r="R343" s="48">
        <f>HEX2DEC(RIGHT(Table1323212753586873[[#This Row],[h2]],8))</f>
        <v>0</v>
      </c>
    </row>
    <row r="344" spans="1:18">
      <c r="A344" s="15" t="str">
        <f t="shared" si="10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8" t="s">
        <v>75</v>
      </c>
      <c r="P344" s="48">
        <f>HEX2DEC(RIGHT(Table1323212753586873[[#This Row],[h1]],8))</f>
        <v>0</v>
      </c>
      <c r="Q344" s="48" t="s">
        <v>75</v>
      </c>
      <c r="R344" s="48">
        <f>HEX2DEC(RIGHT(Table1323212753586873[[#This Row],[h2]],8))</f>
        <v>0</v>
      </c>
    </row>
    <row r="345" spans="1:18">
      <c r="A345" s="15" t="str">
        <f t="shared" si="10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8" t="s">
        <v>75</v>
      </c>
      <c r="P345" s="48">
        <f>HEX2DEC(RIGHT(Table1323212753586873[[#This Row],[h1]],8))</f>
        <v>0</v>
      </c>
      <c r="Q345" s="48" t="s">
        <v>75</v>
      </c>
      <c r="R345" s="48">
        <f>HEX2DEC(RIGHT(Table1323212753586873[[#This Row],[h2]],8))</f>
        <v>0</v>
      </c>
    </row>
    <row r="346" spans="1:18">
      <c r="A346" s="15" t="str">
        <f t="shared" si="10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8" t="s">
        <v>75</v>
      </c>
      <c r="P346" s="48">
        <f>HEX2DEC(RIGHT(Table1323212753586873[[#This Row],[h1]],8))</f>
        <v>0</v>
      </c>
      <c r="Q346" s="48" t="s">
        <v>75</v>
      </c>
      <c r="R346" s="48">
        <f>HEX2DEC(RIGHT(Table1323212753586873[[#This Row],[h2]],8))</f>
        <v>0</v>
      </c>
    </row>
    <row r="347" spans="1:18">
      <c r="A347" s="15" t="str">
        <f t="shared" si="10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8" t="s">
        <v>75</v>
      </c>
      <c r="P347" s="48">
        <f>HEX2DEC(RIGHT(Table1323212753586873[[#This Row],[h1]],8))</f>
        <v>0</v>
      </c>
      <c r="Q347" s="48" t="s">
        <v>75</v>
      </c>
      <c r="R347" s="48">
        <f>HEX2DEC(RIGHT(Table1323212753586873[[#This Row],[h2]],8))</f>
        <v>0</v>
      </c>
    </row>
    <row r="348" spans="1:18">
      <c r="A348" s="15" t="str">
        <f t="shared" si="10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8" t="s">
        <v>75</v>
      </c>
      <c r="P348" s="48">
        <f>HEX2DEC(RIGHT(Table1323212753586873[[#This Row],[h1]],8))</f>
        <v>0</v>
      </c>
      <c r="Q348" s="48" t="s">
        <v>75</v>
      </c>
      <c r="R348" s="48">
        <f>HEX2DEC(RIGHT(Table1323212753586873[[#This Row],[h2]],8))</f>
        <v>0</v>
      </c>
    </row>
    <row r="349" spans="1:18">
      <c r="A349" s="15" t="str">
        <f t="shared" si="10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8" t="s">
        <v>75</v>
      </c>
      <c r="P349" s="48">
        <f>HEX2DEC(RIGHT(Table1323212753586873[[#This Row],[h1]],8))</f>
        <v>0</v>
      </c>
      <c r="Q349" s="48" t="s">
        <v>75</v>
      </c>
      <c r="R349" s="48">
        <f>HEX2DEC(RIGHT(Table1323212753586873[[#This Row],[h2]],8))</f>
        <v>0</v>
      </c>
    </row>
    <row r="350" spans="1:18">
      <c r="A350" s="15" t="str">
        <f t="shared" si="10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8" t="s">
        <v>75</v>
      </c>
      <c r="P350" s="48">
        <f>HEX2DEC(RIGHT(Table1323212753586873[[#This Row],[h1]],8))</f>
        <v>0</v>
      </c>
      <c r="Q350" s="48" t="s">
        <v>75</v>
      </c>
      <c r="R350" s="48">
        <f>HEX2DEC(RIGHT(Table1323212753586873[[#This Row],[h2]],8))</f>
        <v>0</v>
      </c>
    </row>
    <row r="351" spans="1:18">
      <c r="A351" s="15" t="str">
        <f t="shared" si="10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8" t="s">
        <v>75</v>
      </c>
      <c r="P351" s="48">
        <f>HEX2DEC(RIGHT(Table1323212753586873[[#This Row],[h1]],8))</f>
        <v>0</v>
      </c>
      <c r="Q351" s="48" t="s">
        <v>75</v>
      </c>
      <c r="R351" s="48">
        <f>HEX2DEC(RIGHT(Table1323212753586873[[#This Row],[h2]],8))</f>
        <v>0</v>
      </c>
    </row>
    <row r="352" spans="1:18">
      <c r="A352" s="15" t="str">
        <f t="shared" si="10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8" t="s">
        <v>75</v>
      </c>
      <c r="P352" s="48">
        <f>HEX2DEC(RIGHT(Table1323212753586873[[#This Row],[h1]],8))</f>
        <v>0</v>
      </c>
      <c r="Q352" s="48" t="s">
        <v>75</v>
      </c>
      <c r="R352" s="48">
        <f>HEX2DEC(RIGHT(Table1323212753586873[[#This Row],[h2]],8))</f>
        <v>0</v>
      </c>
    </row>
    <row r="353" spans="1:18">
      <c r="A353" s="15" t="str">
        <f t="shared" si="10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8" t="s">
        <v>75</v>
      </c>
      <c r="P353" s="48">
        <f>HEX2DEC(RIGHT(Table1323212753586873[[#This Row],[h1]],8))</f>
        <v>0</v>
      </c>
      <c r="Q353" s="48" t="s">
        <v>75</v>
      </c>
      <c r="R353" s="48">
        <f>HEX2DEC(RIGHT(Table1323212753586873[[#This Row],[h2]],8))</f>
        <v>0</v>
      </c>
    </row>
    <row r="354" spans="1:18">
      <c r="A354" s="15" t="str">
        <f t="shared" si="10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8" t="s">
        <v>75</v>
      </c>
      <c r="P354" s="48">
        <f>HEX2DEC(RIGHT(Table1323212753586873[[#This Row],[h1]],8))</f>
        <v>0</v>
      </c>
      <c r="Q354" s="48" t="s">
        <v>75</v>
      </c>
      <c r="R354" s="48">
        <f>HEX2DEC(RIGHT(Table1323212753586873[[#This Row],[h2]],8))</f>
        <v>0</v>
      </c>
    </row>
    <row r="355" spans="1:18">
      <c r="A355" s="15" t="str">
        <f t="shared" si="10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8" t="s">
        <v>75</v>
      </c>
      <c r="P355" s="48">
        <f>HEX2DEC(RIGHT(Table1323212753586873[[#This Row],[h1]],8))</f>
        <v>0</v>
      </c>
      <c r="Q355" s="48" t="s">
        <v>75</v>
      </c>
      <c r="R355" s="48">
        <f>HEX2DEC(RIGHT(Table1323212753586873[[#This Row],[h2]],8))</f>
        <v>0</v>
      </c>
    </row>
    <row r="356" spans="1:18">
      <c r="A356" s="15" t="str">
        <f t="shared" si="10"/>
        <v>15A</v>
      </c>
      <c r="B356" s="15">
        <v>346</v>
      </c>
      <c r="C356" s="53"/>
      <c r="D356" s="54"/>
      <c r="E356" s="54"/>
      <c r="F356" s="54"/>
      <c r="G356" s="55"/>
      <c r="I356" s="27"/>
      <c r="J356" s="27">
        <v>50000</v>
      </c>
      <c r="L356" s="27"/>
      <c r="M356" s="27">
        <v>50000</v>
      </c>
      <c r="O356" s="48" t="s">
        <v>75</v>
      </c>
      <c r="P356" s="48">
        <f>HEX2DEC(RIGHT(Table1323212753586873[[#This Row],[h1]],8))</f>
        <v>0</v>
      </c>
      <c r="Q356" s="48" t="s">
        <v>75</v>
      </c>
      <c r="R356" s="48">
        <f>HEX2DEC(RIGHT(Table1323212753586873[[#This Row],[h2]],8))</f>
        <v>0</v>
      </c>
    </row>
    <row r="357" spans="1:18">
      <c r="A357" s="15" t="str">
        <f t="shared" si="10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8" t="s">
        <v>75</v>
      </c>
      <c r="P357" s="48">
        <f>HEX2DEC(RIGHT(Table1323212753586873[[#This Row],[h1]],8))</f>
        <v>0</v>
      </c>
      <c r="Q357" s="48" t="s">
        <v>75</v>
      </c>
      <c r="R357" s="48">
        <f>HEX2DEC(RIGHT(Table1323212753586873[[#This Row],[h2]],8))</f>
        <v>0</v>
      </c>
    </row>
    <row r="358" spans="1:18">
      <c r="A358" s="15" t="str">
        <f t="shared" si="10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8" t="s">
        <v>75</v>
      </c>
      <c r="P358" s="48">
        <f>HEX2DEC(RIGHT(Table1323212753586873[[#This Row],[h1]],8))</f>
        <v>0</v>
      </c>
      <c r="Q358" s="48" t="s">
        <v>75</v>
      </c>
      <c r="R358" s="48">
        <f>HEX2DEC(RIGHT(Table1323212753586873[[#This Row],[h2]],8))</f>
        <v>0</v>
      </c>
    </row>
    <row r="359" spans="1:18">
      <c r="A359" s="15" t="str">
        <f t="shared" si="10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8" t="s">
        <v>75</v>
      </c>
      <c r="P359" s="48">
        <f>HEX2DEC(RIGHT(Table1323212753586873[[#This Row],[h1]],8))</f>
        <v>0</v>
      </c>
      <c r="Q359" s="48" t="s">
        <v>75</v>
      </c>
      <c r="R359" s="48">
        <f>HEX2DEC(RIGHT(Table1323212753586873[[#This Row],[h2]],8))</f>
        <v>0</v>
      </c>
    </row>
    <row r="360" spans="1:18">
      <c r="A360" s="15" t="str">
        <f t="shared" si="10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8" t="s">
        <v>75</v>
      </c>
      <c r="P360" s="48">
        <f>HEX2DEC(RIGHT(Table1323212753586873[[#This Row],[h1]],8))</f>
        <v>0</v>
      </c>
      <c r="Q360" s="48" t="s">
        <v>75</v>
      </c>
      <c r="R360" s="48">
        <f>HEX2DEC(RIGHT(Table1323212753586873[[#This Row],[h2]],8))</f>
        <v>0</v>
      </c>
    </row>
    <row r="361" spans="1:18">
      <c r="A361" s="15" t="str">
        <f t="shared" si="10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8" t="s">
        <v>75</v>
      </c>
      <c r="P361" s="48">
        <f>HEX2DEC(RIGHT(Table1323212753586873[[#This Row],[h1]],8))</f>
        <v>0</v>
      </c>
      <c r="Q361" s="48" t="s">
        <v>75</v>
      </c>
      <c r="R361" s="48">
        <f>HEX2DEC(RIGHT(Table1323212753586873[[#This Row],[h2]],8))</f>
        <v>0</v>
      </c>
    </row>
    <row r="362" spans="1:18">
      <c r="A362" s="15" t="str">
        <f t="shared" si="10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8" t="s">
        <v>75</v>
      </c>
      <c r="P362" s="48">
        <f>HEX2DEC(RIGHT(Table1323212753586873[[#This Row],[h1]],8))</f>
        <v>0</v>
      </c>
      <c r="Q362" s="48" t="s">
        <v>75</v>
      </c>
      <c r="R362" s="48">
        <f>HEX2DEC(RIGHT(Table1323212753586873[[#This Row],[h2]],8))</f>
        <v>0</v>
      </c>
    </row>
    <row r="363" spans="1:18">
      <c r="A363" s="15" t="str">
        <f t="shared" si="10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8" t="s">
        <v>75</v>
      </c>
      <c r="P363" s="48">
        <f>HEX2DEC(RIGHT(Table1323212753586873[[#This Row],[h1]],8))</f>
        <v>0</v>
      </c>
      <c r="Q363" s="48" t="s">
        <v>75</v>
      </c>
      <c r="R363" s="48">
        <f>HEX2DEC(RIGHT(Table1323212753586873[[#This Row],[h2]],8))</f>
        <v>0</v>
      </c>
    </row>
    <row r="364" spans="1:18">
      <c r="A364" s="15" t="str">
        <f t="shared" si="10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8" t="s">
        <v>75</v>
      </c>
      <c r="P364" s="48">
        <f>HEX2DEC(RIGHT(Table1323212753586873[[#This Row],[h1]],8))</f>
        <v>0</v>
      </c>
      <c r="Q364" s="48" t="s">
        <v>75</v>
      </c>
      <c r="R364" s="48">
        <f>HEX2DEC(RIGHT(Table1323212753586873[[#This Row],[h2]],8))</f>
        <v>0</v>
      </c>
    </row>
    <row r="365" spans="1:18">
      <c r="A365" s="15" t="str">
        <f t="shared" si="10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8" t="s">
        <v>75</v>
      </c>
      <c r="P365" s="48">
        <f>HEX2DEC(RIGHT(Table1323212753586873[[#This Row],[h1]],8))</f>
        <v>0</v>
      </c>
      <c r="Q365" s="48" t="s">
        <v>75</v>
      </c>
      <c r="R365" s="48">
        <f>HEX2DEC(RIGHT(Table1323212753586873[[#This Row],[h2]],8))</f>
        <v>0</v>
      </c>
    </row>
    <row r="366" spans="1:18">
      <c r="A366" s="15" t="str">
        <f t="shared" si="10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8" t="s">
        <v>75</v>
      </c>
      <c r="P366" s="48">
        <f>HEX2DEC(RIGHT(Table1323212753586873[[#This Row],[h1]],8))</f>
        <v>0</v>
      </c>
      <c r="Q366" s="48" t="s">
        <v>75</v>
      </c>
      <c r="R366" s="48">
        <f>HEX2DEC(RIGHT(Table1323212753586873[[#This Row],[h2]],8))</f>
        <v>0</v>
      </c>
    </row>
    <row r="367" spans="1:18">
      <c r="A367" s="15" t="str">
        <f t="shared" si="10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8" t="s">
        <v>75</v>
      </c>
      <c r="P367" s="48">
        <f>HEX2DEC(RIGHT(Table1323212753586873[[#This Row],[h1]],8))</f>
        <v>0</v>
      </c>
      <c r="Q367" s="48" t="s">
        <v>75</v>
      </c>
      <c r="R367" s="48">
        <f>HEX2DEC(RIGHT(Table1323212753586873[[#This Row],[h2]],8))</f>
        <v>0</v>
      </c>
    </row>
    <row r="368" spans="1:18">
      <c r="A368" s="15" t="str">
        <f t="shared" si="10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8" t="s">
        <v>75</v>
      </c>
      <c r="P368" s="48">
        <f>HEX2DEC(RIGHT(Table1323212753586873[[#This Row],[h1]],8))</f>
        <v>0</v>
      </c>
      <c r="Q368" s="48" t="s">
        <v>75</v>
      </c>
      <c r="R368" s="48">
        <f>HEX2DEC(RIGHT(Table1323212753586873[[#This Row],[h2]],8))</f>
        <v>0</v>
      </c>
    </row>
    <row r="369" spans="1:18">
      <c r="A369" s="15" t="str">
        <f t="shared" si="10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8" t="s">
        <v>75</v>
      </c>
      <c r="P369" s="48">
        <f>HEX2DEC(RIGHT(Table1323212753586873[[#This Row],[h1]],8))</f>
        <v>0</v>
      </c>
      <c r="Q369" s="48" t="s">
        <v>75</v>
      </c>
      <c r="R369" s="48">
        <f>HEX2DEC(RIGHT(Table1323212753586873[[#This Row],[h2]],8))</f>
        <v>0</v>
      </c>
    </row>
    <row r="370" spans="1:18">
      <c r="A370" s="15" t="str">
        <f t="shared" si="10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8" t="s">
        <v>75</v>
      </c>
      <c r="P370" s="48">
        <f>HEX2DEC(RIGHT(Table1323212753586873[[#This Row],[h1]],8))</f>
        <v>0</v>
      </c>
      <c r="Q370" s="48" t="s">
        <v>75</v>
      </c>
      <c r="R370" s="48">
        <f>HEX2DEC(RIGHT(Table1323212753586873[[#This Row],[h2]],8))</f>
        <v>0</v>
      </c>
    </row>
    <row r="371" spans="1:18">
      <c r="A371" s="15" t="str">
        <f t="shared" si="10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8" t="s">
        <v>75</v>
      </c>
      <c r="P371" s="48">
        <f>HEX2DEC(RIGHT(Table1323212753586873[[#This Row],[h1]],8))</f>
        <v>0</v>
      </c>
      <c r="Q371" s="48" t="s">
        <v>75</v>
      </c>
      <c r="R371" s="48">
        <f>HEX2DEC(RIGHT(Table1323212753586873[[#This Row],[h2]],8))</f>
        <v>0</v>
      </c>
    </row>
    <row r="372" spans="1:18">
      <c r="A372" s="15" t="str">
        <f t="shared" si="10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8" t="s">
        <v>75</v>
      </c>
      <c r="P372" s="48">
        <f>HEX2DEC(RIGHT(Table1323212753586873[[#This Row],[h1]],8))</f>
        <v>0</v>
      </c>
      <c r="Q372" s="48" t="s">
        <v>75</v>
      </c>
      <c r="R372" s="48">
        <f>HEX2DEC(RIGHT(Table1323212753586873[[#This Row],[h2]],8))</f>
        <v>0</v>
      </c>
    </row>
    <row r="373" spans="1:18">
      <c r="A373" s="15" t="str">
        <f t="shared" si="10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8" t="s">
        <v>75</v>
      </c>
      <c r="P373" s="48">
        <f>HEX2DEC(RIGHT(Table1323212753586873[[#This Row],[h1]],8))</f>
        <v>0</v>
      </c>
      <c r="Q373" s="48" t="s">
        <v>75</v>
      </c>
      <c r="R373" s="48">
        <f>HEX2DEC(RIGHT(Table1323212753586873[[#This Row],[h2]],8))</f>
        <v>0</v>
      </c>
    </row>
    <row r="374" spans="1:18">
      <c r="A374" s="15" t="str">
        <f t="shared" si="10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8" t="s">
        <v>75</v>
      </c>
      <c r="P374" s="48">
        <f>HEX2DEC(RIGHT(Table1323212753586873[[#This Row],[h1]],8))</f>
        <v>0</v>
      </c>
      <c r="Q374" s="48" t="s">
        <v>75</v>
      </c>
      <c r="R374" s="48">
        <f>HEX2DEC(RIGHT(Table1323212753586873[[#This Row],[h2]],8))</f>
        <v>0</v>
      </c>
    </row>
    <row r="375" spans="1:18">
      <c r="A375" s="15" t="str">
        <f t="shared" si="10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8" t="s">
        <v>75</v>
      </c>
      <c r="P375" s="48">
        <f>HEX2DEC(RIGHT(Table1323212753586873[[#This Row],[h1]],8))</f>
        <v>0</v>
      </c>
      <c r="Q375" s="48" t="s">
        <v>75</v>
      </c>
      <c r="R375" s="48">
        <f>HEX2DEC(RIGHT(Table1323212753586873[[#This Row],[h2]],8))</f>
        <v>0</v>
      </c>
    </row>
    <row r="376" spans="1:18">
      <c r="A376" s="15" t="str">
        <f t="shared" si="10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8" t="s">
        <v>75</v>
      </c>
      <c r="P376" s="48">
        <f>HEX2DEC(RIGHT(Table1323212753586873[[#This Row],[h1]],8))</f>
        <v>0</v>
      </c>
      <c r="Q376" s="48" t="s">
        <v>75</v>
      </c>
      <c r="R376" s="48">
        <f>HEX2DEC(RIGHT(Table1323212753586873[[#This Row],[h2]],8))</f>
        <v>0</v>
      </c>
    </row>
    <row r="377" spans="1:18">
      <c r="A377" s="15" t="str">
        <f t="shared" si="10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8" t="s">
        <v>75</v>
      </c>
      <c r="P377" s="48">
        <f>HEX2DEC(RIGHT(Table1323212753586873[[#This Row],[h1]],8))</f>
        <v>0</v>
      </c>
      <c r="Q377" s="48" t="s">
        <v>75</v>
      </c>
      <c r="R377" s="48">
        <f>HEX2DEC(RIGHT(Table1323212753586873[[#This Row],[h2]],8))</f>
        <v>0</v>
      </c>
    </row>
    <row r="378" spans="1:18">
      <c r="A378" s="15" t="str">
        <f t="shared" si="10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8" t="s">
        <v>75</v>
      </c>
      <c r="P378" s="48">
        <f>HEX2DEC(RIGHT(Table1323212753586873[[#This Row],[h1]],8))</f>
        <v>0</v>
      </c>
      <c r="Q378" s="48" t="s">
        <v>75</v>
      </c>
      <c r="R378" s="48">
        <f>HEX2DEC(RIGHT(Table1323212753586873[[#This Row],[h2]],8))</f>
        <v>0</v>
      </c>
    </row>
    <row r="379" spans="1:18">
      <c r="A379" s="15" t="str">
        <f t="shared" si="10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8" t="s">
        <v>75</v>
      </c>
      <c r="P379" s="48">
        <f>HEX2DEC(RIGHT(Table1323212753586873[[#This Row],[h1]],8))</f>
        <v>0</v>
      </c>
      <c r="Q379" s="48" t="s">
        <v>75</v>
      </c>
      <c r="R379" s="48">
        <f>HEX2DEC(RIGHT(Table1323212753586873[[#This Row],[h2]],8))</f>
        <v>0</v>
      </c>
    </row>
    <row r="380" spans="1:18">
      <c r="A380" s="15" t="str">
        <f t="shared" si="10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8" t="s">
        <v>75</v>
      </c>
      <c r="P380" s="48">
        <f>HEX2DEC(RIGHT(Table1323212753586873[[#This Row],[h1]],8))</f>
        <v>0</v>
      </c>
      <c r="Q380" s="48" t="s">
        <v>75</v>
      </c>
      <c r="R380" s="48">
        <f>HEX2DEC(RIGHT(Table1323212753586873[[#This Row],[h2]],8))</f>
        <v>0</v>
      </c>
    </row>
    <row r="381" spans="1:18">
      <c r="A381" s="15" t="str">
        <f t="shared" si="10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8" t="s">
        <v>75</v>
      </c>
      <c r="P381" s="48">
        <f>HEX2DEC(RIGHT(Table1323212753586873[[#This Row],[h1]],8))</f>
        <v>0</v>
      </c>
      <c r="Q381" s="48" t="s">
        <v>75</v>
      </c>
      <c r="R381" s="48">
        <f>HEX2DEC(RIGHT(Table1323212753586873[[#This Row],[h2]],8))</f>
        <v>0</v>
      </c>
    </row>
    <row r="382" spans="1:18">
      <c r="A382" s="15" t="str">
        <f t="shared" si="10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8" t="s">
        <v>75</v>
      </c>
      <c r="P382" s="48">
        <f>HEX2DEC(RIGHT(Table1323212753586873[[#This Row],[h1]],8))</f>
        <v>0</v>
      </c>
      <c r="Q382" s="48" t="s">
        <v>75</v>
      </c>
      <c r="R382" s="48">
        <f>HEX2DEC(RIGHT(Table1323212753586873[[#This Row],[h2]],8))</f>
        <v>0</v>
      </c>
    </row>
    <row r="383" spans="1:18">
      <c r="A383" s="15" t="str">
        <f t="shared" si="10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8" t="s">
        <v>75</v>
      </c>
      <c r="P383" s="48">
        <f>HEX2DEC(RIGHT(Table1323212753586873[[#This Row],[h1]],8))</f>
        <v>0</v>
      </c>
      <c r="Q383" s="48" t="s">
        <v>75</v>
      </c>
      <c r="R383" s="48">
        <f>HEX2DEC(RIGHT(Table1323212753586873[[#This Row],[h2]],8))</f>
        <v>0</v>
      </c>
    </row>
    <row r="384" spans="1:18">
      <c r="A384" s="15" t="str">
        <f t="shared" si="10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8" t="s">
        <v>75</v>
      </c>
      <c r="P384" s="48">
        <f>HEX2DEC(RIGHT(Table1323212753586873[[#This Row],[h1]],8))</f>
        <v>0</v>
      </c>
      <c r="Q384" s="48" t="s">
        <v>75</v>
      </c>
      <c r="R384" s="48">
        <f>HEX2DEC(RIGHT(Table1323212753586873[[#This Row],[h2]],8))</f>
        <v>0</v>
      </c>
    </row>
    <row r="385" spans="1:18">
      <c r="A385" s="15" t="str">
        <f t="shared" si="10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8" t="s">
        <v>75</v>
      </c>
      <c r="P385" s="48">
        <f>HEX2DEC(RIGHT(Table1323212753586873[[#This Row],[h1]],8))</f>
        <v>0</v>
      </c>
      <c r="Q385" s="48" t="s">
        <v>75</v>
      </c>
      <c r="R385" s="48">
        <f>HEX2DEC(RIGHT(Table1323212753586873[[#This Row],[h2]],8))</f>
        <v>0</v>
      </c>
    </row>
    <row r="386" spans="1:18">
      <c r="A386" s="15" t="str">
        <f t="shared" si="10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8" t="s">
        <v>75</v>
      </c>
      <c r="P386" s="48">
        <f>HEX2DEC(RIGHT(Table1323212753586873[[#This Row],[h1]],8))</f>
        <v>0</v>
      </c>
      <c r="Q386" s="48" t="s">
        <v>75</v>
      </c>
      <c r="R386" s="48">
        <f>HEX2DEC(RIGHT(Table1323212753586873[[#This Row],[h2]],8))</f>
        <v>0</v>
      </c>
    </row>
    <row r="387" spans="1:18">
      <c r="A387" s="15" t="str">
        <f t="shared" si="10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8" t="s">
        <v>75</v>
      </c>
      <c r="P387" s="48">
        <f>HEX2DEC(RIGHT(Table1323212753586873[[#This Row],[h1]],8))</f>
        <v>0</v>
      </c>
      <c r="Q387" s="48" t="s">
        <v>75</v>
      </c>
      <c r="R387" s="48">
        <f>HEX2DEC(RIGHT(Table1323212753586873[[#This Row],[h2]],8))</f>
        <v>0</v>
      </c>
    </row>
    <row r="388" spans="1:18">
      <c r="A388" s="15" t="str">
        <f t="shared" si="10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8" t="s">
        <v>75</v>
      </c>
      <c r="P388" s="48">
        <f>HEX2DEC(RIGHT(Table1323212753586873[[#This Row],[h1]],8))</f>
        <v>0</v>
      </c>
      <c r="Q388" s="48" t="s">
        <v>75</v>
      </c>
      <c r="R388" s="48">
        <f>HEX2DEC(RIGHT(Table1323212753586873[[#This Row],[h2]],8))</f>
        <v>0</v>
      </c>
    </row>
    <row r="389" spans="1:18">
      <c r="A389" s="15" t="str">
        <f t="shared" si="10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8" t="s">
        <v>75</v>
      </c>
      <c r="P389" s="48">
        <f>HEX2DEC(RIGHT(Table1323212753586873[[#This Row],[h1]],8))</f>
        <v>0</v>
      </c>
      <c r="Q389" s="48" t="s">
        <v>75</v>
      </c>
      <c r="R389" s="48">
        <f>HEX2DEC(RIGHT(Table1323212753586873[[#This Row],[h2]],8))</f>
        <v>0</v>
      </c>
    </row>
    <row r="390" spans="1:18">
      <c r="A390" s="15" t="str">
        <f t="shared" si="10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8" t="s">
        <v>75</v>
      </c>
      <c r="P390" s="48">
        <f>HEX2DEC(RIGHT(Table1323212753586873[[#This Row],[h1]],8))</f>
        <v>0</v>
      </c>
      <c r="Q390" s="48" t="s">
        <v>75</v>
      </c>
      <c r="R390" s="48">
        <f>HEX2DEC(RIGHT(Table1323212753586873[[#This Row],[h2]],8))</f>
        <v>0</v>
      </c>
    </row>
    <row r="391" spans="1:18">
      <c r="A391" s="15" t="str">
        <f t="shared" si="10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8" t="s">
        <v>75</v>
      </c>
      <c r="P391" s="48">
        <f>HEX2DEC(RIGHT(Table1323212753586873[[#This Row],[h1]],8))</f>
        <v>0</v>
      </c>
      <c r="Q391" s="48" t="s">
        <v>75</v>
      </c>
      <c r="R391" s="48">
        <f>HEX2DEC(RIGHT(Table1323212753586873[[#This Row],[h2]],8))</f>
        <v>0</v>
      </c>
    </row>
    <row r="392" spans="1:18">
      <c r="A392" s="15" t="str">
        <f t="shared" si="10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8" t="s">
        <v>75</v>
      </c>
      <c r="P392" s="48">
        <f>HEX2DEC(RIGHT(Table1323212753586873[[#This Row],[h1]],8))</f>
        <v>0</v>
      </c>
      <c r="Q392" s="48" t="s">
        <v>75</v>
      </c>
      <c r="R392" s="48">
        <f>HEX2DEC(RIGHT(Table1323212753586873[[#This Row],[h2]],8))</f>
        <v>0</v>
      </c>
    </row>
    <row r="393" spans="1:18">
      <c r="A393" s="15" t="str">
        <f t="shared" si="10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8" t="s">
        <v>75</v>
      </c>
      <c r="P393" s="48">
        <f>HEX2DEC(RIGHT(Table1323212753586873[[#This Row],[h1]],8))</f>
        <v>0</v>
      </c>
      <c r="Q393" s="48" t="s">
        <v>75</v>
      </c>
      <c r="R393" s="48">
        <f>HEX2DEC(RIGHT(Table1323212753586873[[#This Row],[h2]],8))</f>
        <v>0</v>
      </c>
    </row>
    <row r="394" spans="1:18">
      <c r="A394" s="15" t="str">
        <f t="shared" si="10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8" t="s">
        <v>75</v>
      </c>
      <c r="P394" s="48">
        <f>HEX2DEC(RIGHT(Table1323212753586873[[#This Row],[h1]],8))</f>
        <v>0</v>
      </c>
      <c r="Q394" s="48" t="s">
        <v>75</v>
      </c>
      <c r="R394" s="48">
        <f>HEX2DEC(RIGHT(Table1323212753586873[[#This Row],[h2]],8))</f>
        <v>0</v>
      </c>
    </row>
    <row r="395" spans="1:18">
      <c r="A395" s="15" t="str">
        <f t="shared" ref="A395:A458" si="11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8" t="s">
        <v>75</v>
      </c>
      <c r="P395" s="48">
        <f>HEX2DEC(RIGHT(Table1323212753586873[[#This Row],[h1]],8))</f>
        <v>0</v>
      </c>
      <c r="Q395" s="48" t="s">
        <v>75</v>
      </c>
      <c r="R395" s="48">
        <f>HEX2DEC(RIGHT(Table1323212753586873[[#This Row],[h2]],8))</f>
        <v>0</v>
      </c>
    </row>
    <row r="396" spans="1:18">
      <c r="A396" s="15" t="str">
        <f t="shared" si="11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8" t="s">
        <v>75</v>
      </c>
      <c r="P396" s="48">
        <f>HEX2DEC(RIGHT(Table1323212753586873[[#This Row],[h1]],8))</f>
        <v>0</v>
      </c>
      <c r="Q396" s="48" t="s">
        <v>75</v>
      </c>
      <c r="R396" s="48">
        <f>HEX2DEC(RIGHT(Table1323212753586873[[#This Row],[h2]],8))</f>
        <v>0</v>
      </c>
    </row>
    <row r="397" spans="1:18">
      <c r="A397" s="15" t="str">
        <f t="shared" si="11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8" t="s">
        <v>75</v>
      </c>
      <c r="P397" s="48">
        <f>HEX2DEC(RIGHT(Table1323212753586873[[#This Row],[h1]],8))</f>
        <v>0</v>
      </c>
      <c r="Q397" s="48" t="s">
        <v>75</v>
      </c>
      <c r="R397" s="48">
        <f>HEX2DEC(RIGHT(Table1323212753586873[[#This Row],[h2]],8))</f>
        <v>0</v>
      </c>
    </row>
    <row r="398" spans="1:18">
      <c r="A398" s="15" t="str">
        <f t="shared" si="11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8" t="s">
        <v>75</v>
      </c>
      <c r="P398" s="48">
        <f>HEX2DEC(RIGHT(Table1323212753586873[[#This Row],[h1]],8))</f>
        <v>0</v>
      </c>
      <c r="Q398" s="48" t="s">
        <v>75</v>
      </c>
      <c r="R398" s="48">
        <f>HEX2DEC(RIGHT(Table1323212753586873[[#This Row],[h2]],8))</f>
        <v>0</v>
      </c>
    </row>
    <row r="399" spans="1:18">
      <c r="A399" s="15" t="str">
        <f t="shared" si="11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8" t="s">
        <v>75</v>
      </c>
      <c r="P399" s="48">
        <f>HEX2DEC(RIGHT(Table1323212753586873[[#This Row],[h1]],8))</f>
        <v>0</v>
      </c>
      <c r="Q399" s="48" t="s">
        <v>75</v>
      </c>
      <c r="R399" s="48">
        <f>HEX2DEC(RIGHT(Table1323212753586873[[#This Row],[h2]],8))</f>
        <v>0</v>
      </c>
    </row>
    <row r="400" spans="1:18">
      <c r="A400" s="15" t="str">
        <f t="shared" si="11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8" t="s">
        <v>75</v>
      </c>
      <c r="P400" s="48">
        <f>HEX2DEC(RIGHT(Table1323212753586873[[#This Row],[h1]],8))</f>
        <v>0</v>
      </c>
      <c r="Q400" s="48" t="s">
        <v>75</v>
      </c>
      <c r="R400" s="48">
        <f>HEX2DEC(RIGHT(Table1323212753586873[[#This Row],[h2]],8))</f>
        <v>0</v>
      </c>
    </row>
    <row r="401" spans="1:18">
      <c r="A401" s="15" t="str">
        <f t="shared" si="11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8" t="s">
        <v>75</v>
      </c>
      <c r="P401" s="48">
        <f>HEX2DEC(RIGHT(Table1323212753586873[[#This Row],[h1]],8))</f>
        <v>0</v>
      </c>
      <c r="Q401" s="48" t="s">
        <v>75</v>
      </c>
      <c r="R401" s="48">
        <f>HEX2DEC(RIGHT(Table1323212753586873[[#This Row],[h2]],8))</f>
        <v>0</v>
      </c>
    </row>
    <row r="402" spans="1:18">
      <c r="A402" s="15" t="str">
        <f t="shared" si="11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8" t="s">
        <v>75</v>
      </c>
      <c r="P402" s="48">
        <f>HEX2DEC(RIGHT(Table1323212753586873[[#This Row],[h1]],8))</f>
        <v>0</v>
      </c>
      <c r="Q402" s="48" t="s">
        <v>75</v>
      </c>
      <c r="R402" s="48">
        <f>HEX2DEC(RIGHT(Table1323212753586873[[#This Row],[h2]],8))</f>
        <v>0</v>
      </c>
    </row>
    <row r="403" spans="1:18">
      <c r="A403" s="15" t="str">
        <f t="shared" si="11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8" t="s">
        <v>75</v>
      </c>
      <c r="P403" s="48">
        <f>HEX2DEC(RIGHT(Table1323212753586873[[#This Row],[h1]],8))</f>
        <v>0</v>
      </c>
      <c r="Q403" s="48" t="s">
        <v>75</v>
      </c>
      <c r="R403" s="48">
        <f>HEX2DEC(RIGHT(Table1323212753586873[[#This Row],[h2]],8))</f>
        <v>0</v>
      </c>
    </row>
    <row r="404" spans="1:18">
      <c r="A404" s="15" t="str">
        <f t="shared" si="11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8" t="s">
        <v>75</v>
      </c>
      <c r="P404" s="48">
        <f>HEX2DEC(RIGHT(Table1323212753586873[[#This Row],[h1]],8))</f>
        <v>0</v>
      </c>
      <c r="Q404" s="48" t="s">
        <v>75</v>
      </c>
      <c r="R404" s="48">
        <f>HEX2DEC(RIGHT(Table1323212753586873[[#This Row],[h2]],8))</f>
        <v>0</v>
      </c>
    </row>
    <row r="405" spans="1:18">
      <c r="A405" s="15" t="str">
        <f t="shared" si="11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8" t="s">
        <v>75</v>
      </c>
      <c r="P405" s="48">
        <f>HEX2DEC(RIGHT(Table1323212753586873[[#This Row],[h1]],8))</f>
        <v>0</v>
      </c>
      <c r="Q405" s="48" t="s">
        <v>75</v>
      </c>
      <c r="R405" s="48">
        <f>HEX2DEC(RIGHT(Table1323212753586873[[#This Row],[h2]],8))</f>
        <v>0</v>
      </c>
    </row>
    <row r="406" spans="1:18">
      <c r="A406" s="15" t="str">
        <f t="shared" si="11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8" t="s">
        <v>75</v>
      </c>
      <c r="P406" s="48">
        <f>HEX2DEC(RIGHT(Table1323212753586873[[#This Row],[h1]],8))</f>
        <v>0</v>
      </c>
      <c r="Q406" s="48" t="s">
        <v>75</v>
      </c>
      <c r="R406" s="48">
        <f>HEX2DEC(RIGHT(Table1323212753586873[[#This Row],[h2]],8))</f>
        <v>0</v>
      </c>
    </row>
    <row r="407" spans="1:18">
      <c r="A407" s="15" t="str">
        <f t="shared" si="11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8" t="s">
        <v>75</v>
      </c>
      <c r="P407" s="48">
        <f>HEX2DEC(RIGHT(Table1323212753586873[[#This Row],[h1]],8))</f>
        <v>0</v>
      </c>
      <c r="Q407" s="48" t="s">
        <v>75</v>
      </c>
      <c r="R407" s="48">
        <f>HEX2DEC(RIGHT(Table1323212753586873[[#This Row],[h2]],8))</f>
        <v>0</v>
      </c>
    </row>
    <row r="408" spans="1:18">
      <c r="A408" s="15" t="str">
        <f t="shared" si="11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8" t="s">
        <v>75</v>
      </c>
      <c r="P408" s="48">
        <f>HEX2DEC(RIGHT(Table1323212753586873[[#This Row],[h1]],8))</f>
        <v>0</v>
      </c>
      <c r="Q408" s="48" t="s">
        <v>75</v>
      </c>
      <c r="R408" s="48">
        <f>HEX2DEC(RIGHT(Table1323212753586873[[#This Row],[h2]],8))</f>
        <v>0</v>
      </c>
    </row>
    <row r="409" spans="1:18">
      <c r="A409" s="15" t="str">
        <f t="shared" si="11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8" t="s">
        <v>75</v>
      </c>
      <c r="P409" s="48">
        <f>HEX2DEC(RIGHT(Table1323212753586873[[#This Row],[h1]],8))</f>
        <v>0</v>
      </c>
      <c r="Q409" s="48" t="s">
        <v>75</v>
      </c>
      <c r="R409" s="48">
        <f>HEX2DEC(RIGHT(Table1323212753586873[[#This Row],[h2]],8))</f>
        <v>0</v>
      </c>
    </row>
    <row r="410" spans="1:18">
      <c r="A410" s="15" t="str">
        <f t="shared" si="11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8" t="s">
        <v>75</v>
      </c>
      <c r="P410" s="48">
        <f>HEX2DEC(RIGHT(Table1323212753586873[[#This Row],[h1]],8))</f>
        <v>0</v>
      </c>
      <c r="Q410" s="48" t="s">
        <v>75</v>
      </c>
      <c r="R410" s="48">
        <f>HEX2DEC(RIGHT(Table1323212753586873[[#This Row],[h2]],8))</f>
        <v>0</v>
      </c>
    </row>
    <row r="411" spans="1:18">
      <c r="A411" s="15" t="str">
        <f t="shared" si="11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8" t="s">
        <v>75</v>
      </c>
      <c r="P411" s="48">
        <f>HEX2DEC(RIGHT(Table1323212753586873[[#This Row],[h1]],8))</f>
        <v>0</v>
      </c>
      <c r="Q411" s="48" t="s">
        <v>75</v>
      </c>
      <c r="R411" s="48">
        <f>HEX2DEC(RIGHT(Table1323212753586873[[#This Row],[h2]],8))</f>
        <v>0</v>
      </c>
    </row>
    <row r="412" spans="1:18">
      <c r="A412" s="15" t="str">
        <f t="shared" si="11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8" t="s">
        <v>75</v>
      </c>
      <c r="P412" s="48">
        <f>HEX2DEC(RIGHT(Table1323212753586873[[#This Row],[h1]],8))</f>
        <v>0</v>
      </c>
      <c r="Q412" s="48" t="s">
        <v>75</v>
      </c>
      <c r="R412" s="48">
        <f>HEX2DEC(RIGHT(Table1323212753586873[[#This Row],[h2]],8))</f>
        <v>0</v>
      </c>
    </row>
    <row r="413" spans="1:18">
      <c r="A413" s="15" t="str">
        <f t="shared" si="11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8" t="s">
        <v>75</v>
      </c>
      <c r="P413" s="48">
        <f>HEX2DEC(RIGHT(Table1323212753586873[[#This Row],[h1]],8))</f>
        <v>0</v>
      </c>
      <c r="Q413" s="48" t="s">
        <v>75</v>
      </c>
      <c r="R413" s="48">
        <f>HEX2DEC(RIGHT(Table1323212753586873[[#This Row],[h2]],8))</f>
        <v>0</v>
      </c>
    </row>
    <row r="414" spans="1:18">
      <c r="A414" s="15" t="str">
        <f t="shared" si="11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8" t="s">
        <v>75</v>
      </c>
      <c r="P414" s="48">
        <f>HEX2DEC(RIGHT(Table1323212753586873[[#This Row],[h1]],8))</f>
        <v>0</v>
      </c>
      <c r="Q414" s="48" t="s">
        <v>75</v>
      </c>
      <c r="R414" s="48">
        <f>HEX2DEC(RIGHT(Table1323212753586873[[#This Row],[h2]],8))</f>
        <v>0</v>
      </c>
    </row>
    <row r="415" spans="1:18">
      <c r="A415" s="15" t="str">
        <f t="shared" si="11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8" t="s">
        <v>75</v>
      </c>
      <c r="P415" s="48">
        <f>HEX2DEC(RIGHT(Table1323212753586873[[#This Row],[h1]],8))</f>
        <v>0</v>
      </c>
      <c r="Q415" s="48" t="s">
        <v>75</v>
      </c>
      <c r="R415" s="48">
        <f>HEX2DEC(RIGHT(Table1323212753586873[[#This Row],[h2]],8))</f>
        <v>0</v>
      </c>
    </row>
    <row r="416" spans="1:18">
      <c r="A416" s="15" t="str">
        <f t="shared" si="11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8" t="s">
        <v>75</v>
      </c>
      <c r="P416" s="48">
        <f>HEX2DEC(RIGHT(Table1323212753586873[[#This Row],[h1]],8))</f>
        <v>0</v>
      </c>
      <c r="Q416" s="48" t="s">
        <v>75</v>
      </c>
      <c r="R416" s="48">
        <f>HEX2DEC(RIGHT(Table1323212753586873[[#This Row],[h2]],8))</f>
        <v>0</v>
      </c>
    </row>
    <row r="417" spans="1:18">
      <c r="A417" s="15" t="str">
        <f t="shared" si="11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8" t="s">
        <v>75</v>
      </c>
      <c r="P417" s="48">
        <f>HEX2DEC(RIGHT(Table1323212753586873[[#This Row],[h1]],8))</f>
        <v>0</v>
      </c>
      <c r="Q417" s="48" t="s">
        <v>75</v>
      </c>
      <c r="R417" s="48">
        <f>HEX2DEC(RIGHT(Table1323212753586873[[#This Row],[h2]],8))</f>
        <v>0</v>
      </c>
    </row>
    <row r="418" spans="1:18">
      <c r="A418" s="15" t="str">
        <f t="shared" si="11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8" t="s">
        <v>75</v>
      </c>
      <c r="P418" s="48">
        <f>HEX2DEC(RIGHT(Table1323212753586873[[#This Row],[h1]],8))</f>
        <v>0</v>
      </c>
      <c r="Q418" s="48" t="s">
        <v>75</v>
      </c>
      <c r="R418" s="48">
        <f>HEX2DEC(RIGHT(Table1323212753586873[[#This Row],[h2]],8))</f>
        <v>0</v>
      </c>
    </row>
    <row r="419" spans="1:18">
      <c r="A419" s="15" t="str">
        <f t="shared" si="11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8" t="s">
        <v>75</v>
      </c>
      <c r="P419" s="48">
        <f>HEX2DEC(RIGHT(Table1323212753586873[[#This Row],[h1]],8))</f>
        <v>0</v>
      </c>
      <c r="Q419" s="48" t="s">
        <v>75</v>
      </c>
      <c r="R419" s="48">
        <f>HEX2DEC(RIGHT(Table1323212753586873[[#This Row],[h2]],8))</f>
        <v>0</v>
      </c>
    </row>
    <row r="420" spans="1:18">
      <c r="A420" s="15" t="str">
        <f t="shared" si="11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8" t="s">
        <v>75</v>
      </c>
      <c r="P420" s="48">
        <f>HEX2DEC(RIGHT(Table1323212753586873[[#This Row],[h1]],8))</f>
        <v>0</v>
      </c>
      <c r="Q420" s="48" t="s">
        <v>75</v>
      </c>
      <c r="R420" s="48">
        <f>HEX2DEC(RIGHT(Table1323212753586873[[#This Row],[h2]],8))</f>
        <v>0</v>
      </c>
    </row>
    <row r="421" spans="1:18">
      <c r="A421" s="15" t="str">
        <f t="shared" si="11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8" t="s">
        <v>75</v>
      </c>
      <c r="P421" s="48">
        <f>HEX2DEC(RIGHT(Table1323212753586873[[#This Row],[h1]],8))</f>
        <v>0</v>
      </c>
      <c r="Q421" s="48" t="s">
        <v>75</v>
      </c>
      <c r="R421" s="48">
        <f>HEX2DEC(RIGHT(Table1323212753586873[[#This Row],[h2]],8))</f>
        <v>0</v>
      </c>
    </row>
    <row r="422" spans="1:18">
      <c r="A422" s="15" t="str">
        <f t="shared" si="11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8" t="s">
        <v>75</v>
      </c>
      <c r="P422" s="48">
        <f>HEX2DEC(RIGHT(Table1323212753586873[[#This Row],[h1]],8))</f>
        <v>0</v>
      </c>
      <c r="Q422" s="48" t="s">
        <v>75</v>
      </c>
      <c r="R422" s="48">
        <f>HEX2DEC(RIGHT(Table1323212753586873[[#This Row],[h2]],8))</f>
        <v>0</v>
      </c>
    </row>
    <row r="423" spans="1:18">
      <c r="A423" s="15" t="str">
        <f t="shared" si="11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8" t="s">
        <v>75</v>
      </c>
      <c r="P423" s="48">
        <f>HEX2DEC(RIGHT(Table1323212753586873[[#This Row],[h1]],8))</f>
        <v>0</v>
      </c>
      <c r="Q423" s="48" t="s">
        <v>75</v>
      </c>
      <c r="R423" s="48">
        <f>HEX2DEC(RIGHT(Table1323212753586873[[#This Row],[h2]],8))</f>
        <v>0</v>
      </c>
    </row>
    <row r="424" spans="1:18">
      <c r="A424" s="15" t="str">
        <f t="shared" si="11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8" t="s">
        <v>75</v>
      </c>
      <c r="P424" s="48">
        <f>HEX2DEC(RIGHT(Table1323212753586873[[#This Row],[h1]],8))</f>
        <v>0</v>
      </c>
      <c r="Q424" s="48" t="s">
        <v>75</v>
      </c>
      <c r="R424" s="48">
        <f>HEX2DEC(RIGHT(Table1323212753586873[[#This Row],[h2]],8))</f>
        <v>0</v>
      </c>
    </row>
    <row r="425" spans="1:18">
      <c r="A425" s="15" t="str">
        <f t="shared" si="11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8" t="s">
        <v>75</v>
      </c>
      <c r="P425" s="48">
        <f>HEX2DEC(RIGHT(Table1323212753586873[[#This Row],[h1]],8))</f>
        <v>0</v>
      </c>
      <c r="Q425" s="48" t="s">
        <v>75</v>
      </c>
      <c r="R425" s="48">
        <f>HEX2DEC(RIGHT(Table1323212753586873[[#This Row],[h2]],8))</f>
        <v>0</v>
      </c>
    </row>
    <row r="426" spans="1:18">
      <c r="A426" s="15" t="str">
        <f t="shared" si="11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8" t="s">
        <v>75</v>
      </c>
      <c r="P426" s="48">
        <f>HEX2DEC(RIGHT(Table1323212753586873[[#This Row],[h1]],8))</f>
        <v>0</v>
      </c>
      <c r="Q426" s="48" t="s">
        <v>75</v>
      </c>
      <c r="R426" s="48">
        <f>HEX2DEC(RIGHT(Table1323212753586873[[#This Row],[h2]],8))</f>
        <v>0</v>
      </c>
    </row>
    <row r="427" spans="1:18">
      <c r="A427" s="15" t="str">
        <f t="shared" si="11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8" t="s">
        <v>75</v>
      </c>
      <c r="P427" s="48">
        <f>HEX2DEC(RIGHT(Table1323212753586873[[#This Row],[h1]],8))</f>
        <v>0</v>
      </c>
      <c r="Q427" s="48" t="s">
        <v>75</v>
      </c>
      <c r="R427" s="48">
        <f>HEX2DEC(RIGHT(Table1323212753586873[[#This Row],[h2]],8))</f>
        <v>0</v>
      </c>
    </row>
    <row r="428" spans="1:18">
      <c r="A428" s="15" t="str">
        <f t="shared" si="11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8" t="s">
        <v>75</v>
      </c>
      <c r="P428" s="48">
        <f>HEX2DEC(RIGHT(Table1323212753586873[[#This Row],[h1]],8))</f>
        <v>0</v>
      </c>
      <c r="Q428" s="48" t="s">
        <v>75</v>
      </c>
      <c r="R428" s="48">
        <f>HEX2DEC(RIGHT(Table1323212753586873[[#This Row],[h2]],8))</f>
        <v>0</v>
      </c>
    </row>
    <row r="429" spans="1:18">
      <c r="A429" s="15" t="str">
        <f t="shared" si="11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8" t="s">
        <v>75</v>
      </c>
      <c r="P429" s="48">
        <f>HEX2DEC(RIGHT(Table1323212753586873[[#This Row],[h1]],8))</f>
        <v>0</v>
      </c>
      <c r="Q429" s="48" t="s">
        <v>75</v>
      </c>
      <c r="R429" s="48">
        <f>HEX2DEC(RIGHT(Table1323212753586873[[#This Row],[h2]],8))</f>
        <v>0</v>
      </c>
    </row>
    <row r="430" spans="1:18">
      <c r="A430" s="15" t="str">
        <f t="shared" si="11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8" t="s">
        <v>75</v>
      </c>
      <c r="P430" s="48">
        <f>HEX2DEC(RIGHT(Table1323212753586873[[#This Row],[h1]],8))</f>
        <v>0</v>
      </c>
      <c r="Q430" s="48" t="s">
        <v>75</v>
      </c>
      <c r="R430" s="48">
        <f>HEX2DEC(RIGHT(Table1323212753586873[[#This Row],[h2]],8))</f>
        <v>0</v>
      </c>
    </row>
    <row r="431" spans="1:18">
      <c r="A431" s="15" t="str">
        <f t="shared" si="11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8" t="s">
        <v>75</v>
      </c>
      <c r="P431" s="48">
        <f>HEX2DEC(RIGHT(Table1323212753586873[[#This Row],[h1]],8))</f>
        <v>0</v>
      </c>
      <c r="Q431" s="48" t="s">
        <v>75</v>
      </c>
      <c r="R431" s="48">
        <f>HEX2DEC(RIGHT(Table1323212753586873[[#This Row],[h2]],8))</f>
        <v>0</v>
      </c>
    </row>
    <row r="432" spans="1:18">
      <c r="A432" s="15" t="str">
        <f t="shared" si="11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8" t="s">
        <v>75</v>
      </c>
      <c r="P432" s="48">
        <f>HEX2DEC(RIGHT(Table1323212753586873[[#This Row],[h1]],8))</f>
        <v>0</v>
      </c>
      <c r="Q432" s="48" t="s">
        <v>75</v>
      </c>
      <c r="R432" s="48">
        <f>HEX2DEC(RIGHT(Table1323212753586873[[#This Row],[h2]],8))</f>
        <v>0</v>
      </c>
    </row>
    <row r="433" spans="1:18">
      <c r="A433" s="15" t="str">
        <f t="shared" si="11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8" t="s">
        <v>75</v>
      </c>
      <c r="P433" s="48">
        <f>HEX2DEC(RIGHT(Table1323212753586873[[#This Row],[h1]],8))</f>
        <v>0</v>
      </c>
      <c r="Q433" s="48" t="s">
        <v>75</v>
      </c>
      <c r="R433" s="48">
        <f>HEX2DEC(RIGHT(Table1323212753586873[[#This Row],[h2]],8))</f>
        <v>0</v>
      </c>
    </row>
    <row r="434" spans="1:18">
      <c r="A434" s="15" t="str">
        <f t="shared" si="11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8" t="s">
        <v>75</v>
      </c>
      <c r="P434" s="48">
        <f>HEX2DEC(RIGHT(Table1323212753586873[[#This Row],[h1]],8))</f>
        <v>0</v>
      </c>
      <c r="Q434" s="48" t="s">
        <v>75</v>
      </c>
      <c r="R434" s="48">
        <f>HEX2DEC(RIGHT(Table1323212753586873[[#This Row],[h2]],8))</f>
        <v>0</v>
      </c>
    </row>
    <row r="435" spans="1:18">
      <c r="A435" s="15" t="str">
        <f t="shared" si="11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8" t="s">
        <v>75</v>
      </c>
      <c r="P435" s="48">
        <f>HEX2DEC(RIGHT(Table1323212753586873[[#This Row],[h1]],8))</f>
        <v>0</v>
      </c>
      <c r="Q435" s="48" t="s">
        <v>75</v>
      </c>
      <c r="R435" s="48">
        <f>HEX2DEC(RIGHT(Table1323212753586873[[#This Row],[h2]],8))</f>
        <v>0</v>
      </c>
    </row>
    <row r="436" spans="1:18">
      <c r="A436" s="15" t="str">
        <f t="shared" si="11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8" t="s">
        <v>75</v>
      </c>
      <c r="P436" s="48">
        <f>HEX2DEC(RIGHT(Table1323212753586873[[#This Row],[h1]],8))</f>
        <v>0</v>
      </c>
      <c r="Q436" s="48" t="s">
        <v>75</v>
      </c>
      <c r="R436" s="48">
        <f>HEX2DEC(RIGHT(Table1323212753586873[[#This Row],[h2]],8))</f>
        <v>0</v>
      </c>
    </row>
    <row r="437" spans="1:18">
      <c r="A437" s="15" t="str">
        <f t="shared" si="11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8" t="s">
        <v>75</v>
      </c>
      <c r="P437" s="48">
        <f>HEX2DEC(RIGHT(Table1323212753586873[[#This Row],[h1]],8))</f>
        <v>0</v>
      </c>
      <c r="Q437" s="48" t="s">
        <v>75</v>
      </c>
      <c r="R437" s="48">
        <f>HEX2DEC(RIGHT(Table1323212753586873[[#This Row],[h2]],8))</f>
        <v>0</v>
      </c>
    </row>
    <row r="438" spans="1:18">
      <c r="A438" s="15" t="str">
        <f t="shared" si="11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8" t="s">
        <v>75</v>
      </c>
      <c r="P438" s="48">
        <f>HEX2DEC(RIGHT(Table1323212753586873[[#This Row],[h1]],8))</f>
        <v>0</v>
      </c>
      <c r="Q438" s="48" t="s">
        <v>75</v>
      </c>
      <c r="R438" s="48">
        <f>HEX2DEC(RIGHT(Table1323212753586873[[#This Row],[h2]],8))</f>
        <v>0</v>
      </c>
    </row>
    <row r="439" spans="1:18">
      <c r="A439" s="15" t="str">
        <f t="shared" si="11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8" t="s">
        <v>75</v>
      </c>
      <c r="P439" s="48">
        <f>HEX2DEC(RIGHT(Table1323212753586873[[#This Row],[h1]],8))</f>
        <v>0</v>
      </c>
      <c r="Q439" s="48" t="s">
        <v>75</v>
      </c>
      <c r="R439" s="48">
        <f>HEX2DEC(RIGHT(Table1323212753586873[[#This Row],[h2]],8))</f>
        <v>0</v>
      </c>
    </row>
    <row r="440" spans="1:18">
      <c r="A440" s="15" t="str">
        <f t="shared" si="11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8" t="s">
        <v>75</v>
      </c>
      <c r="P440" s="48">
        <f>HEX2DEC(RIGHT(Table1323212753586873[[#This Row],[h1]],8))</f>
        <v>0</v>
      </c>
      <c r="Q440" s="48" t="s">
        <v>75</v>
      </c>
      <c r="R440" s="48">
        <f>HEX2DEC(RIGHT(Table1323212753586873[[#This Row],[h2]],8))</f>
        <v>0</v>
      </c>
    </row>
    <row r="441" spans="1:18">
      <c r="A441" s="15" t="str">
        <f t="shared" si="11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8" t="s">
        <v>75</v>
      </c>
      <c r="P441" s="48">
        <f>HEX2DEC(RIGHT(Table1323212753586873[[#This Row],[h1]],8))</f>
        <v>0</v>
      </c>
      <c r="Q441" s="48" t="s">
        <v>75</v>
      </c>
      <c r="R441" s="48">
        <f>HEX2DEC(RIGHT(Table1323212753586873[[#This Row],[h2]],8))</f>
        <v>0</v>
      </c>
    </row>
    <row r="442" spans="1:18">
      <c r="A442" s="15" t="str">
        <f t="shared" si="11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8" t="s">
        <v>75</v>
      </c>
      <c r="P442" s="48">
        <f>HEX2DEC(RIGHT(Table1323212753586873[[#This Row],[h1]],8))</f>
        <v>0</v>
      </c>
      <c r="Q442" s="48" t="s">
        <v>75</v>
      </c>
      <c r="R442" s="48">
        <f>HEX2DEC(RIGHT(Table1323212753586873[[#This Row],[h2]],8))</f>
        <v>0</v>
      </c>
    </row>
    <row r="443" spans="1:18">
      <c r="A443" s="15" t="str">
        <f t="shared" si="11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8" t="s">
        <v>75</v>
      </c>
      <c r="P443" s="48">
        <f>HEX2DEC(RIGHT(Table1323212753586873[[#This Row],[h1]],8))</f>
        <v>0</v>
      </c>
      <c r="Q443" s="48" t="s">
        <v>75</v>
      </c>
      <c r="R443" s="48">
        <f>HEX2DEC(RIGHT(Table1323212753586873[[#This Row],[h2]],8))</f>
        <v>0</v>
      </c>
    </row>
    <row r="444" spans="1:18">
      <c r="A444" s="15" t="str">
        <f t="shared" si="11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8" t="s">
        <v>75</v>
      </c>
      <c r="P444" s="48">
        <f>HEX2DEC(RIGHT(Table1323212753586873[[#This Row],[h1]],8))</f>
        <v>0</v>
      </c>
      <c r="Q444" s="48" t="s">
        <v>75</v>
      </c>
      <c r="R444" s="48">
        <f>HEX2DEC(RIGHT(Table1323212753586873[[#This Row],[h2]],8))</f>
        <v>0</v>
      </c>
    </row>
    <row r="445" spans="1:18">
      <c r="A445" s="15" t="str">
        <f t="shared" si="11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8" t="s">
        <v>75</v>
      </c>
      <c r="P445" s="48">
        <f>HEX2DEC(RIGHT(Table1323212753586873[[#This Row],[h1]],8))</f>
        <v>0</v>
      </c>
      <c r="Q445" s="48" t="s">
        <v>75</v>
      </c>
      <c r="R445" s="48">
        <f>HEX2DEC(RIGHT(Table1323212753586873[[#This Row],[h2]],8))</f>
        <v>0</v>
      </c>
    </row>
    <row r="446" spans="1:18">
      <c r="A446" s="15" t="str">
        <f t="shared" si="11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8" t="s">
        <v>75</v>
      </c>
      <c r="P446" s="48">
        <f>HEX2DEC(RIGHT(Table1323212753586873[[#This Row],[h1]],8))</f>
        <v>0</v>
      </c>
      <c r="Q446" s="48" t="s">
        <v>75</v>
      </c>
      <c r="R446" s="48">
        <f>HEX2DEC(RIGHT(Table1323212753586873[[#This Row],[h2]],8))</f>
        <v>0</v>
      </c>
    </row>
    <row r="447" spans="1:18">
      <c r="A447" s="15" t="str">
        <f t="shared" si="11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8" t="s">
        <v>75</v>
      </c>
      <c r="P447" s="48">
        <f>HEX2DEC(RIGHT(Table1323212753586873[[#This Row],[h1]],8))</f>
        <v>0</v>
      </c>
      <c r="Q447" s="48" t="s">
        <v>75</v>
      </c>
      <c r="R447" s="48">
        <f>HEX2DEC(RIGHT(Table1323212753586873[[#This Row],[h2]],8))</f>
        <v>0</v>
      </c>
    </row>
    <row r="448" spans="1:18">
      <c r="A448" s="15" t="str">
        <f t="shared" si="11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8" t="s">
        <v>75</v>
      </c>
      <c r="P448" s="48">
        <f>HEX2DEC(RIGHT(Table1323212753586873[[#This Row],[h1]],8))</f>
        <v>0</v>
      </c>
      <c r="Q448" s="48" t="s">
        <v>75</v>
      </c>
      <c r="R448" s="48">
        <f>HEX2DEC(RIGHT(Table1323212753586873[[#This Row],[h2]],8))</f>
        <v>0</v>
      </c>
    </row>
    <row r="449" spans="1:18">
      <c r="A449" s="15" t="str">
        <f t="shared" si="11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8" t="s">
        <v>75</v>
      </c>
      <c r="P449" s="48">
        <f>HEX2DEC(RIGHT(Table1323212753586873[[#This Row],[h1]],8))</f>
        <v>0</v>
      </c>
      <c r="Q449" s="48" t="s">
        <v>75</v>
      </c>
      <c r="R449" s="48">
        <f>HEX2DEC(RIGHT(Table1323212753586873[[#This Row],[h2]],8))</f>
        <v>0</v>
      </c>
    </row>
    <row r="450" spans="1:18">
      <c r="A450" s="15" t="str">
        <f t="shared" si="11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8" t="s">
        <v>75</v>
      </c>
      <c r="P450" s="48">
        <f>HEX2DEC(RIGHT(Table1323212753586873[[#This Row],[h1]],8))</f>
        <v>0</v>
      </c>
      <c r="Q450" s="48" t="s">
        <v>75</v>
      </c>
      <c r="R450" s="48">
        <f>HEX2DEC(RIGHT(Table1323212753586873[[#This Row],[h2]],8))</f>
        <v>0</v>
      </c>
    </row>
    <row r="451" spans="1:18">
      <c r="A451" s="15" t="str">
        <f t="shared" si="11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8" t="s">
        <v>75</v>
      </c>
      <c r="P451" s="48">
        <f>HEX2DEC(RIGHT(Table1323212753586873[[#This Row],[h1]],8))</f>
        <v>0</v>
      </c>
      <c r="Q451" s="48" t="s">
        <v>75</v>
      </c>
      <c r="R451" s="48">
        <f>HEX2DEC(RIGHT(Table1323212753586873[[#This Row],[h2]],8))</f>
        <v>0</v>
      </c>
    </row>
    <row r="452" spans="1:18">
      <c r="A452" s="15" t="str">
        <f t="shared" si="11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8" t="s">
        <v>75</v>
      </c>
      <c r="P452" s="48">
        <f>HEX2DEC(RIGHT(Table1323212753586873[[#This Row],[h1]],8))</f>
        <v>0</v>
      </c>
      <c r="Q452" s="48" t="s">
        <v>75</v>
      </c>
      <c r="R452" s="48">
        <f>HEX2DEC(RIGHT(Table1323212753586873[[#This Row],[h2]],8))</f>
        <v>0</v>
      </c>
    </row>
    <row r="453" spans="1:18">
      <c r="A453" s="15" t="str">
        <f t="shared" si="11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8" t="s">
        <v>75</v>
      </c>
      <c r="P453" s="48">
        <f>HEX2DEC(RIGHT(Table1323212753586873[[#This Row],[h1]],8))</f>
        <v>0</v>
      </c>
      <c r="Q453" s="48" t="s">
        <v>75</v>
      </c>
      <c r="R453" s="48">
        <f>HEX2DEC(RIGHT(Table1323212753586873[[#This Row],[h2]],8))</f>
        <v>0</v>
      </c>
    </row>
    <row r="454" spans="1:18">
      <c r="A454" s="15" t="str">
        <f t="shared" si="11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8" t="s">
        <v>75</v>
      </c>
      <c r="P454" s="48">
        <f>HEX2DEC(RIGHT(Table1323212753586873[[#This Row],[h1]],8))</f>
        <v>0</v>
      </c>
      <c r="Q454" s="48" t="s">
        <v>75</v>
      </c>
      <c r="R454" s="48">
        <f>HEX2DEC(RIGHT(Table1323212753586873[[#This Row],[h2]],8))</f>
        <v>0</v>
      </c>
    </row>
    <row r="455" spans="1:18">
      <c r="A455" s="15" t="str">
        <f t="shared" si="11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8" t="s">
        <v>75</v>
      </c>
      <c r="P455" s="48">
        <f>HEX2DEC(RIGHT(Table1323212753586873[[#This Row],[h1]],8))</f>
        <v>0</v>
      </c>
      <c r="Q455" s="48" t="s">
        <v>75</v>
      </c>
      <c r="R455" s="48">
        <f>HEX2DEC(RIGHT(Table1323212753586873[[#This Row],[h2]],8))</f>
        <v>0</v>
      </c>
    </row>
    <row r="456" spans="1:18">
      <c r="A456" s="15" t="str">
        <f t="shared" si="11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8" t="s">
        <v>75</v>
      </c>
      <c r="P456" s="48">
        <f>HEX2DEC(RIGHT(Table1323212753586873[[#This Row],[h1]],8))</f>
        <v>0</v>
      </c>
      <c r="Q456" s="48" t="s">
        <v>75</v>
      </c>
      <c r="R456" s="48">
        <f>HEX2DEC(RIGHT(Table1323212753586873[[#This Row],[h2]],8))</f>
        <v>0</v>
      </c>
    </row>
    <row r="457" spans="1:18">
      <c r="A457" s="15" t="str">
        <f t="shared" si="11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8" t="s">
        <v>75</v>
      </c>
      <c r="P457" s="48">
        <f>HEX2DEC(RIGHT(Table1323212753586873[[#This Row],[h1]],8))</f>
        <v>0</v>
      </c>
      <c r="Q457" s="48" t="s">
        <v>75</v>
      </c>
      <c r="R457" s="48">
        <f>HEX2DEC(RIGHT(Table1323212753586873[[#This Row],[h2]],8))</f>
        <v>0</v>
      </c>
    </row>
    <row r="458" spans="1:18">
      <c r="A458" s="15" t="str">
        <f t="shared" si="11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8" t="s">
        <v>75</v>
      </c>
      <c r="P458" s="48">
        <f>HEX2DEC(RIGHT(Table1323212753586873[[#This Row],[h1]],8))</f>
        <v>0</v>
      </c>
      <c r="Q458" s="48" t="s">
        <v>75</v>
      </c>
      <c r="R458" s="48">
        <f>HEX2DEC(RIGHT(Table1323212753586873[[#This Row],[h2]],8))</f>
        <v>0</v>
      </c>
    </row>
    <row r="459" spans="1:18">
      <c r="A459" s="15" t="str">
        <f t="shared" ref="A459:A522" si="12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8" t="s">
        <v>75</v>
      </c>
      <c r="P459" s="48">
        <f>HEX2DEC(RIGHT(Table1323212753586873[[#This Row],[h1]],8))</f>
        <v>0</v>
      </c>
      <c r="Q459" s="48" t="s">
        <v>75</v>
      </c>
      <c r="R459" s="48">
        <f>HEX2DEC(RIGHT(Table1323212753586873[[#This Row],[h2]],8))</f>
        <v>0</v>
      </c>
    </row>
    <row r="460" spans="1:18">
      <c r="A460" s="15" t="str">
        <f t="shared" si="12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8" t="s">
        <v>75</v>
      </c>
      <c r="P460" s="48">
        <f>HEX2DEC(RIGHT(Table1323212753586873[[#This Row],[h1]],8))</f>
        <v>0</v>
      </c>
      <c r="Q460" s="48" t="s">
        <v>75</v>
      </c>
      <c r="R460" s="48">
        <f>HEX2DEC(RIGHT(Table1323212753586873[[#This Row],[h2]],8))</f>
        <v>0</v>
      </c>
    </row>
    <row r="461" spans="1:18">
      <c r="A461" s="15" t="str">
        <f t="shared" si="12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8" t="s">
        <v>75</v>
      </c>
      <c r="P461" s="48">
        <f>HEX2DEC(RIGHT(Table1323212753586873[[#This Row],[h1]],8))</f>
        <v>0</v>
      </c>
      <c r="Q461" s="48" t="s">
        <v>75</v>
      </c>
      <c r="R461" s="48">
        <f>HEX2DEC(RIGHT(Table1323212753586873[[#This Row],[h2]],8))</f>
        <v>0</v>
      </c>
    </row>
    <row r="462" spans="1:18">
      <c r="A462" s="15" t="str">
        <f t="shared" si="12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8" t="s">
        <v>75</v>
      </c>
      <c r="P462" s="48">
        <f>HEX2DEC(RIGHT(Table1323212753586873[[#This Row],[h1]],8))</f>
        <v>0</v>
      </c>
      <c r="Q462" s="48" t="s">
        <v>75</v>
      </c>
      <c r="R462" s="48">
        <f>HEX2DEC(RIGHT(Table1323212753586873[[#This Row],[h2]],8))</f>
        <v>0</v>
      </c>
    </row>
    <row r="463" spans="1:18">
      <c r="A463" s="15" t="str">
        <f t="shared" si="12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8" t="s">
        <v>75</v>
      </c>
      <c r="P463" s="48">
        <f>HEX2DEC(RIGHT(Table1323212753586873[[#This Row],[h1]],8))</f>
        <v>0</v>
      </c>
      <c r="Q463" s="48" t="s">
        <v>75</v>
      </c>
      <c r="R463" s="48">
        <f>HEX2DEC(RIGHT(Table1323212753586873[[#This Row],[h2]],8))</f>
        <v>0</v>
      </c>
    </row>
    <row r="464" spans="1:18">
      <c r="A464" s="15" t="str">
        <f t="shared" si="12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8" t="s">
        <v>75</v>
      </c>
      <c r="P464" s="48">
        <f>HEX2DEC(RIGHT(Table1323212753586873[[#This Row],[h1]],8))</f>
        <v>0</v>
      </c>
      <c r="Q464" s="48" t="s">
        <v>75</v>
      </c>
      <c r="R464" s="48">
        <f>HEX2DEC(RIGHT(Table1323212753586873[[#This Row],[h2]],8))</f>
        <v>0</v>
      </c>
    </row>
    <row r="465" spans="1:18">
      <c r="A465" s="15" t="str">
        <f t="shared" si="12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8" t="s">
        <v>75</v>
      </c>
      <c r="P465" s="48">
        <f>HEX2DEC(RIGHT(Table1323212753586873[[#This Row],[h1]],8))</f>
        <v>0</v>
      </c>
      <c r="Q465" s="48" t="s">
        <v>75</v>
      </c>
      <c r="R465" s="48">
        <f>HEX2DEC(RIGHT(Table1323212753586873[[#This Row],[h2]],8))</f>
        <v>0</v>
      </c>
    </row>
    <row r="466" spans="1:18">
      <c r="A466" s="15" t="str">
        <f t="shared" si="12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8" t="s">
        <v>75</v>
      </c>
      <c r="P466" s="48">
        <f>HEX2DEC(RIGHT(Table1323212753586873[[#This Row],[h1]],8))</f>
        <v>0</v>
      </c>
      <c r="Q466" s="48" t="s">
        <v>75</v>
      </c>
      <c r="R466" s="48">
        <f>HEX2DEC(RIGHT(Table1323212753586873[[#This Row],[h2]],8))</f>
        <v>0</v>
      </c>
    </row>
    <row r="467" spans="1:18">
      <c r="A467" s="15" t="str">
        <f t="shared" si="12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8" t="s">
        <v>75</v>
      </c>
      <c r="P467" s="48">
        <f>HEX2DEC(RIGHT(Table1323212753586873[[#This Row],[h1]],8))</f>
        <v>0</v>
      </c>
      <c r="Q467" s="48" t="s">
        <v>75</v>
      </c>
      <c r="R467" s="48">
        <f>HEX2DEC(RIGHT(Table1323212753586873[[#This Row],[h2]],8))</f>
        <v>0</v>
      </c>
    </row>
    <row r="468" spans="1:18">
      <c r="A468" s="15" t="str">
        <f t="shared" si="12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8" t="s">
        <v>75</v>
      </c>
      <c r="P468" s="48">
        <f>HEX2DEC(RIGHT(Table1323212753586873[[#This Row],[h1]],8))</f>
        <v>0</v>
      </c>
      <c r="Q468" s="48" t="s">
        <v>75</v>
      </c>
      <c r="R468" s="48">
        <f>HEX2DEC(RIGHT(Table1323212753586873[[#This Row],[h2]],8))</f>
        <v>0</v>
      </c>
    </row>
    <row r="469" spans="1:18">
      <c r="A469" s="15" t="str">
        <f t="shared" si="12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8" t="s">
        <v>75</v>
      </c>
      <c r="P469" s="48">
        <f>HEX2DEC(RIGHT(Table1323212753586873[[#This Row],[h1]],8))</f>
        <v>0</v>
      </c>
      <c r="Q469" s="48" t="s">
        <v>75</v>
      </c>
      <c r="R469" s="48">
        <f>HEX2DEC(RIGHT(Table1323212753586873[[#This Row],[h2]],8))</f>
        <v>0</v>
      </c>
    </row>
    <row r="470" spans="1:18">
      <c r="A470" s="15" t="str">
        <f t="shared" si="12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8" t="s">
        <v>75</v>
      </c>
      <c r="P470" s="48">
        <f>HEX2DEC(RIGHT(Table1323212753586873[[#This Row],[h1]],8))</f>
        <v>0</v>
      </c>
      <c r="Q470" s="48" t="s">
        <v>75</v>
      </c>
      <c r="R470" s="48">
        <f>HEX2DEC(RIGHT(Table1323212753586873[[#This Row],[h2]],8))</f>
        <v>0</v>
      </c>
    </row>
    <row r="471" spans="1:18">
      <c r="A471" s="15" t="str">
        <f t="shared" si="12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8" t="s">
        <v>75</v>
      </c>
      <c r="P471" s="48">
        <f>HEX2DEC(RIGHT(Table1323212753586873[[#This Row],[h1]],8))</f>
        <v>0</v>
      </c>
      <c r="Q471" s="48" t="s">
        <v>75</v>
      </c>
      <c r="R471" s="48">
        <f>HEX2DEC(RIGHT(Table1323212753586873[[#This Row],[h2]],8))</f>
        <v>0</v>
      </c>
    </row>
    <row r="472" spans="1:18">
      <c r="A472" s="15" t="str">
        <f t="shared" si="12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8" t="s">
        <v>75</v>
      </c>
      <c r="P472" s="48">
        <f>HEX2DEC(RIGHT(Table1323212753586873[[#This Row],[h1]],8))</f>
        <v>0</v>
      </c>
      <c r="Q472" s="48" t="s">
        <v>75</v>
      </c>
      <c r="R472" s="48">
        <f>HEX2DEC(RIGHT(Table1323212753586873[[#This Row],[h2]],8))</f>
        <v>0</v>
      </c>
    </row>
    <row r="473" spans="1:18">
      <c r="A473" s="15" t="str">
        <f t="shared" si="12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8" t="s">
        <v>75</v>
      </c>
      <c r="P473" s="48">
        <f>HEX2DEC(RIGHT(Table1323212753586873[[#This Row],[h1]],8))</f>
        <v>0</v>
      </c>
      <c r="Q473" s="48" t="s">
        <v>75</v>
      </c>
      <c r="R473" s="48">
        <f>HEX2DEC(RIGHT(Table1323212753586873[[#This Row],[h2]],8))</f>
        <v>0</v>
      </c>
    </row>
    <row r="474" spans="1:18">
      <c r="A474" s="15" t="str">
        <f t="shared" si="12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8" t="s">
        <v>75</v>
      </c>
      <c r="P474" s="48">
        <f>HEX2DEC(RIGHT(Table1323212753586873[[#This Row],[h1]],8))</f>
        <v>0</v>
      </c>
      <c r="Q474" s="48" t="s">
        <v>75</v>
      </c>
      <c r="R474" s="48">
        <f>HEX2DEC(RIGHT(Table1323212753586873[[#This Row],[h2]],8))</f>
        <v>0</v>
      </c>
    </row>
    <row r="475" spans="1:18">
      <c r="A475" s="15" t="str">
        <f t="shared" si="12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8" t="s">
        <v>75</v>
      </c>
      <c r="P475" s="48">
        <f>HEX2DEC(RIGHT(Table1323212753586873[[#This Row],[h1]],8))</f>
        <v>0</v>
      </c>
      <c r="Q475" s="48" t="s">
        <v>75</v>
      </c>
      <c r="R475" s="48">
        <f>HEX2DEC(RIGHT(Table1323212753586873[[#This Row],[h2]],8))</f>
        <v>0</v>
      </c>
    </row>
    <row r="476" spans="1:18">
      <c r="A476" s="15" t="str">
        <f t="shared" si="12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8" t="s">
        <v>75</v>
      </c>
      <c r="P476" s="48">
        <f>HEX2DEC(RIGHT(Table1323212753586873[[#This Row],[h1]],8))</f>
        <v>0</v>
      </c>
      <c r="Q476" s="48" t="s">
        <v>75</v>
      </c>
      <c r="R476" s="48">
        <f>HEX2DEC(RIGHT(Table1323212753586873[[#This Row],[h2]],8))</f>
        <v>0</v>
      </c>
    </row>
    <row r="477" spans="1:18">
      <c r="A477" s="15" t="str">
        <f t="shared" si="12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8" t="s">
        <v>75</v>
      </c>
      <c r="P477" s="48">
        <f>HEX2DEC(RIGHT(Table1323212753586873[[#This Row],[h1]],8))</f>
        <v>0</v>
      </c>
      <c r="Q477" s="48" t="s">
        <v>75</v>
      </c>
      <c r="R477" s="48">
        <f>HEX2DEC(RIGHT(Table1323212753586873[[#This Row],[h2]],8))</f>
        <v>0</v>
      </c>
    </row>
    <row r="478" spans="1:18">
      <c r="A478" s="15" t="str">
        <f t="shared" si="12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8" t="s">
        <v>75</v>
      </c>
      <c r="P478" s="48">
        <f>HEX2DEC(RIGHT(Table1323212753586873[[#This Row],[h1]],8))</f>
        <v>0</v>
      </c>
      <c r="Q478" s="48" t="s">
        <v>75</v>
      </c>
      <c r="R478" s="48">
        <f>HEX2DEC(RIGHT(Table1323212753586873[[#This Row],[h2]],8))</f>
        <v>0</v>
      </c>
    </row>
    <row r="479" spans="1:18">
      <c r="A479" s="15" t="str">
        <f t="shared" si="12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8" t="s">
        <v>75</v>
      </c>
      <c r="P479" s="48">
        <f>HEX2DEC(RIGHT(Table1323212753586873[[#This Row],[h1]],8))</f>
        <v>0</v>
      </c>
      <c r="Q479" s="48" t="s">
        <v>75</v>
      </c>
      <c r="R479" s="48">
        <f>HEX2DEC(RIGHT(Table1323212753586873[[#This Row],[h2]],8))</f>
        <v>0</v>
      </c>
    </row>
    <row r="480" spans="1:18">
      <c r="A480" s="15" t="str">
        <f t="shared" si="12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8" t="s">
        <v>75</v>
      </c>
      <c r="P480" s="48">
        <f>HEX2DEC(RIGHT(Table1323212753586873[[#This Row],[h1]],8))</f>
        <v>0</v>
      </c>
      <c r="Q480" s="48" t="s">
        <v>75</v>
      </c>
      <c r="R480" s="48">
        <f>HEX2DEC(RIGHT(Table1323212753586873[[#This Row],[h2]],8))</f>
        <v>0</v>
      </c>
    </row>
    <row r="481" spans="1:18">
      <c r="A481" s="15" t="str">
        <f t="shared" si="12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8" t="s">
        <v>75</v>
      </c>
      <c r="P481" s="48">
        <f>HEX2DEC(RIGHT(Table1323212753586873[[#This Row],[h1]],8))</f>
        <v>0</v>
      </c>
      <c r="Q481" s="48" t="s">
        <v>75</v>
      </c>
      <c r="R481" s="48">
        <f>HEX2DEC(RIGHT(Table1323212753586873[[#This Row],[h2]],8))</f>
        <v>0</v>
      </c>
    </row>
    <row r="482" spans="1:18">
      <c r="A482" s="15" t="str">
        <f t="shared" si="12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8" t="s">
        <v>75</v>
      </c>
      <c r="P482" s="48">
        <f>HEX2DEC(RIGHT(Table1323212753586873[[#This Row],[h1]],8))</f>
        <v>0</v>
      </c>
      <c r="Q482" s="48" t="s">
        <v>75</v>
      </c>
      <c r="R482" s="48">
        <f>HEX2DEC(RIGHT(Table1323212753586873[[#This Row],[h2]],8))</f>
        <v>0</v>
      </c>
    </row>
    <row r="483" spans="1:18">
      <c r="A483" s="15" t="str">
        <f t="shared" si="12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8" t="s">
        <v>75</v>
      </c>
      <c r="P483" s="48">
        <f>HEX2DEC(RIGHT(Table1323212753586873[[#This Row],[h1]],8))</f>
        <v>0</v>
      </c>
      <c r="Q483" s="48" t="s">
        <v>75</v>
      </c>
      <c r="R483" s="48">
        <f>HEX2DEC(RIGHT(Table1323212753586873[[#This Row],[h2]],8))</f>
        <v>0</v>
      </c>
    </row>
    <row r="484" spans="1:18">
      <c r="A484" s="15" t="str">
        <f t="shared" si="12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8" t="s">
        <v>75</v>
      </c>
      <c r="P484" s="48">
        <f>HEX2DEC(RIGHT(Table1323212753586873[[#This Row],[h1]],8))</f>
        <v>0</v>
      </c>
      <c r="Q484" s="48" t="s">
        <v>75</v>
      </c>
      <c r="R484" s="48">
        <f>HEX2DEC(RIGHT(Table1323212753586873[[#This Row],[h2]],8))</f>
        <v>0</v>
      </c>
    </row>
    <row r="485" spans="1:18">
      <c r="A485" s="15" t="str">
        <f t="shared" si="12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8" t="s">
        <v>75</v>
      </c>
      <c r="P485" s="48">
        <f>HEX2DEC(RIGHT(Table1323212753586873[[#This Row],[h1]],8))</f>
        <v>0</v>
      </c>
      <c r="Q485" s="48" t="s">
        <v>75</v>
      </c>
      <c r="R485" s="48">
        <f>HEX2DEC(RIGHT(Table1323212753586873[[#This Row],[h2]],8))</f>
        <v>0</v>
      </c>
    </row>
    <row r="486" spans="1:18">
      <c r="A486" s="15" t="str">
        <f t="shared" si="12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8" t="s">
        <v>75</v>
      </c>
      <c r="P486" s="48">
        <f>HEX2DEC(RIGHT(Table1323212753586873[[#This Row],[h1]],8))</f>
        <v>0</v>
      </c>
      <c r="Q486" s="48" t="s">
        <v>75</v>
      </c>
      <c r="R486" s="48">
        <f>HEX2DEC(RIGHT(Table1323212753586873[[#This Row],[h2]],8))</f>
        <v>0</v>
      </c>
    </row>
    <row r="487" spans="1:18">
      <c r="A487" s="15" t="str">
        <f t="shared" si="12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8" t="s">
        <v>75</v>
      </c>
      <c r="P487" s="48">
        <f>HEX2DEC(RIGHT(Table1323212753586873[[#This Row],[h1]],8))</f>
        <v>0</v>
      </c>
      <c r="Q487" s="48" t="s">
        <v>75</v>
      </c>
      <c r="R487" s="48">
        <f>HEX2DEC(RIGHT(Table1323212753586873[[#This Row],[h2]],8))</f>
        <v>0</v>
      </c>
    </row>
    <row r="488" spans="1:18">
      <c r="A488" s="15" t="str">
        <f t="shared" si="12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8" t="s">
        <v>75</v>
      </c>
      <c r="P488" s="48">
        <f>HEX2DEC(RIGHT(Table1323212753586873[[#This Row],[h1]],8))</f>
        <v>0</v>
      </c>
      <c r="Q488" s="48" t="s">
        <v>75</v>
      </c>
      <c r="R488" s="48">
        <f>HEX2DEC(RIGHT(Table1323212753586873[[#This Row],[h2]],8))</f>
        <v>0</v>
      </c>
    </row>
    <row r="489" spans="1:18">
      <c r="A489" s="15" t="str">
        <f t="shared" si="12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8" t="s">
        <v>75</v>
      </c>
      <c r="P489" s="48">
        <f>HEX2DEC(RIGHT(Table1323212753586873[[#This Row],[h1]],8))</f>
        <v>0</v>
      </c>
      <c r="Q489" s="48" t="s">
        <v>75</v>
      </c>
      <c r="R489" s="48">
        <f>HEX2DEC(RIGHT(Table1323212753586873[[#This Row],[h2]],8))</f>
        <v>0</v>
      </c>
    </row>
    <row r="490" spans="1:18">
      <c r="A490" s="15" t="str">
        <f t="shared" si="12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8" t="s">
        <v>75</v>
      </c>
      <c r="P490" s="48">
        <f>HEX2DEC(RIGHT(Table1323212753586873[[#This Row],[h1]],8))</f>
        <v>0</v>
      </c>
      <c r="Q490" s="48" t="s">
        <v>75</v>
      </c>
      <c r="R490" s="48">
        <f>HEX2DEC(RIGHT(Table1323212753586873[[#This Row],[h2]],8))</f>
        <v>0</v>
      </c>
    </row>
    <row r="491" spans="1:18">
      <c r="A491" s="15" t="str">
        <f t="shared" si="12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8" t="s">
        <v>75</v>
      </c>
      <c r="P491" s="48">
        <f>HEX2DEC(RIGHT(Table1323212753586873[[#This Row],[h1]],8))</f>
        <v>0</v>
      </c>
      <c r="Q491" s="48" t="s">
        <v>75</v>
      </c>
      <c r="R491" s="48">
        <f>HEX2DEC(RIGHT(Table1323212753586873[[#This Row],[h2]],8))</f>
        <v>0</v>
      </c>
    </row>
    <row r="492" spans="1:18">
      <c r="A492" s="15" t="str">
        <f t="shared" si="12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8" t="s">
        <v>75</v>
      </c>
      <c r="P492" s="48">
        <f>HEX2DEC(RIGHT(Table1323212753586873[[#This Row],[h1]],8))</f>
        <v>0</v>
      </c>
      <c r="Q492" s="48" t="s">
        <v>75</v>
      </c>
      <c r="R492" s="48">
        <f>HEX2DEC(RIGHT(Table1323212753586873[[#This Row],[h2]],8))</f>
        <v>0</v>
      </c>
    </row>
    <row r="493" spans="1:18">
      <c r="A493" s="15" t="str">
        <f t="shared" si="12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8" t="s">
        <v>75</v>
      </c>
      <c r="P493" s="48">
        <f>HEX2DEC(RIGHT(Table1323212753586873[[#This Row],[h1]],8))</f>
        <v>0</v>
      </c>
      <c r="Q493" s="48" t="s">
        <v>75</v>
      </c>
      <c r="R493" s="48">
        <f>HEX2DEC(RIGHT(Table1323212753586873[[#This Row],[h2]],8))</f>
        <v>0</v>
      </c>
    </row>
    <row r="494" spans="1:18">
      <c r="A494" s="15" t="str">
        <f t="shared" si="12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8" t="s">
        <v>75</v>
      </c>
      <c r="P494" s="48">
        <f>HEX2DEC(RIGHT(Table1323212753586873[[#This Row],[h1]],8))</f>
        <v>0</v>
      </c>
      <c r="Q494" s="48" t="s">
        <v>75</v>
      </c>
      <c r="R494" s="48">
        <f>HEX2DEC(RIGHT(Table1323212753586873[[#This Row],[h2]],8))</f>
        <v>0</v>
      </c>
    </row>
    <row r="495" spans="1:18">
      <c r="A495" s="15" t="str">
        <f t="shared" si="12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8" t="s">
        <v>75</v>
      </c>
      <c r="P495" s="48">
        <f>HEX2DEC(RIGHT(Table1323212753586873[[#This Row],[h1]],8))</f>
        <v>0</v>
      </c>
      <c r="Q495" s="48" t="s">
        <v>75</v>
      </c>
      <c r="R495" s="48">
        <f>HEX2DEC(RIGHT(Table1323212753586873[[#This Row],[h2]],8))</f>
        <v>0</v>
      </c>
    </row>
    <row r="496" spans="1:18">
      <c r="A496" s="15" t="str">
        <f t="shared" si="12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8" t="s">
        <v>75</v>
      </c>
      <c r="P496" s="48">
        <f>HEX2DEC(RIGHT(Table1323212753586873[[#This Row],[h1]],8))</f>
        <v>0</v>
      </c>
      <c r="Q496" s="48" t="s">
        <v>75</v>
      </c>
      <c r="R496" s="48">
        <f>HEX2DEC(RIGHT(Table1323212753586873[[#This Row],[h2]],8))</f>
        <v>0</v>
      </c>
    </row>
    <row r="497" spans="1:18">
      <c r="A497" s="15" t="str">
        <f t="shared" si="12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8" t="s">
        <v>75</v>
      </c>
      <c r="P497" s="48">
        <f>HEX2DEC(RIGHT(Table1323212753586873[[#This Row],[h1]],8))</f>
        <v>0</v>
      </c>
      <c r="Q497" s="48" t="s">
        <v>75</v>
      </c>
      <c r="R497" s="48">
        <f>HEX2DEC(RIGHT(Table1323212753586873[[#This Row],[h2]],8))</f>
        <v>0</v>
      </c>
    </row>
    <row r="498" spans="1:18">
      <c r="A498" s="15" t="str">
        <f t="shared" si="12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8" t="s">
        <v>75</v>
      </c>
      <c r="P498" s="48">
        <f>HEX2DEC(RIGHT(Table1323212753586873[[#This Row],[h1]],8))</f>
        <v>0</v>
      </c>
      <c r="Q498" s="48" t="s">
        <v>75</v>
      </c>
      <c r="R498" s="48">
        <f>HEX2DEC(RIGHT(Table1323212753586873[[#This Row],[h2]],8))</f>
        <v>0</v>
      </c>
    </row>
    <row r="499" spans="1:18">
      <c r="A499" s="15" t="str">
        <f t="shared" si="12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8" t="s">
        <v>75</v>
      </c>
      <c r="P499" s="48">
        <f>HEX2DEC(RIGHT(Table1323212753586873[[#This Row],[h1]],8))</f>
        <v>0</v>
      </c>
      <c r="Q499" s="48" t="s">
        <v>75</v>
      </c>
      <c r="R499" s="48">
        <f>HEX2DEC(RIGHT(Table1323212753586873[[#This Row],[h2]],8))</f>
        <v>0</v>
      </c>
    </row>
    <row r="500" spans="1:18">
      <c r="A500" s="15" t="str">
        <f t="shared" si="12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8" t="s">
        <v>75</v>
      </c>
      <c r="P500" s="48">
        <f>HEX2DEC(RIGHT(Table1323212753586873[[#This Row],[h1]],8))</f>
        <v>0</v>
      </c>
      <c r="Q500" s="48" t="s">
        <v>75</v>
      </c>
      <c r="R500" s="48">
        <f>HEX2DEC(RIGHT(Table1323212753586873[[#This Row],[h2]],8))</f>
        <v>0</v>
      </c>
    </row>
    <row r="501" spans="1:18">
      <c r="A501" s="15" t="str">
        <f t="shared" si="12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8" t="s">
        <v>75</v>
      </c>
      <c r="P501" s="48">
        <f>HEX2DEC(RIGHT(Table1323212753586873[[#This Row],[h1]],8))</f>
        <v>0</v>
      </c>
      <c r="Q501" s="48" t="s">
        <v>75</v>
      </c>
      <c r="R501" s="48">
        <f>HEX2DEC(RIGHT(Table1323212753586873[[#This Row],[h2]],8))</f>
        <v>0</v>
      </c>
    </row>
    <row r="502" spans="1:18">
      <c r="A502" s="15" t="str">
        <f t="shared" si="12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8" t="s">
        <v>75</v>
      </c>
      <c r="P502" s="48">
        <f>HEX2DEC(RIGHT(Table1323212753586873[[#This Row],[h1]],8))</f>
        <v>0</v>
      </c>
      <c r="Q502" s="48" t="s">
        <v>75</v>
      </c>
      <c r="R502" s="48">
        <f>HEX2DEC(RIGHT(Table1323212753586873[[#This Row],[h2]],8))</f>
        <v>0</v>
      </c>
    </row>
    <row r="503" spans="1:18">
      <c r="A503" s="15" t="str">
        <f t="shared" si="12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8" t="s">
        <v>75</v>
      </c>
      <c r="P503" s="48">
        <f>HEX2DEC(RIGHT(Table1323212753586873[[#This Row],[h1]],8))</f>
        <v>0</v>
      </c>
      <c r="Q503" s="48" t="s">
        <v>75</v>
      </c>
      <c r="R503" s="48">
        <f>HEX2DEC(RIGHT(Table1323212753586873[[#This Row],[h2]],8))</f>
        <v>0</v>
      </c>
    </row>
    <row r="504" spans="1:18">
      <c r="A504" s="15" t="str">
        <f t="shared" si="12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8" t="s">
        <v>75</v>
      </c>
      <c r="P504" s="48">
        <f>HEX2DEC(RIGHT(Table1323212753586873[[#This Row],[h1]],8))</f>
        <v>0</v>
      </c>
      <c r="Q504" s="48" t="s">
        <v>75</v>
      </c>
      <c r="R504" s="48">
        <f>HEX2DEC(RIGHT(Table1323212753586873[[#This Row],[h2]],8))</f>
        <v>0</v>
      </c>
    </row>
    <row r="505" spans="1:18">
      <c r="A505" s="15" t="str">
        <f t="shared" si="12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8" t="s">
        <v>75</v>
      </c>
      <c r="P505" s="48">
        <f>HEX2DEC(RIGHT(Table1323212753586873[[#This Row],[h1]],8))</f>
        <v>0</v>
      </c>
      <c r="Q505" s="48" t="s">
        <v>75</v>
      </c>
      <c r="R505" s="48">
        <f>HEX2DEC(RIGHT(Table1323212753586873[[#This Row],[h2]],8))</f>
        <v>0</v>
      </c>
    </row>
    <row r="506" spans="1:18">
      <c r="A506" s="15" t="str">
        <f t="shared" si="12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8" t="s">
        <v>75</v>
      </c>
      <c r="P506" s="48">
        <f>HEX2DEC(RIGHT(Table1323212753586873[[#This Row],[h1]],8))</f>
        <v>0</v>
      </c>
      <c r="Q506" s="48" t="s">
        <v>75</v>
      </c>
      <c r="R506" s="48">
        <f>HEX2DEC(RIGHT(Table1323212753586873[[#This Row],[h2]],8))</f>
        <v>0</v>
      </c>
    </row>
    <row r="507" spans="1:18">
      <c r="A507" s="15" t="str">
        <f t="shared" si="12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8" t="s">
        <v>75</v>
      </c>
      <c r="P507" s="48">
        <f>HEX2DEC(RIGHT(Table1323212753586873[[#This Row],[h1]],8))</f>
        <v>0</v>
      </c>
      <c r="Q507" s="48" t="s">
        <v>75</v>
      </c>
      <c r="R507" s="48">
        <f>HEX2DEC(RIGHT(Table1323212753586873[[#This Row],[h2]],8))</f>
        <v>0</v>
      </c>
    </row>
    <row r="508" spans="1:18">
      <c r="A508" s="15" t="str">
        <f t="shared" si="12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8" t="s">
        <v>75</v>
      </c>
      <c r="P508" s="48">
        <f>HEX2DEC(RIGHT(Table1323212753586873[[#This Row],[h1]],8))</f>
        <v>0</v>
      </c>
      <c r="Q508" s="48" t="s">
        <v>75</v>
      </c>
      <c r="R508" s="48">
        <f>HEX2DEC(RIGHT(Table1323212753586873[[#This Row],[h2]],8))</f>
        <v>0</v>
      </c>
    </row>
    <row r="509" spans="1:18">
      <c r="A509" s="15" t="str">
        <f t="shared" si="12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8" t="s">
        <v>75</v>
      </c>
      <c r="P509" s="48">
        <f>HEX2DEC(RIGHT(Table1323212753586873[[#This Row],[h1]],8))</f>
        <v>0</v>
      </c>
      <c r="Q509" s="48" t="s">
        <v>75</v>
      </c>
      <c r="R509" s="48">
        <f>HEX2DEC(RIGHT(Table1323212753586873[[#This Row],[h2]],8))</f>
        <v>0</v>
      </c>
    </row>
    <row r="510" spans="1:18">
      <c r="A510" s="15" t="str">
        <f t="shared" si="12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8" t="s">
        <v>75</v>
      </c>
      <c r="P510" s="48">
        <f>HEX2DEC(RIGHT(Table1323212753586873[[#This Row],[h1]],8))</f>
        <v>0</v>
      </c>
      <c r="Q510" s="48" t="s">
        <v>75</v>
      </c>
      <c r="R510" s="48">
        <f>HEX2DEC(RIGHT(Table1323212753586873[[#This Row],[h2]],8))</f>
        <v>0</v>
      </c>
    </row>
    <row r="511" spans="1:18">
      <c r="A511" s="15" t="str">
        <f t="shared" si="12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8" t="s">
        <v>75</v>
      </c>
      <c r="P511" s="48">
        <f>HEX2DEC(RIGHT(Table1323212753586873[[#This Row],[h1]],8))</f>
        <v>0</v>
      </c>
      <c r="Q511" s="48" t="s">
        <v>75</v>
      </c>
      <c r="R511" s="48">
        <f>HEX2DEC(RIGHT(Table1323212753586873[[#This Row],[h2]],8))</f>
        <v>0</v>
      </c>
    </row>
    <row r="512" spans="1:18">
      <c r="A512" s="15" t="str">
        <f t="shared" si="12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8" t="s">
        <v>75</v>
      </c>
      <c r="P512" s="48">
        <f>HEX2DEC(RIGHT(Table1323212753586873[[#This Row],[h1]],8))</f>
        <v>0</v>
      </c>
      <c r="Q512" s="48" t="s">
        <v>75</v>
      </c>
      <c r="R512" s="48">
        <f>HEX2DEC(RIGHT(Table1323212753586873[[#This Row],[h2]],8))</f>
        <v>0</v>
      </c>
    </row>
    <row r="513" spans="1:18">
      <c r="A513" s="15" t="str">
        <f t="shared" si="12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8" t="s">
        <v>75</v>
      </c>
      <c r="P513" s="48">
        <f>HEX2DEC(RIGHT(Table1323212753586873[[#This Row],[h1]],8))</f>
        <v>0</v>
      </c>
      <c r="Q513" s="48" t="s">
        <v>75</v>
      </c>
      <c r="R513" s="48">
        <f>HEX2DEC(RIGHT(Table1323212753586873[[#This Row],[h2]],8))</f>
        <v>0</v>
      </c>
    </row>
    <row r="514" spans="1:18">
      <c r="A514" s="15" t="str">
        <f t="shared" si="12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8" t="s">
        <v>75</v>
      </c>
      <c r="P514" s="48">
        <f>HEX2DEC(RIGHT(Table1323212753586873[[#This Row],[h1]],8))</f>
        <v>0</v>
      </c>
      <c r="Q514" s="48" t="s">
        <v>75</v>
      </c>
      <c r="R514" s="48">
        <f>HEX2DEC(RIGHT(Table1323212753586873[[#This Row],[h2]],8))</f>
        <v>0</v>
      </c>
    </row>
    <row r="515" spans="1:18">
      <c r="A515" s="15" t="str">
        <f t="shared" si="12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8" t="s">
        <v>75</v>
      </c>
      <c r="P515" s="48">
        <f>HEX2DEC(RIGHT(Table1323212753586873[[#This Row],[h1]],8))</f>
        <v>0</v>
      </c>
      <c r="Q515" s="48" t="s">
        <v>75</v>
      </c>
      <c r="R515" s="48">
        <f>HEX2DEC(RIGHT(Table1323212753586873[[#This Row],[h2]],8))</f>
        <v>0</v>
      </c>
    </row>
    <row r="516" spans="1:18">
      <c r="A516" s="15" t="str">
        <f t="shared" si="12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8" t="s">
        <v>75</v>
      </c>
      <c r="P516" s="48">
        <f>HEX2DEC(RIGHT(Table1323212753586873[[#This Row],[h1]],8))</f>
        <v>0</v>
      </c>
      <c r="Q516" s="48" t="s">
        <v>75</v>
      </c>
      <c r="R516" s="48">
        <f>HEX2DEC(RIGHT(Table1323212753586873[[#This Row],[h2]],8))</f>
        <v>0</v>
      </c>
    </row>
    <row r="517" spans="1:18">
      <c r="A517" s="15" t="str">
        <f t="shared" si="12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8" t="s">
        <v>75</v>
      </c>
      <c r="P517" s="48">
        <f>HEX2DEC(RIGHT(Table1323212753586873[[#This Row],[h1]],8))</f>
        <v>0</v>
      </c>
      <c r="Q517" s="48" t="s">
        <v>75</v>
      </c>
      <c r="R517" s="48">
        <f>HEX2DEC(RIGHT(Table1323212753586873[[#This Row],[h2]],8))</f>
        <v>0</v>
      </c>
    </row>
    <row r="518" spans="1:18">
      <c r="A518" s="15" t="str">
        <f t="shared" si="12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8" t="s">
        <v>75</v>
      </c>
      <c r="P518" s="48">
        <f>HEX2DEC(RIGHT(Table1323212753586873[[#This Row],[h1]],8))</f>
        <v>0</v>
      </c>
      <c r="Q518" s="48" t="s">
        <v>75</v>
      </c>
      <c r="R518" s="48">
        <f>HEX2DEC(RIGHT(Table1323212753586873[[#This Row],[h2]],8))</f>
        <v>0</v>
      </c>
    </row>
    <row r="519" spans="1:18">
      <c r="A519" s="15" t="str">
        <f t="shared" si="12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8" t="s">
        <v>75</v>
      </c>
      <c r="P519" s="48">
        <f>HEX2DEC(RIGHT(Table1323212753586873[[#This Row],[h1]],8))</f>
        <v>0</v>
      </c>
      <c r="Q519" s="48" t="s">
        <v>75</v>
      </c>
      <c r="R519" s="48">
        <f>HEX2DEC(RIGHT(Table1323212753586873[[#This Row],[h2]],8))</f>
        <v>0</v>
      </c>
    </row>
    <row r="520" spans="1:18">
      <c r="A520" s="15" t="str">
        <f t="shared" si="12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8" t="s">
        <v>75</v>
      </c>
      <c r="P520" s="48">
        <f>HEX2DEC(RIGHT(Table1323212753586873[[#This Row],[h1]],8))</f>
        <v>0</v>
      </c>
      <c r="Q520" s="48" t="s">
        <v>75</v>
      </c>
      <c r="R520" s="48">
        <f>HEX2DEC(RIGHT(Table1323212753586873[[#This Row],[h2]],8))</f>
        <v>0</v>
      </c>
    </row>
    <row r="521" spans="1:18">
      <c r="A521" s="15" t="str">
        <f t="shared" si="12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8" t="s">
        <v>75</v>
      </c>
      <c r="P521" s="48">
        <f>HEX2DEC(RIGHT(Table1323212753586873[[#This Row],[h1]],8))</f>
        <v>0</v>
      </c>
      <c r="Q521" s="48" t="s">
        <v>75</v>
      </c>
      <c r="R521" s="48">
        <f>HEX2DEC(RIGHT(Table1323212753586873[[#This Row],[h2]],8))</f>
        <v>0</v>
      </c>
    </row>
    <row r="522" spans="1:18">
      <c r="A522" s="15" t="str">
        <f t="shared" si="12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8" t="s">
        <v>75</v>
      </c>
      <c r="P522" s="48">
        <f>HEX2DEC(RIGHT(Table1323212753586873[[#This Row],[h1]],8))</f>
        <v>0</v>
      </c>
      <c r="Q522" s="48" t="s">
        <v>75</v>
      </c>
      <c r="R522" s="48">
        <f>HEX2DEC(RIGHT(Table1323212753586873[[#This Row],[h2]],8))</f>
        <v>0</v>
      </c>
    </row>
    <row r="523" spans="1:18">
      <c r="A523" s="15" t="str">
        <f t="shared" ref="A523:A586" si="13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8" t="s">
        <v>75</v>
      </c>
      <c r="P523" s="48">
        <f>HEX2DEC(RIGHT(Table1323212753586873[[#This Row],[h1]],8))</f>
        <v>0</v>
      </c>
      <c r="Q523" s="48" t="s">
        <v>75</v>
      </c>
      <c r="R523" s="48">
        <f>HEX2DEC(RIGHT(Table1323212753586873[[#This Row],[h2]],8))</f>
        <v>0</v>
      </c>
    </row>
    <row r="524" spans="1:18">
      <c r="A524" s="15" t="str">
        <f t="shared" si="13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8" t="s">
        <v>75</v>
      </c>
      <c r="P524" s="48">
        <f>HEX2DEC(RIGHT(Table1323212753586873[[#This Row],[h1]],8))</f>
        <v>0</v>
      </c>
      <c r="Q524" s="48" t="s">
        <v>75</v>
      </c>
      <c r="R524" s="48">
        <f>HEX2DEC(RIGHT(Table1323212753586873[[#This Row],[h2]],8))</f>
        <v>0</v>
      </c>
    </row>
    <row r="525" spans="1:18">
      <c r="A525" s="15" t="str">
        <f t="shared" si="13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8" t="s">
        <v>75</v>
      </c>
      <c r="P525" s="48">
        <f>HEX2DEC(RIGHT(Table1323212753586873[[#This Row],[h1]],8))</f>
        <v>0</v>
      </c>
      <c r="Q525" s="48" t="s">
        <v>75</v>
      </c>
      <c r="R525" s="48">
        <f>HEX2DEC(RIGHT(Table1323212753586873[[#This Row],[h2]],8))</f>
        <v>0</v>
      </c>
    </row>
    <row r="526" spans="1:18">
      <c r="A526" s="15" t="str">
        <f t="shared" si="13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8" t="s">
        <v>75</v>
      </c>
      <c r="P526" s="48">
        <f>HEX2DEC(RIGHT(Table1323212753586873[[#This Row],[h1]],8))</f>
        <v>0</v>
      </c>
      <c r="Q526" s="48" t="s">
        <v>75</v>
      </c>
      <c r="R526" s="48">
        <f>HEX2DEC(RIGHT(Table1323212753586873[[#This Row],[h2]],8))</f>
        <v>0</v>
      </c>
    </row>
    <row r="527" spans="1:18">
      <c r="A527" s="15" t="str">
        <f t="shared" si="13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8" t="s">
        <v>75</v>
      </c>
      <c r="P527" s="48">
        <f>HEX2DEC(RIGHT(Table1323212753586873[[#This Row],[h1]],8))</f>
        <v>0</v>
      </c>
      <c r="Q527" s="48" t="s">
        <v>75</v>
      </c>
      <c r="R527" s="48">
        <f>HEX2DEC(RIGHT(Table1323212753586873[[#This Row],[h2]],8))</f>
        <v>0</v>
      </c>
    </row>
    <row r="528" spans="1:18">
      <c r="A528" s="15" t="str">
        <f t="shared" si="13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8" t="s">
        <v>75</v>
      </c>
      <c r="P528" s="48">
        <f>HEX2DEC(RIGHT(Table1323212753586873[[#This Row],[h1]],8))</f>
        <v>0</v>
      </c>
      <c r="Q528" s="48" t="s">
        <v>75</v>
      </c>
      <c r="R528" s="48">
        <f>HEX2DEC(RIGHT(Table1323212753586873[[#This Row],[h2]],8))</f>
        <v>0</v>
      </c>
    </row>
    <row r="529" spans="1:18">
      <c r="A529" s="15" t="str">
        <f t="shared" si="13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8" t="s">
        <v>75</v>
      </c>
      <c r="P529" s="48">
        <f>HEX2DEC(RIGHT(Table1323212753586873[[#This Row],[h1]],8))</f>
        <v>0</v>
      </c>
      <c r="Q529" s="48" t="s">
        <v>75</v>
      </c>
      <c r="R529" s="48">
        <f>HEX2DEC(RIGHT(Table1323212753586873[[#This Row],[h2]],8))</f>
        <v>0</v>
      </c>
    </row>
    <row r="530" spans="1:18">
      <c r="A530" s="15" t="str">
        <f t="shared" si="13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8" t="s">
        <v>75</v>
      </c>
      <c r="P530" s="48">
        <f>HEX2DEC(RIGHT(Table1323212753586873[[#This Row],[h1]],8))</f>
        <v>0</v>
      </c>
      <c r="Q530" s="48" t="s">
        <v>75</v>
      </c>
      <c r="R530" s="48">
        <f>HEX2DEC(RIGHT(Table1323212753586873[[#This Row],[h2]],8))</f>
        <v>0</v>
      </c>
    </row>
    <row r="531" spans="1:18">
      <c r="A531" s="15" t="str">
        <f t="shared" si="13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8" t="s">
        <v>75</v>
      </c>
      <c r="P531" s="48">
        <f>HEX2DEC(RIGHT(Table1323212753586873[[#This Row],[h1]],8))</f>
        <v>0</v>
      </c>
      <c r="Q531" s="48" t="s">
        <v>75</v>
      </c>
      <c r="R531" s="48">
        <f>HEX2DEC(RIGHT(Table1323212753586873[[#This Row],[h2]],8))</f>
        <v>0</v>
      </c>
    </row>
    <row r="532" spans="1:18">
      <c r="A532" s="15" t="str">
        <f t="shared" si="13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8" t="s">
        <v>75</v>
      </c>
      <c r="P532" s="48">
        <f>HEX2DEC(RIGHT(Table1323212753586873[[#This Row],[h1]],8))</f>
        <v>0</v>
      </c>
      <c r="Q532" s="48" t="s">
        <v>75</v>
      </c>
      <c r="R532" s="48">
        <f>HEX2DEC(RIGHT(Table1323212753586873[[#This Row],[h2]],8))</f>
        <v>0</v>
      </c>
    </row>
    <row r="533" spans="1:18">
      <c r="A533" s="15" t="str">
        <f t="shared" si="13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8" t="s">
        <v>75</v>
      </c>
      <c r="P533" s="48">
        <f>HEX2DEC(RIGHT(Table1323212753586873[[#This Row],[h1]],8))</f>
        <v>0</v>
      </c>
      <c r="Q533" s="48" t="s">
        <v>75</v>
      </c>
      <c r="R533" s="48">
        <f>HEX2DEC(RIGHT(Table1323212753586873[[#This Row],[h2]],8))</f>
        <v>0</v>
      </c>
    </row>
    <row r="534" spans="1:18">
      <c r="A534" s="15" t="str">
        <f t="shared" si="13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8" t="s">
        <v>75</v>
      </c>
      <c r="P534" s="48">
        <f>HEX2DEC(RIGHT(Table1323212753586873[[#This Row],[h1]],8))</f>
        <v>0</v>
      </c>
      <c r="Q534" s="48" t="s">
        <v>75</v>
      </c>
      <c r="R534" s="48">
        <f>HEX2DEC(RIGHT(Table1323212753586873[[#This Row],[h2]],8))</f>
        <v>0</v>
      </c>
    </row>
    <row r="535" spans="1:18">
      <c r="A535" s="15" t="str">
        <f t="shared" si="13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8" t="s">
        <v>75</v>
      </c>
      <c r="P535" s="48">
        <f>HEX2DEC(RIGHT(Table1323212753586873[[#This Row],[h1]],8))</f>
        <v>0</v>
      </c>
      <c r="Q535" s="48" t="s">
        <v>75</v>
      </c>
      <c r="R535" s="48">
        <f>HEX2DEC(RIGHT(Table1323212753586873[[#This Row],[h2]],8))</f>
        <v>0</v>
      </c>
    </row>
    <row r="536" spans="1:18">
      <c r="A536" s="15" t="str">
        <f t="shared" si="13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8" t="s">
        <v>75</v>
      </c>
      <c r="P536" s="48">
        <f>HEX2DEC(RIGHT(Table1323212753586873[[#This Row],[h1]],8))</f>
        <v>0</v>
      </c>
      <c r="Q536" s="48" t="s">
        <v>75</v>
      </c>
      <c r="R536" s="48">
        <f>HEX2DEC(RIGHT(Table1323212753586873[[#This Row],[h2]],8))</f>
        <v>0</v>
      </c>
    </row>
    <row r="537" spans="1:18">
      <c r="A537" s="15" t="str">
        <f t="shared" si="13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8" t="s">
        <v>75</v>
      </c>
      <c r="P537" s="48">
        <f>HEX2DEC(RIGHT(Table1323212753586873[[#This Row],[h1]],8))</f>
        <v>0</v>
      </c>
      <c r="Q537" s="48" t="s">
        <v>75</v>
      </c>
      <c r="R537" s="48">
        <f>HEX2DEC(RIGHT(Table1323212753586873[[#This Row],[h2]],8))</f>
        <v>0</v>
      </c>
    </row>
    <row r="538" spans="1:18">
      <c r="A538" s="15" t="str">
        <f t="shared" si="13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8" t="s">
        <v>75</v>
      </c>
      <c r="P538" s="48">
        <f>HEX2DEC(RIGHT(Table1323212753586873[[#This Row],[h1]],8))</f>
        <v>0</v>
      </c>
      <c r="Q538" s="48" t="s">
        <v>75</v>
      </c>
      <c r="R538" s="48">
        <f>HEX2DEC(RIGHT(Table1323212753586873[[#This Row],[h2]],8))</f>
        <v>0</v>
      </c>
    </row>
    <row r="539" spans="1:18">
      <c r="A539" s="15" t="str">
        <f t="shared" si="13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8" t="s">
        <v>75</v>
      </c>
      <c r="P539" s="48">
        <f>HEX2DEC(RIGHT(Table1323212753586873[[#This Row],[h1]],8))</f>
        <v>0</v>
      </c>
      <c r="Q539" s="48" t="s">
        <v>75</v>
      </c>
      <c r="R539" s="48">
        <f>HEX2DEC(RIGHT(Table1323212753586873[[#This Row],[h2]],8))</f>
        <v>0</v>
      </c>
    </row>
    <row r="540" spans="1:18">
      <c r="A540" s="15" t="str">
        <f t="shared" si="13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8" t="s">
        <v>75</v>
      </c>
      <c r="P540" s="48">
        <f>HEX2DEC(RIGHT(Table1323212753586873[[#This Row],[h1]],8))</f>
        <v>0</v>
      </c>
      <c r="Q540" s="48" t="s">
        <v>75</v>
      </c>
      <c r="R540" s="48">
        <f>HEX2DEC(RIGHT(Table1323212753586873[[#This Row],[h2]],8))</f>
        <v>0</v>
      </c>
    </row>
    <row r="541" spans="1:18">
      <c r="A541" s="15" t="str">
        <f t="shared" si="13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8" t="s">
        <v>75</v>
      </c>
      <c r="P541" s="48">
        <f>HEX2DEC(RIGHT(Table1323212753586873[[#This Row],[h1]],8))</f>
        <v>0</v>
      </c>
      <c r="Q541" s="48" t="s">
        <v>75</v>
      </c>
      <c r="R541" s="48">
        <f>HEX2DEC(RIGHT(Table1323212753586873[[#This Row],[h2]],8))</f>
        <v>0</v>
      </c>
    </row>
    <row r="542" spans="1:18">
      <c r="A542" s="15" t="str">
        <f t="shared" si="13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8" t="s">
        <v>75</v>
      </c>
      <c r="P542" s="48">
        <f>HEX2DEC(RIGHT(Table1323212753586873[[#This Row],[h1]],8))</f>
        <v>0</v>
      </c>
      <c r="Q542" s="48" t="s">
        <v>75</v>
      </c>
      <c r="R542" s="48">
        <f>HEX2DEC(RIGHT(Table1323212753586873[[#This Row],[h2]],8))</f>
        <v>0</v>
      </c>
    </row>
    <row r="543" spans="1:18">
      <c r="A543" s="15" t="str">
        <f t="shared" si="13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8" t="s">
        <v>75</v>
      </c>
      <c r="P543" s="48">
        <f>HEX2DEC(RIGHT(Table1323212753586873[[#This Row],[h1]],8))</f>
        <v>0</v>
      </c>
      <c r="Q543" s="48" t="s">
        <v>75</v>
      </c>
      <c r="R543" s="48">
        <f>HEX2DEC(RIGHT(Table1323212753586873[[#This Row],[h2]],8))</f>
        <v>0</v>
      </c>
    </row>
    <row r="544" spans="1:18">
      <c r="A544" s="15" t="str">
        <f t="shared" si="13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8" t="s">
        <v>75</v>
      </c>
      <c r="P544" s="48">
        <f>HEX2DEC(RIGHT(Table1323212753586873[[#This Row],[h1]],8))</f>
        <v>0</v>
      </c>
      <c r="Q544" s="48" t="s">
        <v>75</v>
      </c>
      <c r="R544" s="48">
        <f>HEX2DEC(RIGHT(Table1323212753586873[[#This Row],[h2]],8))</f>
        <v>0</v>
      </c>
    </row>
    <row r="545" spans="1:18">
      <c r="A545" s="15" t="str">
        <f t="shared" si="13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8" t="s">
        <v>75</v>
      </c>
      <c r="P545" s="48">
        <f>HEX2DEC(RIGHT(Table1323212753586873[[#This Row],[h1]],8))</f>
        <v>0</v>
      </c>
      <c r="Q545" s="48" t="s">
        <v>75</v>
      </c>
      <c r="R545" s="48">
        <f>HEX2DEC(RIGHT(Table1323212753586873[[#This Row],[h2]],8))</f>
        <v>0</v>
      </c>
    </row>
    <row r="546" spans="1:18">
      <c r="A546" s="15" t="str">
        <f t="shared" si="13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8" t="s">
        <v>75</v>
      </c>
      <c r="P546" s="48">
        <f>HEX2DEC(RIGHT(Table1323212753586873[[#This Row],[h1]],8))</f>
        <v>0</v>
      </c>
      <c r="Q546" s="48" t="s">
        <v>75</v>
      </c>
      <c r="R546" s="48">
        <f>HEX2DEC(RIGHT(Table1323212753586873[[#This Row],[h2]],8))</f>
        <v>0</v>
      </c>
    </row>
    <row r="547" spans="1:18">
      <c r="A547" s="15" t="str">
        <f t="shared" si="13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8" t="s">
        <v>75</v>
      </c>
      <c r="P547" s="48">
        <f>HEX2DEC(RIGHT(Table1323212753586873[[#This Row],[h1]],8))</f>
        <v>0</v>
      </c>
      <c r="Q547" s="48" t="s">
        <v>75</v>
      </c>
      <c r="R547" s="48">
        <f>HEX2DEC(RIGHT(Table1323212753586873[[#This Row],[h2]],8))</f>
        <v>0</v>
      </c>
    </row>
    <row r="548" spans="1:18">
      <c r="A548" s="15" t="str">
        <f t="shared" si="13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8" t="s">
        <v>75</v>
      </c>
      <c r="P548" s="48">
        <f>HEX2DEC(RIGHT(Table1323212753586873[[#This Row],[h1]],8))</f>
        <v>0</v>
      </c>
      <c r="Q548" s="48" t="s">
        <v>75</v>
      </c>
      <c r="R548" s="48">
        <f>HEX2DEC(RIGHT(Table1323212753586873[[#This Row],[h2]],8))</f>
        <v>0</v>
      </c>
    </row>
    <row r="549" spans="1:18">
      <c r="A549" s="15" t="str">
        <f t="shared" si="13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8" t="s">
        <v>75</v>
      </c>
      <c r="P549" s="48">
        <f>HEX2DEC(RIGHT(Table1323212753586873[[#This Row],[h1]],8))</f>
        <v>0</v>
      </c>
      <c r="Q549" s="48" t="s">
        <v>75</v>
      </c>
      <c r="R549" s="48">
        <f>HEX2DEC(RIGHT(Table1323212753586873[[#This Row],[h2]],8))</f>
        <v>0</v>
      </c>
    </row>
    <row r="550" spans="1:18">
      <c r="A550" s="15" t="str">
        <f t="shared" si="13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8" t="s">
        <v>75</v>
      </c>
      <c r="P550" s="48">
        <f>HEX2DEC(RIGHT(Table1323212753586873[[#This Row],[h1]],8))</f>
        <v>0</v>
      </c>
      <c r="Q550" s="48" t="s">
        <v>75</v>
      </c>
      <c r="R550" s="48">
        <f>HEX2DEC(RIGHT(Table1323212753586873[[#This Row],[h2]],8))</f>
        <v>0</v>
      </c>
    </row>
    <row r="551" spans="1:18">
      <c r="A551" s="15" t="str">
        <f t="shared" si="13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8" t="s">
        <v>75</v>
      </c>
      <c r="P551" s="48">
        <f>HEX2DEC(RIGHT(Table1323212753586873[[#This Row],[h1]],8))</f>
        <v>0</v>
      </c>
      <c r="Q551" s="48" t="s">
        <v>75</v>
      </c>
      <c r="R551" s="48">
        <f>HEX2DEC(RIGHT(Table1323212753586873[[#This Row],[h2]],8))</f>
        <v>0</v>
      </c>
    </row>
    <row r="552" spans="1:18">
      <c r="A552" s="15" t="str">
        <f t="shared" si="13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8" t="s">
        <v>75</v>
      </c>
      <c r="P552" s="48">
        <f>HEX2DEC(RIGHT(Table1323212753586873[[#This Row],[h1]],8))</f>
        <v>0</v>
      </c>
      <c r="Q552" s="48" t="s">
        <v>75</v>
      </c>
      <c r="R552" s="48">
        <f>HEX2DEC(RIGHT(Table1323212753586873[[#This Row],[h2]],8))</f>
        <v>0</v>
      </c>
    </row>
    <row r="553" spans="1:18">
      <c r="A553" s="15" t="str">
        <f t="shared" si="13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8" t="s">
        <v>75</v>
      </c>
      <c r="P553" s="48">
        <f>HEX2DEC(RIGHT(Table1323212753586873[[#This Row],[h1]],8))</f>
        <v>0</v>
      </c>
      <c r="Q553" s="48" t="s">
        <v>75</v>
      </c>
      <c r="R553" s="48">
        <f>HEX2DEC(RIGHT(Table1323212753586873[[#This Row],[h2]],8))</f>
        <v>0</v>
      </c>
    </row>
    <row r="554" spans="1:18">
      <c r="A554" s="15" t="str">
        <f t="shared" si="13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8" t="s">
        <v>75</v>
      </c>
      <c r="P554" s="48">
        <f>HEX2DEC(RIGHT(Table1323212753586873[[#This Row],[h1]],8))</f>
        <v>0</v>
      </c>
      <c r="Q554" s="48" t="s">
        <v>75</v>
      </c>
      <c r="R554" s="48">
        <f>HEX2DEC(RIGHT(Table1323212753586873[[#This Row],[h2]],8))</f>
        <v>0</v>
      </c>
    </row>
    <row r="555" spans="1:18">
      <c r="A555" s="15" t="str">
        <f t="shared" si="13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8" t="s">
        <v>75</v>
      </c>
      <c r="P555" s="48">
        <f>HEX2DEC(RIGHT(Table1323212753586873[[#This Row],[h1]],8))</f>
        <v>0</v>
      </c>
      <c r="Q555" s="48" t="s">
        <v>75</v>
      </c>
      <c r="R555" s="48">
        <f>HEX2DEC(RIGHT(Table1323212753586873[[#This Row],[h2]],8))</f>
        <v>0</v>
      </c>
    </row>
    <row r="556" spans="1:18">
      <c r="A556" s="15" t="str">
        <f t="shared" si="13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8" t="s">
        <v>75</v>
      </c>
      <c r="P556" s="48">
        <f>HEX2DEC(RIGHT(Table1323212753586873[[#This Row],[h1]],8))</f>
        <v>0</v>
      </c>
      <c r="Q556" s="48" t="s">
        <v>75</v>
      </c>
      <c r="R556" s="48">
        <f>HEX2DEC(RIGHT(Table1323212753586873[[#This Row],[h2]],8))</f>
        <v>0</v>
      </c>
    </row>
    <row r="557" spans="1:18">
      <c r="A557" s="15" t="str">
        <f t="shared" si="13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8" t="s">
        <v>75</v>
      </c>
      <c r="P557" s="48">
        <f>HEX2DEC(RIGHT(Table1323212753586873[[#This Row],[h1]],8))</f>
        <v>0</v>
      </c>
      <c r="Q557" s="48" t="s">
        <v>75</v>
      </c>
      <c r="R557" s="48">
        <f>HEX2DEC(RIGHT(Table1323212753586873[[#This Row],[h2]],8))</f>
        <v>0</v>
      </c>
    </row>
    <row r="558" spans="1:18">
      <c r="A558" s="15" t="str">
        <f t="shared" si="13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8" t="s">
        <v>75</v>
      </c>
      <c r="P558" s="48">
        <f>HEX2DEC(RIGHT(Table1323212753586873[[#This Row],[h1]],8))</f>
        <v>0</v>
      </c>
      <c r="Q558" s="48" t="s">
        <v>75</v>
      </c>
      <c r="R558" s="48">
        <f>HEX2DEC(RIGHT(Table1323212753586873[[#This Row],[h2]],8))</f>
        <v>0</v>
      </c>
    </row>
    <row r="559" spans="1:18">
      <c r="A559" s="15" t="str">
        <f t="shared" si="13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8" t="s">
        <v>75</v>
      </c>
      <c r="P559" s="48">
        <f>HEX2DEC(RIGHT(Table1323212753586873[[#This Row],[h1]],8))</f>
        <v>0</v>
      </c>
      <c r="Q559" s="48" t="s">
        <v>75</v>
      </c>
      <c r="R559" s="48">
        <f>HEX2DEC(RIGHT(Table1323212753586873[[#This Row],[h2]],8))</f>
        <v>0</v>
      </c>
    </row>
    <row r="560" spans="1:18">
      <c r="A560" s="15" t="str">
        <f t="shared" si="13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8" t="s">
        <v>75</v>
      </c>
      <c r="P560" s="48">
        <f>HEX2DEC(RIGHT(Table1323212753586873[[#This Row],[h1]],8))</f>
        <v>0</v>
      </c>
      <c r="Q560" s="48" t="s">
        <v>75</v>
      </c>
      <c r="R560" s="48">
        <f>HEX2DEC(RIGHT(Table1323212753586873[[#This Row],[h2]],8))</f>
        <v>0</v>
      </c>
    </row>
    <row r="561" spans="1:18">
      <c r="A561" s="15" t="str">
        <f t="shared" si="13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8" t="s">
        <v>75</v>
      </c>
      <c r="P561" s="48">
        <f>HEX2DEC(RIGHT(Table1323212753586873[[#This Row],[h1]],8))</f>
        <v>0</v>
      </c>
      <c r="Q561" s="48" t="s">
        <v>75</v>
      </c>
      <c r="R561" s="48">
        <f>HEX2DEC(RIGHT(Table1323212753586873[[#This Row],[h2]],8))</f>
        <v>0</v>
      </c>
    </row>
    <row r="562" spans="1:18">
      <c r="A562" s="15" t="str">
        <f t="shared" si="13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8" t="s">
        <v>75</v>
      </c>
      <c r="P562" s="48">
        <f>HEX2DEC(RIGHT(Table1323212753586873[[#This Row],[h1]],8))</f>
        <v>0</v>
      </c>
      <c r="Q562" s="48" t="s">
        <v>75</v>
      </c>
      <c r="R562" s="48">
        <f>HEX2DEC(RIGHT(Table1323212753586873[[#This Row],[h2]],8))</f>
        <v>0</v>
      </c>
    </row>
    <row r="563" spans="1:18">
      <c r="A563" s="15" t="str">
        <f t="shared" si="13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8" t="s">
        <v>75</v>
      </c>
      <c r="P563" s="48">
        <f>HEX2DEC(RIGHT(Table1323212753586873[[#This Row],[h1]],8))</f>
        <v>0</v>
      </c>
      <c r="Q563" s="48" t="s">
        <v>75</v>
      </c>
      <c r="R563" s="48">
        <f>HEX2DEC(RIGHT(Table1323212753586873[[#This Row],[h2]],8))</f>
        <v>0</v>
      </c>
    </row>
    <row r="564" spans="1:18">
      <c r="A564" s="15" t="str">
        <f t="shared" si="13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8" t="s">
        <v>75</v>
      </c>
      <c r="P564" s="48">
        <f>HEX2DEC(RIGHT(Table1323212753586873[[#This Row],[h1]],8))</f>
        <v>0</v>
      </c>
      <c r="Q564" s="48" t="s">
        <v>75</v>
      </c>
      <c r="R564" s="48">
        <f>HEX2DEC(RIGHT(Table1323212753586873[[#This Row],[h2]],8))</f>
        <v>0</v>
      </c>
    </row>
    <row r="565" spans="1:18">
      <c r="A565" s="15" t="str">
        <f t="shared" si="13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8" t="s">
        <v>75</v>
      </c>
      <c r="P565" s="48">
        <f>HEX2DEC(RIGHT(Table1323212753586873[[#This Row],[h1]],8))</f>
        <v>0</v>
      </c>
      <c r="Q565" s="48" t="s">
        <v>75</v>
      </c>
      <c r="R565" s="48">
        <f>HEX2DEC(RIGHT(Table1323212753586873[[#This Row],[h2]],8))</f>
        <v>0</v>
      </c>
    </row>
    <row r="566" spans="1:18">
      <c r="A566" s="15" t="str">
        <f t="shared" si="13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8" t="s">
        <v>75</v>
      </c>
      <c r="P566" s="48">
        <f>HEX2DEC(RIGHT(Table1323212753586873[[#This Row],[h1]],8))</f>
        <v>0</v>
      </c>
      <c r="Q566" s="48" t="s">
        <v>75</v>
      </c>
      <c r="R566" s="48">
        <f>HEX2DEC(RIGHT(Table1323212753586873[[#This Row],[h2]],8))</f>
        <v>0</v>
      </c>
    </row>
    <row r="567" spans="1:18">
      <c r="A567" s="15" t="str">
        <f t="shared" si="13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8" t="s">
        <v>75</v>
      </c>
      <c r="P567" s="48">
        <f>HEX2DEC(RIGHT(Table1323212753586873[[#This Row],[h1]],8))</f>
        <v>0</v>
      </c>
      <c r="Q567" s="48" t="s">
        <v>75</v>
      </c>
      <c r="R567" s="48">
        <f>HEX2DEC(RIGHT(Table1323212753586873[[#This Row],[h2]],8))</f>
        <v>0</v>
      </c>
    </row>
    <row r="568" spans="1:18">
      <c r="A568" s="15" t="str">
        <f t="shared" si="13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8" t="s">
        <v>75</v>
      </c>
      <c r="P568" s="48">
        <f>HEX2DEC(RIGHT(Table1323212753586873[[#This Row],[h1]],8))</f>
        <v>0</v>
      </c>
      <c r="Q568" s="48" t="s">
        <v>75</v>
      </c>
      <c r="R568" s="48">
        <f>HEX2DEC(RIGHT(Table1323212753586873[[#This Row],[h2]],8))</f>
        <v>0</v>
      </c>
    </row>
    <row r="569" spans="1:18">
      <c r="A569" s="15" t="str">
        <f t="shared" si="13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8" t="s">
        <v>75</v>
      </c>
      <c r="P569" s="48">
        <f>HEX2DEC(RIGHT(Table1323212753586873[[#This Row],[h1]],8))</f>
        <v>0</v>
      </c>
      <c r="Q569" s="48" t="s">
        <v>75</v>
      </c>
      <c r="R569" s="48">
        <f>HEX2DEC(RIGHT(Table1323212753586873[[#This Row],[h2]],8))</f>
        <v>0</v>
      </c>
    </row>
    <row r="570" spans="1:18">
      <c r="A570" s="15" t="str">
        <f t="shared" si="13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8" t="s">
        <v>75</v>
      </c>
      <c r="P570" s="48">
        <f>HEX2DEC(RIGHT(Table1323212753586873[[#This Row],[h1]],8))</f>
        <v>0</v>
      </c>
      <c r="Q570" s="48" t="s">
        <v>75</v>
      </c>
      <c r="R570" s="48">
        <f>HEX2DEC(RIGHT(Table1323212753586873[[#This Row],[h2]],8))</f>
        <v>0</v>
      </c>
    </row>
    <row r="571" spans="1:18">
      <c r="A571" s="15" t="str">
        <f t="shared" si="13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8" t="s">
        <v>75</v>
      </c>
      <c r="P571" s="48">
        <f>HEX2DEC(RIGHT(Table1323212753586873[[#This Row],[h1]],8))</f>
        <v>0</v>
      </c>
      <c r="Q571" s="48" t="s">
        <v>75</v>
      </c>
      <c r="R571" s="48">
        <f>HEX2DEC(RIGHT(Table1323212753586873[[#This Row],[h2]],8))</f>
        <v>0</v>
      </c>
    </row>
    <row r="572" spans="1:18">
      <c r="A572" s="15" t="str">
        <f t="shared" si="13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8" t="s">
        <v>75</v>
      </c>
      <c r="P572" s="48">
        <f>HEX2DEC(RIGHT(Table1323212753586873[[#This Row],[h1]],8))</f>
        <v>0</v>
      </c>
      <c r="Q572" s="48" t="s">
        <v>75</v>
      </c>
      <c r="R572" s="48">
        <f>HEX2DEC(RIGHT(Table1323212753586873[[#This Row],[h2]],8))</f>
        <v>0</v>
      </c>
    </row>
    <row r="573" spans="1:18">
      <c r="A573" s="15" t="str">
        <f t="shared" si="13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8" t="s">
        <v>75</v>
      </c>
      <c r="P573" s="48">
        <f>HEX2DEC(RIGHT(Table1323212753586873[[#This Row],[h1]],8))</f>
        <v>0</v>
      </c>
      <c r="Q573" s="48" t="s">
        <v>75</v>
      </c>
      <c r="R573" s="48">
        <f>HEX2DEC(RIGHT(Table1323212753586873[[#This Row],[h2]],8))</f>
        <v>0</v>
      </c>
    </row>
    <row r="574" spans="1:18">
      <c r="A574" s="15" t="str">
        <f t="shared" si="13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8" t="s">
        <v>75</v>
      </c>
      <c r="P574" s="48">
        <f>HEX2DEC(RIGHT(Table1323212753586873[[#This Row],[h1]],8))</f>
        <v>0</v>
      </c>
      <c r="Q574" s="48" t="s">
        <v>75</v>
      </c>
      <c r="R574" s="48">
        <f>HEX2DEC(RIGHT(Table1323212753586873[[#This Row],[h2]],8))</f>
        <v>0</v>
      </c>
    </row>
    <row r="575" spans="1:18">
      <c r="A575" s="15" t="str">
        <f t="shared" si="13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8" t="s">
        <v>75</v>
      </c>
      <c r="P575" s="48">
        <f>HEX2DEC(RIGHT(Table1323212753586873[[#This Row],[h1]],8))</f>
        <v>0</v>
      </c>
      <c r="Q575" s="48" t="s">
        <v>75</v>
      </c>
      <c r="R575" s="48">
        <f>HEX2DEC(RIGHT(Table1323212753586873[[#This Row],[h2]],8))</f>
        <v>0</v>
      </c>
    </row>
    <row r="576" spans="1:18">
      <c r="A576" s="15" t="str">
        <f t="shared" si="13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8" t="s">
        <v>75</v>
      </c>
      <c r="P576" s="48">
        <f>HEX2DEC(RIGHT(Table1323212753586873[[#This Row],[h1]],8))</f>
        <v>0</v>
      </c>
      <c r="Q576" s="48" t="s">
        <v>75</v>
      </c>
      <c r="R576" s="48">
        <f>HEX2DEC(RIGHT(Table1323212753586873[[#This Row],[h2]],8))</f>
        <v>0</v>
      </c>
    </row>
    <row r="577" spans="1:18">
      <c r="A577" s="15" t="str">
        <f t="shared" si="13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8" t="s">
        <v>75</v>
      </c>
      <c r="P577" s="48">
        <f>HEX2DEC(RIGHT(Table1323212753586873[[#This Row],[h1]],8))</f>
        <v>0</v>
      </c>
      <c r="Q577" s="48" t="s">
        <v>75</v>
      </c>
      <c r="R577" s="48">
        <f>HEX2DEC(RIGHT(Table1323212753586873[[#This Row],[h2]],8))</f>
        <v>0</v>
      </c>
    </row>
    <row r="578" spans="1:18">
      <c r="A578" s="15" t="str">
        <f t="shared" si="13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8" t="s">
        <v>75</v>
      </c>
      <c r="P578" s="48">
        <f>HEX2DEC(RIGHT(Table1323212753586873[[#This Row],[h1]],8))</f>
        <v>0</v>
      </c>
      <c r="Q578" s="48" t="s">
        <v>75</v>
      </c>
      <c r="R578" s="48">
        <f>HEX2DEC(RIGHT(Table1323212753586873[[#This Row],[h2]],8))</f>
        <v>0</v>
      </c>
    </row>
    <row r="579" spans="1:18">
      <c r="A579" s="15" t="str">
        <f t="shared" si="13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8" t="s">
        <v>75</v>
      </c>
      <c r="P579" s="48">
        <f>HEX2DEC(RIGHT(Table1323212753586873[[#This Row],[h1]],8))</f>
        <v>0</v>
      </c>
      <c r="Q579" s="48" t="s">
        <v>75</v>
      </c>
      <c r="R579" s="48">
        <f>HEX2DEC(RIGHT(Table1323212753586873[[#This Row],[h2]],8))</f>
        <v>0</v>
      </c>
    </row>
    <row r="580" spans="1:18">
      <c r="A580" s="15" t="str">
        <f t="shared" si="13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8" t="s">
        <v>75</v>
      </c>
      <c r="P580" s="48">
        <f>HEX2DEC(RIGHT(Table1323212753586873[[#This Row],[h1]],8))</f>
        <v>0</v>
      </c>
      <c r="Q580" s="48" t="s">
        <v>75</v>
      </c>
      <c r="R580" s="48">
        <f>HEX2DEC(RIGHT(Table1323212753586873[[#This Row],[h2]],8))</f>
        <v>0</v>
      </c>
    </row>
    <row r="581" spans="1:18">
      <c r="A581" s="15" t="str">
        <f t="shared" si="13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8" t="s">
        <v>75</v>
      </c>
      <c r="P581" s="48">
        <f>HEX2DEC(RIGHT(Table1323212753586873[[#This Row],[h1]],8))</f>
        <v>0</v>
      </c>
      <c r="Q581" s="48" t="s">
        <v>75</v>
      </c>
      <c r="R581" s="48">
        <f>HEX2DEC(RIGHT(Table1323212753586873[[#This Row],[h2]],8))</f>
        <v>0</v>
      </c>
    </row>
    <row r="582" spans="1:18">
      <c r="A582" s="15" t="str">
        <f t="shared" si="13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8" t="s">
        <v>75</v>
      </c>
      <c r="P582" s="48">
        <f>HEX2DEC(RIGHT(Table1323212753586873[[#This Row],[h1]],8))</f>
        <v>0</v>
      </c>
      <c r="Q582" s="48" t="s">
        <v>75</v>
      </c>
      <c r="R582" s="48">
        <f>HEX2DEC(RIGHT(Table1323212753586873[[#This Row],[h2]],8))</f>
        <v>0</v>
      </c>
    </row>
    <row r="583" spans="1:18">
      <c r="A583" s="15" t="str">
        <f t="shared" si="13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8" t="s">
        <v>75</v>
      </c>
      <c r="P583" s="48">
        <f>HEX2DEC(RIGHT(Table1323212753586873[[#This Row],[h1]],8))</f>
        <v>0</v>
      </c>
      <c r="Q583" s="48" t="s">
        <v>75</v>
      </c>
      <c r="R583" s="48">
        <f>HEX2DEC(RIGHT(Table1323212753586873[[#This Row],[h2]],8))</f>
        <v>0</v>
      </c>
    </row>
    <row r="584" spans="1:18">
      <c r="A584" s="15" t="str">
        <f t="shared" si="13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8" t="s">
        <v>75</v>
      </c>
      <c r="P584" s="48">
        <f>HEX2DEC(RIGHT(Table1323212753586873[[#This Row],[h1]],8))</f>
        <v>0</v>
      </c>
      <c r="Q584" s="48" t="s">
        <v>75</v>
      </c>
      <c r="R584" s="48">
        <f>HEX2DEC(RIGHT(Table1323212753586873[[#This Row],[h2]],8))</f>
        <v>0</v>
      </c>
    </row>
    <row r="585" spans="1:18">
      <c r="A585" s="15" t="str">
        <f t="shared" si="13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8" t="s">
        <v>75</v>
      </c>
      <c r="P585" s="48">
        <f>HEX2DEC(RIGHT(Table1323212753586873[[#This Row],[h1]],8))</f>
        <v>0</v>
      </c>
      <c r="Q585" s="48" t="s">
        <v>75</v>
      </c>
      <c r="R585" s="48">
        <f>HEX2DEC(RIGHT(Table1323212753586873[[#This Row],[h2]],8))</f>
        <v>0</v>
      </c>
    </row>
    <row r="586" spans="1:18">
      <c r="A586" s="15" t="str">
        <f t="shared" si="13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8" t="s">
        <v>75</v>
      </c>
      <c r="P586" s="48">
        <f>HEX2DEC(RIGHT(Table1323212753586873[[#This Row],[h1]],8))</f>
        <v>0</v>
      </c>
      <c r="Q586" s="48" t="s">
        <v>75</v>
      </c>
      <c r="R586" s="48">
        <f>HEX2DEC(RIGHT(Table1323212753586873[[#This Row],[h2]],8))</f>
        <v>0</v>
      </c>
    </row>
    <row r="587" spans="1:18">
      <c r="A587" s="15" t="str">
        <f t="shared" ref="A587:A650" si="14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8" t="s">
        <v>75</v>
      </c>
      <c r="P587" s="48">
        <f>HEX2DEC(RIGHT(Table1323212753586873[[#This Row],[h1]],8))</f>
        <v>0</v>
      </c>
      <c r="Q587" s="48" t="s">
        <v>75</v>
      </c>
      <c r="R587" s="48">
        <f>HEX2DEC(RIGHT(Table1323212753586873[[#This Row],[h2]],8))</f>
        <v>0</v>
      </c>
    </row>
    <row r="588" spans="1:18">
      <c r="A588" s="15" t="str">
        <f t="shared" si="14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8" t="s">
        <v>75</v>
      </c>
      <c r="P588" s="48">
        <f>HEX2DEC(RIGHT(Table1323212753586873[[#This Row],[h1]],8))</f>
        <v>0</v>
      </c>
      <c r="Q588" s="48" t="s">
        <v>75</v>
      </c>
      <c r="R588" s="48">
        <f>HEX2DEC(RIGHT(Table1323212753586873[[#This Row],[h2]],8))</f>
        <v>0</v>
      </c>
    </row>
    <row r="589" spans="1:18">
      <c r="A589" s="15" t="str">
        <f t="shared" si="14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8" t="s">
        <v>75</v>
      </c>
      <c r="P589" s="48">
        <f>HEX2DEC(RIGHT(Table1323212753586873[[#This Row],[h1]],8))</f>
        <v>0</v>
      </c>
      <c r="Q589" s="48" t="s">
        <v>75</v>
      </c>
      <c r="R589" s="48">
        <f>HEX2DEC(RIGHT(Table1323212753586873[[#This Row],[h2]],8))</f>
        <v>0</v>
      </c>
    </row>
    <row r="590" spans="1:18">
      <c r="A590" s="15" t="str">
        <f t="shared" si="14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8" t="s">
        <v>75</v>
      </c>
      <c r="P590" s="48">
        <f>HEX2DEC(RIGHT(Table1323212753586873[[#This Row],[h1]],8))</f>
        <v>0</v>
      </c>
      <c r="Q590" s="48" t="s">
        <v>75</v>
      </c>
      <c r="R590" s="48">
        <f>HEX2DEC(RIGHT(Table1323212753586873[[#This Row],[h2]],8))</f>
        <v>0</v>
      </c>
    </row>
    <row r="591" spans="1:18">
      <c r="A591" s="15" t="str">
        <f t="shared" si="14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8" t="s">
        <v>75</v>
      </c>
      <c r="P591" s="48">
        <f>HEX2DEC(RIGHT(Table1323212753586873[[#This Row],[h1]],8))</f>
        <v>0</v>
      </c>
      <c r="Q591" s="48" t="s">
        <v>75</v>
      </c>
      <c r="R591" s="48">
        <f>HEX2DEC(RIGHT(Table1323212753586873[[#This Row],[h2]],8))</f>
        <v>0</v>
      </c>
    </row>
    <row r="592" spans="1:18">
      <c r="A592" s="15" t="str">
        <f t="shared" si="14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8" t="s">
        <v>75</v>
      </c>
      <c r="P592" s="48">
        <f>HEX2DEC(RIGHT(Table1323212753586873[[#This Row],[h1]],8))</f>
        <v>0</v>
      </c>
      <c r="Q592" s="48" t="s">
        <v>75</v>
      </c>
      <c r="R592" s="48">
        <f>HEX2DEC(RIGHT(Table1323212753586873[[#This Row],[h2]],8))</f>
        <v>0</v>
      </c>
    </row>
    <row r="593" spans="1:18">
      <c r="A593" s="15" t="str">
        <f t="shared" si="14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8" t="s">
        <v>75</v>
      </c>
      <c r="P593" s="48">
        <f>HEX2DEC(RIGHT(Table1323212753586873[[#This Row],[h1]],8))</f>
        <v>0</v>
      </c>
      <c r="Q593" s="48" t="s">
        <v>75</v>
      </c>
      <c r="R593" s="48">
        <f>HEX2DEC(RIGHT(Table1323212753586873[[#This Row],[h2]],8))</f>
        <v>0</v>
      </c>
    </row>
    <row r="594" spans="1:18">
      <c r="A594" s="15" t="str">
        <f t="shared" si="14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8" t="s">
        <v>75</v>
      </c>
      <c r="P594" s="48">
        <f>HEX2DEC(RIGHT(Table1323212753586873[[#This Row],[h1]],8))</f>
        <v>0</v>
      </c>
      <c r="Q594" s="48" t="s">
        <v>75</v>
      </c>
      <c r="R594" s="48">
        <f>HEX2DEC(RIGHT(Table1323212753586873[[#This Row],[h2]],8))</f>
        <v>0</v>
      </c>
    </row>
    <row r="595" spans="1:18">
      <c r="A595" s="15" t="str">
        <f t="shared" si="14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8" t="s">
        <v>75</v>
      </c>
      <c r="P595" s="48">
        <f>HEX2DEC(RIGHT(Table1323212753586873[[#This Row],[h1]],8))</f>
        <v>0</v>
      </c>
      <c r="Q595" s="48" t="s">
        <v>75</v>
      </c>
      <c r="R595" s="48">
        <f>HEX2DEC(RIGHT(Table1323212753586873[[#This Row],[h2]],8))</f>
        <v>0</v>
      </c>
    </row>
    <row r="596" spans="1:18">
      <c r="A596" s="15" t="str">
        <f t="shared" si="14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8" t="s">
        <v>75</v>
      </c>
      <c r="P596" s="48">
        <f>HEX2DEC(RIGHT(Table1323212753586873[[#This Row],[h1]],8))</f>
        <v>0</v>
      </c>
      <c r="Q596" s="48" t="s">
        <v>75</v>
      </c>
      <c r="R596" s="48">
        <f>HEX2DEC(RIGHT(Table1323212753586873[[#This Row],[h2]],8))</f>
        <v>0</v>
      </c>
    </row>
    <row r="597" spans="1:18">
      <c r="A597" s="15" t="str">
        <f t="shared" si="14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8" t="s">
        <v>75</v>
      </c>
      <c r="P597" s="48">
        <f>HEX2DEC(RIGHT(Table1323212753586873[[#This Row],[h1]],8))</f>
        <v>0</v>
      </c>
      <c r="Q597" s="48" t="s">
        <v>75</v>
      </c>
      <c r="R597" s="48">
        <f>HEX2DEC(RIGHT(Table1323212753586873[[#This Row],[h2]],8))</f>
        <v>0</v>
      </c>
    </row>
    <row r="598" spans="1:18">
      <c r="A598" s="15" t="str">
        <f t="shared" si="14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8" t="s">
        <v>75</v>
      </c>
      <c r="P598" s="48">
        <f>HEX2DEC(RIGHT(Table1323212753586873[[#This Row],[h1]],8))</f>
        <v>0</v>
      </c>
      <c r="Q598" s="48" t="s">
        <v>75</v>
      </c>
      <c r="R598" s="48">
        <f>HEX2DEC(RIGHT(Table1323212753586873[[#This Row],[h2]],8))</f>
        <v>0</v>
      </c>
    </row>
    <row r="599" spans="1:18">
      <c r="A599" s="15" t="str">
        <f t="shared" si="14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8" t="s">
        <v>75</v>
      </c>
      <c r="P599" s="48">
        <f>HEX2DEC(RIGHT(Table1323212753586873[[#This Row],[h1]],8))</f>
        <v>0</v>
      </c>
      <c r="Q599" s="48" t="s">
        <v>75</v>
      </c>
      <c r="R599" s="48">
        <f>HEX2DEC(RIGHT(Table1323212753586873[[#This Row],[h2]],8))</f>
        <v>0</v>
      </c>
    </row>
    <row r="600" spans="1:18">
      <c r="A600" s="15" t="str">
        <f t="shared" si="14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8" t="s">
        <v>75</v>
      </c>
      <c r="P600" s="48">
        <f>HEX2DEC(RIGHT(Table1323212753586873[[#This Row],[h1]],8))</f>
        <v>0</v>
      </c>
      <c r="Q600" s="48" t="s">
        <v>75</v>
      </c>
      <c r="R600" s="48">
        <f>HEX2DEC(RIGHT(Table1323212753586873[[#This Row],[h2]],8))</f>
        <v>0</v>
      </c>
    </row>
    <row r="601" spans="1:18">
      <c r="A601" s="15" t="str">
        <f t="shared" si="14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8" t="s">
        <v>75</v>
      </c>
      <c r="P601" s="48">
        <f>HEX2DEC(RIGHT(Table1323212753586873[[#This Row],[h1]],8))</f>
        <v>0</v>
      </c>
      <c r="Q601" s="48" t="s">
        <v>75</v>
      </c>
      <c r="R601" s="48">
        <f>HEX2DEC(RIGHT(Table1323212753586873[[#This Row],[h2]],8))</f>
        <v>0</v>
      </c>
    </row>
    <row r="602" spans="1:18">
      <c r="A602" s="15" t="str">
        <f t="shared" si="14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8" t="s">
        <v>75</v>
      </c>
      <c r="P602" s="48">
        <f>HEX2DEC(RIGHT(Table1323212753586873[[#This Row],[h1]],8))</f>
        <v>0</v>
      </c>
      <c r="Q602" s="48" t="s">
        <v>75</v>
      </c>
      <c r="R602" s="48">
        <f>HEX2DEC(RIGHT(Table1323212753586873[[#This Row],[h2]],8))</f>
        <v>0</v>
      </c>
    </row>
    <row r="603" spans="1:18">
      <c r="A603" s="15" t="str">
        <f t="shared" si="14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8" t="s">
        <v>75</v>
      </c>
      <c r="P603" s="48">
        <f>HEX2DEC(RIGHT(Table1323212753586873[[#This Row],[h1]],8))</f>
        <v>0</v>
      </c>
      <c r="Q603" s="48" t="s">
        <v>75</v>
      </c>
      <c r="R603" s="48">
        <f>HEX2DEC(RIGHT(Table1323212753586873[[#This Row],[h2]],8))</f>
        <v>0</v>
      </c>
    </row>
    <row r="604" spans="1:18">
      <c r="A604" s="15" t="str">
        <f t="shared" si="14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8" t="s">
        <v>75</v>
      </c>
      <c r="P604" s="48">
        <f>HEX2DEC(RIGHT(Table1323212753586873[[#This Row],[h1]],8))</f>
        <v>0</v>
      </c>
      <c r="Q604" s="48" t="s">
        <v>75</v>
      </c>
      <c r="R604" s="48">
        <f>HEX2DEC(RIGHT(Table1323212753586873[[#This Row],[h2]],8))</f>
        <v>0</v>
      </c>
    </row>
    <row r="605" spans="1:18">
      <c r="A605" s="15" t="str">
        <f t="shared" si="14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8" t="s">
        <v>75</v>
      </c>
      <c r="P605" s="48">
        <f>HEX2DEC(RIGHT(Table1323212753586873[[#This Row],[h1]],8))</f>
        <v>0</v>
      </c>
      <c r="Q605" s="48" t="s">
        <v>75</v>
      </c>
      <c r="R605" s="48">
        <f>HEX2DEC(RIGHT(Table1323212753586873[[#This Row],[h2]],8))</f>
        <v>0</v>
      </c>
    </row>
    <row r="606" spans="1:18">
      <c r="A606" s="15" t="str">
        <f t="shared" si="14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8" t="s">
        <v>75</v>
      </c>
      <c r="P606" s="48">
        <f>HEX2DEC(RIGHT(Table1323212753586873[[#This Row],[h1]],8))</f>
        <v>0</v>
      </c>
      <c r="Q606" s="48" t="s">
        <v>75</v>
      </c>
      <c r="R606" s="48">
        <f>HEX2DEC(RIGHT(Table1323212753586873[[#This Row],[h2]],8))</f>
        <v>0</v>
      </c>
    </row>
    <row r="607" spans="1:18">
      <c r="A607" s="15" t="str">
        <f t="shared" si="14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8" t="s">
        <v>75</v>
      </c>
      <c r="P607" s="48">
        <f>HEX2DEC(RIGHT(Table1323212753586873[[#This Row],[h1]],8))</f>
        <v>0</v>
      </c>
      <c r="Q607" s="48" t="s">
        <v>75</v>
      </c>
      <c r="R607" s="48">
        <f>HEX2DEC(RIGHT(Table1323212753586873[[#This Row],[h2]],8))</f>
        <v>0</v>
      </c>
    </row>
    <row r="608" spans="1:18">
      <c r="A608" s="15" t="str">
        <f t="shared" si="14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8" t="s">
        <v>75</v>
      </c>
      <c r="P608" s="48">
        <f>HEX2DEC(RIGHT(Table1323212753586873[[#This Row],[h1]],8))</f>
        <v>0</v>
      </c>
      <c r="Q608" s="48" t="s">
        <v>75</v>
      </c>
      <c r="R608" s="48">
        <f>HEX2DEC(RIGHT(Table1323212753586873[[#This Row],[h2]],8))</f>
        <v>0</v>
      </c>
    </row>
    <row r="609" spans="1:18">
      <c r="A609" s="15" t="str">
        <f t="shared" si="14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8" t="s">
        <v>75</v>
      </c>
      <c r="P609" s="48">
        <f>HEX2DEC(RIGHT(Table1323212753586873[[#This Row],[h1]],8))</f>
        <v>0</v>
      </c>
      <c r="Q609" s="48" t="s">
        <v>75</v>
      </c>
      <c r="R609" s="48">
        <f>HEX2DEC(RIGHT(Table1323212753586873[[#This Row],[h2]],8))</f>
        <v>0</v>
      </c>
    </row>
    <row r="610" spans="1:18">
      <c r="A610" s="15" t="str">
        <f t="shared" si="14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8" t="s">
        <v>75</v>
      </c>
      <c r="P610" s="48">
        <f>HEX2DEC(RIGHT(Table1323212753586873[[#This Row],[h1]],8))</f>
        <v>0</v>
      </c>
      <c r="Q610" s="48" t="s">
        <v>75</v>
      </c>
      <c r="R610" s="48">
        <f>HEX2DEC(RIGHT(Table1323212753586873[[#This Row],[h2]],8))</f>
        <v>0</v>
      </c>
    </row>
    <row r="611" spans="1:18">
      <c r="A611" s="15" t="str">
        <f t="shared" si="14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8" t="s">
        <v>75</v>
      </c>
      <c r="P611" s="48">
        <f>HEX2DEC(RIGHT(Table1323212753586873[[#This Row],[h1]],8))</f>
        <v>0</v>
      </c>
      <c r="Q611" s="48" t="s">
        <v>75</v>
      </c>
      <c r="R611" s="48">
        <f>HEX2DEC(RIGHT(Table1323212753586873[[#This Row],[h2]],8))</f>
        <v>0</v>
      </c>
    </row>
    <row r="612" spans="1:18">
      <c r="A612" s="15" t="str">
        <f t="shared" si="14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8" t="s">
        <v>75</v>
      </c>
      <c r="P612" s="48">
        <f>HEX2DEC(RIGHT(Table1323212753586873[[#This Row],[h1]],8))</f>
        <v>0</v>
      </c>
      <c r="Q612" s="48" t="s">
        <v>75</v>
      </c>
      <c r="R612" s="48">
        <f>HEX2DEC(RIGHT(Table1323212753586873[[#This Row],[h2]],8))</f>
        <v>0</v>
      </c>
    </row>
    <row r="613" spans="1:18">
      <c r="A613" s="15" t="str">
        <f t="shared" si="14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8" t="s">
        <v>75</v>
      </c>
      <c r="P613" s="48">
        <f>HEX2DEC(RIGHT(Table1323212753586873[[#This Row],[h1]],8))</f>
        <v>0</v>
      </c>
      <c r="Q613" s="48" t="s">
        <v>75</v>
      </c>
      <c r="R613" s="48">
        <f>HEX2DEC(RIGHT(Table1323212753586873[[#This Row],[h2]],8))</f>
        <v>0</v>
      </c>
    </row>
    <row r="614" spans="1:18">
      <c r="A614" s="15" t="str">
        <f t="shared" si="14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8" t="s">
        <v>75</v>
      </c>
      <c r="P614" s="48">
        <f>HEX2DEC(RIGHT(Table1323212753586873[[#This Row],[h1]],8))</f>
        <v>0</v>
      </c>
      <c r="Q614" s="48" t="s">
        <v>75</v>
      </c>
      <c r="R614" s="48">
        <f>HEX2DEC(RIGHT(Table1323212753586873[[#This Row],[h2]],8))</f>
        <v>0</v>
      </c>
    </row>
    <row r="615" spans="1:18">
      <c r="A615" s="15" t="str">
        <f t="shared" si="14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8" t="s">
        <v>75</v>
      </c>
      <c r="P615" s="48">
        <f>HEX2DEC(RIGHT(Table1323212753586873[[#This Row],[h1]],8))</f>
        <v>0</v>
      </c>
      <c r="Q615" s="48" t="s">
        <v>75</v>
      </c>
      <c r="R615" s="48">
        <f>HEX2DEC(RIGHT(Table1323212753586873[[#This Row],[h2]],8))</f>
        <v>0</v>
      </c>
    </row>
    <row r="616" spans="1:18">
      <c r="A616" s="15" t="str">
        <f t="shared" si="14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8" t="s">
        <v>75</v>
      </c>
      <c r="P616" s="48">
        <f>HEX2DEC(RIGHT(Table1323212753586873[[#This Row],[h1]],8))</f>
        <v>0</v>
      </c>
      <c r="Q616" s="48" t="s">
        <v>75</v>
      </c>
      <c r="R616" s="48">
        <f>HEX2DEC(RIGHT(Table1323212753586873[[#This Row],[h2]],8))</f>
        <v>0</v>
      </c>
    </row>
    <row r="617" spans="1:18">
      <c r="A617" s="15" t="str">
        <f t="shared" si="14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8" t="s">
        <v>75</v>
      </c>
      <c r="P617" s="48">
        <f>HEX2DEC(RIGHT(Table1323212753586873[[#This Row],[h1]],8))</f>
        <v>0</v>
      </c>
      <c r="Q617" s="48" t="s">
        <v>75</v>
      </c>
      <c r="R617" s="48">
        <f>HEX2DEC(RIGHT(Table1323212753586873[[#This Row],[h2]],8))</f>
        <v>0</v>
      </c>
    </row>
    <row r="618" spans="1:18">
      <c r="A618" s="15" t="str">
        <f t="shared" si="14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8" t="s">
        <v>75</v>
      </c>
      <c r="P618" s="48">
        <f>HEX2DEC(RIGHT(Table1323212753586873[[#This Row],[h1]],8))</f>
        <v>0</v>
      </c>
      <c r="Q618" s="48" t="s">
        <v>75</v>
      </c>
      <c r="R618" s="48">
        <f>HEX2DEC(RIGHT(Table1323212753586873[[#This Row],[h2]],8))</f>
        <v>0</v>
      </c>
    </row>
    <row r="619" spans="1:18">
      <c r="A619" s="15" t="str">
        <f t="shared" si="14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8" t="s">
        <v>75</v>
      </c>
      <c r="P619" s="48">
        <f>HEX2DEC(RIGHT(Table1323212753586873[[#This Row],[h1]],8))</f>
        <v>0</v>
      </c>
      <c r="Q619" s="48" t="s">
        <v>75</v>
      </c>
      <c r="R619" s="48">
        <f>HEX2DEC(RIGHT(Table1323212753586873[[#This Row],[h2]],8))</f>
        <v>0</v>
      </c>
    </row>
    <row r="620" spans="1:18">
      <c r="A620" s="15" t="str">
        <f t="shared" si="14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8" t="s">
        <v>75</v>
      </c>
      <c r="P620" s="48">
        <f>HEX2DEC(RIGHT(Table1323212753586873[[#This Row],[h1]],8))</f>
        <v>0</v>
      </c>
      <c r="Q620" s="48" t="s">
        <v>75</v>
      </c>
      <c r="R620" s="48">
        <f>HEX2DEC(RIGHT(Table1323212753586873[[#This Row],[h2]],8))</f>
        <v>0</v>
      </c>
    </row>
    <row r="621" spans="1:18">
      <c r="A621" s="15" t="str">
        <f t="shared" si="14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8" t="s">
        <v>75</v>
      </c>
      <c r="P621" s="48">
        <f>HEX2DEC(RIGHT(Table1323212753586873[[#This Row],[h1]],8))</f>
        <v>0</v>
      </c>
      <c r="Q621" s="48" t="s">
        <v>75</v>
      </c>
      <c r="R621" s="48">
        <f>HEX2DEC(RIGHT(Table1323212753586873[[#This Row],[h2]],8))</f>
        <v>0</v>
      </c>
    </row>
    <row r="622" spans="1:18">
      <c r="A622" s="15" t="str">
        <f t="shared" si="14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8" t="s">
        <v>75</v>
      </c>
      <c r="P622" s="48">
        <f>HEX2DEC(RIGHT(Table1323212753586873[[#This Row],[h1]],8))</f>
        <v>0</v>
      </c>
      <c r="Q622" s="48" t="s">
        <v>75</v>
      </c>
      <c r="R622" s="48">
        <f>HEX2DEC(RIGHT(Table1323212753586873[[#This Row],[h2]],8))</f>
        <v>0</v>
      </c>
    </row>
    <row r="623" spans="1:18">
      <c r="A623" s="15" t="str">
        <f t="shared" si="14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8" t="s">
        <v>75</v>
      </c>
      <c r="P623" s="48">
        <f>HEX2DEC(RIGHT(Table1323212753586873[[#This Row],[h1]],8))</f>
        <v>0</v>
      </c>
      <c r="Q623" s="48" t="s">
        <v>75</v>
      </c>
      <c r="R623" s="48">
        <f>HEX2DEC(RIGHT(Table1323212753586873[[#This Row],[h2]],8))</f>
        <v>0</v>
      </c>
    </row>
    <row r="624" spans="1:18">
      <c r="A624" s="15" t="str">
        <f t="shared" si="14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8" t="s">
        <v>75</v>
      </c>
      <c r="P624" s="48">
        <f>HEX2DEC(RIGHT(Table1323212753586873[[#This Row],[h1]],8))</f>
        <v>0</v>
      </c>
      <c r="Q624" s="48" t="s">
        <v>75</v>
      </c>
      <c r="R624" s="48">
        <f>HEX2DEC(RIGHT(Table1323212753586873[[#This Row],[h2]],8))</f>
        <v>0</v>
      </c>
    </row>
    <row r="625" spans="1:18">
      <c r="A625" s="15" t="str">
        <f t="shared" si="14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8" t="s">
        <v>75</v>
      </c>
      <c r="P625" s="48">
        <f>HEX2DEC(RIGHT(Table1323212753586873[[#This Row],[h1]],8))</f>
        <v>0</v>
      </c>
      <c r="Q625" s="48" t="s">
        <v>75</v>
      </c>
      <c r="R625" s="48">
        <f>HEX2DEC(RIGHT(Table1323212753586873[[#This Row],[h2]],8))</f>
        <v>0</v>
      </c>
    </row>
    <row r="626" spans="1:18">
      <c r="A626" s="15" t="str">
        <f t="shared" si="14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8" t="s">
        <v>75</v>
      </c>
      <c r="P626" s="48">
        <f>HEX2DEC(RIGHT(Table1323212753586873[[#This Row],[h1]],8))</f>
        <v>0</v>
      </c>
      <c r="Q626" s="48" t="s">
        <v>75</v>
      </c>
      <c r="R626" s="48">
        <f>HEX2DEC(RIGHT(Table1323212753586873[[#This Row],[h2]],8))</f>
        <v>0</v>
      </c>
    </row>
    <row r="627" spans="1:18">
      <c r="A627" s="15" t="str">
        <f t="shared" si="14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8" t="s">
        <v>75</v>
      </c>
      <c r="P627" s="48">
        <f>HEX2DEC(RIGHT(Table1323212753586873[[#This Row],[h1]],8))</f>
        <v>0</v>
      </c>
      <c r="Q627" s="48" t="s">
        <v>75</v>
      </c>
      <c r="R627" s="48">
        <f>HEX2DEC(RIGHT(Table1323212753586873[[#This Row],[h2]],8))</f>
        <v>0</v>
      </c>
    </row>
    <row r="628" spans="1:18">
      <c r="A628" s="15" t="str">
        <f t="shared" si="14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8" t="s">
        <v>75</v>
      </c>
      <c r="P628" s="48">
        <f>HEX2DEC(RIGHT(Table1323212753586873[[#This Row],[h1]],8))</f>
        <v>0</v>
      </c>
      <c r="Q628" s="48" t="s">
        <v>75</v>
      </c>
      <c r="R628" s="48">
        <f>HEX2DEC(RIGHT(Table1323212753586873[[#This Row],[h2]],8))</f>
        <v>0</v>
      </c>
    </row>
    <row r="629" spans="1:18">
      <c r="A629" s="15" t="str">
        <f t="shared" si="14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8" t="s">
        <v>75</v>
      </c>
      <c r="P629" s="48">
        <f>HEX2DEC(RIGHT(Table1323212753586873[[#This Row],[h1]],8))</f>
        <v>0</v>
      </c>
      <c r="Q629" s="48" t="s">
        <v>75</v>
      </c>
      <c r="R629" s="48">
        <f>HEX2DEC(RIGHT(Table1323212753586873[[#This Row],[h2]],8))</f>
        <v>0</v>
      </c>
    </row>
    <row r="630" spans="1:18">
      <c r="A630" s="15" t="str">
        <f t="shared" si="14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8" t="s">
        <v>75</v>
      </c>
      <c r="P630" s="48">
        <f>HEX2DEC(RIGHT(Table1323212753586873[[#This Row],[h1]],8))</f>
        <v>0</v>
      </c>
      <c r="Q630" s="48" t="s">
        <v>75</v>
      </c>
      <c r="R630" s="48">
        <f>HEX2DEC(RIGHT(Table1323212753586873[[#This Row],[h2]],8))</f>
        <v>0</v>
      </c>
    </row>
    <row r="631" spans="1:18">
      <c r="A631" s="15" t="str">
        <f t="shared" si="14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8" t="s">
        <v>75</v>
      </c>
      <c r="P631" s="48">
        <f>HEX2DEC(RIGHT(Table1323212753586873[[#This Row],[h1]],8))</f>
        <v>0</v>
      </c>
      <c r="Q631" s="48" t="s">
        <v>75</v>
      </c>
      <c r="R631" s="48">
        <f>HEX2DEC(RIGHT(Table1323212753586873[[#This Row],[h2]],8))</f>
        <v>0</v>
      </c>
    </row>
    <row r="632" spans="1:18">
      <c r="A632" s="15" t="str">
        <f t="shared" si="14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8" t="s">
        <v>75</v>
      </c>
      <c r="P632" s="48">
        <f>HEX2DEC(RIGHT(Table1323212753586873[[#This Row],[h1]],8))</f>
        <v>0</v>
      </c>
      <c r="Q632" s="48" t="s">
        <v>75</v>
      </c>
      <c r="R632" s="48">
        <f>HEX2DEC(RIGHT(Table1323212753586873[[#This Row],[h2]],8))</f>
        <v>0</v>
      </c>
    </row>
    <row r="633" spans="1:18">
      <c r="A633" s="15" t="str">
        <f t="shared" si="14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8" t="s">
        <v>75</v>
      </c>
      <c r="P633" s="48">
        <f>HEX2DEC(RIGHT(Table1323212753586873[[#This Row],[h1]],8))</f>
        <v>0</v>
      </c>
      <c r="Q633" s="48" t="s">
        <v>75</v>
      </c>
      <c r="R633" s="48">
        <f>HEX2DEC(RIGHT(Table1323212753586873[[#This Row],[h2]],8))</f>
        <v>0</v>
      </c>
    </row>
    <row r="634" spans="1:18">
      <c r="A634" s="15" t="str">
        <f t="shared" si="14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8" t="s">
        <v>75</v>
      </c>
      <c r="P634" s="48">
        <f>HEX2DEC(RIGHT(Table1323212753586873[[#This Row],[h1]],8))</f>
        <v>0</v>
      </c>
      <c r="Q634" s="48" t="s">
        <v>75</v>
      </c>
      <c r="R634" s="48">
        <f>HEX2DEC(RIGHT(Table1323212753586873[[#This Row],[h2]],8))</f>
        <v>0</v>
      </c>
    </row>
    <row r="635" spans="1:18">
      <c r="A635" s="15" t="str">
        <f t="shared" si="14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8" t="s">
        <v>75</v>
      </c>
      <c r="P635" s="48">
        <f>HEX2DEC(RIGHT(Table1323212753586873[[#This Row],[h1]],8))</f>
        <v>0</v>
      </c>
      <c r="Q635" s="48" t="s">
        <v>75</v>
      </c>
      <c r="R635" s="48">
        <f>HEX2DEC(RIGHT(Table1323212753586873[[#This Row],[h2]],8))</f>
        <v>0</v>
      </c>
    </row>
    <row r="636" spans="1:18">
      <c r="A636" s="15" t="str">
        <f t="shared" si="14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8" t="s">
        <v>75</v>
      </c>
      <c r="P636" s="48">
        <f>HEX2DEC(RIGHT(Table1323212753586873[[#This Row],[h1]],8))</f>
        <v>0</v>
      </c>
      <c r="Q636" s="48" t="s">
        <v>75</v>
      </c>
      <c r="R636" s="48">
        <f>HEX2DEC(RIGHT(Table1323212753586873[[#This Row],[h2]],8))</f>
        <v>0</v>
      </c>
    </row>
    <row r="637" spans="1:18">
      <c r="A637" s="15" t="str">
        <f t="shared" si="14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8" t="s">
        <v>75</v>
      </c>
      <c r="P637" s="48">
        <f>HEX2DEC(RIGHT(Table1323212753586873[[#This Row],[h1]],8))</f>
        <v>0</v>
      </c>
      <c r="Q637" s="48" t="s">
        <v>75</v>
      </c>
      <c r="R637" s="48">
        <f>HEX2DEC(RIGHT(Table1323212753586873[[#This Row],[h2]],8))</f>
        <v>0</v>
      </c>
    </row>
    <row r="638" spans="1:18">
      <c r="A638" s="15" t="str">
        <f t="shared" si="14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8" t="s">
        <v>75</v>
      </c>
      <c r="P638" s="48">
        <f>HEX2DEC(RIGHT(Table1323212753586873[[#This Row],[h1]],8))</f>
        <v>0</v>
      </c>
      <c r="Q638" s="48" t="s">
        <v>75</v>
      </c>
      <c r="R638" s="48">
        <f>HEX2DEC(RIGHT(Table1323212753586873[[#This Row],[h2]],8))</f>
        <v>0</v>
      </c>
    </row>
    <row r="639" spans="1:18">
      <c r="A639" s="15" t="str">
        <f t="shared" si="14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8" t="s">
        <v>75</v>
      </c>
      <c r="P639" s="48">
        <f>HEX2DEC(RIGHT(Table1323212753586873[[#This Row],[h1]],8))</f>
        <v>0</v>
      </c>
      <c r="Q639" s="48" t="s">
        <v>75</v>
      </c>
      <c r="R639" s="48">
        <f>HEX2DEC(RIGHT(Table1323212753586873[[#This Row],[h2]],8))</f>
        <v>0</v>
      </c>
    </row>
    <row r="640" spans="1:18">
      <c r="A640" s="15" t="str">
        <f t="shared" si="14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8" t="s">
        <v>75</v>
      </c>
      <c r="P640" s="48">
        <f>HEX2DEC(RIGHT(Table1323212753586873[[#This Row],[h1]],8))</f>
        <v>0</v>
      </c>
      <c r="Q640" s="48" t="s">
        <v>75</v>
      </c>
      <c r="R640" s="48">
        <f>HEX2DEC(RIGHT(Table1323212753586873[[#This Row],[h2]],8))</f>
        <v>0</v>
      </c>
    </row>
    <row r="641" spans="1:18">
      <c r="A641" s="15" t="str">
        <f t="shared" si="14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8" t="s">
        <v>75</v>
      </c>
      <c r="P641" s="48">
        <f>HEX2DEC(RIGHT(Table1323212753586873[[#This Row],[h1]],8))</f>
        <v>0</v>
      </c>
      <c r="Q641" s="48" t="s">
        <v>75</v>
      </c>
      <c r="R641" s="48">
        <f>HEX2DEC(RIGHT(Table1323212753586873[[#This Row],[h2]],8))</f>
        <v>0</v>
      </c>
    </row>
    <row r="642" spans="1:18">
      <c r="A642" s="15" t="str">
        <f t="shared" si="14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8" t="s">
        <v>75</v>
      </c>
      <c r="P642" s="48">
        <f>HEX2DEC(RIGHT(Table1323212753586873[[#This Row],[h1]],8))</f>
        <v>0</v>
      </c>
      <c r="Q642" s="48" t="s">
        <v>75</v>
      </c>
      <c r="R642" s="48">
        <f>HEX2DEC(RIGHT(Table1323212753586873[[#This Row],[h2]],8))</f>
        <v>0</v>
      </c>
    </row>
    <row r="643" spans="1:18">
      <c r="A643" s="15" t="str">
        <f t="shared" si="14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8" t="s">
        <v>75</v>
      </c>
      <c r="P643" s="48">
        <f>HEX2DEC(RIGHT(Table1323212753586873[[#This Row],[h1]],8))</f>
        <v>0</v>
      </c>
      <c r="Q643" s="48" t="s">
        <v>75</v>
      </c>
      <c r="R643" s="48">
        <f>HEX2DEC(RIGHT(Table1323212753586873[[#This Row],[h2]],8))</f>
        <v>0</v>
      </c>
    </row>
    <row r="644" spans="1:18">
      <c r="A644" s="15" t="str">
        <f t="shared" si="14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8" t="s">
        <v>75</v>
      </c>
      <c r="P644" s="48">
        <f>HEX2DEC(RIGHT(Table1323212753586873[[#This Row],[h1]],8))</f>
        <v>0</v>
      </c>
      <c r="Q644" s="48" t="s">
        <v>75</v>
      </c>
      <c r="R644" s="48">
        <f>HEX2DEC(RIGHT(Table1323212753586873[[#This Row],[h2]],8))</f>
        <v>0</v>
      </c>
    </row>
    <row r="645" spans="1:18">
      <c r="A645" s="15" t="str">
        <f t="shared" si="14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8" t="s">
        <v>75</v>
      </c>
      <c r="P645" s="48">
        <f>HEX2DEC(RIGHT(Table1323212753586873[[#This Row],[h1]],8))</f>
        <v>0</v>
      </c>
      <c r="Q645" s="48" t="s">
        <v>75</v>
      </c>
      <c r="R645" s="48">
        <f>HEX2DEC(RIGHT(Table1323212753586873[[#This Row],[h2]],8))</f>
        <v>0</v>
      </c>
    </row>
    <row r="646" spans="1:18">
      <c r="A646" s="15" t="str">
        <f t="shared" si="14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8" t="s">
        <v>75</v>
      </c>
      <c r="P646" s="48">
        <f>HEX2DEC(RIGHT(Table1323212753586873[[#This Row],[h1]],8))</f>
        <v>0</v>
      </c>
      <c r="Q646" s="48" t="s">
        <v>75</v>
      </c>
      <c r="R646" s="48">
        <f>HEX2DEC(RIGHT(Table1323212753586873[[#This Row],[h2]],8))</f>
        <v>0</v>
      </c>
    </row>
    <row r="647" spans="1:18">
      <c r="A647" s="15" t="str">
        <f t="shared" si="14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8" t="s">
        <v>75</v>
      </c>
      <c r="P647" s="48">
        <f>HEX2DEC(RIGHT(Table1323212753586873[[#This Row],[h1]],8))</f>
        <v>0</v>
      </c>
      <c r="Q647" s="48" t="s">
        <v>75</v>
      </c>
      <c r="R647" s="48">
        <f>HEX2DEC(RIGHT(Table1323212753586873[[#This Row],[h2]],8))</f>
        <v>0</v>
      </c>
    </row>
    <row r="648" spans="1:18">
      <c r="A648" s="15" t="str">
        <f t="shared" si="14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8" t="s">
        <v>75</v>
      </c>
      <c r="P648" s="48">
        <f>HEX2DEC(RIGHT(Table1323212753586873[[#This Row],[h1]],8))</f>
        <v>0</v>
      </c>
      <c r="Q648" s="48" t="s">
        <v>75</v>
      </c>
      <c r="R648" s="48">
        <f>HEX2DEC(RIGHT(Table1323212753586873[[#This Row],[h2]],8))</f>
        <v>0</v>
      </c>
    </row>
    <row r="649" spans="1:18">
      <c r="A649" s="15" t="str">
        <f t="shared" si="14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8" t="s">
        <v>75</v>
      </c>
      <c r="P649" s="48">
        <f>HEX2DEC(RIGHT(Table1323212753586873[[#This Row],[h1]],8))</f>
        <v>0</v>
      </c>
      <c r="Q649" s="48" t="s">
        <v>75</v>
      </c>
      <c r="R649" s="48">
        <f>HEX2DEC(RIGHT(Table1323212753586873[[#This Row],[h2]],8))</f>
        <v>0</v>
      </c>
    </row>
    <row r="650" spans="1:18">
      <c r="A650" s="15" t="str">
        <f t="shared" si="14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8" t="s">
        <v>75</v>
      </c>
      <c r="P650" s="48">
        <f>HEX2DEC(RIGHT(Table1323212753586873[[#This Row],[h1]],8))</f>
        <v>0</v>
      </c>
      <c r="Q650" s="48" t="s">
        <v>75</v>
      </c>
      <c r="R650" s="48">
        <f>HEX2DEC(RIGHT(Table1323212753586873[[#This Row],[h2]],8))</f>
        <v>0</v>
      </c>
    </row>
    <row r="651" spans="1:18">
      <c r="A651" s="15" t="str">
        <f t="shared" ref="A651:A714" si="15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8" t="s">
        <v>75</v>
      </c>
      <c r="P651" s="48">
        <f>HEX2DEC(RIGHT(Table1323212753586873[[#This Row],[h1]],8))</f>
        <v>0</v>
      </c>
      <c r="Q651" s="48" t="s">
        <v>75</v>
      </c>
      <c r="R651" s="48">
        <f>HEX2DEC(RIGHT(Table1323212753586873[[#This Row],[h2]],8))</f>
        <v>0</v>
      </c>
    </row>
    <row r="652" spans="1:18">
      <c r="A652" s="15" t="str">
        <f t="shared" si="15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8" t="s">
        <v>75</v>
      </c>
      <c r="P652" s="48">
        <f>HEX2DEC(RIGHT(Table1323212753586873[[#This Row],[h1]],8))</f>
        <v>0</v>
      </c>
      <c r="Q652" s="48" t="s">
        <v>75</v>
      </c>
      <c r="R652" s="48">
        <f>HEX2DEC(RIGHT(Table1323212753586873[[#This Row],[h2]],8))</f>
        <v>0</v>
      </c>
    </row>
    <row r="653" spans="1:18">
      <c r="A653" s="15" t="str">
        <f t="shared" si="15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8" t="s">
        <v>75</v>
      </c>
      <c r="P653" s="48">
        <f>HEX2DEC(RIGHT(Table1323212753586873[[#This Row],[h1]],8))</f>
        <v>0</v>
      </c>
      <c r="Q653" s="48" t="s">
        <v>75</v>
      </c>
      <c r="R653" s="48">
        <f>HEX2DEC(RIGHT(Table1323212753586873[[#This Row],[h2]],8))</f>
        <v>0</v>
      </c>
    </row>
    <row r="654" spans="1:18">
      <c r="A654" s="15" t="str">
        <f t="shared" si="15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8" t="s">
        <v>75</v>
      </c>
      <c r="P654" s="48">
        <f>HEX2DEC(RIGHT(Table1323212753586873[[#This Row],[h1]],8))</f>
        <v>0</v>
      </c>
      <c r="Q654" s="48" t="s">
        <v>75</v>
      </c>
      <c r="R654" s="48">
        <f>HEX2DEC(RIGHT(Table1323212753586873[[#This Row],[h2]],8))</f>
        <v>0</v>
      </c>
    </row>
    <row r="655" spans="1:18">
      <c r="A655" s="15" t="str">
        <f t="shared" si="15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8" t="s">
        <v>75</v>
      </c>
      <c r="P655" s="48">
        <f>HEX2DEC(RIGHT(Table1323212753586873[[#This Row],[h1]],8))</f>
        <v>0</v>
      </c>
      <c r="Q655" s="48" t="s">
        <v>75</v>
      </c>
      <c r="R655" s="48">
        <f>HEX2DEC(RIGHT(Table1323212753586873[[#This Row],[h2]],8))</f>
        <v>0</v>
      </c>
    </row>
    <row r="656" spans="1:18">
      <c r="A656" s="15" t="str">
        <f t="shared" si="15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8" t="s">
        <v>75</v>
      </c>
      <c r="P656" s="48">
        <f>HEX2DEC(RIGHT(Table1323212753586873[[#This Row],[h1]],8))</f>
        <v>0</v>
      </c>
      <c r="Q656" s="48" t="s">
        <v>75</v>
      </c>
      <c r="R656" s="48">
        <f>HEX2DEC(RIGHT(Table1323212753586873[[#This Row],[h2]],8))</f>
        <v>0</v>
      </c>
    </row>
    <row r="657" spans="1:18">
      <c r="A657" s="15" t="str">
        <f t="shared" si="15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8" t="s">
        <v>75</v>
      </c>
      <c r="P657" s="48">
        <f>HEX2DEC(RIGHT(Table1323212753586873[[#This Row],[h1]],8))</f>
        <v>0</v>
      </c>
      <c r="Q657" s="48" t="s">
        <v>75</v>
      </c>
      <c r="R657" s="48">
        <f>HEX2DEC(RIGHT(Table1323212753586873[[#This Row],[h2]],8))</f>
        <v>0</v>
      </c>
    </row>
    <row r="658" spans="1:18">
      <c r="A658" s="15" t="str">
        <f t="shared" si="15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8" t="s">
        <v>75</v>
      </c>
      <c r="P658" s="48">
        <f>HEX2DEC(RIGHT(Table1323212753586873[[#This Row],[h1]],8))</f>
        <v>0</v>
      </c>
      <c r="Q658" s="48" t="s">
        <v>75</v>
      </c>
      <c r="R658" s="48">
        <f>HEX2DEC(RIGHT(Table1323212753586873[[#This Row],[h2]],8))</f>
        <v>0</v>
      </c>
    </row>
    <row r="659" spans="1:18">
      <c r="A659" s="15" t="str">
        <f t="shared" si="15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8" t="s">
        <v>75</v>
      </c>
      <c r="P659" s="48">
        <f>HEX2DEC(RIGHT(Table1323212753586873[[#This Row],[h1]],8))</f>
        <v>0</v>
      </c>
      <c r="Q659" s="48" t="s">
        <v>75</v>
      </c>
      <c r="R659" s="48">
        <f>HEX2DEC(RIGHT(Table1323212753586873[[#This Row],[h2]],8))</f>
        <v>0</v>
      </c>
    </row>
    <row r="660" spans="1:18">
      <c r="A660" s="15" t="str">
        <f t="shared" si="15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8" t="s">
        <v>75</v>
      </c>
      <c r="P660" s="48">
        <f>HEX2DEC(RIGHT(Table1323212753586873[[#This Row],[h1]],8))</f>
        <v>0</v>
      </c>
      <c r="Q660" s="48" t="s">
        <v>75</v>
      </c>
      <c r="R660" s="48">
        <f>HEX2DEC(RIGHT(Table1323212753586873[[#This Row],[h2]],8))</f>
        <v>0</v>
      </c>
    </row>
    <row r="661" spans="1:18">
      <c r="A661" s="15" t="str">
        <f t="shared" si="15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8" t="s">
        <v>75</v>
      </c>
      <c r="P661" s="48">
        <f>HEX2DEC(RIGHT(Table1323212753586873[[#This Row],[h1]],8))</f>
        <v>0</v>
      </c>
      <c r="Q661" s="48" t="s">
        <v>75</v>
      </c>
      <c r="R661" s="48">
        <f>HEX2DEC(RIGHT(Table1323212753586873[[#This Row],[h2]],8))</f>
        <v>0</v>
      </c>
    </row>
    <row r="662" spans="1:18">
      <c r="A662" s="15" t="str">
        <f t="shared" si="15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8" t="s">
        <v>75</v>
      </c>
      <c r="P662" s="48">
        <f>HEX2DEC(RIGHT(Table1323212753586873[[#This Row],[h1]],8))</f>
        <v>0</v>
      </c>
      <c r="Q662" s="48" t="s">
        <v>75</v>
      </c>
      <c r="R662" s="48">
        <f>HEX2DEC(RIGHT(Table1323212753586873[[#This Row],[h2]],8))</f>
        <v>0</v>
      </c>
    </row>
    <row r="663" spans="1:18">
      <c r="A663" s="15" t="str">
        <f t="shared" si="15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8" t="s">
        <v>75</v>
      </c>
      <c r="P663" s="48">
        <f>HEX2DEC(RIGHT(Table1323212753586873[[#This Row],[h1]],8))</f>
        <v>0</v>
      </c>
      <c r="Q663" s="48" t="s">
        <v>75</v>
      </c>
      <c r="R663" s="48">
        <f>HEX2DEC(RIGHT(Table1323212753586873[[#This Row],[h2]],8))</f>
        <v>0</v>
      </c>
    </row>
    <row r="664" spans="1:18">
      <c r="A664" s="15" t="str">
        <f t="shared" si="15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8" t="s">
        <v>75</v>
      </c>
      <c r="P664" s="48">
        <f>HEX2DEC(RIGHT(Table1323212753586873[[#This Row],[h1]],8))</f>
        <v>0</v>
      </c>
      <c r="Q664" s="48" t="s">
        <v>75</v>
      </c>
      <c r="R664" s="48">
        <f>HEX2DEC(RIGHT(Table1323212753586873[[#This Row],[h2]],8))</f>
        <v>0</v>
      </c>
    </row>
    <row r="665" spans="1:18">
      <c r="A665" s="15" t="str">
        <f t="shared" si="15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8" t="s">
        <v>75</v>
      </c>
      <c r="P665" s="48">
        <f>HEX2DEC(RIGHT(Table1323212753586873[[#This Row],[h1]],8))</f>
        <v>0</v>
      </c>
      <c r="Q665" s="48" t="s">
        <v>75</v>
      </c>
      <c r="R665" s="48">
        <f>HEX2DEC(RIGHT(Table1323212753586873[[#This Row],[h2]],8))</f>
        <v>0</v>
      </c>
    </row>
    <row r="666" spans="1:18">
      <c r="A666" s="15" t="str">
        <f t="shared" si="15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8" t="s">
        <v>75</v>
      </c>
      <c r="P666" s="48">
        <f>HEX2DEC(RIGHT(Table1323212753586873[[#This Row],[h1]],8))</f>
        <v>0</v>
      </c>
      <c r="Q666" s="48" t="s">
        <v>75</v>
      </c>
      <c r="R666" s="48">
        <f>HEX2DEC(RIGHT(Table1323212753586873[[#This Row],[h2]],8))</f>
        <v>0</v>
      </c>
    </row>
    <row r="667" spans="1:18">
      <c r="A667" s="15" t="str">
        <f t="shared" si="15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8" t="s">
        <v>75</v>
      </c>
      <c r="P667" s="48">
        <f>HEX2DEC(RIGHT(Table1323212753586873[[#This Row],[h1]],8))</f>
        <v>0</v>
      </c>
      <c r="Q667" s="48" t="s">
        <v>75</v>
      </c>
      <c r="R667" s="48">
        <f>HEX2DEC(RIGHT(Table1323212753586873[[#This Row],[h2]],8))</f>
        <v>0</v>
      </c>
    </row>
    <row r="668" spans="1:18">
      <c r="A668" s="15" t="str">
        <f t="shared" si="15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8" t="s">
        <v>75</v>
      </c>
      <c r="P668" s="48">
        <f>HEX2DEC(RIGHT(Table1323212753586873[[#This Row],[h1]],8))</f>
        <v>0</v>
      </c>
      <c r="Q668" s="48" t="s">
        <v>75</v>
      </c>
      <c r="R668" s="48">
        <f>HEX2DEC(RIGHT(Table1323212753586873[[#This Row],[h2]],8))</f>
        <v>0</v>
      </c>
    </row>
    <row r="669" spans="1:18">
      <c r="A669" s="15" t="str">
        <f t="shared" si="15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8" t="s">
        <v>75</v>
      </c>
      <c r="P669" s="48">
        <f>HEX2DEC(RIGHT(Table1323212753586873[[#This Row],[h1]],8))</f>
        <v>0</v>
      </c>
      <c r="Q669" s="48" t="s">
        <v>75</v>
      </c>
      <c r="R669" s="48">
        <f>HEX2DEC(RIGHT(Table1323212753586873[[#This Row],[h2]],8))</f>
        <v>0</v>
      </c>
    </row>
    <row r="670" spans="1:18">
      <c r="A670" s="15" t="str">
        <f t="shared" si="15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8" t="s">
        <v>75</v>
      </c>
      <c r="P670" s="48">
        <f>HEX2DEC(RIGHT(Table1323212753586873[[#This Row],[h1]],8))</f>
        <v>0</v>
      </c>
      <c r="Q670" s="48" t="s">
        <v>75</v>
      </c>
      <c r="R670" s="48">
        <f>HEX2DEC(RIGHT(Table1323212753586873[[#This Row],[h2]],8))</f>
        <v>0</v>
      </c>
    </row>
    <row r="671" spans="1:18">
      <c r="A671" s="15" t="str">
        <f t="shared" si="15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8" t="s">
        <v>75</v>
      </c>
      <c r="P671" s="48">
        <f>HEX2DEC(RIGHT(Table1323212753586873[[#This Row],[h1]],8))</f>
        <v>0</v>
      </c>
      <c r="Q671" s="48" t="s">
        <v>75</v>
      </c>
      <c r="R671" s="48">
        <f>HEX2DEC(RIGHT(Table1323212753586873[[#This Row],[h2]],8))</f>
        <v>0</v>
      </c>
    </row>
    <row r="672" spans="1:18">
      <c r="A672" s="15" t="str">
        <f t="shared" si="15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8" t="s">
        <v>75</v>
      </c>
      <c r="P672" s="48">
        <f>HEX2DEC(RIGHT(Table1323212753586873[[#This Row],[h1]],8))</f>
        <v>0</v>
      </c>
      <c r="Q672" s="48" t="s">
        <v>75</v>
      </c>
      <c r="R672" s="48">
        <f>HEX2DEC(RIGHT(Table1323212753586873[[#This Row],[h2]],8))</f>
        <v>0</v>
      </c>
    </row>
    <row r="673" spans="1:18">
      <c r="A673" s="15" t="str">
        <f t="shared" si="15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8" t="s">
        <v>75</v>
      </c>
      <c r="P673" s="48">
        <f>HEX2DEC(RIGHT(Table1323212753586873[[#This Row],[h1]],8))</f>
        <v>0</v>
      </c>
      <c r="Q673" s="48" t="s">
        <v>75</v>
      </c>
      <c r="R673" s="48">
        <f>HEX2DEC(RIGHT(Table1323212753586873[[#This Row],[h2]],8))</f>
        <v>0</v>
      </c>
    </row>
    <row r="674" spans="1:18">
      <c r="A674" s="15" t="str">
        <f t="shared" si="15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8" t="s">
        <v>75</v>
      </c>
      <c r="P674" s="48">
        <f>HEX2DEC(RIGHT(Table1323212753586873[[#This Row],[h1]],8))</f>
        <v>0</v>
      </c>
      <c r="Q674" s="48" t="s">
        <v>75</v>
      </c>
      <c r="R674" s="48">
        <f>HEX2DEC(RIGHT(Table1323212753586873[[#This Row],[h2]],8))</f>
        <v>0</v>
      </c>
    </row>
    <row r="675" spans="1:18">
      <c r="A675" s="15" t="str">
        <f t="shared" si="15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8" t="s">
        <v>75</v>
      </c>
      <c r="P675" s="48">
        <f>HEX2DEC(RIGHT(Table1323212753586873[[#This Row],[h1]],8))</f>
        <v>0</v>
      </c>
      <c r="Q675" s="48" t="s">
        <v>75</v>
      </c>
      <c r="R675" s="48">
        <f>HEX2DEC(RIGHT(Table1323212753586873[[#This Row],[h2]],8))</f>
        <v>0</v>
      </c>
    </row>
    <row r="676" spans="1:18">
      <c r="A676" s="15" t="str">
        <f t="shared" si="15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8" t="s">
        <v>75</v>
      </c>
      <c r="P676" s="48">
        <f>HEX2DEC(RIGHT(Table1323212753586873[[#This Row],[h1]],8))</f>
        <v>0</v>
      </c>
      <c r="Q676" s="48" t="s">
        <v>75</v>
      </c>
      <c r="R676" s="48">
        <f>HEX2DEC(RIGHT(Table1323212753586873[[#This Row],[h2]],8))</f>
        <v>0</v>
      </c>
    </row>
    <row r="677" spans="1:18">
      <c r="A677" s="15" t="str">
        <f t="shared" si="15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8" t="s">
        <v>75</v>
      </c>
      <c r="P677" s="48">
        <f>HEX2DEC(RIGHT(Table1323212753586873[[#This Row],[h1]],8))</f>
        <v>0</v>
      </c>
      <c r="Q677" s="48" t="s">
        <v>75</v>
      </c>
      <c r="R677" s="48">
        <f>HEX2DEC(RIGHT(Table1323212753586873[[#This Row],[h2]],8))</f>
        <v>0</v>
      </c>
    </row>
    <row r="678" spans="1:18">
      <c r="A678" s="15" t="str">
        <f t="shared" si="15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8" t="s">
        <v>75</v>
      </c>
      <c r="P678" s="48">
        <f>HEX2DEC(RIGHT(Table1323212753586873[[#This Row],[h1]],8))</f>
        <v>0</v>
      </c>
      <c r="Q678" s="48" t="s">
        <v>75</v>
      </c>
      <c r="R678" s="48">
        <f>HEX2DEC(RIGHT(Table1323212753586873[[#This Row],[h2]],8))</f>
        <v>0</v>
      </c>
    </row>
    <row r="679" spans="1:18">
      <c r="A679" s="15" t="str">
        <f t="shared" si="15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8" t="s">
        <v>75</v>
      </c>
      <c r="P679" s="48">
        <f>HEX2DEC(RIGHT(Table1323212753586873[[#This Row],[h1]],8))</f>
        <v>0</v>
      </c>
      <c r="Q679" s="48" t="s">
        <v>75</v>
      </c>
      <c r="R679" s="48">
        <f>HEX2DEC(RIGHT(Table1323212753586873[[#This Row],[h2]],8))</f>
        <v>0</v>
      </c>
    </row>
    <row r="680" spans="1:18">
      <c r="A680" s="15" t="str">
        <f t="shared" si="15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8" t="s">
        <v>75</v>
      </c>
      <c r="P680" s="48">
        <f>HEX2DEC(RIGHT(Table1323212753586873[[#This Row],[h1]],8))</f>
        <v>0</v>
      </c>
      <c r="Q680" s="48" t="s">
        <v>75</v>
      </c>
      <c r="R680" s="48">
        <f>HEX2DEC(RIGHT(Table1323212753586873[[#This Row],[h2]],8))</f>
        <v>0</v>
      </c>
    </row>
    <row r="681" spans="1:18">
      <c r="A681" s="15" t="str">
        <f t="shared" si="15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8" t="s">
        <v>75</v>
      </c>
      <c r="P681" s="48">
        <f>HEX2DEC(RIGHT(Table1323212753586873[[#This Row],[h1]],8))</f>
        <v>0</v>
      </c>
      <c r="Q681" s="48" t="s">
        <v>75</v>
      </c>
      <c r="R681" s="48">
        <f>HEX2DEC(RIGHT(Table1323212753586873[[#This Row],[h2]],8))</f>
        <v>0</v>
      </c>
    </row>
    <row r="682" spans="1:18">
      <c r="A682" s="15" t="str">
        <f t="shared" si="15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8" t="s">
        <v>75</v>
      </c>
      <c r="P682" s="48">
        <f>HEX2DEC(RIGHT(Table1323212753586873[[#This Row],[h1]],8))</f>
        <v>0</v>
      </c>
      <c r="Q682" s="48" t="s">
        <v>75</v>
      </c>
      <c r="R682" s="48">
        <f>HEX2DEC(RIGHT(Table1323212753586873[[#This Row],[h2]],8))</f>
        <v>0</v>
      </c>
    </row>
    <row r="683" spans="1:18">
      <c r="A683" s="15" t="str">
        <f t="shared" si="15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8" t="s">
        <v>75</v>
      </c>
      <c r="P683" s="48">
        <f>HEX2DEC(RIGHT(Table1323212753586873[[#This Row],[h1]],8))</f>
        <v>0</v>
      </c>
      <c r="Q683" s="48" t="s">
        <v>75</v>
      </c>
      <c r="R683" s="48">
        <f>HEX2DEC(RIGHT(Table1323212753586873[[#This Row],[h2]],8))</f>
        <v>0</v>
      </c>
    </row>
    <row r="684" spans="1:18">
      <c r="A684" s="15" t="str">
        <f t="shared" si="15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8" t="s">
        <v>75</v>
      </c>
      <c r="P684" s="48">
        <f>HEX2DEC(RIGHT(Table1323212753586873[[#This Row],[h1]],8))</f>
        <v>0</v>
      </c>
      <c r="Q684" s="48" t="s">
        <v>75</v>
      </c>
      <c r="R684" s="48">
        <f>HEX2DEC(RIGHT(Table1323212753586873[[#This Row],[h2]],8))</f>
        <v>0</v>
      </c>
    </row>
    <row r="685" spans="1:18">
      <c r="A685" s="15" t="str">
        <f t="shared" si="15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8" t="s">
        <v>75</v>
      </c>
      <c r="P685" s="48">
        <f>HEX2DEC(RIGHT(Table1323212753586873[[#This Row],[h1]],8))</f>
        <v>0</v>
      </c>
      <c r="Q685" s="48" t="s">
        <v>75</v>
      </c>
      <c r="R685" s="48">
        <f>HEX2DEC(RIGHT(Table1323212753586873[[#This Row],[h2]],8))</f>
        <v>0</v>
      </c>
    </row>
    <row r="686" spans="1:18">
      <c r="A686" s="15" t="str">
        <f t="shared" si="15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8" t="s">
        <v>75</v>
      </c>
      <c r="P686" s="48">
        <f>HEX2DEC(RIGHT(Table1323212753586873[[#This Row],[h1]],8))</f>
        <v>0</v>
      </c>
      <c r="Q686" s="48" t="s">
        <v>75</v>
      </c>
      <c r="R686" s="48">
        <f>HEX2DEC(RIGHT(Table1323212753586873[[#This Row],[h2]],8))</f>
        <v>0</v>
      </c>
    </row>
    <row r="687" spans="1:18">
      <c r="A687" s="15" t="str">
        <f t="shared" si="15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8" t="s">
        <v>75</v>
      </c>
      <c r="P687" s="48">
        <f>HEX2DEC(RIGHT(Table1323212753586873[[#This Row],[h1]],8))</f>
        <v>0</v>
      </c>
      <c r="Q687" s="48" t="s">
        <v>75</v>
      </c>
      <c r="R687" s="48">
        <f>HEX2DEC(RIGHT(Table1323212753586873[[#This Row],[h2]],8))</f>
        <v>0</v>
      </c>
    </row>
    <row r="688" spans="1:18">
      <c r="A688" s="15" t="str">
        <f t="shared" si="15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8" t="s">
        <v>75</v>
      </c>
      <c r="P688" s="48">
        <f>HEX2DEC(RIGHT(Table1323212753586873[[#This Row],[h1]],8))</f>
        <v>0</v>
      </c>
      <c r="Q688" s="48" t="s">
        <v>75</v>
      </c>
      <c r="R688" s="48">
        <f>HEX2DEC(RIGHT(Table1323212753586873[[#This Row],[h2]],8))</f>
        <v>0</v>
      </c>
    </row>
    <row r="689" spans="1:18">
      <c r="A689" s="15" t="str">
        <f t="shared" si="15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8" t="s">
        <v>75</v>
      </c>
      <c r="P689" s="48">
        <f>HEX2DEC(RIGHT(Table1323212753586873[[#This Row],[h1]],8))</f>
        <v>0</v>
      </c>
      <c r="Q689" s="48" t="s">
        <v>75</v>
      </c>
      <c r="R689" s="48">
        <f>HEX2DEC(RIGHT(Table1323212753586873[[#This Row],[h2]],8))</f>
        <v>0</v>
      </c>
    </row>
    <row r="690" spans="1:18">
      <c r="A690" s="15" t="str">
        <f t="shared" si="15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8" t="s">
        <v>75</v>
      </c>
      <c r="P690" s="48">
        <f>HEX2DEC(RIGHT(Table1323212753586873[[#This Row],[h1]],8))</f>
        <v>0</v>
      </c>
      <c r="Q690" s="48" t="s">
        <v>75</v>
      </c>
      <c r="R690" s="48">
        <f>HEX2DEC(RIGHT(Table1323212753586873[[#This Row],[h2]],8))</f>
        <v>0</v>
      </c>
    </row>
    <row r="691" spans="1:18">
      <c r="A691" s="15" t="str">
        <f t="shared" si="15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8" t="s">
        <v>75</v>
      </c>
      <c r="P691" s="48">
        <f>HEX2DEC(RIGHT(Table1323212753586873[[#This Row],[h1]],8))</f>
        <v>0</v>
      </c>
      <c r="Q691" s="48" t="s">
        <v>75</v>
      </c>
      <c r="R691" s="48">
        <f>HEX2DEC(RIGHT(Table1323212753586873[[#This Row],[h2]],8))</f>
        <v>0</v>
      </c>
    </row>
    <row r="692" spans="1:18">
      <c r="A692" s="15" t="str">
        <f t="shared" si="15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8" t="s">
        <v>75</v>
      </c>
      <c r="P692" s="48">
        <f>HEX2DEC(RIGHT(Table1323212753586873[[#This Row],[h1]],8))</f>
        <v>0</v>
      </c>
      <c r="Q692" s="48" t="s">
        <v>75</v>
      </c>
      <c r="R692" s="48">
        <f>HEX2DEC(RIGHT(Table1323212753586873[[#This Row],[h2]],8))</f>
        <v>0</v>
      </c>
    </row>
    <row r="693" spans="1:18">
      <c r="A693" s="15" t="str">
        <f t="shared" si="15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8" t="s">
        <v>75</v>
      </c>
      <c r="P693" s="48">
        <f>HEX2DEC(RIGHT(Table1323212753586873[[#This Row],[h1]],8))</f>
        <v>0</v>
      </c>
      <c r="Q693" s="48" t="s">
        <v>75</v>
      </c>
      <c r="R693" s="48">
        <f>HEX2DEC(RIGHT(Table1323212753586873[[#This Row],[h2]],8))</f>
        <v>0</v>
      </c>
    </row>
    <row r="694" spans="1:18">
      <c r="A694" s="15" t="str">
        <f t="shared" si="15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8" t="s">
        <v>75</v>
      </c>
      <c r="P694" s="48">
        <f>HEX2DEC(RIGHT(Table1323212753586873[[#This Row],[h1]],8))</f>
        <v>0</v>
      </c>
      <c r="Q694" s="48" t="s">
        <v>75</v>
      </c>
      <c r="R694" s="48">
        <f>HEX2DEC(RIGHT(Table1323212753586873[[#This Row],[h2]],8))</f>
        <v>0</v>
      </c>
    </row>
    <row r="695" spans="1:18">
      <c r="A695" s="15" t="str">
        <f t="shared" si="15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8" t="s">
        <v>75</v>
      </c>
      <c r="P695" s="48">
        <f>HEX2DEC(RIGHT(Table1323212753586873[[#This Row],[h1]],8))</f>
        <v>0</v>
      </c>
      <c r="Q695" s="48" t="s">
        <v>75</v>
      </c>
      <c r="R695" s="48">
        <f>HEX2DEC(RIGHT(Table1323212753586873[[#This Row],[h2]],8))</f>
        <v>0</v>
      </c>
    </row>
    <row r="696" spans="1:18">
      <c r="A696" s="15" t="str">
        <f t="shared" si="15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8" t="s">
        <v>75</v>
      </c>
      <c r="P696" s="48">
        <f>HEX2DEC(RIGHT(Table1323212753586873[[#This Row],[h1]],8))</f>
        <v>0</v>
      </c>
      <c r="Q696" s="48" t="s">
        <v>75</v>
      </c>
      <c r="R696" s="48">
        <f>HEX2DEC(RIGHT(Table1323212753586873[[#This Row],[h2]],8))</f>
        <v>0</v>
      </c>
    </row>
    <row r="697" spans="1:18">
      <c r="A697" s="15" t="str">
        <f t="shared" si="15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8" t="s">
        <v>75</v>
      </c>
      <c r="P697" s="48">
        <f>HEX2DEC(RIGHT(Table1323212753586873[[#This Row],[h1]],8))</f>
        <v>0</v>
      </c>
      <c r="Q697" s="48" t="s">
        <v>75</v>
      </c>
      <c r="R697" s="48">
        <f>HEX2DEC(RIGHT(Table1323212753586873[[#This Row],[h2]],8))</f>
        <v>0</v>
      </c>
    </row>
    <row r="698" spans="1:18">
      <c r="A698" s="15" t="str">
        <f t="shared" si="15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8" t="s">
        <v>75</v>
      </c>
      <c r="P698" s="48">
        <f>HEX2DEC(RIGHT(Table1323212753586873[[#This Row],[h1]],8))</f>
        <v>0</v>
      </c>
      <c r="Q698" s="48" t="s">
        <v>75</v>
      </c>
      <c r="R698" s="48">
        <f>HEX2DEC(RIGHT(Table1323212753586873[[#This Row],[h2]],8))</f>
        <v>0</v>
      </c>
    </row>
    <row r="699" spans="1:18">
      <c r="A699" s="15" t="str">
        <f t="shared" si="15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8" t="s">
        <v>75</v>
      </c>
      <c r="P699" s="48">
        <f>HEX2DEC(RIGHT(Table1323212753586873[[#This Row],[h1]],8))</f>
        <v>0</v>
      </c>
      <c r="Q699" s="48" t="s">
        <v>75</v>
      </c>
      <c r="R699" s="48">
        <f>HEX2DEC(RIGHT(Table1323212753586873[[#This Row],[h2]],8))</f>
        <v>0</v>
      </c>
    </row>
    <row r="700" spans="1:18">
      <c r="A700" s="15" t="str">
        <f t="shared" si="15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8" t="s">
        <v>75</v>
      </c>
      <c r="P700" s="48">
        <f>HEX2DEC(RIGHT(Table1323212753586873[[#This Row],[h1]],8))</f>
        <v>0</v>
      </c>
      <c r="Q700" s="48" t="s">
        <v>75</v>
      </c>
      <c r="R700" s="48">
        <f>HEX2DEC(RIGHT(Table1323212753586873[[#This Row],[h2]],8))</f>
        <v>0</v>
      </c>
    </row>
    <row r="701" spans="1:18">
      <c r="A701" s="15" t="str">
        <f t="shared" si="15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8" t="s">
        <v>75</v>
      </c>
      <c r="P701" s="48">
        <f>HEX2DEC(RIGHT(Table1323212753586873[[#This Row],[h1]],8))</f>
        <v>0</v>
      </c>
      <c r="Q701" s="48" t="s">
        <v>75</v>
      </c>
      <c r="R701" s="48">
        <f>HEX2DEC(RIGHT(Table1323212753586873[[#This Row],[h2]],8))</f>
        <v>0</v>
      </c>
    </row>
    <row r="702" spans="1:18">
      <c r="A702" s="15" t="str">
        <f t="shared" si="15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8" t="s">
        <v>75</v>
      </c>
      <c r="P702" s="48">
        <f>HEX2DEC(RIGHT(Table1323212753586873[[#This Row],[h1]],8))</f>
        <v>0</v>
      </c>
      <c r="Q702" s="48" t="s">
        <v>75</v>
      </c>
      <c r="R702" s="48">
        <f>HEX2DEC(RIGHT(Table1323212753586873[[#This Row],[h2]],8))</f>
        <v>0</v>
      </c>
    </row>
    <row r="703" spans="1:18">
      <c r="A703" s="15" t="str">
        <f t="shared" si="15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8" t="s">
        <v>75</v>
      </c>
      <c r="P703" s="48">
        <f>HEX2DEC(RIGHT(Table1323212753586873[[#This Row],[h1]],8))</f>
        <v>0</v>
      </c>
      <c r="Q703" s="48" t="s">
        <v>75</v>
      </c>
      <c r="R703" s="48">
        <f>HEX2DEC(RIGHT(Table1323212753586873[[#This Row],[h2]],8))</f>
        <v>0</v>
      </c>
    </row>
    <row r="704" spans="1:18">
      <c r="A704" s="15" t="str">
        <f t="shared" si="15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8" t="s">
        <v>75</v>
      </c>
      <c r="P704" s="48">
        <f>HEX2DEC(RIGHT(Table1323212753586873[[#This Row],[h1]],8))</f>
        <v>0</v>
      </c>
      <c r="Q704" s="48" t="s">
        <v>75</v>
      </c>
      <c r="R704" s="48">
        <f>HEX2DEC(RIGHT(Table1323212753586873[[#This Row],[h2]],8))</f>
        <v>0</v>
      </c>
    </row>
    <row r="705" spans="1:18">
      <c r="A705" s="15" t="str">
        <f t="shared" si="15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8" t="s">
        <v>75</v>
      </c>
      <c r="P705" s="48">
        <f>HEX2DEC(RIGHT(Table1323212753586873[[#This Row],[h1]],8))</f>
        <v>0</v>
      </c>
      <c r="Q705" s="48" t="s">
        <v>75</v>
      </c>
      <c r="R705" s="48">
        <f>HEX2DEC(RIGHT(Table1323212753586873[[#This Row],[h2]],8))</f>
        <v>0</v>
      </c>
    </row>
    <row r="706" spans="1:18">
      <c r="A706" s="15" t="str">
        <f t="shared" si="15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8" t="s">
        <v>75</v>
      </c>
      <c r="P706" s="48">
        <f>HEX2DEC(RIGHT(Table1323212753586873[[#This Row],[h1]],8))</f>
        <v>0</v>
      </c>
      <c r="Q706" s="48" t="s">
        <v>75</v>
      </c>
      <c r="R706" s="48">
        <f>HEX2DEC(RIGHT(Table1323212753586873[[#This Row],[h2]],8))</f>
        <v>0</v>
      </c>
    </row>
    <row r="707" spans="1:18">
      <c r="A707" s="15" t="str">
        <f t="shared" si="15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8" t="s">
        <v>75</v>
      </c>
      <c r="P707" s="48">
        <f>HEX2DEC(RIGHT(Table1323212753586873[[#This Row],[h1]],8))</f>
        <v>0</v>
      </c>
      <c r="Q707" s="48" t="s">
        <v>75</v>
      </c>
      <c r="R707" s="48">
        <f>HEX2DEC(RIGHT(Table1323212753586873[[#This Row],[h2]],8))</f>
        <v>0</v>
      </c>
    </row>
    <row r="708" spans="1:18">
      <c r="A708" s="15" t="str">
        <f t="shared" si="15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8" t="s">
        <v>75</v>
      </c>
      <c r="P708" s="48">
        <f>HEX2DEC(RIGHT(Table1323212753586873[[#This Row],[h1]],8))</f>
        <v>0</v>
      </c>
      <c r="Q708" s="48" t="s">
        <v>75</v>
      </c>
      <c r="R708" s="48">
        <f>HEX2DEC(RIGHT(Table1323212753586873[[#This Row],[h2]],8))</f>
        <v>0</v>
      </c>
    </row>
    <row r="709" spans="1:18">
      <c r="A709" s="15" t="str">
        <f t="shared" si="15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8" t="s">
        <v>75</v>
      </c>
      <c r="P709" s="48">
        <f>HEX2DEC(RIGHT(Table1323212753586873[[#This Row],[h1]],8))</f>
        <v>0</v>
      </c>
      <c r="Q709" s="48" t="s">
        <v>75</v>
      </c>
      <c r="R709" s="48">
        <f>HEX2DEC(RIGHT(Table1323212753586873[[#This Row],[h2]],8))</f>
        <v>0</v>
      </c>
    </row>
    <row r="710" spans="1:18">
      <c r="A710" s="15" t="str">
        <f t="shared" si="15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8" t="s">
        <v>75</v>
      </c>
      <c r="P710" s="48">
        <f>HEX2DEC(RIGHT(Table1323212753586873[[#This Row],[h1]],8))</f>
        <v>0</v>
      </c>
      <c r="Q710" s="48" t="s">
        <v>75</v>
      </c>
      <c r="R710" s="48">
        <f>HEX2DEC(RIGHT(Table1323212753586873[[#This Row],[h2]],8))</f>
        <v>0</v>
      </c>
    </row>
    <row r="711" spans="1:18">
      <c r="A711" s="15" t="str">
        <f t="shared" si="15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8" t="s">
        <v>75</v>
      </c>
      <c r="P711" s="48">
        <f>HEX2DEC(RIGHT(Table1323212753586873[[#This Row],[h1]],8))</f>
        <v>0</v>
      </c>
      <c r="Q711" s="48" t="s">
        <v>75</v>
      </c>
      <c r="R711" s="48">
        <f>HEX2DEC(RIGHT(Table1323212753586873[[#This Row],[h2]],8))</f>
        <v>0</v>
      </c>
    </row>
    <row r="712" spans="1:18">
      <c r="A712" s="15" t="str">
        <f t="shared" si="15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8" t="s">
        <v>75</v>
      </c>
      <c r="P712" s="48">
        <f>HEX2DEC(RIGHT(Table1323212753586873[[#This Row],[h1]],8))</f>
        <v>0</v>
      </c>
      <c r="Q712" s="48" t="s">
        <v>75</v>
      </c>
      <c r="R712" s="48">
        <f>HEX2DEC(RIGHT(Table1323212753586873[[#This Row],[h2]],8))</f>
        <v>0</v>
      </c>
    </row>
    <row r="713" spans="1:18">
      <c r="A713" s="15" t="str">
        <f t="shared" si="15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8" t="s">
        <v>75</v>
      </c>
      <c r="P713" s="48">
        <f>HEX2DEC(RIGHT(Table1323212753586873[[#This Row],[h1]],8))</f>
        <v>0</v>
      </c>
      <c r="Q713" s="48" t="s">
        <v>75</v>
      </c>
      <c r="R713" s="48">
        <f>HEX2DEC(RIGHT(Table1323212753586873[[#This Row],[h2]],8))</f>
        <v>0</v>
      </c>
    </row>
    <row r="714" spans="1:18">
      <c r="A714" s="15" t="str">
        <f t="shared" si="15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8" t="s">
        <v>75</v>
      </c>
      <c r="P714" s="48">
        <f>HEX2DEC(RIGHT(Table1323212753586873[[#This Row],[h1]],8))</f>
        <v>0</v>
      </c>
      <c r="Q714" s="48" t="s">
        <v>75</v>
      </c>
      <c r="R714" s="48">
        <f>HEX2DEC(RIGHT(Table1323212753586873[[#This Row],[h2]],8))</f>
        <v>0</v>
      </c>
    </row>
    <row r="715" spans="1:18">
      <c r="A715" s="15" t="str">
        <f t="shared" ref="A715:A778" si="16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8" t="s">
        <v>75</v>
      </c>
      <c r="P715" s="48">
        <f>HEX2DEC(RIGHT(Table1323212753586873[[#This Row],[h1]],8))</f>
        <v>0</v>
      </c>
      <c r="Q715" s="48" t="s">
        <v>75</v>
      </c>
      <c r="R715" s="48">
        <f>HEX2DEC(RIGHT(Table1323212753586873[[#This Row],[h2]],8))</f>
        <v>0</v>
      </c>
    </row>
    <row r="716" spans="1:18">
      <c r="A716" s="15" t="str">
        <f t="shared" si="16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8" t="s">
        <v>75</v>
      </c>
      <c r="P716" s="48">
        <f>HEX2DEC(RIGHT(Table1323212753586873[[#This Row],[h1]],8))</f>
        <v>0</v>
      </c>
      <c r="Q716" s="48" t="s">
        <v>75</v>
      </c>
      <c r="R716" s="48">
        <f>HEX2DEC(RIGHT(Table1323212753586873[[#This Row],[h2]],8))</f>
        <v>0</v>
      </c>
    </row>
    <row r="717" spans="1:18">
      <c r="A717" s="15" t="str">
        <f t="shared" si="16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8" t="s">
        <v>75</v>
      </c>
      <c r="P717" s="48">
        <f>HEX2DEC(RIGHT(Table1323212753586873[[#This Row],[h1]],8))</f>
        <v>0</v>
      </c>
      <c r="Q717" s="48" t="s">
        <v>75</v>
      </c>
      <c r="R717" s="48">
        <f>HEX2DEC(RIGHT(Table1323212753586873[[#This Row],[h2]],8))</f>
        <v>0</v>
      </c>
    </row>
    <row r="718" spans="1:18">
      <c r="A718" s="15" t="str">
        <f t="shared" si="16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8" t="s">
        <v>75</v>
      </c>
      <c r="P718" s="48">
        <f>HEX2DEC(RIGHT(Table1323212753586873[[#This Row],[h1]],8))</f>
        <v>0</v>
      </c>
      <c r="Q718" s="48" t="s">
        <v>75</v>
      </c>
      <c r="R718" s="48">
        <f>HEX2DEC(RIGHT(Table1323212753586873[[#This Row],[h2]],8))</f>
        <v>0</v>
      </c>
    </row>
    <row r="719" spans="1:18">
      <c r="A719" s="15" t="str">
        <f t="shared" si="16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8" t="s">
        <v>75</v>
      </c>
      <c r="P719" s="48">
        <f>HEX2DEC(RIGHT(Table1323212753586873[[#This Row],[h1]],8))</f>
        <v>0</v>
      </c>
      <c r="Q719" s="48" t="s">
        <v>75</v>
      </c>
      <c r="R719" s="48">
        <f>HEX2DEC(RIGHT(Table1323212753586873[[#This Row],[h2]],8))</f>
        <v>0</v>
      </c>
    </row>
    <row r="720" spans="1:18">
      <c r="A720" s="15" t="str">
        <f t="shared" si="16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8" t="s">
        <v>75</v>
      </c>
      <c r="P720" s="48">
        <f>HEX2DEC(RIGHT(Table1323212753586873[[#This Row],[h1]],8))</f>
        <v>0</v>
      </c>
      <c r="Q720" s="48" t="s">
        <v>75</v>
      </c>
      <c r="R720" s="48">
        <f>HEX2DEC(RIGHT(Table1323212753586873[[#This Row],[h2]],8))</f>
        <v>0</v>
      </c>
    </row>
    <row r="721" spans="1:18">
      <c r="A721" s="15" t="str">
        <f t="shared" si="16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8" t="s">
        <v>75</v>
      </c>
      <c r="P721" s="48">
        <f>HEX2DEC(RIGHT(Table1323212753586873[[#This Row],[h1]],8))</f>
        <v>0</v>
      </c>
      <c r="Q721" s="48" t="s">
        <v>75</v>
      </c>
      <c r="R721" s="48">
        <f>HEX2DEC(RIGHT(Table1323212753586873[[#This Row],[h2]],8))</f>
        <v>0</v>
      </c>
    </row>
    <row r="722" spans="1:18">
      <c r="A722" s="15" t="str">
        <f t="shared" si="16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8" t="s">
        <v>75</v>
      </c>
      <c r="P722" s="48">
        <f>HEX2DEC(RIGHT(Table1323212753586873[[#This Row],[h1]],8))</f>
        <v>0</v>
      </c>
      <c r="Q722" s="48" t="s">
        <v>75</v>
      </c>
      <c r="R722" s="48">
        <f>HEX2DEC(RIGHT(Table1323212753586873[[#This Row],[h2]],8))</f>
        <v>0</v>
      </c>
    </row>
    <row r="723" spans="1:18">
      <c r="A723" s="15" t="str">
        <f t="shared" si="16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8" t="s">
        <v>75</v>
      </c>
      <c r="P723" s="48">
        <f>HEX2DEC(RIGHT(Table1323212753586873[[#This Row],[h1]],8))</f>
        <v>0</v>
      </c>
      <c r="Q723" s="48" t="s">
        <v>75</v>
      </c>
      <c r="R723" s="48">
        <f>HEX2DEC(RIGHT(Table1323212753586873[[#This Row],[h2]],8))</f>
        <v>0</v>
      </c>
    </row>
    <row r="724" spans="1:18">
      <c r="A724" s="15" t="str">
        <f t="shared" si="16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8" t="s">
        <v>75</v>
      </c>
      <c r="P724" s="48">
        <f>HEX2DEC(RIGHT(Table1323212753586873[[#This Row],[h1]],8))</f>
        <v>0</v>
      </c>
      <c r="Q724" s="48" t="s">
        <v>75</v>
      </c>
      <c r="R724" s="48">
        <f>HEX2DEC(RIGHT(Table1323212753586873[[#This Row],[h2]],8))</f>
        <v>0</v>
      </c>
    </row>
    <row r="725" spans="1:18">
      <c r="A725" s="15" t="str">
        <f t="shared" si="16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8" t="s">
        <v>75</v>
      </c>
      <c r="P725" s="48">
        <f>HEX2DEC(RIGHT(Table1323212753586873[[#This Row],[h1]],8))</f>
        <v>0</v>
      </c>
      <c r="Q725" s="48" t="s">
        <v>75</v>
      </c>
      <c r="R725" s="48">
        <f>HEX2DEC(RIGHT(Table1323212753586873[[#This Row],[h2]],8))</f>
        <v>0</v>
      </c>
    </row>
    <row r="726" spans="1:18">
      <c r="A726" s="15" t="str">
        <f t="shared" si="16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8" t="s">
        <v>75</v>
      </c>
      <c r="P726" s="48">
        <f>HEX2DEC(RIGHT(Table1323212753586873[[#This Row],[h1]],8))</f>
        <v>0</v>
      </c>
      <c r="Q726" s="48" t="s">
        <v>75</v>
      </c>
      <c r="R726" s="48">
        <f>HEX2DEC(RIGHT(Table1323212753586873[[#This Row],[h2]],8))</f>
        <v>0</v>
      </c>
    </row>
    <row r="727" spans="1:18">
      <c r="A727" s="15" t="str">
        <f t="shared" si="16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8" t="s">
        <v>75</v>
      </c>
      <c r="P727" s="48">
        <f>HEX2DEC(RIGHT(Table1323212753586873[[#This Row],[h1]],8))</f>
        <v>0</v>
      </c>
      <c r="Q727" s="48" t="s">
        <v>75</v>
      </c>
      <c r="R727" s="48">
        <f>HEX2DEC(RIGHT(Table1323212753586873[[#This Row],[h2]],8))</f>
        <v>0</v>
      </c>
    </row>
    <row r="728" spans="1:18">
      <c r="A728" s="15" t="str">
        <f t="shared" si="16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8" t="s">
        <v>75</v>
      </c>
      <c r="P728" s="48">
        <f>HEX2DEC(RIGHT(Table1323212753586873[[#This Row],[h1]],8))</f>
        <v>0</v>
      </c>
      <c r="Q728" s="48" t="s">
        <v>75</v>
      </c>
      <c r="R728" s="48">
        <f>HEX2DEC(RIGHT(Table1323212753586873[[#This Row],[h2]],8))</f>
        <v>0</v>
      </c>
    </row>
    <row r="729" spans="1:18">
      <c r="A729" s="15" t="str">
        <f t="shared" si="16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8" t="s">
        <v>75</v>
      </c>
      <c r="P729" s="48">
        <f>HEX2DEC(RIGHT(Table1323212753586873[[#This Row],[h1]],8))</f>
        <v>0</v>
      </c>
      <c r="Q729" s="48" t="s">
        <v>75</v>
      </c>
      <c r="R729" s="48">
        <f>HEX2DEC(RIGHT(Table1323212753586873[[#This Row],[h2]],8))</f>
        <v>0</v>
      </c>
    </row>
    <row r="730" spans="1:18">
      <c r="A730" s="15" t="str">
        <f t="shared" si="16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8" t="s">
        <v>75</v>
      </c>
      <c r="P730" s="48">
        <f>HEX2DEC(RIGHT(Table1323212753586873[[#This Row],[h1]],8))</f>
        <v>0</v>
      </c>
      <c r="Q730" s="48" t="s">
        <v>75</v>
      </c>
      <c r="R730" s="48">
        <f>HEX2DEC(RIGHT(Table1323212753586873[[#This Row],[h2]],8))</f>
        <v>0</v>
      </c>
    </row>
    <row r="731" spans="1:18">
      <c r="A731" s="15" t="str">
        <f t="shared" si="16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8" t="s">
        <v>75</v>
      </c>
      <c r="P731" s="48">
        <f>HEX2DEC(RIGHT(Table1323212753586873[[#This Row],[h1]],8))</f>
        <v>0</v>
      </c>
      <c r="Q731" s="48" t="s">
        <v>75</v>
      </c>
      <c r="R731" s="48">
        <f>HEX2DEC(RIGHT(Table1323212753586873[[#This Row],[h2]],8))</f>
        <v>0</v>
      </c>
    </row>
    <row r="732" spans="1:18">
      <c r="A732" s="15" t="str">
        <f t="shared" si="16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8" t="s">
        <v>75</v>
      </c>
      <c r="P732" s="48">
        <f>HEX2DEC(RIGHT(Table1323212753586873[[#This Row],[h1]],8))</f>
        <v>0</v>
      </c>
      <c r="Q732" s="48" t="s">
        <v>75</v>
      </c>
      <c r="R732" s="48">
        <f>HEX2DEC(RIGHT(Table1323212753586873[[#This Row],[h2]],8))</f>
        <v>0</v>
      </c>
    </row>
    <row r="733" spans="1:18">
      <c r="A733" s="15" t="str">
        <f t="shared" si="16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8" t="s">
        <v>75</v>
      </c>
      <c r="P733" s="48">
        <f>HEX2DEC(RIGHT(Table1323212753586873[[#This Row],[h1]],8))</f>
        <v>0</v>
      </c>
      <c r="Q733" s="48" t="s">
        <v>75</v>
      </c>
      <c r="R733" s="48">
        <f>HEX2DEC(RIGHT(Table1323212753586873[[#This Row],[h2]],8))</f>
        <v>0</v>
      </c>
    </row>
    <row r="734" spans="1:18">
      <c r="A734" s="15" t="str">
        <f t="shared" si="16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8" t="s">
        <v>75</v>
      </c>
      <c r="P734" s="48">
        <f>HEX2DEC(RIGHT(Table1323212753586873[[#This Row],[h1]],8))</f>
        <v>0</v>
      </c>
      <c r="Q734" s="48" t="s">
        <v>75</v>
      </c>
      <c r="R734" s="48">
        <f>HEX2DEC(RIGHT(Table1323212753586873[[#This Row],[h2]],8))</f>
        <v>0</v>
      </c>
    </row>
    <row r="735" spans="1:18">
      <c r="A735" s="15" t="str">
        <f t="shared" si="16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8" t="s">
        <v>75</v>
      </c>
      <c r="P735" s="48">
        <f>HEX2DEC(RIGHT(Table1323212753586873[[#This Row],[h1]],8))</f>
        <v>0</v>
      </c>
      <c r="Q735" s="48" t="s">
        <v>75</v>
      </c>
      <c r="R735" s="48">
        <f>HEX2DEC(RIGHT(Table1323212753586873[[#This Row],[h2]],8))</f>
        <v>0</v>
      </c>
    </row>
    <row r="736" spans="1:18">
      <c r="A736" s="15" t="str">
        <f t="shared" si="16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8" t="s">
        <v>75</v>
      </c>
      <c r="P736" s="48">
        <f>HEX2DEC(RIGHT(Table1323212753586873[[#This Row],[h1]],8))</f>
        <v>0</v>
      </c>
      <c r="Q736" s="48" t="s">
        <v>75</v>
      </c>
      <c r="R736" s="48">
        <f>HEX2DEC(RIGHT(Table1323212753586873[[#This Row],[h2]],8))</f>
        <v>0</v>
      </c>
    </row>
    <row r="737" spans="1:18">
      <c r="A737" s="15" t="str">
        <f t="shared" si="16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8" t="s">
        <v>75</v>
      </c>
      <c r="P737" s="48">
        <f>HEX2DEC(RIGHT(Table1323212753586873[[#This Row],[h1]],8))</f>
        <v>0</v>
      </c>
      <c r="Q737" s="48" t="s">
        <v>75</v>
      </c>
      <c r="R737" s="48">
        <f>HEX2DEC(RIGHT(Table1323212753586873[[#This Row],[h2]],8))</f>
        <v>0</v>
      </c>
    </row>
    <row r="738" spans="1:18">
      <c r="A738" s="15" t="str">
        <f t="shared" si="16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8" t="s">
        <v>75</v>
      </c>
      <c r="P738" s="48">
        <f>HEX2DEC(RIGHT(Table1323212753586873[[#This Row],[h1]],8))</f>
        <v>0</v>
      </c>
      <c r="Q738" s="48" t="s">
        <v>75</v>
      </c>
      <c r="R738" s="48">
        <f>HEX2DEC(RIGHT(Table1323212753586873[[#This Row],[h2]],8))</f>
        <v>0</v>
      </c>
    </row>
    <row r="739" spans="1:18">
      <c r="A739" s="15" t="str">
        <f t="shared" si="16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8" t="s">
        <v>75</v>
      </c>
      <c r="P739" s="48">
        <f>HEX2DEC(RIGHT(Table1323212753586873[[#This Row],[h1]],8))</f>
        <v>0</v>
      </c>
      <c r="Q739" s="48" t="s">
        <v>75</v>
      </c>
      <c r="R739" s="48">
        <f>HEX2DEC(RIGHT(Table1323212753586873[[#This Row],[h2]],8))</f>
        <v>0</v>
      </c>
    </row>
    <row r="740" spans="1:18">
      <c r="A740" s="15" t="str">
        <f t="shared" si="16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8" t="s">
        <v>75</v>
      </c>
      <c r="P740" s="48">
        <f>HEX2DEC(RIGHT(Table1323212753586873[[#This Row],[h1]],8))</f>
        <v>0</v>
      </c>
      <c r="Q740" s="48" t="s">
        <v>75</v>
      </c>
      <c r="R740" s="48">
        <f>HEX2DEC(RIGHT(Table1323212753586873[[#This Row],[h2]],8))</f>
        <v>0</v>
      </c>
    </row>
    <row r="741" spans="1:18">
      <c r="A741" s="15" t="str">
        <f t="shared" si="16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8" t="s">
        <v>75</v>
      </c>
      <c r="P741" s="48">
        <f>HEX2DEC(RIGHT(Table1323212753586873[[#This Row],[h1]],8))</f>
        <v>0</v>
      </c>
      <c r="Q741" s="48" t="s">
        <v>75</v>
      </c>
      <c r="R741" s="48">
        <f>HEX2DEC(RIGHT(Table1323212753586873[[#This Row],[h2]],8))</f>
        <v>0</v>
      </c>
    </row>
    <row r="742" spans="1:18">
      <c r="A742" s="15" t="str">
        <f t="shared" si="16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8" t="s">
        <v>75</v>
      </c>
      <c r="P742" s="48">
        <f>HEX2DEC(RIGHT(Table1323212753586873[[#This Row],[h1]],8))</f>
        <v>0</v>
      </c>
      <c r="Q742" s="48" t="s">
        <v>75</v>
      </c>
      <c r="R742" s="48">
        <f>HEX2DEC(RIGHT(Table1323212753586873[[#This Row],[h2]],8))</f>
        <v>0</v>
      </c>
    </row>
    <row r="743" spans="1:18">
      <c r="A743" s="15" t="str">
        <f t="shared" si="16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8" t="s">
        <v>75</v>
      </c>
      <c r="P743" s="48">
        <f>HEX2DEC(RIGHT(Table1323212753586873[[#This Row],[h1]],8))</f>
        <v>0</v>
      </c>
      <c r="Q743" s="48" t="s">
        <v>75</v>
      </c>
      <c r="R743" s="48">
        <f>HEX2DEC(RIGHT(Table1323212753586873[[#This Row],[h2]],8))</f>
        <v>0</v>
      </c>
    </row>
    <row r="744" spans="1:18">
      <c r="A744" s="15" t="str">
        <f t="shared" si="16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8" t="s">
        <v>75</v>
      </c>
      <c r="P744" s="48">
        <f>HEX2DEC(RIGHT(Table1323212753586873[[#This Row],[h1]],8))</f>
        <v>0</v>
      </c>
      <c r="Q744" s="48" t="s">
        <v>75</v>
      </c>
      <c r="R744" s="48">
        <f>HEX2DEC(RIGHT(Table1323212753586873[[#This Row],[h2]],8))</f>
        <v>0</v>
      </c>
    </row>
    <row r="745" spans="1:18">
      <c r="A745" s="15" t="str">
        <f t="shared" si="16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8" t="s">
        <v>75</v>
      </c>
      <c r="P745" s="48">
        <f>HEX2DEC(RIGHT(Table1323212753586873[[#This Row],[h1]],8))</f>
        <v>0</v>
      </c>
      <c r="Q745" s="48" t="s">
        <v>75</v>
      </c>
      <c r="R745" s="48">
        <f>HEX2DEC(RIGHT(Table1323212753586873[[#This Row],[h2]],8))</f>
        <v>0</v>
      </c>
    </row>
    <row r="746" spans="1:18">
      <c r="A746" s="15" t="str">
        <f t="shared" si="16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8" t="s">
        <v>75</v>
      </c>
      <c r="P746" s="48">
        <f>HEX2DEC(RIGHT(Table1323212753586873[[#This Row],[h1]],8))</f>
        <v>0</v>
      </c>
      <c r="Q746" s="48" t="s">
        <v>75</v>
      </c>
      <c r="R746" s="48">
        <f>HEX2DEC(RIGHT(Table1323212753586873[[#This Row],[h2]],8))</f>
        <v>0</v>
      </c>
    </row>
    <row r="747" spans="1:18">
      <c r="A747" s="15" t="str">
        <f t="shared" si="16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8" t="s">
        <v>75</v>
      </c>
      <c r="P747" s="48">
        <f>HEX2DEC(RIGHT(Table1323212753586873[[#This Row],[h1]],8))</f>
        <v>0</v>
      </c>
      <c r="Q747" s="48" t="s">
        <v>75</v>
      </c>
      <c r="R747" s="48">
        <f>HEX2DEC(RIGHT(Table1323212753586873[[#This Row],[h2]],8))</f>
        <v>0</v>
      </c>
    </row>
    <row r="748" spans="1:18">
      <c r="A748" s="15" t="str">
        <f t="shared" si="16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8" t="s">
        <v>75</v>
      </c>
      <c r="P748" s="48">
        <f>HEX2DEC(RIGHT(Table1323212753586873[[#This Row],[h1]],8))</f>
        <v>0</v>
      </c>
      <c r="Q748" s="48" t="s">
        <v>75</v>
      </c>
      <c r="R748" s="48">
        <f>HEX2DEC(RIGHT(Table1323212753586873[[#This Row],[h2]],8))</f>
        <v>0</v>
      </c>
    </row>
    <row r="749" spans="1:18">
      <c r="A749" s="15" t="str">
        <f t="shared" si="16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8" t="s">
        <v>75</v>
      </c>
      <c r="P749" s="48">
        <f>HEX2DEC(RIGHT(Table1323212753586873[[#This Row],[h1]],8))</f>
        <v>0</v>
      </c>
      <c r="Q749" s="48" t="s">
        <v>75</v>
      </c>
      <c r="R749" s="48">
        <f>HEX2DEC(RIGHT(Table1323212753586873[[#This Row],[h2]],8))</f>
        <v>0</v>
      </c>
    </row>
    <row r="750" spans="1:18">
      <c r="A750" s="15" t="str">
        <f t="shared" si="16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8" t="s">
        <v>75</v>
      </c>
      <c r="P750" s="48">
        <f>HEX2DEC(RIGHT(Table1323212753586873[[#This Row],[h1]],8))</f>
        <v>0</v>
      </c>
      <c r="Q750" s="48" t="s">
        <v>75</v>
      </c>
      <c r="R750" s="48">
        <f>HEX2DEC(RIGHT(Table1323212753586873[[#This Row],[h2]],8))</f>
        <v>0</v>
      </c>
    </row>
    <row r="751" spans="1:18">
      <c r="A751" s="15" t="str">
        <f t="shared" si="16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8" t="s">
        <v>75</v>
      </c>
      <c r="P751" s="48">
        <f>HEX2DEC(RIGHT(Table1323212753586873[[#This Row],[h1]],8))</f>
        <v>0</v>
      </c>
      <c r="Q751" s="48" t="s">
        <v>75</v>
      </c>
      <c r="R751" s="48">
        <f>HEX2DEC(RIGHT(Table1323212753586873[[#This Row],[h2]],8))</f>
        <v>0</v>
      </c>
    </row>
    <row r="752" spans="1:18">
      <c r="A752" s="15" t="str">
        <f t="shared" si="16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8" t="s">
        <v>75</v>
      </c>
      <c r="P752" s="48">
        <f>HEX2DEC(RIGHT(Table1323212753586873[[#This Row],[h1]],8))</f>
        <v>0</v>
      </c>
      <c r="Q752" s="48" t="s">
        <v>75</v>
      </c>
      <c r="R752" s="48">
        <f>HEX2DEC(RIGHT(Table1323212753586873[[#This Row],[h2]],8))</f>
        <v>0</v>
      </c>
    </row>
    <row r="753" spans="1:18">
      <c r="A753" s="15" t="str">
        <f t="shared" si="16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8" t="s">
        <v>75</v>
      </c>
      <c r="P753" s="48">
        <f>HEX2DEC(RIGHT(Table1323212753586873[[#This Row],[h1]],8))</f>
        <v>0</v>
      </c>
      <c r="Q753" s="48" t="s">
        <v>75</v>
      </c>
      <c r="R753" s="48">
        <f>HEX2DEC(RIGHT(Table1323212753586873[[#This Row],[h2]],8))</f>
        <v>0</v>
      </c>
    </row>
    <row r="754" spans="1:18">
      <c r="A754" s="15" t="str">
        <f t="shared" si="16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8" t="s">
        <v>75</v>
      </c>
      <c r="P754" s="48">
        <f>HEX2DEC(RIGHT(Table1323212753586873[[#This Row],[h1]],8))</f>
        <v>0</v>
      </c>
      <c r="Q754" s="48" t="s">
        <v>75</v>
      </c>
      <c r="R754" s="48">
        <f>HEX2DEC(RIGHT(Table1323212753586873[[#This Row],[h2]],8))</f>
        <v>0</v>
      </c>
    </row>
    <row r="755" spans="1:18">
      <c r="A755" s="15" t="str">
        <f t="shared" si="16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8" t="s">
        <v>75</v>
      </c>
      <c r="P755" s="48">
        <f>HEX2DEC(RIGHT(Table1323212753586873[[#This Row],[h1]],8))</f>
        <v>0</v>
      </c>
      <c r="Q755" s="48" t="s">
        <v>75</v>
      </c>
      <c r="R755" s="48">
        <f>HEX2DEC(RIGHT(Table1323212753586873[[#This Row],[h2]],8))</f>
        <v>0</v>
      </c>
    </row>
    <row r="756" spans="1:18">
      <c r="A756" s="15" t="str">
        <f t="shared" si="16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8" t="s">
        <v>75</v>
      </c>
      <c r="P756" s="48">
        <f>HEX2DEC(RIGHT(Table1323212753586873[[#This Row],[h1]],8))</f>
        <v>0</v>
      </c>
      <c r="Q756" s="48" t="s">
        <v>75</v>
      </c>
      <c r="R756" s="48">
        <f>HEX2DEC(RIGHT(Table1323212753586873[[#This Row],[h2]],8))</f>
        <v>0</v>
      </c>
    </row>
    <row r="757" spans="1:18">
      <c r="A757" s="15" t="str">
        <f t="shared" si="16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8" t="s">
        <v>75</v>
      </c>
      <c r="P757" s="48">
        <f>HEX2DEC(RIGHT(Table1323212753586873[[#This Row],[h1]],8))</f>
        <v>0</v>
      </c>
      <c r="Q757" s="48" t="s">
        <v>75</v>
      </c>
      <c r="R757" s="48">
        <f>HEX2DEC(RIGHT(Table1323212753586873[[#This Row],[h2]],8))</f>
        <v>0</v>
      </c>
    </row>
    <row r="758" spans="1:18">
      <c r="A758" s="15" t="str">
        <f t="shared" si="16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8" t="s">
        <v>75</v>
      </c>
      <c r="P758" s="48">
        <f>HEX2DEC(RIGHT(Table1323212753586873[[#This Row],[h1]],8))</f>
        <v>0</v>
      </c>
      <c r="Q758" s="48" t="s">
        <v>75</v>
      </c>
      <c r="R758" s="48">
        <f>HEX2DEC(RIGHT(Table1323212753586873[[#This Row],[h2]],8))</f>
        <v>0</v>
      </c>
    </row>
    <row r="759" spans="1:18">
      <c r="A759" s="15" t="str">
        <f t="shared" si="16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8" t="s">
        <v>75</v>
      </c>
      <c r="P759" s="48">
        <f>HEX2DEC(RIGHT(Table1323212753586873[[#This Row],[h1]],8))</f>
        <v>0</v>
      </c>
      <c r="Q759" s="48" t="s">
        <v>75</v>
      </c>
      <c r="R759" s="48">
        <f>HEX2DEC(RIGHT(Table1323212753586873[[#This Row],[h2]],8))</f>
        <v>0</v>
      </c>
    </row>
    <row r="760" spans="1:18">
      <c r="A760" s="15" t="str">
        <f t="shared" si="16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8" t="s">
        <v>75</v>
      </c>
      <c r="P760" s="48">
        <f>HEX2DEC(RIGHT(Table1323212753586873[[#This Row],[h1]],8))</f>
        <v>0</v>
      </c>
      <c r="Q760" s="48" t="s">
        <v>75</v>
      </c>
      <c r="R760" s="48">
        <f>HEX2DEC(RIGHT(Table1323212753586873[[#This Row],[h2]],8))</f>
        <v>0</v>
      </c>
    </row>
    <row r="761" spans="1:18">
      <c r="A761" s="15" t="str">
        <f t="shared" si="16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8" t="s">
        <v>75</v>
      </c>
      <c r="P761" s="48">
        <f>HEX2DEC(RIGHT(Table1323212753586873[[#This Row],[h1]],8))</f>
        <v>0</v>
      </c>
      <c r="Q761" s="48" t="s">
        <v>75</v>
      </c>
      <c r="R761" s="48">
        <f>HEX2DEC(RIGHT(Table1323212753586873[[#This Row],[h2]],8))</f>
        <v>0</v>
      </c>
    </row>
    <row r="762" spans="1:18">
      <c r="A762" s="15" t="str">
        <f t="shared" si="16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8" t="s">
        <v>75</v>
      </c>
      <c r="P762" s="48">
        <f>HEX2DEC(RIGHT(Table1323212753586873[[#This Row],[h1]],8))</f>
        <v>0</v>
      </c>
      <c r="Q762" s="48" t="s">
        <v>75</v>
      </c>
      <c r="R762" s="48">
        <f>HEX2DEC(RIGHT(Table1323212753586873[[#This Row],[h2]],8))</f>
        <v>0</v>
      </c>
    </row>
    <row r="763" spans="1:18">
      <c r="A763" s="15" t="str">
        <f t="shared" si="16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8" t="s">
        <v>75</v>
      </c>
      <c r="P763" s="48">
        <f>HEX2DEC(RIGHT(Table1323212753586873[[#This Row],[h1]],8))</f>
        <v>0</v>
      </c>
      <c r="Q763" s="48" t="s">
        <v>75</v>
      </c>
      <c r="R763" s="48">
        <f>HEX2DEC(RIGHT(Table1323212753586873[[#This Row],[h2]],8))</f>
        <v>0</v>
      </c>
    </row>
    <row r="764" spans="1:18">
      <c r="A764" s="15" t="str">
        <f t="shared" si="16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8" t="s">
        <v>75</v>
      </c>
      <c r="P764" s="48">
        <f>HEX2DEC(RIGHT(Table1323212753586873[[#This Row],[h1]],8))</f>
        <v>0</v>
      </c>
      <c r="Q764" s="48" t="s">
        <v>75</v>
      </c>
      <c r="R764" s="48">
        <f>HEX2DEC(RIGHT(Table1323212753586873[[#This Row],[h2]],8))</f>
        <v>0</v>
      </c>
    </row>
    <row r="765" spans="1:18">
      <c r="A765" s="15" t="str">
        <f t="shared" si="16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8" t="s">
        <v>75</v>
      </c>
      <c r="P765" s="48">
        <f>HEX2DEC(RIGHT(Table1323212753586873[[#This Row],[h1]],8))</f>
        <v>0</v>
      </c>
      <c r="Q765" s="48" t="s">
        <v>75</v>
      </c>
      <c r="R765" s="48">
        <f>HEX2DEC(RIGHT(Table1323212753586873[[#This Row],[h2]],8))</f>
        <v>0</v>
      </c>
    </row>
    <row r="766" spans="1:18">
      <c r="A766" s="15" t="str">
        <f t="shared" si="16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8" t="s">
        <v>75</v>
      </c>
      <c r="P766" s="48">
        <f>HEX2DEC(RIGHT(Table1323212753586873[[#This Row],[h1]],8))</f>
        <v>0</v>
      </c>
      <c r="Q766" s="48" t="s">
        <v>75</v>
      </c>
      <c r="R766" s="48">
        <f>HEX2DEC(RIGHT(Table1323212753586873[[#This Row],[h2]],8))</f>
        <v>0</v>
      </c>
    </row>
    <row r="767" spans="1:18">
      <c r="A767" s="15" t="str">
        <f t="shared" si="16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8" t="s">
        <v>75</v>
      </c>
      <c r="P767" s="48">
        <f>HEX2DEC(RIGHT(Table1323212753586873[[#This Row],[h1]],8))</f>
        <v>0</v>
      </c>
      <c r="Q767" s="48" t="s">
        <v>75</v>
      </c>
      <c r="R767" s="48">
        <f>HEX2DEC(RIGHT(Table1323212753586873[[#This Row],[h2]],8))</f>
        <v>0</v>
      </c>
    </row>
    <row r="768" spans="1:18">
      <c r="A768" s="15" t="str">
        <f t="shared" si="16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8" t="s">
        <v>75</v>
      </c>
      <c r="P768" s="48">
        <f>HEX2DEC(RIGHT(Table1323212753586873[[#This Row],[h1]],8))</f>
        <v>0</v>
      </c>
      <c r="Q768" s="48" t="s">
        <v>75</v>
      </c>
      <c r="R768" s="48">
        <f>HEX2DEC(RIGHT(Table1323212753586873[[#This Row],[h2]],8))</f>
        <v>0</v>
      </c>
    </row>
    <row r="769" spans="1:18">
      <c r="A769" s="15" t="str">
        <f t="shared" si="16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8" t="s">
        <v>75</v>
      </c>
      <c r="P769" s="48">
        <f>HEX2DEC(RIGHT(Table1323212753586873[[#This Row],[h1]],8))</f>
        <v>0</v>
      </c>
      <c r="Q769" s="48" t="s">
        <v>75</v>
      </c>
      <c r="R769" s="48">
        <f>HEX2DEC(RIGHT(Table1323212753586873[[#This Row],[h2]],8))</f>
        <v>0</v>
      </c>
    </row>
    <row r="770" spans="1:18">
      <c r="A770" s="15" t="str">
        <f t="shared" si="16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8" t="s">
        <v>75</v>
      </c>
      <c r="P770" s="48">
        <f>HEX2DEC(RIGHT(Table1323212753586873[[#This Row],[h1]],8))</f>
        <v>0</v>
      </c>
      <c r="Q770" s="48" t="s">
        <v>75</v>
      </c>
      <c r="R770" s="48">
        <f>HEX2DEC(RIGHT(Table1323212753586873[[#This Row],[h2]],8))</f>
        <v>0</v>
      </c>
    </row>
    <row r="771" spans="1:18">
      <c r="A771" s="15" t="str">
        <f t="shared" si="16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8" t="s">
        <v>75</v>
      </c>
      <c r="P771" s="48">
        <f>HEX2DEC(RIGHT(Table1323212753586873[[#This Row],[h1]],8))</f>
        <v>0</v>
      </c>
      <c r="Q771" s="48" t="s">
        <v>75</v>
      </c>
      <c r="R771" s="48">
        <f>HEX2DEC(RIGHT(Table1323212753586873[[#This Row],[h2]],8))</f>
        <v>0</v>
      </c>
    </row>
    <row r="772" spans="1:18">
      <c r="A772" s="15" t="str">
        <f t="shared" si="16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8" t="s">
        <v>75</v>
      </c>
      <c r="P772" s="48">
        <f>HEX2DEC(RIGHT(Table1323212753586873[[#This Row],[h1]],8))</f>
        <v>0</v>
      </c>
      <c r="Q772" s="48" t="s">
        <v>75</v>
      </c>
      <c r="R772" s="48">
        <f>HEX2DEC(RIGHT(Table1323212753586873[[#This Row],[h2]],8))</f>
        <v>0</v>
      </c>
    </row>
    <row r="773" spans="1:18">
      <c r="A773" s="15" t="str">
        <f t="shared" si="16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8" t="s">
        <v>75</v>
      </c>
      <c r="P773" s="48">
        <f>HEX2DEC(RIGHT(Table1323212753586873[[#This Row],[h1]],8))</f>
        <v>0</v>
      </c>
      <c r="Q773" s="48" t="s">
        <v>75</v>
      </c>
      <c r="R773" s="48">
        <f>HEX2DEC(RIGHT(Table1323212753586873[[#This Row],[h2]],8))</f>
        <v>0</v>
      </c>
    </row>
    <row r="774" spans="1:18">
      <c r="A774" s="15" t="str">
        <f t="shared" si="16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8" t="s">
        <v>75</v>
      </c>
      <c r="P774" s="48">
        <f>HEX2DEC(RIGHT(Table1323212753586873[[#This Row],[h1]],8))</f>
        <v>0</v>
      </c>
      <c r="Q774" s="48" t="s">
        <v>75</v>
      </c>
      <c r="R774" s="48">
        <f>HEX2DEC(RIGHT(Table1323212753586873[[#This Row],[h2]],8))</f>
        <v>0</v>
      </c>
    </row>
    <row r="775" spans="1:18">
      <c r="A775" s="15" t="str">
        <f t="shared" si="16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8" t="s">
        <v>75</v>
      </c>
      <c r="P775" s="48">
        <f>HEX2DEC(RIGHT(Table1323212753586873[[#This Row],[h1]],8))</f>
        <v>0</v>
      </c>
      <c r="Q775" s="48" t="s">
        <v>75</v>
      </c>
      <c r="R775" s="48">
        <f>HEX2DEC(RIGHT(Table1323212753586873[[#This Row],[h2]],8))</f>
        <v>0</v>
      </c>
    </row>
    <row r="776" spans="1:18">
      <c r="A776" s="15" t="str">
        <f t="shared" si="16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8" t="s">
        <v>75</v>
      </c>
      <c r="P776" s="48">
        <f>HEX2DEC(RIGHT(Table1323212753586873[[#This Row],[h1]],8))</f>
        <v>0</v>
      </c>
      <c r="Q776" s="48" t="s">
        <v>75</v>
      </c>
      <c r="R776" s="48">
        <f>HEX2DEC(RIGHT(Table1323212753586873[[#This Row],[h2]],8))</f>
        <v>0</v>
      </c>
    </row>
    <row r="777" spans="1:18">
      <c r="A777" s="15" t="str">
        <f t="shared" si="16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8" t="s">
        <v>75</v>
      </c>
      <c r="P777" s="48">
        <f>HEX2DEC(RIGHT(Table1323212753586873[[#This Row],[h1]],8))</f>
        <v>0</v>
      </c>
      <c r="Q777" s="48" t="s">
        <v>75</v>
      </c>
      <c r="R777" s="48">
        <f>HEX2DEC(RIGHT(Table1323212753586873[[#This Row],[h2]],8))</f>
        <v>0</v>
      </c>
    </row>
    <row r="778" spans="1:18">
      <c r="A778" s="15" t="str">
        <f t="shared" si="16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8" t="s">
        <v>75</v>
      </c>
      <c r="P778" s="48">
        <f>HEX2DEC(RIGHT(Table1323212753586873[[#This Row],[h1]],8))</f>
        <v>0</v>
      </c>
      <c r="Q778" s="48" t="s">
        <v>75</v>
      </c>
      <c r="R778" s="48">
        <f>HEX2DEC(RIGHT(Table1323212753586873[[#This Row],[h2]],8))</f>
        <v>0</v>
      </c>
    </row>
    <row r="779" spans="1:18">
      <c r="A779" s="15" t="str">
        <f t="shared" ref="A779:A842" si="17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8" t="s">
        <v>75</v>
      </c>
      <c r="P779" s="48">
        <f>HEX2DEC(RIGHT(Table1323212753586873[[#This Row],[h1]],8))</f>
        <v>0</v>
      </c>
      <c r="Q779" s="48" t="s">
        <v>75</v>
      </c>
      <c r="R779" s="48">
        <f>HEX2DEC(RIGHT(Table1323212753586873[[#This Row],[h2]],8))</f>
        <v>0</v>
      </c>
    </row>
    <row r="780" spans="1:18">
      <c r="A780" s="15" t="str">
        <f t="shared" si="17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8" t="s">
        <v>75</v>
      </c>
      <c r="P780" s="48">
        <f>HEX2DEC(RIGHT(Table1323212753586873[[#This Row],[h1]],8))</f>
        <v>0</v>
      </c>
      <c r="Q780" s="48" t="s">
        <v>75</v>
      </c>
      <c r="R780" s="48">
        <f>HEX2DEC(RIGHT(Table1323212753586873[[#This Row],[h2]],8))</f>
        <v>0</v>
      </c>
    </row>
    <row r="781" spans="1:18">
      <c r="A781" s="15" t="str">
        <f t="shared" si="17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8" t="s">
        <v>75</v>
      </c>
      <c r="P781" s="48">
        <f>HEX2DEC(RIGHT(Table1323212753586873[[#This Row],[h1]],8))</f>
        <v>0</v>
      </c>
      <c r="Q781" s="48" t="s">
        <v>75</v>
      </c>
      <c r="R781" s="48">
        <f>HEX2DEC(RIGHT(Table1323212753586873[[#This Row],[h2]],8))</f>
        <v>0</v>
      </c>
    </row>
    <row r="782" spans="1:18">
      <c r="A782" s="15" t="str">
        <f t="shared" si="17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8" t="s">
        <v>75</v>
      </c>
      <c r="P782" s="48">
        <f>HEX2DEC(RIGHT(Table1323212753586873[[#This Row],[h1]],8))</f>
        <v>0</v>
      </c>
      <c r="Q782" s="48" t="s">
        <v>75</v>
      </c>
      <c r="R782" s="48">
        <f>HEX2DEC(RIGHT(Table1323212753586873[[#This Row],[h2]],8))</f>
        <v>0</v>
      </c>
    </row>
    <row r="783" spans="1:18">
      <c r="A783" s="15" t="str">
        <f t="shared" si="17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8" t="s">
        <v>75</v>
      </c>
      <c r="P783" s="48">
        <f>HEX2DEC(RIGHT(Table1323212753586873[[#This Row],[h1]],8))</f>
        <v>0</v>
      </c>
      <c r="Q783" s="48" t="s">
        <v>75</v>
      </c>
      <c r="R783" s="48">
        <f>HEX2DEC(RIGHT(Table1323212753586873[[#This Row],[h2]],8))</f>
        <v>0</v>
      </c>
    </row>
    <row r="784" spans="1:18">
      <c r="A784" s="15" t="str">
        <f t="shared" si="17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8" t="s">
        <v>75</v>
      </c>
      <c r="P784" s="48">
        <f>HEX2DEC(RIGHT(Table1323212753586873[[#This Row],[h1]],8))</f>
        <v>0</v>
      </c>
      <c r="Q784" s="48" t="s">
        <v>75</v>
      </c>
      <c r="R784" s="48">
        <f>HEX2DEC(RIGHT(Table1323212753586873[[#This Row],[h2]],8))</f>
        <v>0</v>
      </c>
    </row>
    <row r="785" spans="1:18">
      <c r="A785" s="15" t="str">
        <f t="shared" si="17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8" t="s">
        <v>75</v>
      </c>
      <c r="P785" s="48">
        <f>HEX2DEC(RIGHT(Table1323212753586873[[#This Row],[h1]],8))</f>
        <v>0</v>
      </c>
      <c r="Q785" s="48" t="s">
        <v>75</v>
      </c>
      <c r="R785" s="48">
        <f>HEX2DEC(RIGHT(Table1323212753586873[[#This Row],[h2]],8))</f>
        <v>0</v>
      </c>
    </row>
    <row r="786" spans="1:18">
      <c r="A786" s="15" t="str">
        <f t="shared" si="17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8" t="s">
        <v>75</v>
      </c>
      <c r="P786" s="48">
        <f>HEX2DEC(RIGHT(Table1323212753586873[[#This Row],[h1]],8))</f>
        <v>0</v>
      </c>
      <c r="Q786" s="48" t="s">
        <v>75</v>
      </c>
      <c r="R786" s="48">
        <f>HEX2DEC(RIGHT(Table1323212753586873[[#This Row],[h2]],8))</f>
        <v>0</v>
      </c>
    </row>
    <row r="787" spans="1:18">
      <c r="A787" s="15" t="str">
        <f t="shared" si="17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8" t="s">
        <v>75</v>
      </c>
      <c r="P787" s="48">
        <f>HEX2DEC(RIGHT(Table1323212753586873[[#This Row],[h1]],8))</f>
        <v>0</v>
      </c>
      <c r="Q787" s="48" t="s">
        <v>75</v>
      </c>
      <c r="R787" s="48">
        <f>HEX2DEC(RIGHT(Table1323212753586873[[#This Row],[h2]],8))</f>
        <v>0</v>
      </c>
    </row>
    <row r="788" spans="1:18">
      <c r="A788" s="15" t="str">
        <f t="shared" si="17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8" t="s">
        <v>75</v>
      </c>
      <c r="P788" s="48">
        <f>HEX2DEC(RIGHT(Table1323212753586873[[#This Row],[h1]],8))</f>
        <v>0</v>
      </c>
      <c r="Q788" s="48" t="s">
        <v>75</v>
      </c>
      <c r="R788" s="48">
        <f>HEX2DEC(RIGHT(Table1323212753586873[[#This Row],[h2]],8))</f>
        <v>0</v>
      </c>
    </row>
    <row r="789" spans="1:18">
      <c r="A789" s="15" t="str">
        <f t="shared" si="17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8" t="s">
        <v>75</v>
      </c>
      <c r="P789" s="48">
        <f>HEX2DEC(RIGHT(Table1323212753586873[[#This Row],[h1]],8))</f>
        <v>0</v>
      </c>
      <c r="Q789" s="48" t="s">
        <v>75</v>
      </c>
      <c r="R789" s="48">
        <f>HEX2DEC(RIGHT(Table1323212753586873[[#This Row],[h2]],8))</f>
        <v>0</v>
      </c>
    </row>
    <row r="790" spans="1:18">
      <c r="A790" s="15" t="str">
        <f t="shared" si="17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8" t="s">
        <v>75</v>
      </c>
      <c r="P790" s="48">
        <f>HEX2DEC(RIGHT(Table1323212753586873[[#This Row],[h1]],8))</f>
        <v>0</v>
      </c>
      <c r="Q790" s="48" t="s">
        <v>75</v>
      </c>
      <c r="R790" s="48">
        <f>HEX2DEC(RIGHT(Table1323212753586873[[#This Row],[h2]],8))</f>
        <v>0</v>
      </c>
    </row>
    <row r="791" spans="1:18">
      <c r="A791" s="15" t="str">
        <f t="shared" si="17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8" t="s">
        <v>75</v>
      </c>
      <c r="P791" s="48">
        <f>HEX2DEC(RIGHT(Table1323212753586873[[#This Row],[h1]],8))</f>
        <v>0</v>
      </c>
      <c r="Q791" s="48" t="s">
        <v>75</v>
      </c>
      <c r="R791" s="48">
        <f>HEX2DEC(RIGHT(Table1323212753586873[[#This Row],[h2]],8))</f>
        <v>0</v>
      </c>
    </row>
    <row r="792" spans="1:18">
      <c r="A792" s="15" t="str">
        <f t="shared" si="17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8" t="s">
        <v>75</v>
      </c>
      <c r="P792" s="48">
        <f>HEX2DEC(RIGHT(Table1323212753586873[[#This Row],[h1]],8))</f>
        <v>0</v>
      </c>
      <c r="Q792" s="48" t="s">
        <v>75</v>
      </c>
      <c r="R792" s="48">
        <f>HEX2DEC(RIGHT(Table1323212753586873[[#This Row],[h2]],8))</f>
        <v>0</v>
      </c>
    </row>
    <row r="793" spans="1:18">
      <c r="A793" s="15" t="str">
        <f t="shared" si="17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8" t="s">
        <v>75</v>
      </c>
      <c r="P793" s="48">
        <f>HEX2DEC(RIGHT(Table1323212753586873[[#This Row],[h1]],8))</f>
        <v>0</v>
      </c>
      <c r="Q793" s="48" t="s">
        <v>75</v>
      </c>
      <c r="R793" s="48">
        <f>HEX2DEC(RIGHT(Table1323212753586873[[#This Row],[h2]],8))</f>
        <v>0</v>
      </c>
    </row>
    <row r="794" spans="1:18">
      <c r="A794" s="15" t="str">
        <f t="shared" si="17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8" t="s">
        <v>75</v>
      </c>
      <c r="P794" s="48">
        <f>HEX2DEC(RIGHT(Table1323212753586873[[#This Row],[h1]],8))</f>
        <v>0</v>
      </c>
      <c r="Q794" s="48" t="s">
        <v>75</v>
      </c>
      <c r="R794" s="48">
        <f>HEX2DEC(RIGHT(Table1323212753586873[[#This Row],[h2]],8))</f>
        <v>0</v>
      </c>
    </row>
    <row r="795" spans="1:18">
      <c r="A795" s="15" t="str">
        <f t="shared" si="17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8" t="s">
        <v>75</v>
      </c>
      <c r="P795" s="48">
        <f>HEX2DEC(RIGHT(Table1323212753586873[[#This Row],[h1]],8))</f>
        <v>0</v>
      </c>
      <c r="Q795" s="48" t="s">
        <v>75</v>
      </c>
      <c r="R795" s="48">
        <f>HEX2DEC(RIGHT(Table1323212753586873[[#This Row],[h2]],8))</f>
        <v>0</v>
      </c>
    </row>
    <row r="796" spans="1:18">
      <c r="A796" s="15" t="str">
        <f t="shared" si="17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8" t="s">
        <v>75</v>
      </c>
      <c r="P796" s="48">
        <f>HEX2DEC(RIGHT(Table1323212753586873[[#This Row],[h1]],8))</f>
        <v>0</v>
      </c>
      <c r="Q796" s="48" t="s">
        <v>75</v>
      </c>
      <c r="R796" s="48">
        <f>HEX2DEC(RIGHT(Table1323212753586873[[#This Row],[h2]],8))</f>
        <v>0</v>
      </c>
    </row>
    <row r="797" spans="1:18">
      <c r="A797" s="15" t="str">
        <f t="shared" si="17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8" t="s">
        <v>75</v>
      </c>
      <c r="P797" s="48">
        <f>HEX2DEC(RIGHT(Table1323212753586873[[#This Row],[h1]],8))</f>
        <v>0</v>
      </c>
      <c r="Q797" s="48" t="s">
        <v>75</v>
      </c>
      <c r="R797" s="48">
        <f>HEX2DEC(RIGHT(Table1323212753586873[[#This Row],[h2]],8))</f>
        <v>0</v>
      </c>
    </row>
    <row r="798" spans="1:18">
      <c r="A798" s="15" t="str">
        <f t="shared" si="17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8" t="s">
        <v>75</v>
      </c>
      <c r="P798" s="48">
        <f>HEX2DEC(RIGHT(Table1323212753586873[[#This Row],[h1]],8))</f>
        <v>0</v>
      </c>
      <c r="Q798" s="48" t="s">
        <v>75</v>
      </c>
      <c r="R798" s="48">
        <f>HEX2DEC(RIGHT(Table1323212753586873[[#This Row],[h2]],8))</f>
        <v>0</v>
      </c>
    </row>
    <row r="799" spans="1:18">
      <c r="A799" s="15" t="str">
        <f t="shared" si="17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8" t="s">
        <v>75</v>
      </c>
      <c r="P799" s="48">
        <f>HEX2DEC(RIGHT(Table1323212753586873[[#This Row],[h1]],8))</f>
        <v>0</v>
      </c>
      <c r="Q799" s="48" t="s">
        <v>75</v>
      </c>
      <c r="R799" s="48">
        <f>HEX2DEC(RIGHT(Table1323212753586873[[#This Row],[h2]],8))</f>
        <v>0</v>
      </c>
    </row>
    <row r="800" spans="1:18">
      <c r="A800" s="15" t="str">
        <f t="shared" si="17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8" t="s">
        <v>75</v>
      </c>
      <c r="P800" s="48">
        <f>HEX2DEC(RIGHT(Table1323212753586873[[#This Row],[h1]],8))</f>
        <v>0</v>
      </c>
      <c r="Q800" s="48" t="s">
        <v>75</v>
      </c>
      <c r="R800" s="48">
        <f>HEX2DEC(RIGHT(Table1323212753586873[[#This Row],[h2]],8))</f>
        <v>0</v>
      </c>
    </row>
    <row r="801" spans="1:18">
      <c r="A801" s="15" t="str">
        <f t="shared" si="17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8" t="s">
        <v>75</v>
      </c>
      <c r="P801" s="48">
        <f>HEX2DEC(RIGHT(Table1323212753586873[[#This Row],[h1]],8))</f>
        <v>0</v>
      </c>
      <c r="Q801" s="48" t="s">
        <v>75</v>
      </c>
      <c r="R801" s="48">
        <f>HEX2DEC(RIGHT(Table1323212753586873[[#This Row],[h2]],8))</f>
        <v>0</v>
      </c>
    </row>
    <row r="802" spans="1:18">
      <c r="A802" s="15" t="str">
        <f t="shared" si="17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8" t="s">
        <v>75</v>
      </c>
      <c r="P802" s="48">
        <f>HEX2DEC(RIGHT(Table1323212753586873[[#This Row],[h1]],8))</f>
        <v>0</v>
      </c>
      <c r="Q802" s="48" t="s">
        <v>75</v>
      </c>
      <c r="R802" s="48">
        <f>HEX2DEC(RIGHT(Table1323212753586873[[#This Row],[h2]],8))</f>
        <v>0</v>
      </c>
    </row>
    <row r="803" spans="1:18">
      <c r="A803" s="15" t="str">
        <f t="shared" si="17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8" t="s">
        <v>75</v>
      </c>
      <c r="P803" s="48">
        <f>HEX2DEC(RIGHT(Table1323212753586873[[#This Row],[h1]],8))</f>
        <v>0</v>
      </c>
      <c r="Q803" s="48" t="s">
        <v>75</v>
      </c>
      <c r="R803" s="48">
        <f>HEX2DEC(RIGHT(Table1323212753586873[[#This Row],[h2]],8))</f>
        <v>0</v>
      </c>
    </row>
    <row r="804" spans="1:18">
      <c r="A804" s="15" t="str">
        <f t="shared" si="17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8" t="s">
        <v>75</v>
      </c>
      <c r="P804" s="48">
        <f>HEX2DEC(RIGHT(Table1323212753586873[[#This Row],[h1]],8))</f>
        <v>0</v>
      </c>
      <c r="Q804" s="48" t="s">
        <v>75</v>
      </c>
      <c r="R804" s="48">
        <f>HEX2DEC(RIGHT(Table1323212753586873[[#This Row],[h2]],8))</f>
        <v>0</v>
      </c>
    </row>
    <row r="805" spans="1:18">
      <c r="A805" s="15" t="str">
        <f t="shared" si="17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8" t="s">
        <v>75</v>
      </c>
      <c r="P805" s="48">
        <f>HEX2DEC(RIGHT(Table1323212753586873[[#This Row],[h1]],8))</f>
        <v>0</v>
      </c>
      <c r="Q805" s="48" t="s">
        <v>75</v>
      </c>
      <c r="R805" s="48">
        <f>HEX2DEC(RIGHT(Table1323212753586873[[#This Row],[h2]],8))</f>
        <v>0</v>
      </c>
    </row>
    <row r="806" spans="1:18">
      <c r="A806" s="15" t="str">
        <f t="shared" si="17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8" t="s">
        <v>75</v>
      </c>
      <c r="P806" s="48">
        <f>HEX2DEC(RIGHT(Table1323212753586873[[#This Row],[h1]],8))</f>
        <v>0</v>
      </c>
      <c r="Q806" s="48" t="s">
        <v>75</v>
      </c>
      <c r="R806" s="48">
        <f>HEX2DEC(RIGHT(Table1323212753586873[[#This Row],[h2]],8))</f>
        <v>0</v>
      </c>
    </row>
    <row r="807" spans="1:18">
      <c r="A807" s="15" t="str">
        <f t="shared" si="17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8" t="s">
        <v>75</v>
      </c>
      <c r="P807" s="48">
        <f>HEX2DEC(RIGHT(Table1323212753586873[[#This Row],[h1]],8))</f>
        <v>0</v>
      </c>
      <c r="Q807" s="48" t="s">
        <v>75</v>
      </c>
      <c r="R807" s="48">
        <f>HEX2DEC(RIGHT(Table1323212753586873[[#This Row],[h2]],8))</f>
        <v>0</v>
      </c>
    </row>
    <row r="808" spans="1:18">
      <c r="A808" s="15" t="str">
        <f t="shared" si="17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8" t="s">
        <v>75</v>
      </c>
      <c r="P808" s="48">
        <f>HEX2DEC(RIGHT(Table1323212753586873[[#This Row],[h1]],8))</f>
        <v>0</v>
      </c>
      <c r="Q808" s="48" t="s">
        <v>75</v>
      </c>
      <c r="R808" s="48">
        <f>HEX2DEC(RIGHT(Table1323212753586873[[#This Row],[h2]],8))</f>
        <v>0</v>
      </c>
    </row>
    <row r="809" spans="1:18">
      <c r="A809" s="15" t="str">
        <f t="shared" si="17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8" t="s">
        <v>75</v>
      </c>
      <c r="P809" s="48">
        <f>HEX2DEC(RIGHT(Table1323212753586873[[#This Row],[h1]],8))</f>
        <v>0</v>
      </c>
      <c r="Q809" s="48" t="s">
        <v>75</v>
      </c>
      <c r="R809" s="48">
        <f>HEX2DEC(RIGHT(Table1323212753586873[[#This Row],[h2]],8))</f>
        <v>0</v>
      </c>
    </row>
    <row r="810" spans="1:18">
      <c r="A810" s="15" t="str">
        <f t="shared" si="17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8" t="s">
        <v>75</v>
      </c>
      <c r="P810" s="48">
        <f>HEX2DEC(RIGHT(Table1323212753586873[[#This Row],[h1]],8))</f>
        <v>0</v>
      </c>
      <c r="Q810" s="48" t="s">
        <v>75</v>
      </c>
      <c r="R810" s="48">
        <f>HEX2DEC(RIGHT(Table1323212753586873[[#This Row],[h2]],8))</f>
        <v>0</v>
      </c>
    </row>
    <row r="811" spans="1:18">
      <c r="A811" s="15" t="str">
        <f t="shared" si="17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8" t="s">
        <v>75</v>
      </c>
      <c r="P811" s="48">
        <f>HEX2DEC(RIGHT(Table1323212753586873[[#This Row],[h1]],8))</f>
        <v>0</v>
      </c>
      <c r="Q811" s="48" t="s">
        <v>75</v>
      </c>
      <c r="R811" s="48">
        <f>HEX2DEC(RIGHT(Table1323212753586873[[#This Row],[h2]],8))</f>
        <v>0</v>
      </c>
    </row>
    <row r="812" spans="1:18">
      <c r="A812" s="15" t="str">
        <f t="shared" si="17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8" t="s">
        <v>75</v>
      </c>
      <c r="P812" s="48">
        <f>HEX2DEC(RIGHT(Table1323212753586873[[#This Row],[h1]],8))</f>
        <v>0</v>
      </c>
      <c r="Q812" s="48" t="s">
        <v>75</v>
      </c>
      <c r="R812" s="48">
        <f>HEX2DEC(RIGHT(Table1323212753586873[[#This Row],[h2]],8))</f>
        <v>0</v>
      </c>
    </row>
    <row r="813" spans="1:18">
      <c r="A813" s="15" t="str">
        <f t="shared" si="17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8" t="s">
        <v>75</v>
      </c>
      <c r="P813" s="48">
        <f>HEX2DEC(RIGHT(Table1323212753586873[[#This Row],[h1]],8))</f>
        <v>0</v>
      </c>
      <c r="Q813" s="48" t="s">
        <v>75</v>
      </c>
      <c r="R813" s="48">
        <f>HEX2DEC(RIGHT(Table1323212753586873[[#This Row],[h2]],8))</f>
        <v>0</v>
      </c>
    </row>
    <row r="814" spans="1:18">
      <c r="A814" s="15" t="str">
        <f t="shared" si="17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8" t="s">
        <v>75</v>
      </c>
      <c r="P814" s="48">
        <f>HEX2DEC(RIGHT(Table1323212753586873[[#This Row],[h1]],8))</f>
        <v>0</v>
      </c>
      <c r="Q814" s="48" t="s">
        <v>75</v>
      </c>
      <c r="R814" s="48">
        <f>HEX2DEC(RIGHT(Table1323212753586873[[#This Row],[h2]],8))</f>
        <v>0</v>
      </c>
    </row>
    <row r="815" spans="1:18">
      <c r="A815" s="15" t="str">
        <f t="shared" si="17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8" t="s">
        <v>75</v>
      </c>
      <c r="P815" s="48">
        <f>HEX2DEC(RIGHT(Table1323212753586873[[#This Row],[h1]],8))</f>
        <v>0</v>
      </c>
      <c r="Q815" s="48" t="s">
        <v>75</v>
      </c>
      <c r="R815" s="48">
        <f>HEX2DEC(RIGHT(Table1323212753586873[[#This Row],[h2]],8))</f>
        <v>0</v>
      </c>
    </row>
    <row r="816" spans="1:18">
      <c r="A816" s="15" t="str">
        <f t="shared" si="17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8" t="s">
        <v>75</v>
      </c>
      <c r="P816" s="48">
        <f>HEX2DEC(RIGHT(Table1323212753586873[[#This Row],[h1]],8))</f>
        <v>0</v>
      </c>
      <c r="Q816" s="48" t="s">
        <v>75</v>
      </c>
      <c r="R816" s="48">
        <f>HEX2DEC(RIGHT(Table1323212753586873[[#This Row],[h2]],8))</f>
        <v>0</v>
      </c>
    </row>
    <row r="817" spans="1:18">
      <c r="A817" s="15" t="str">
        <f t="shared" si="17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8" t="s">
        <v>75</v>
      </c>
      <c r="P817" s="48">
        <f>HEX2DEC(RIGHT(Table1323212753586873[[#This Row],[h1]],8))</f>
        <v>0</v>
      </c>
      <c r="Q817" s="48" t="s">
        <v>75</v>
      </c>
      <c r="R817" s="48">
        <f>HEX2DEC(RIGHT(Table1323212753586873[[#This Row],[h2]],8))</f>
        <v>0</v>
      </c>
    </row>
    <row r="818" spans="1:18">
      <c r="A818" s="15" t="str">
        <f t="shared" si="17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8" t="s">
        <v>75</v>
      </c>
      <c r="P818" s="48">
        <f>HEX2DEC(RIGHT(Table1323212753586873[[#This Row],[h1]],8))</f>
        <v>0</v>
      </c>
      <c r="Q818" s="48" t="s">
        <v>75</v>
      </c>
      <c r="R818" s="48">
        <f>HEX2DEC(RIGHT(Table1323212753586873[[#This Row],[h2]],8))</f>
        <v>0</v>
      </c>
    </row>
    <row r="819" spans="1:18">
      <c r="A819" s="15" t="str">
        <f t="shared" si="17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8" t="s">
        <v>75</v>
      </c>
      <c r="P819" s="48">
        <f>HEX2DEC(RIGHT(Table1323212753586873[[#This Row],[h1]],8))</f>
        <v>0</v>
      </c>
      <c r="Q819" s="48" t="s">
        <v>75</v>
      </c>
      <c r="R819" s="48">
        <f>HEX2DEC(RIGHT(Table1323212753586873[[#This Row],[h2]],8))</f>
        <v>0</v>
      </c>
    </row>
    <row r="820" spans="1:18">
      <c r="A820" s="15" t="str">
        <f t="shared" si="17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8" t="s">
        <v>75</v>
      </c>
      <c r="P820" s="48">
        <f>HEX2DEC(RIGHT(Table1323212753586873[[#This Row],[h1]],8))</f>
        <v>0</v>
      </c>
      <c r="Q820" s="48" t="s">
        <v>75</v>
      </c>
      <c r="R820" s="48">
        <f>HEX2DEC(RIGHT(Table1323212753586873[[#This Row],[h2]],8))</f>
        <v>0</v>
      </c>
    </row>
    <row r="821" spans="1:18">
      <c r="A821" s="15" t="str">
        <f t="shared" si="17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8" t="s">
        <v>75</v>
      </c>
      <c r="P821" s="48">
        <f>HEX2DEC(RIGHT(Table1323212753586873[[#This Row],[h1]],8))</f>
        <v>0</v>
      </c>
      <c r="Q821" s="48" t="s">
        <v>75</v>
      </c>
      <c r="R821" s="48">
        <f>HEX2DEC(RIGHT(Table1323212753586873[[#This Row],[h2]],8))</f>
        <v>0</v>
      </c>
    </row>
    <row r="822" spans="1:18">
      <c r="A822" s="15" t="str">
        <f t="shared" si="17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8" t="s">
        <v>75</v>
      </c>
      <c r="P822" s="48">
        <f>HEX2DEC(RIGHT(Table1323212753586873[[#This Row],[h1]],8))</f>
        <v>0</v>
      </c>
      <c r="Q822" s="48" t="s">
        <v>75</v>
      </c>
      <c r="R822" s="48">
        <f>HEX2DEC(RIGHT(Table1323212753586873[[#This Row],[h2]],8))</f>
        <v>0</v>
      </c>
    </row>
    <row r="823" spans="1:18">
      <c r="A823" s="15" t="str">
        <f t="shared" si="17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8" t="s">
        <v>75</v>
      </c>
      <c r="P823" s="48">
        <f>HEX2DEC(RIGHT(Table1323212753586873[[#This Row],[h1]],8))</f>
        <v>0</v>
      </c>
      <c r="Q823" s="48" t="s">
        <v>75</v>
      </c>
      <c r="R823" s="48">
        <f>HEX2DEC(RIGHT(Table1323212753586873[[#This Row],[h2]],8))</f>
        <v>0</v>
      </c>
    </row>
    <row r="824" spans="1:18">
      <c r="A824" s="15" t="str">
        <f t="shared" si="17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8" t="s">
        <v>75</v>
      </c>
      <c r="P824" s="48">
        <f>HEX2DEC(RIGHT(Table1323212753586873[[#This Row],[h1]],8))</f>
        <v>0</v>
      </c>
      <c r="Q824" s="48" t="s">
        <v>75</v>
      </c>
      <c r="R824" s="48">
        <f>HEX2DEC(RIGHT(Table1323212753586873[[#This Row],[h2]],8))</f>
        <v>0</v>
      </c>
    </row>
    <row r="825" spans="1:18">
      <c r="A825" s="15" t="str">
        <f t="shared" si="17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8" t="s">
        <v>75</v>
      </c>
      <c r="P825" s="48">
        <f>HEX2DEC(RIGHT(Table1323212753586873[[#This Row],[h1]],8))</f>
        <v>0</v>
      </c>
      <c r="Q825" s="48" t="s">
        <v>75</v>
      </c>
      <c r="R825" s="48">
        <f>HEX2DEC(RIGHT(Table1323212753586873[[#This Row],[h2]],8))</f>
        <v>0</v>
      </c>
    </row>
    <row r="826" spans="1:18">
      <c r="A826" s="15" t="str">
        <f t="shared" si="17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8" t="s">
        <v>75</v>
      </c>
      <c r="P826" s="48">
        <f>HEX2DEC(RIGHT(Table1323212753586873[[#This Row],[h1]],8))</f>
        <v>0</v>
      </c>
      <c r="Q826" s="48" t="s">
        <v>75</v>
      </c>
      <c r="R826" s="48">
        <f>HEX2DEC(RIGHT(Table1323212753586873[[#This Row],[h2]],8))</f>
        <v>0</v>
      </c>
    </row>
    <row r="827" spans="1:18">
      <c r="A827" s="15" t="str">
        <f t="shared" si="17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8" t="s">
        <v>75</v>
      </c>
      <c r="P827" s="48">
        <f>HEX2DEC(RIGHT(Table1323212753586873[[#This Row],[h1]],8))</f>
        <v>0</v>
      </c>
      <c r="Q827" s="48" t="s">
        <v>75</v>
      </c>
      <c r="R827" s="48">
        <f>HEX2DEC(RIGHT(Table1323212753586873[[#This Row],[h2]],8))</f>
        <v>0</v>
      </c>
    </row>
    <row r="828" spans="1:18">
      <c r="A828" s="15" t="str">
        <f t="shared" si="17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8" t="s">
        <v>75</v>
      </c>
      <c r="P828" s="48">
        <f>HEX2DEC(RIGHT(Table1323212753586873[[#This Row],[h1]],8))</f>
        <v>0</v>
      </c>
      <c r="Q828" s="48" t="s">
        <v>75</v>
      </c>
      <c r="R828" s="48">
        <f>HEX2DEC(RIGHT(Table1323212753586873[[#This Row],[h2]],8))</f>
        <v>0</v>
      </c>
    </row>
    <row r="829" spans="1:18">
      <c r="A829" s="15" t="str">
        <f t="shared" si="17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8" t="s">
        <v>75</v>
      </c>
      <c r="P829" s="48">
        <f>HEX2DEC(RIGHT(Table1323212753586873[[#This Row],[h1]],8))</f>
        <v>0</v>
      </c>
      <c r="Q829" s="48" t="s">
        <v>75</v>
      </c>
      <c r="R829" s="48">
        <f>HEX2DEC(RIGHT(Table1323212753586873[[#This Row],[h2]],8))</f>
        <v>0</v>
      </c>
    </row>
    <row r="830" spans="1:18">
      <c r="A830" s="15" t="str">
        <f t="shared" si="17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8" t="s">
        <v>75</v>
      </c>
      <c r="P830" s="48">
        <f>HEX2DEC(RIGHT(Table1323212753586873[[#This Row],[h1]],8))</f>
        <v>0</v>
      </c>
      <c r="Q830" s="48" t="s">
        <v>75</v>
      </c>
      <c r="R830" s="48">
        <f>HEX2DEC(RIGHT(Table1323212753586873[[#This Row],[h2]],8))</f>
        <v>0</v>
      </c>
    </row>
    <row r="831" spans="1:18">
      <c r="A831" s="15" t="str">
        <f t="shared" si="17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8" t="s">
        <v>75</v>
      </c>
      <c r="P831" s="48">
        <f>HEX2DEC(RIGHT(Table1323212753586873[[#This Row],[h1]],8))</f>
        <v>0</v>
      </c>
      <c r="Q831" s="48" t="s">
        <v>75</v>
      </c>
      <c r="R831" s="48">
        <f>HEX2DEC(RIGHT(Table1323212753586873[[#This Row],[h2]],8))</f>
        <v>0</v>
      </c>
    </row>
    <row r="832" spans="1:18">
      <c r="A832" s="15" t="str">
        <f t="shared" si="17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8" t="s">
        <v>75</v>
      </c>
      <c r="P832" s="48">
        <f>HEX2DEC(RIGHT(Table1323212753586873[[#This Row],[h1]],8))</f>
        <v>0</v>
      </c>
      <c r="Q832" s="48" t="s">
        <v>75</v>
      </c>
      <c r="R832" s="48">
        <f>HEX2DEC(RIGHT(Table1323212753586873[[#This Row],[h2]],8))</f>
        <v>0</v>
      </c>
    </row>
    <row r="833" spans="1:18">
      <c r="A833" s="15" t="str">
        <f t="shared" si="17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8" t="s">
        <v>75</v>
      </c>
      <c r="P833" s="48">
        <f>HEX2DEC(RIGHT(Table1323212753586873[[#This Row],[h1]],8))</f>
        <v>0</v>
      </c>
      <c r="Q833" s="48" t="s">
        <v>75</v>
      </c>
      <c r="R833" s="48">
        <f>HEX2DEC(RIGHT(Table1323212753586873[[#This Row],[h2]],8))</f>
        <v>0</v>
      </c>
    </row>
    <row r="834" spans="1:18">
      <c r="A834" s="15" t="str">
        <f t="shared" si="17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8" t="s">
        <v>75</v>
      </c>
      <c r="P834" s="48">
        <f>HEX2DEC(RIGHT(Table1323212753586873[[#This Row],[h1]],8))</f>
        <v>0</v>
      </c>
      <c r="Q834" s="48" t="s">
        <v>75</v>
      </c>
      <c r="R834" s="48">
        <f>HEX2DEC(RIGHT(Table1323212753586873[[#This Row],[h2]],8))</f>
        <v>0</v>
      </c>
    </row>
    <row r="835" spans="1:18">
      <c r="A835" s="15" t="str">
        <f t="shared" si="17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8" t="s">
        <v>75</v>
      </c>
      <c r="P835" s="48">
        <f>HEX2DEC(RIGHT(Table1323212753586873[[#This Row],[h1]],8))</f>
        <v>0</v>
      </c>
      <c r="Q835" s="48" t="s">
        <v>75</v>
      </c>
      <c r="R835" s="48">
        <f>HEX2DEC(RIGHT(Table1323212753586873[[#This Row],[h2]],8))</f>
        <v>0</v>
      </c>
    </row>
    <row r="836" spans="1:18">
      <c r="A836" s="15" t="str">
        <f t="shared" si="17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8" t="s">
        <v>75</v>
      </c>
      <c r="P836" s="48">
        <f>HEX2DEC(RIGHT(Table1323212753586873[[#This Row],[h1]],8))</f>
        <v>0</v>
      </c>
      <c r="Q836" s="48" t="s">
        <v>75</v>
      </c>
      <c r="R836" s="48">
        <f>HEX2DEC(RIGHT(Table1323212753586873[[#This Row],[h2]],8))</f>
        <v>0</v>
      </c>
    </row>
    <row r="837" spans="1:18">
      <c r="A837" s="15" t="str">
        <f t="shared" si="17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8" t="s">
        <v>75</v>
      </c>
      <c r="P837" s="48">
        <f>HEX2DEC(RIGHT(Table1323212753586873[[#This Row],[h1]],8))</f>
        <v>0</v>
      </c>
      <c r="Q837" s="48" t="s">
        <v>75</v>
      </c>
      <c r="R837" s="48">
        <f>HEX2DEC(RIGHT(Table1323212753586873[[#This Row],[h2]],8))</f>
        <v>0</v>
      </c>
    </row>
    <row r="838" spans="1:18">
      <c r="A838" s="15" t="str">
        <f t="shared" si="17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8" t="s">
        <v>75</v>
      </c>
      <c r="P838" s="48">
        <f>HEX2DEC(RIGHT(Table1323212753586873[[#This Row],[h1]],8))</f>
        <v>0</v>
      </c>
      <c r="Q838" s="48" t="s">
        <v>75</v>
      </c>
      <c r="R838" s="48">
        <f>HEX2DEC(RIGHT(Table1323212753586873[[#This Row],[h2]],8))</f>
        <v>0</v>
      </c>
    </row>
    <row r="839" spans="1:18">
      <c r="A839" s="15" t="str">
        <f t="shared" si="17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8" t="s">
        <v>75</v>
      </c>
      <c r="P839" s="48">
        <f>HEX2DEC(RIGHT(Table1323212753586873[[#This Row],[h1]],8))</f>
        <v>0</v>
      </c>
      <c r="Q839" s="48" t="s">
        <v>75</v>
      </c>
      <c r="R839" s="48">
        <f>HEX2DEC(RIGHT(Table1323212753586873[[#This Row],[h2]],8))</f>
        <v>0</v>
      </c>
    </row>
    <row r="840" spans="1:18">
      <c r="A840" s="15" t="str">
        <f t="shared" si="17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8" t="s">
        <v>75</v>
      </c>
      <c r="P840" s="48">
        <f>HEX2DEC(RIGHT(Table1323212753586873[[#This Row],[h1]],8))</f>
        <v>0</v>
      </c>
      <c r="Q840" s="48" t="s">
        <v>75</v>
      </c>
      <c r="R840" s="48">
        <f>HEX2DEC(RIGHT(Table1323212753586873[[#This Row],[h2]],8))</f>
        <v>0</v>
      </c>
    </row>
    <row r="841" spans="1:18">
      <c r="A841" s="15" t="str">
        <f t="shared" si="17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8" t="s">
        <v>75</v>
      </c>
      <c r="P841" s="48">
        <f>HEX2DEC(RIGHT(Table1323212753586873[[#This Row],[h1]],8))</f>
        <v>0</v>
      </c>
      <c r="Q841" s="48" t="s">
        <v>75</v>
      </c>
      <c r="R841" s="48">
        <f>HEX2DEC(RIGHT(Table1323212753586873[[#This Row],[h2]],8))</f>
        <v>0</v>
      </c>
    </row>
    <row r="842" spans="1:18">
      <c r="A842" s="15" t="str">
        <f t="shared" si="17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8" t="s">
        <v>75</v>
      </c>
      <c r="P842" s="48">
        <f>HEX2DEC(RIGHT(Table1323212753586873[[#This Row],[h1]],8))</f>
        <v>0</v>
      </c>
      <c r="Q842" s="48" t="s">
        <v>75</v>
      </c>
      <c r="R842" s="48">
        <f>HEX2DEC(RIGHT(Table1323212753586873[[#This Row],[h2]],8))</f>
        <v>0</v>
      </c>
    </row>
    <row r="843" spans="1:18">
      <c r="A843" s="15" t="str">
        <f t="shared" ref="A843:A906" si="18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8" t="s">
        <v>75</v>
      </c>
      <c r="P843" s="48">
        <f>HEX2DEC(RIGHT(Table1323212753586873[[#This Row],[h1]],8))</f>
        <v>0</v>
      </c>
      <c r="Q843" s="48" t="s">
        <v>75</v>
      </c>
      <c r="R843" s="48">
        <f>HEX2DEC(RIGHT(Table1323212753586873[[#This Row],[h2]],8))</f>
        <v>0</v>
      </c>
    </row>
    <row r="844" spans="1:18">
      <c r="A844" s="15" t="str">
        <f t="shared" si="18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8" t="s">
        <v>75</v>
      </c>
      <c r="P844" s="48">
        <f>HEX2DEC(RIGHT(Table1323212753586873[[#This Row],[h1]],8))</f>
        <v>0</v>
      </c>
      <c r="Q844" s="48" t="s">
        <v>75</v>
      </c>
      <c r="R844" s="48">
        <f>HEX2DEC(RIGHT(Table1323212753586873[[#This Row],[h2]],8))</f>
        <v>0</v>
      </c>
    </row>
    <row r="845" spans="1:18">
      <c r="A845" s="15" t="str">
        <f t="shared" si="18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8" t="s">
        <v>75</v>
      </c>
      <c r="P845" s="48">
        <f>HEX2DEC(RIGHT(Table1323212753586873[[#This Row],[h1]],8))</f>
        <v>0</v>
      </c>
      <c r="Q845" s="48" t="s">
        <v>75</v>
      </c>
      <c r="R845" s="48">
        <f>HEX2DEC(RIGHT(Table1323212753586873[[#This Row],[h2]],8))</f>
        <v>0</v>
      </c>
    </row>
    <row r="846" spans="1:18">
      <c r="A846" s="15" t="str">
        <f t="shared" si="18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8" t="s">
        <v>75</v>
      </c>
      <c r="P846" s="48">
        <f>HEX2DEC(RIGHT(Table1323212753586873[[#This Row],[h1]],8))</f>
        <v>0</v>
      </c>
      <c r="Q846" s="48" t="s">
        <v>75</v>
      </c>
      <c r="R846" s="48">
        <f>HEX2DEC(RIGHT(Table1323212753586873[[#This Row],[h2]],8))</f>
        <v>0</v>
      </c>
    </row>
    <row r="847" spans="1:18">
      <c r="A847" s="15" t="str">
        <f t="shared" si="18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8" t="s">
        <v>75</v>
      </c>
      <c r="P847" s="48">
        <f>HEX2DEC(RIGHT(Table1323212753586873[[#This Row],[h1]],8))</f>
        <v>0</v>
      </c>
      <c r="Q847" s="48" t="s">
        <v>75</v>
      </c>
      <c r="R847" s="48">
        <f>HEX2DEC(RIGHT(Table1323212753586873[[#This Row],[h2]],8))</f>
        <v>0</v>
      </c>
    </row>
    <row r="848" spans="1:18">
      <c r="A848" s="15" t="str">
        <f t="shared" si="18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8" t="s">
        <v>75</v>
      </c>
      <c r="P848" s="48">
        <f>HEX2DEC(RIGHT(Table1323212753586873[[#This Row],[h1]],8))</f>
        <v>0</v>
      </c>
      <c r="Q848" s="48" t="s">
        <v>75</v>
      </c>
      <c r="R848" s="48">
        <f>HEX2DEC(RIGHT(Table1323212753586873[[#This Row],[h2]],8))</f>
        <v>0</v>
      </c>
    </row>
    <row r="849" spans="1:18">
      <c r="A849" s="15" t="str">
        <f t="shared" si="18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8" t="s">
        <v>75</v>
      </c>
      <c r="P849" s="48">
        <f>HEX2DEC(RIGHT(Table1323212753586873[[#This Row],[h1]],8))</f>
        <v>0</v>
      </c>
      <c r="Q849" s="48" t="s">
        <v>75</v>
      </c>
      <c r="R849" s="48">
        <f>HEX2DEC(RIGHT(Table1323212753586873[[#This Row],[h2]],8))</f>
        <v>0</v>
      </c>
    </row>
    <row r="850" spans="1:18">
      <c r="A850" s="15" t="str">
        <f t="shared" si="18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8" t="s">
        <v>75</v>
      </c>
      <c r="P850" s="48">
        <f>HEX2DEC(RIGHT(Table1323212753586873[[#This Row],[h1]],8))</f>
        <v>0</v>
      </c>
      <c r="Q850" s="48" t="s">
        <v>75</v>
      </c>
      <c r="R850" s="48">
        <f>HEX2DEC(RIGHT(Table1323212753586873[[#This Row],[h2]],8))</f>
        <v>0</v>
      </c>
    </row>
    <row r="851" spans="1:18">
      <c r="A851" s="15" t="str">
        <f t="shared" si="18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8" t="s">
        <v>75</v>
      </c>
      <c r="P851" s="48">
        <f>HEX2DEC(RIGHT(Table1323212753586873[[#This Row],[h1]],8))</f>
        <v>0</v>
      </c>
      <c r="Q851" s="48" t="s">
        <v>75</v>
      </c>
      <c r="R851" s="48">
        <f>HEX2DEC(RIGHT(Table1323212753586873[[#This Row],[h2]],8))</f>
        <v>0</v>
      </c>
    </row>
    <row r="852" spans="1:18">
      <c r="A852" s="15" t="str">
        <f t="shared" si="18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8" t="s">
        <v>75</v>
      </c>
      <c r="P852" s="48">
        <f>HEX2DEC(RIGHT(Table1323212753586873[[#This Row],[h1]],8))</f>
        <v>0</v>
      </c>
      <c r="Q852" s="48" t="s">
        <v>75</v>
      </c>
      <c r="R852" s="48">
        <f>HEX2DEC(RIGHT(Table1323212753586873[[#This Row],[h2]],8))</f>
        <v>0</v>
      </c>
    </row>
    <row r="853" spans="1:18">
      <c r="A853" s="15" t="str">
        <f t="shared" si="18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8" t="s">
        <v>75</v>
      </c>
      <c r="P853" s="48">
        <f>HEX2DEC(RIGHT(Table1323212753586873[[#This Row],[h1]],8))</f>
        <v>0</v>
      </c>
      <c r="Q853" s="48" t="s">
        <v>75</v>
      </c>
      <c r="R853" s="48">
        <f>HEX2DEC(RIGHT(Table1323212753586873[[#This Row],[h2]],8))</f>
        <v>0</v>
      </c>
    </row>
    <row r="854" spans="1:18">
      <c r="A854" s="15" t="str">
        <f t="shared" si="18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8" t="s">
        <v>75</v>
      </c>
      <c r="P854" s="48">
        <f>HEX2DEC(RIGHT(Table1323212753586873[[#This Row],[h1]],8))</f>
        <v>0</v>
      </c>
      <c r="Q854" s="48" t="s">
        <v>75</v>
      </c>
      <c r="R854" s="48">
        <f>HEX2DEC(RIGHT(Table1323212753586873[[#This Row],[h2]],8))</f>
        <v>0</v>
      </c>
    </row>
    <row r="855" spans="1:18">
      <c r="A855" s="15" t="str">
        <f t="shared" si="18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8" t="s">
        <v>75</v>
      </c>
      <c r="P855" s="48">
        <f>HEX2DEC(RIGHT(Table1323212753586873[[#This Row],[h1]],8))</f>
        <v>0</v>
      </c>
      <c r="Q855" s="48" t="s">
        <v>75</v>
      </c>
      <c r="R855" s="48">
        <f>HEX2DEC(RIGHT(Table1323212753586873[[#This Row],[h2]],8))</f>
        <v>0</v>
      </c>
    </row>
    <row r="856" spans="1:18">
      <c r="A856" s="15" t="str">
        <f t="shared" si="18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8" t="s">
        <v>75</v>
      </c>
      <c r="P856" s="48">
        <f>HEX2DEC(RIGHT(Table1323212753586873[[#This Row],[h1]],8))</f>
        <v>0</v>
      </c>
      <c r="Q856" s="48" t="s">
        <v>75</v>
      </c>
      <c r="R856" s="48">
        <f>HEX2DEC(RIGHT(Table1323212753586873[[#This Row],[h2]],8))</f>
        <v>0</v>
      </c>
    </row>
    <row r="857" spans="1:18">
      <c r="A857" s="15" t="str">
        <f t="shared" si="18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8" t="s">
        <v>75</v>
      </c>
      <c r="P857" s="48">
        <f>HEX2DEC(RIGHT(Table1323212753586873[[#This Row],[h1]],8))</f>
        <v>0</v>
      </c>
      <c r="Q857" s="48" t="s">
        <v>75</v>
      </c>
      <c r="R857" s="48">
        <f>HEX2DEC(RIGHT(Table1323212753586873[[#This Row],[h2]],8))</f>
        <v>0</v>
      </c>
    </row>
    <row r="858" spans="1:18">
      <c r="A858" s="15" t="str">
        <f t="shared" si="18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8" t="s">
        <v>75</v>
      </c>
      <c r="P858" s="48">
        <f>HEX2DEC(RIGHT(Table1323212753586873[[#This Row],[h1]],8))</f>
        <v>0</v>
      </c>
      <c r="Q858" s="48" t="s">
        <v>75</v>
      </c>
      <c r="R858" s="48">
        <f>HEX2DEC(RIGHT(Table1323212753586873[[#This Row],[h2]],8))</f>
        <v>0</v>
      </c>
    </row>
    <row r="859" spans="1:18">
      <c r="A859" s="15" t="str">
        <f t="shared" si="18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8" t="s">
        <v>75</v>
      </c>
      <c r="P859" s="48">
        <f>HEX2DEC(RIGHT(Table1323212753586873[[#This Row],[h1]],8))</f>
        <v>0</v>
      </c>
      <c r="Q859" s="48" t="s">
        <v>75</v>
      </c>
      <c r="R859" s="48">
        <f>HEX2DEC(RIGHT(Table1323212753586873[[#This Row],[h2]],8))</f>
        <v>0</v>
      </c>
    </row>
    <row r="860" spans="1:18">
      <c r="A860" s="15" t="str">
        <f t="shared" si="18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8" t="s">
        <v>75</v>
      </c>
      <c r="P860" s="48">
        <f>HEX2DEC(RIGHT(Table1323212753586873[[#This Row],[h1]],8))</f>
        <v>0</v>
      </c>
      <c r="Q860" s="48" t="s">
        <v>75</v>
      </c>
      <c r="R860" s="48">
        <f>HEX2DEC(RIGHT(Table1323212753586873[[#This Row],[h2]],8))</f>
        <v>0</v>
      </c>
    </row>
    <row r="861" spans="1:18">
      <c r="A861" s="15" t="str">
        <f t="shared" si="18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8" t="s">
        <v>75</v>
      </c>
      <c r="P861" s="48">
        <f>HEX2DEC(RIGHT(Table1323212753586873[[#This Row],[h1]],8))</f>
        <v>0</v>
      </c>
      <c r="Q861" s="48" t="s">
        <v>75</v>
      </c>
      <c r="R861" s="48">
        <f>HEX2DEC(RIGHT(Table1323212753586873[[#This Row],[h2]],8))</f>
        <v>0</v>
      </c>
    </row>
    <row r="862" spans="1:18">
      <c r="A862" s="15" t="str">
        <f t="shared" si="18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8" t="s">
        <v>75</v>
      </c>
      <c r="P862" s="48">
        <f>HEX2DEC(RIGHT(Table1323212753586873[[#This Row],[h1]],8))</f>
        <v>0</v>
      </c>
      <c r="Q862" s="48" t="s">
        <v>75</v>
      </c>
      <c r="R862" s="48">
        <f>HEX2DEC(RIGHT(Table1323212753586873[[#This Row],[h2]],8))</f>
        <v>0</v>
      </c>
    </row>
    <row r="863" spans="1:18">
      <c r="A863" s="15" t="str">
        <f t="shared" si="18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8" t="s">
        <v>75</v>
      </c>
      <c r="P863" s="48">
        <f>HEX2DEC(RIGHT(Table1323212753586873[[#This Row],[h1]],8))</f>
        <v>0</v>
      </c>
      <c r="Q863" s="48" t="s">
        <v>75</v>
      </c>
      <c r="R863" s="48">
        <f>HEX2DEC(RIGHT(Table1323212753586873[[#This Row],[h2]],8))</f>
        <v>0</v>
      </c>
    </row>
    <row r="864" spans="1:18">
      <c r="A864" s="15" t="str">
        <f t="shared" si="18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8" t="s">
        <v>75</v>
      </c>
      <c r="P864" s="48">
        <f>HEX2DEC(RIGHT(Table1323212753586873[[#This Row],[h1]],8))</f>
        <v>0</v>
      </c>
      <c r="Q864" s="48" t="s">
        <v>75</v>
      </c>
      <c r="R864" s="48">
        <f>HEX2DEC(RIGHT(Table1323212753586873[[#This Row],[h2]],8))</f>
        <v>0</v>
      </c>
    </row>
    <row r="865" spans="1:18">
      <c r="A865" s="15" t="str">
        <f t="shared" si="18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8" t="s">
        <v>75</v>
      </c>
      <c r="P865" s="48">
        <f>HEX2DEC(RIGHT(Table1323212753586873[[#This Row],[h1]],8))</f>
        <v>0</v>
      </c>
      <c r="Q865" s="48" t="s">
        <v>75</v>
      </c>
      <c r="R865" s="48">
        <f>HEX2DEC(RIGHT(Table1323212753586873[[#This Row],[h2]],8))</f>
        <v>0</v>
      </c>
    </row>
    <row r="866" spans="1:18">
      <c r="A866" s="15" t="str">
        <f t="shared" si="18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8" t="s">
        <v>75</v>
      </c>
      <c r="P866" s="48">
        <f>HEX2DEC(RIGHT(Table1323212753586873[[#This Row],[h1]],8))</f>
        <v>0</v>
      </c>
      <c r="Q866" s="48" t="s">
        <v>75</v>
      </c>
      <c r="R866" s="48">
        <f>HEX2DEC(RIGHT(Table1323212753586873[[#This Row],[h2]],8))</f>
        <v>0</v>
      </c>
    </row>
    <row r="867" spans="1:18">
      <c r="A867" s="15" t="str">
        <f t="shared" si="18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8" t="s">
        <v>75</v>
      </c>
      <c r="P867" s="48">
        <f>HEX2DEC(RIGHT(Table1323212753586873[[#This Row],[h1]],8))</f>
        <v>0</v>
      </c>
      <c r="Q867" s="48" t="s">
        <v>75</v>
      </c>
      <c r="R867" s="48">
        <f>HEX2DEC(RIGHT(Table1323212753586873[[#This Row],[h2]],8))</f>
        <v>0</v>
      </c>
    </row>
    <row r="868" spans="1:18">
      <c r="A868" s="15" t="str">
        <f t="shared" si="18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8" t="s">
        <v>75</v>
      </c>
      <c r="P868" s="48">
        <f>HEX2DEC(RIGHT(Table1323212753586873[[#This Row],[h1]],8))</f>
        <v>0</v>
      </c>
      <c r="Q868" s="48" t="s">
        <v>75</v>
      </c>
      <c r="R868" s="48">
        <f>HEX2DEC(RIGHT(Table1323212753586873[[#This Row],[h2]],8))</f>
        <v>0</v>
      </c>
    </row>
    <row r="869" spans="1:18">
      <c r="A869" s="15" t="str">
        <f t="shared" si="18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8" t="s">
        <v>75</v>
      </c>
      <c r="P869" s="48">
        <f>HEX2DEC(RIGHT(Table1323212753586873[[#This Row],[h1]],8))</f>
        <v>0</v>
      </c>
      <c r="Q869" s="48" t="s">
        <v>75</v>
      </c>
      <c r="R869" s="48">
        <f>HEX2DEC(RIGHT(Table1323212753586873[[#This Row],[h2]],8))</f>
        <v>0</v>
      </c>
    </row>
    <row r="870" spans="1:18">
      <c r="A870" s="15" t="str">
        <f t="shared" si="18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8" t="s">
        <v>75</v>
      </c>
      <c r="P870" s="48">
        <f>HEX2DEC(RIGHT(Table1323212753586873[[#This Row],[h1]],8))</f>
        <v>0</v>
      </c>
      <c r="Q870" s="48" t="s">
        <v>75</v>
      </c>
      <c r="R870" s="48">
        <f>HEX2DEC(RIGHT(Table1323212753586873[[#This Row],[h2]],8))</f>
        <v>0</v>
      </c>
    </row>
    <row r="871" spans="1:18">
      <c r="A871" s="15" t="str">
        <f t="shared" si="18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8" t="s">
        <v>75</v>
      </c>
      <c r="P871" s="48">
        <f>HEX2DEC(RIGHT(Table1323212753586873[[#This Row],[h1]],8))</f>
        <v>0</v>
      </c>
      <c r="Q871" s="48" t="s">
        <v>75</v>
      </c>
      <c r="R871" s="48">
        <f>HEX2DEC(RIGHT(Table1323212753586873[[#This Row],[h2]],8))</f>
        <v>0</v>
      </c>
    </row>
    <row r="872" spans="1:18">
      <c r="A872" s="15" t="str">
        <f t="shared" si="18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8" t="s">
        <v>75</v>
      </c>
      <c r="P872" s="48">
        <f>HEX2DEC(RIGHT(Table1323212753586873[[#This Row],[h1]],8))</f>
        <v>0</v>
      </c>
      <c r="Q872" s="48" t="s">
        <v>75</v>
      </c>
      <c r="R872" s="48">
        <f>HEX2DEC(RIGHT(Table1323212753586873[[#This Row],[h2]],8))</f>
        <v>0</v>
      </c>
    </row>
    <row r="873" spans="1:18">
      <c r="A873" s="15" t="str">
        <f t="shared" si="18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8" t="s">
        <v>75</v>
      </c>
      <c r="P873" s="48">
        <f>HEX2DEC(RIGHT(Table1323212753586873[[#This Row],[h1]],8))</f>
        <v>0</v>
      </c>
      <c r="Q873" s="48" t="s">
        <v>75</v>
      </c>
      <c r="R873" s="48">
        <f>HEX2DEC(RIGHT(Table1323212753586873[[#This Row],[h2]],8))</f>
        <v>0</v>
      </c>
    </row>
    <row r="874" spans="1:18">
      <c r="A874" s="15" t="str">
        <f t="shared" si="18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8" t="s">
        <v>75</v>
      </c>
      <c r="P874" s="48">
        <f>HEX2DEC(RIGHT(Table1323212753586873[[#This Row],[h1]],8))</f>
        <v>0</v>
      </c>
      <c r="Q874" s="48" t="s">
        <v>75</v>
      </c>
      <c r="R874" s="48">
        <f>HEX2DEC(RIGHT(Table1323212753586873[[#This Row],[h2]],8))</f>
        <v>0</v>
      </c>
    </row>
    <row r="875" spans="1:18">
      <c r="A875" s="15" t="str">
        <f t="shared" si="18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8" t="s">
        <v>75</v>
      </c>
      <c r="P875" s="48">
        <f>HEX2DEC(RIGHT(Table1323212753586873[[#This Row],[h1]],8))</f>
        <v>0</v>
      </c>
      <c r="Q875" s="48" t="s">
        <v>75</v>
      </c>
      <c r="R875" s="48">
        <f>HEX2DEC(RIGHT(Table1323212753586873[[#This Row],[h2]],8))</f>
        <v>0</v>
      </c>
    </row>
    <row r="876" spans="1:18">
      <c r="A876" s="15" t="str">
        <f t="shared" si="18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8" t="s">
        <v>75</v>
      </c>
      <c r="P876" s="48">
        <f>HEX2DEC(RIGHT(Table1323212753586873[[#This Row],[h1]],8))</f>
        <v>0</v>
      </c>
      <c r="Q876" s="48" t="s">
        <v>75</v>
      </c>
      <c r="R876" s="48">
        <f>HEX2DEC(RIGHT(Table1323212753586873[[#This Row],[h2]],8))</f>
        <v>0</v>
      </c>
    </row>
    <row r="877" spans="1:18">
      <c r="A877" s="15" t="str">
        <f t="shared" si="18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8" t="s">
        <v>75</v>
      </c>
      <c r="P877" s="48">
        <f>HEX2DEC(RIGHT(Table1323212753586873[[#This Row],[h1]],8))</f>
        <v>0</v>
      </c>
      <c r="Q877" s="48" t="s">
        <v>75</v>
      </c>
      <c r="R877" s="48">
        <f>HEX2DEC(RIGHT(Table1323212753586873[[#This Row],[h2]],8))</f>
        <v>0</v>
      </c>
    </row>
    <row r="878" spans="1:18">
      <c r="A878" s="15" t="str">
        <f t="shared" si="18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8" t="s">
        <v>75</v>
      </c>
      <c r="P878" s="48">
        <f>HEX2DEC(RIGHT(Table1323212753586873[[#This Row],[h1]],8))</f>
        <v>0</v>
      </c>
      <c r="Q878" s="48" t="s">
        <v>75</v>
      </c>
      <c r="R878" s="48">
        <f>HEX2DEC(RIGHT(Table1323212753586873[[#This Row],[h2]],8))</f>
        <v>0</v>
      </c>
    </row>
    <row r="879" spans="1:18">
      <c r="A879" s="15" t="str">
        <f t="shared" si="18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8" t="s">
        <v>75</v>
      </c>
      <c r="P879" s="48">
        <f>HEX2DEC(RIGHT(Table1323212753586873[[#This Row],[h1]],8))</f>
        <v>0</v>
      </c>
      <c r="Q879" s="48" t="s">
        <v>75</v>
      </c>
      <c r="R879" s="48">
        <f>HEX2DEC(RIGHT(Table1323212753586873[[#This Row],[h2]],8))</f>
        <v>0</v>
      </c>
    </row>
    <row r="880" spans="1:18">
      <c r="A880" s="15" t="str">
        <f t="shared" si="18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8" t="s">
        <v>75</v>
      </c>
      <c r="P880" s="48">
        <f>HEX2DEC(RIGHT(Table1323212753586873[[#This Row],[h1]],8))</f>
        <v>0</v>
      </c>
      <c r="Q880" s="48" t="s">
        <v>75</v>
      </c>
      <c r="R880" s="48">
        <f>HEX2DEC(RIGHT(Table1323212753586873[[#This Row],[h2]],8))</f>
        <v>0</v>
      </c>
    </row>
    <row r="881" spans="1:18">
      <c r="A881" s="15" t="str">
        <f t="shared" si="18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8" t="s">
        <v>75</v>
      </c>
      <c r="P881" s="48">
        <f>HEX2DEC(RIGHT(Table1323212753586873[[#This Row],[h1]],8))</f>
        <v>0</v>
      </c>
      <c r="Q881" s="48" t="s">
        <v>75</v>
      </c>
      <c r="R881" s="48">
        <f>HEX2DEC(RIGHT(Table1323212753586873[[#This Row],[h2]],8))</f>
        <v>0</v>
      </c>
    </row>
    <row r="882" spans="1:18">
      <c r="A882" s="15" t="str">
        <f t="shared" si="18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8" t="s">
        <v>75</v>
      </c>
      <c r="P882" s="48">
        <f>HEX2DEC(RIGHT(Table1323212753586873[[#This Row],[h1]],8))</f>
        <v>0</v>
      </c>
      <c r="Q882" s="48" t="s">
        <v>75</v>
      </c>
      <c r="R882" s="48">
        <f>HEX2DEC(RIGHT(Table1323212753586873[[#This Row],[h2]],8))</f>
        <v>0</v>
      </c>
    </row>
    <row r="883" spans="1:18">
      <c r="A883" s="15" t="str">
        <f t="shared" si="18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8" t="s">
        <v>75</v>
      </c>
      <c r="P883" s="48">
        <f>HEX2DEC(RIGHT(Table1323212753586873[[#This Row],[h1]],8))</f>
        <v>0</v>
      </c>
      <c r="Q883" s="48" t="s">
        <v>75</v>
      </c>
      <c r="R883" s="48">
        <f>HEX2DEC(RIGHT(Table1323212753586873[[#This Row],[h2]],8))</f>
        <v>0</v>
      </c>
    </row>
    <row r="884" spans="1:18">
      <c r="A884" s="15" t="str">
        <f t="shared" si="18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8" t="s">
        <v>75</v>
      </c>
      <c r="P884" s="48">
        <f>HEX2DEC(RIGHT(Table1323212753586873[[#This Row],[h1]],8))</f>
        <v>0</v>
      </c>
      <c r="Q884" s="48" t="s">
        <v>75</v>
      </c>
      <c r="R884" s="48">
        <f>HEX2DEC(RIGHT(Table1323212753586873[[#This Row],[h2]],8))</f>
        <v>0</v>
      </c>
    </row>
    <row r="885" spans="1:18">
      <c r="A885" s="15" t="str">
        <f t="shared" si="18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8" t="s">
        <v>75</v>
      </c>
      <c r="P885" s="48">
        <f>HEX2DEC(RIGHT(Table1323212753586873[[#This Row],[h1]],8))</f>
        <v>0</v>
      </c>
      <c r="Q885" s="48" t="s">
        <v>75</v>
      </c>
      <c r="R885" s="48">
        <f>HEX2DEC(RIGHT(Table1323212753586873[[#This Row],[h2]],8))</f>
        <v>0</v>
      </c>
    </row>
    <row r="886" spans="1:18">
      <c r="A886" s="15" t="str">
        <f t="shared" si="18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8" t="s">
        <v>75</v>
      </c>
      <c r="P886" s="48">
        <f>HEX2DEC(RIGHT(Table1323212753586873[[#This Row],[h1]],8))</f>
        <v>0</v>
      </c>
      <c r="Q886" s="48" t="s">
        <v>75</v>
      </c>
      <c r="R886" s="48">
        <f>HEX2DEC(RIGHT(Table1323212753586873[[#This Row],[h2]],8))</f>
        <v>0</v>
      </c>
    </row>
    <row r="887" spans="1:18">
      <c r="A887" s="15" t="str">
        <f t="shared" si="18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8" t="s">
        <v>75</v>
      </c>
      <c r="P887" s="48">
        <f>HEX2DEC(RIGHT(Table1323212753586873[[#This Row],[h1]],8))</f>
        <v>0</v>
      </c>
      <c r="Q887" s="48" t="s">
        <v>75</v>
      </c>
      <c r="R887" s="48">
        <f>HEX2DEC(RIGHT(Table1323212753586873[[#This Row],[h2]],8))</f>
        <v>0</v>
      </c>
    </row>
    <row r="888" spans="1:18">
      <c r="A888" s="15" t="str">
        <f t="shared" si="18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8" t="s">
        <v>75</v>
      </c>
      <c r="P888" s="48">
        <f>HEX2DEC(RIGHT(Table1323212753586873[[#This Row],[h1]],8))</f>
        <v>0</v>
      </c>
      <c r="Q888" s="48" t="s">
        <v>75</v>
      </c>
      <c r="R888" s="48">
        <f>HEX2DEC(RIGHT(Table1323212753586873[[#This Row],[h2]],8))</f>
        <v>0</v>
      </c>
    </row>
    <row r="889" spans="1:18">
      <c r="A889" s="15" t="str">
        <f t="shared" si="18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8" t="s">
        <v>75</v>
      </c>
      <c r="P889" s="48">
        <f>HEX2DEC(RIGHT(Table1323212753586873[[#This Row],[h1]],8))</f>
        <v>0</v>
      </c>
      <c r="Q889" s="48" t="s">
        <v>75</v>
      </c>
      <c r="R889" s="48">
        <f>HEX2DEC(RIGHT(Table1323212753586873[[#This Row],[h2]],8))</f>
        <v>0</v>
      </c>
    </row>
    <row r="890" spans="1:18">
      <c r="A890" s="15" t="str">
        <f t="shared" si="18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8" t="s">
        <v>75</v>
      </c>
      <c r="P890" s="48">
        <f>HEX2DEC(RIGHT(Table1323212753586873[[#This Row],[h1]],8))</f>
        <v>0</v>
      </c>
      <c r="Q890" s="48" t="s">
        <v>75</v>
      </c>
      <c r="R890" s="48">
        <f>HEX2DEC(RIGHT(Table1323212753586873[[#This Row],[h2]],8))</f>
        <v>0</v>
      </c>
    </row>
    <row r="891" spans="1:18">
      <c r="A891" s="15" t="str">
        <f t="shared" si="18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8" t="s">
        <v>75</v>
      </c>
      <c r="P891" s="48">
        <f>HEX2DEC(RIGHT(Table1323212753586873[[#This Row],[h1]],8))</f>
        <v>0</v>
      </c>
      <c r="Q891" s="48" t="s">
        <v>75</v>
      </c>
      <c r="R891" s="48">
        <f>HEX2DEC(RIGHT(Table1323212753586873[[#This Row],[h2]],8))</f>
        <v>0</v>
      </c>
    </row>
    <row r="892" spans="1:18">
      <c r="A892" s="15" t="str">
        <f t="shared" si="18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8" t="s">
        <v>75</v>
      </c>
      <c r="P892" s="48">
        <f>HEX2DEC(RIGHT(Table1323212753586873[[#This Row],[h1]],8))</f>
        <v>0</v>
      </c>
      <c r="Q892" s="48" t="s">
        <v>75</v>
      </c>
      <c r="R892" s="48">
        <f>HEX2DEC(RIGHT(Table1323212753586873[[#This Row],[h2]],8))</f>
        <v>0</v>
      </c>
    </row>
    <row r="893" spans="1:18">
      <c r="A893" s="15" t="str">
        <f t="shared" si="18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8" t="s">
        <v>75</v>
      </c>
      <c r="P893" s="48">
        <f>HEX2DEC(RIGHT(Table1323212753586873[[#This Row],[h1]],8))</f>
        <v>0</v>
      </c>
      <c r="Q893" s="48" t="s">
        <v>75</v>
      </c>
      <c r="R893" s="48">
        <f>HEX2DEC(RIGHT(Table1323212753586873[[#This Row],[h2]],8))</f>
        <v>0</v>
      </c>
    </row>
    <row r="894" spans="1:18">
      <c r="A894" s="15" t="str">
        <f t="shared" si="18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8" t="s">
        <v>75</v>
      </c>
      <c r="P894" s="48">
        <f>HEX2DEC(RIGHT(Table1323212753586873[[#This Row],[h1]],8))</f>
        <v>0</v>
      </c>
      <c r="Q894" s="48" t="s">
        <v>75</v>
      </c>
      <c r="R894" s="48">
        <f>HEX2DEC(RIGHT(Table1323212753586873[[#This Row],[h2]],8))</f>
        <v>0</v>
      </c>
    </row>
    <row r="895" spans="1:18">
      <c r="A895" s="15" t="str">
        <f t="shared" si="18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8" t="s">
        <v>75</v>
      </c>
      <c r="P895" s="48">
        <f>HEX2DEC(RIGHT(Table1323212753586873[[#This Row],[h1]],8))</f>
        <v>0</v>
      </c>
      <c r="Q895" s="48" t="s">
        <v>75</v>
      </c>
      <c r="R895" s="48">
        <f>HEX2DEC(RIGHT(Table1323212753586873[[#This Row],[h2]],8))</f>
        <v>0</v>
      </c>
    </row>
    <row r="896" spans="1:18">
      <c r="A896" s="15" t="str">
        <f t="shared" si="18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8" t="s">
        <v>75</v>
      </c>
      <c r="P896" s="48">
        <f>HEX2DEC(RIGHT(Table1323212753586873[[#This Row],[h1]],8))</f>
        <v>0</v>
      </c>
      <c r="Q896" s="48" t="s">
        <v>75</v>
      </c>
      <c r="R896" s="48">
        <f>HEX2DEC(RIGHT(Table1323212753586873[[#This Row],[h2]],8))</f>
        <v>0</v>
      </c>
    </row>
    <row r="897" spans="1:18">
      <c r="A897" s="15" t="str">
        <f t="shared" si="18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8" t="s">
        <v>75</v>
      </c>
      <c r="P897" s="48">
        <f>HEX2DEC(RIGHT(Table1323212753586873[[#This Row],[h1]],8))</f>
        <v>0</v>
      </c>
      <c r="Q897" s="48" t="s">
        <v>75</v>
      </c>
      <c r="R897" s="48">
        <f>HEX2DEC(RIGHT(Table1323212753586873[[#This Row],[h2]],8))</f>
        <v>0</v>
      </c>
    </row>
    <row r="898" spans="1:18">
      <c r="A898" s="15" t="str">
        <f t="shared" si="18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8" t="s">
        <v>75</v>
      </c>
      <c r="P898" s="48">
        <f>HEX2DEC(RIGHT(Table1323212753586873[[#This Row],[h1]],8))</f>
        <v>0</v>
      </c>
      <c r="Q898" s="48" t="s">
        <v>75</v>
      </c>
      <c r="R898" s="48">
        <f>HEX2DEC(RIGHT(Table1323212753586873[[#This Row],[h2]],8))</f>
        <v>0</v>
      </c>
    </row>
    <row r="899" spans="1:18">
      <c r="A899" s="15" t="str">
        <f t="shared" si="18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8" t="s">
        <v>75</v>
      </c>
      <c r="P899" s="48">
        <f>HEX2DEC(RIGHT(Table1323212753586873[[#This Row],[h1]],8))</f>
        <v>0</v>
      </c>
      <c r="Q899" s="48" t="s">
        <v>75</v>
      </c>
      <c r="R899" s="48">
        <f>HEX2DEC(RIGHT(Table1323212753586873[[#This Row],[h2]],8))</f>
        <v>0</v>
      </c>
    </row>
    <row r="900" spans="1:18">
      <c r="A900" s="15" t="str">
        <f t="shared" si="18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8" t="s">
        <v>75</v>
      </c>
      <c r="P900" s="48">
        <f>HEX2DEC(RIGHT(Table1323212753586873[[#This Row],[h1]],8))</f>
        <v>0</v>
      </c>
      <c r="Q900" s="48" t="s">
        <v>75</v>
      </c>
      <c r="R900" s="48">
        <f>HEX2DEC(RIGHT(Table1323212753586873[[#This Row],[h2]],8))</f>
        <v>0</v>
      </c>
    </row>
    <row r="901" spans="1:18">
      <c r="A901" s="15" t="str">
        <f t="shared" si="18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8" t="s">
        <v>75</v>
      </c>
      <c r="P901" s="48">
        <f>HEX2DEC(RIGHT(Table1323212753586873[[#This Row],[h1]],8))</f>
        <v>0</v>
      </c>
      <c r="Q901" s="48" t="s">
        <v>75</v>
      </c>
      <c r="R901" s="48">
        <f>HEX2DEC(RIGHT(Table1323212753586873[[#This Row],[h2]],8))</f>
        <v>0</v>
      </c>
    </row>
    <row r="902" spans="1:18">
      <c r="A902" s="15" t="str">
        <f t="shared" si="18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8" t="s">
        <v>75</v>
      </c>
      <c r="P902" s="48">
        <f>HEX2DEC(RIGHT(Table1323212753586873[[#This Row],[h1]],8))</f>
        <v>0</v>
      </c>
      <c r="Q902" s="48" t="s">
        <v>75</v>
      </c>
      <c r="R902" s="48">
        <f>HEX2DEC(RIGHT(Table1323212753586873[[#This Row],[h2]],8))</f>
        <v>0</v>
      </c>
    </row>
    <row r="903" spans="1:18">
      <c r="A903" s="15" t="str">
        <f t="shared" si="18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8" t="s">
        <v>75</v>
      </c>
      <c r="P903" s="48">
        <f>HEX2DEC(RIGHT(Table1323212753586873[[#This Row],[h1]],8))</f>
        <v>0</v>
      </c>
      <c r="Q903" s="48" t="s">
        <v>75</v>
      </c>
      <c r="R903" s="48">
        <f>HEX2DEC(RIGHT(Table1323212753586873[[#This Row],[h2]],8))</f>
        <v>0</v>
      </c>
    </row>
    <row r="904" spans="1:18">
      <c r="A904" s="15" t="str">
        <f t="shared" si="18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8" t="s">
        <v>75</v>
      </c>
      <c r="P904" s="48">
        <f>HEX2DEC(RIGHT(Table1323212753586873[[#This Row],[h1]],8))</f>
        <v>0</v>
      </c>
      <c r="Q904" s="48" t="s">
        <v>75</v>
      </c>
      <c r="R904" s="48">
        <f>HEX2DEC(RIGHT(Table1323212753586873[[#This Row],[h2]],8))</f>
        <v>0</v>
      </c>
    </row>
    <row r="905" spans="1:18">
      <c r="A905" s="15" t="str">
        <f t="shared" si="18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8" t="s">
        <v>75</v>
      </c>
      <c r="P905" s="48">
        <f>HEX2DEC(RIGHT(Table1323212753586873[[#This Row],[h1]],8))</f>
        <v>0</v>
      </c>
      <c r="Q905" s="48" t="s">
        <v>75</v>
      </c>
      <c r="R905" s="48">
        <f>HEX2DEC(RIGHT(Table1323212753586873[[#This Row],[h2]],8))</f>
        <v>0</v>
      </c>
    </row>
    <row r="906" spans="1:18">
      <c r="A906" s="15" t="str">
        <f t="shared" si="18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8" t="s">
        <v>75</v>
      </c>
      <c r="P906" s="48">
        <f>HEX2DEC(RIGHT(Table1323212753586873[[#This Row],[h1]],8))</f>
        <v>0</v>
      </c>
      <c r="Q906" s="48" t="s">
        <v>75</v>
      </c>
      <c r="R906" s="48">
        <f>HEX2DEC(RIGHT(Table1323212753586873[[#This Row],[h2]],8))</f>
        <v>0</v>
      </c>
    </row>
    <row r="907" spans="1:18">
      <c r="A907" s="15" t="str">
        <f t="shared" ref="A907:A970" si="19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8" t="s">
        <v>75</v>
      </c>
      <c r="P907" s="48">
        <f>HEX2DEC(RIGHT(Table1323212753586873[[#This Row],[h1]],8))</f>
        <v>0</v>
      </c>
      <c r="Q907" s="48" t="s">
        <v>75</v>
      </c>
      <c r="R907" s="48">
        <f>HEX2DEC(RIGHT(Table1323212753586873[[#This Row],[h2]],8))</f>
        <v>0</v>
      </c>
    </row>
    <row r="908" spans="1:18">
      <c r="A908" s="15" t="str">
        <f t="shared" si="19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8" t="s">
        <v>75</v>
      </c>
      <c r="P908" s="48">
        <f>HEX2DEC(RIGHT(Table1323212753586873[[#This Row],[h1]],8))</f>
        <v>0</v>
      </c>
      <c r="Q908" s="48" t="s">
        <v>75</v>
      </c>
      <c r="R908" s="48">
        <f>HEX2DEC(RIGHT(Table1323212753586873[[#This Row],[h2]],8))</f>
        <v>0</v>
      </c>
    </row>
    <row r="909" spans="1:18">
      <c r="A909" s="15" t="str">
        <f t="shared" si="19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8" t="s">
        <v>75</v>
      </c>
      <c r="P909" s="48">
        <f>HEX2DEC(RIGHT(Table1323212753586873[[#This Row],[h1]],8))</f>
        <v>0</v>
      </c>
      <c r="Q909" s="48" t="s">
        <v>75</v>
      </c>
      <c r="R909" s="48">
        <f>HEX2DEC(RIGHT(Table1323212753586873[[#This Row],[h2]],8))</f>
        <v>0</v>
      </c>
    </row>
    <row r="910" spans="1:18">
      <c r="A910" s="15" t="str">
        <f t="shared" si="19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8" t="s">
        <v>75</v>
      </c>
      <c r="P910" s="48">
        <f>HEX2DEC(RIGHT(Table1323212753586873[[#This Row],[h1]],8))</f>
        <v>0</v>
      </c>
      <c r="Q910" s="48" t="s">
        <v>75</v>
      </c>
      <c r="R910" s="48">
        <f>HEX2DEC(RIGHT(Table1323212753586873[[#This Row],[h2]],8))</f>
        <v>0</v>
      </c>
    </row>
    <row r="911" spans="1:18">
      <c r="A911" s="15" t="str">
        <f t="shared" si="19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8" t="s">
        <v>75</v>
      </c>
      <c r="P911" s="48">
        <f>HEX2DEC(RIGHT(Table1323212753586873[[#This Row],[h1]],8))</f>
        <v>0</v>
      </c>
      <c r="Q911" s="48" t="s">
        <v>75</v>
      </c>
      <c r="R911" s="48">
        <f>HEX2DEC(RIGHT(Table1323212753586873[[#This Row],[h2]],8))</f>
        <v>0</v>
      </c>
    </row>
    <row r="912" spans="1:18">
      <c r="A912" s="15" t="str">
        <f t="shared" si="19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8" t="s">
        <v>75</v>
      </c>
      <c r="P912" s="48">
        <f>HEX2DEC(RIGHT(Table1323212753586873[[#This Row],[h1]],8))</f>
        <v>0</v>
      </c>
      <c r="Q912" s="48" t="s">
        <v>75</v>
      </c>
      <c r="R912" s="48">
        <f>HEX2DEC(RIGHT(Table1323212753586873[[#This Row],[h2]],8))</f>
        <v>0</v>
      </c>
    </row>
    <row r="913" spans="1:18">
      <c r="A913" s="15" t="str">
        <f t="shared" si="19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8" t="s">
        <v>75</v>
      </c>
      <c r="P913" s="48">
        <f>HEX2DEC(RIGHT(Table1323212753586873[[#This Row],[h1]],8))</f>
        <v>0</v>
      </c>
      <c r="Q913" s="48" t="s">
        <v>75</v>
      </c>
      <c r="R913" s="48">
        <f>HEX2DEC(RIGHT(Table1323212753586873[[#This Row],[h2]],8))</f>
        <v>0</v>
      </c>
    </row>
    <row r="914" spans="1:18">
      <c r="A914" s="15" t="str">
        <f t="shared" si="19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8" t="s">
        <v>75</v>
      </c>
      <c r="P914" s="48">
        <f>HEX2DEC(RIGHT(Table1323212753586873[[#This Row],[h1]],8))</f>
        <v>0</v>
      </c>
      <c r="Q914" s="48" t="s">
        <v>75</v>
      </c>
      <c r="R914" s="48">
        <f>HEX2DEC(RIGHT(Table1323212753586873[[#This Row],[h2]],8))</f>
        <v>0</v>
      </c>
    </row>
    <row r="915" spans="1:18">
      <c r="A915" s="15" t="str">
        <f t="shared" si="19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8" t="s">
        <v>75</v>
      </c>
      <c r="P915" s="48">
        <f>HEX2DEC(RIGHT(Table1323212753586873[[#This Row],[h1]],8))</f>
        <v>0</v>
      </c>
      <c r="Q915" s="48" t="s">
        <v>75</v>
      </c>
      <c r="R915" s="48">
        <f>HEX2DEC(RIGHT(Table1323212753586873[[#This Row],[h2]],8))</f>
        <v>0</v>
      </c>
    </row>
    <row r="916" spans="1:18">
      <c r="A916" s="15" t="str">
        <f t="shared" si="19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8" t="s">
        <v>75</v>
      </c>
      <c r="P916" s="48">
        <f>HEX2DEC(RIGHT(Table1323212753586873[[#This Row],[h1]],8))</f>
        <v>0</v>
      </c>
      <c r="Q916" s="48" t="s">
        <v>75</v>
      </c>
      <c r="R916" s="48">
        <f>HEX2DEC(RIGHT(Table1323212753586873[[#This Row],[h2]],8))</f>
        <v>0</v>
      </c>
    </row>
    <row r="917" spans="1:18">
      <c r="A917" s="15" t="str">
        <f t="shared" si="19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8" t="s">
        <v>75</v>
      </c>
      <c r="P917" s="48">
        <f>HEX2DEC(RIGHT(Table1323212753586873[[#This Row],[h1]],8))</f>
        <v>0</v>
      </c>
      <c r="Q917" s="48" t="s">
        <v>75</v>
      </c>
      <c r="R917" s="48">
        <f>HEX2DEC(RIGHT(Table1323212753586873[[#This Row],[h2]],8))</f>
        <v>0</v>
      </c>
    </row>
    <row r="918" spans="1:18">
      <c r="A918" s="15" t="str">
        <f t="shared" si="19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8" t="s">
        <v>75</v>
      </c>
      <c r="P918" s="48">
        <f>HEX2DEC(RIGHT(Table1323212753586873[[#This Row],[h1]],8))</f>
        <v>0</v>
      </c>
      <c r="Q918" s="48" t="s">
        <v>75</v>
      </c>
      <c r="R918" s="48">
        <f>HEX2DEC(RIGHT(Table1323212753586873[[#This Row],[h2]],8))</f>
        <v>0</v>
      </c>
    </row>
    <row r="919" spans="1:18">
      <c r="A919" s="15" t="str">
        <f t="shared" si="19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8" t="s">
        <v>75</v>
      </c>
      <c r="P919" s="48">
        <f>HEX2DEC(RIGHT(Table1323212753586873[[#This Row],[h1]],8))</f>
        <v>0</v>
      </c>
      <c r="Q919" s="48" t="s">
        <v>75</v>
      </c>
      <c r="R919" s="48">
        <f>HEX2DEC(RIGHT(Table1323212753586873[[#This Row],[h2]],8))</f>
        <v>0</v>
      </c>
    </row>
    <row r="920" spans="1:18">
      <c r="A920" s="15" t="str">
        <f t="shared" si="19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8" t="s">
        <v>75</v>
      </c>
      <c r="P920" s="48">
        <f>HEX2DEC(RIGHT(Table1323212753586873[[#This Row],[h1]],8))</f>
        <v>0</v>
      </c>
      <c r="Q920" s="48" t="s">
        <v>75</v>
      </c>
      <c r="R920" s="48">
        <f>HEX2DEC(RIGHT(Table1323212753586873[[#This Row],[h2]],8))</f>
        <v>0</v>
      </c>
    </row>
    <row r="921" spans="1:18">
      <c r="A921" s="15" t="str">
        <f t="shared" si="19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8" t="s">
        <v>75</v>
      </c>
      <c r="P921" s="48">
        <f>HEX2DEC(RIGHT(Table1323212753586873[[#This Row],[h1]],8))</f>
        <v>0</v>
      </c>
      <c r="Q921" s="48" t="s">
        <v>75</v>
      </c>
      <c r="R921" s="48">
        <f>HEX2DEC(RIGHT(Table1323212753586873[[#This Row],[h2]],8))</f>
        <v>0</v>
      </c>
    </row>
    <row r="922" spans="1:18">
      <c r="A922" s="15" t="str">
        <f t="shared" si="19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8" t="s">
        <v>75</v>
      </c>
      <c r="P922" s="48">
        <f>HEX2DEC(RIGHT(Table1323212753586873[[#This Row],[h1]],8))</f>
        <v>0</v>
      </c>
      <c r="Q922" s="48" t="s">
        <v>75</v>
      </c>
      <c r="R922" s="48">
        <f>HEX2DEC(RIGHT(Table1323212753586873[[#This Row],[h2]],8))</f>
        <v>0</v>
      </c>
    </row>
    <row r="923" spans="1:18">
      <c r="A923" s="15" t="str">
        <f t="shared" si="19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8" t="s">
        <v>75</v>
      </c>
      <c r="P923" s="48">
        <f>HEX2DEC(RIGHT(Table1323212753586873[[#This Row],[h1]],8))</f>
        <v>0</v>
      </c>
      <c r="Q923" s="48" t="s">
        <v>75</v>
      </c>
      <c r="R923" s="48">
        <f>HEX2DEC(RIGHT(Table1323212753586873[[#This Row],[h2]],8))</f>
        <v>0</v>
      </c>
    </row>
    <row r="924" spans="1:18">
      <c r="A924" s="15" t="str">
        <f t="shared" si="19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8" t="s">
        <v>75</v>
      </c>
      <c r="P924" s="48">
        <f>HEX2DEC(RIGHT(Table1323212753586873[[#This Row],[h1]],8))</f>
        <v>0</v>
      </c>
      <c r="Q924" s="48" t="s">
        <v>75</v>
      </c>
      <c r="R924" s="48">
        <f>HEX2DEC(RIGHT(Table1323212753586873[[#This Row],[h2]],8))</f>
        <v>0</v>
      </c>
    </row>
    <row r="925" spans="1:18">
      <c r="A925" s="15" t="str">
        <f t="shared" si="19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8" t="s">
        <v>75</v>
      </c>
      <c r="P925" s="48">
        <f>HEX2DEC(RIGHT(Table1323212753586873[[#This Row],[h1]],8))</f>
        <v>0</v>
      </c>
      <c r="Q925" s="48" t="s">
        <v>75</v>
      </c>
      <c r="R925" s="48">
        <f>HEX2DEC(RIGHT(Table1323212753586873[[#This Row],[h2]],8))</f>
        <v>0</v>
      </c>
    </row>
    <row r="926" spans="1:18">
      <c r="A926" s="15" t="str">
        <f t="shared" si="19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8" t="s">
        <v>75</v>
      </c>
      <c r="P926" s="48">
        <f>HEX2DEC(RIGHT(Table1323212753586873[[#This Row],[h1]],8))</f>
        <v>0</v>
      </c>
      <c r="Q926" s="48" t="s">
        <v>75</v>
      </c>
      <c r="R926" s="48">
        <f>HEX2DEC(RIGHT(Table1323212753586873[[#This Row],[h2]],8))</f>
        <v>0</v>
      </c>
    </row>
    <row r="927" spans="1:18">
      <c r="A927" s="15" t="str">
        <f t="shared" si="19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8" t="s">
        <v>75</v>
      </c>
      <c r="P927" s="48">
        <f>HEX2DEC(RIGHT(Table1323212753586873[[#This Row],[h1]],8))</f>
        <v>0</v>
      </c>
      <c r="Q927" s="48" t="s">
        <v>75</v>
      </c>
      <c r="R927" s="48">
        <f>HEX2DEC(RIGHT(Table1323212753586873[[#This Row],[h2]],8))</f>
        <v>0</v>
      </c>
    </row>
    <row r="928" spans="1:18">
      <c r="A928" s="15" t="str">
        <f t="shared" si="19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8" t="s">
        <v>75</v>
      </c>
      <c r="P928" s="48">
        <f>HEX2DEC(RIGHT(Table1323212753586873[[#This Row],[h1]],8))</f>
        <v>0</v>
      </c>
      <c r="Q928" s="48" t="s">
        <v>75</v>
      </c>
      <c r="R928" s="48">
        <f>HEX2DEC(RIGHT(Table1323212753586873[[#This Row],[h2]],8))</f>
        <v>0</v>
      </c>
    </row>
    <row r="929" spans="1:18">
      <c r="A929" s="15" t="str">
        <f t="shared" si="19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8" t="s">
        <v>75</v>
      </c>
      <c r="P929" s="48">
        <f>HEX2DEC(RIGHT(Table1323212753586873[[#This Row],[h1]],8))</f>
        <v>0</v>
      </c>
      <c r="Q929" s="48" t="s">
        <v>75</v>
      </c>
      <c r="R929" s="48">
        <f>HEX2DEC(RIGHT(Table1323212753586873[[#This Row],[h2]],8))</f>
        <v>0</v>
      </c>
    </row>
    <row r="930" spans="1:18">
      <c r="A930" s="15" t="str">
        <f t="shared" si="19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8" t="s">
        <v>75</v>
      </c>
      <c r="P930" s="48">
        <f>HEX2DEC(RIGHT(Table1323212753586873[[#This Row],[h1]],8))</f>
        <v>0</v>
      </c>
      <c r="Q930" s="48" t="s">
        <v>75</v>
      </c>
      <c r="R930" s="48">
        <f>HEX2DEC(RIGHT(Table1323212753586873[[#This Row],[h2]],8))</f>
        <v>0</v>
      </c>
    </row>
    <row r="931" spans="1:18">
      <c r="A931" s="15" t="str">
        <f t="shared" si="19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8" t="s">
        <v>75</v>
      </c>
      <c r="P931" s="48">
        <f>HEX2DEC(RIGHT(Table1323212753586873[[#This Row],[h1]],8))</f>
        <v>0</v>
      </c>
      <c r="Q931" s="48" t="s">
        <v>75</v>
      </c>
      <c r="R931" s="48">
        <f>HEX2DEC(RIGHT(Table1323212753586873[[#This Row],[h2]],8))</f>
        <v>0</v>
      </c>
    </row>
    <row r="932" spans="1:18">
      <c r="A932" s="15" t="str">
        <f t="shared" si="19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8" t="s">
        <v>75</v>
      </c>
      <c r="P932" s="48">
        <f>HEX2DEC(RIGHT(Table1323212753586873[[#This Row],[h1]],8))</f>
        <v>0</v>
      </c>
      <c r="Q932" s="48" t="s">
        <v>75</v>
      </c>
      <c r="R932" s="48">
        <f>HEX2DEC(RIGHT(Table1323212753586873[[#This Row],[h2]],8))</f>
        <v>0</v>
      </c>
    </row>
    <row r="933" spans="1:18">
      <c r="A933" s="15" t="str">
        <f t="shared" si="19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8" t="s">
        <v>75</v>
      </c>
      <c r="P933" s="48">
        <f>HEX2DEC(RIGHT(Table1323212753586873[[#This Row],[h1]],8))</f>
        <v>0</v>
      </c>
      <c r="Q933" s="48" t="s">
        <v>75</v>
      </c>
      <c r="R933" s="48">
        <f>HEX2DEC(RIGHT(Table1323212753586873[[#This Row],[h2]],8))</f>
        <v>0</v>
      </c>
    </row>
    <row r="934" spans="1:18">
      <c r="A934" s="15" t="str">
        <f t="shared" si="19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8" t="s">
        <v>75</v>
      </c>
      <c r="P934" s="48">
        <f>HEX2DEC(RIGHT(Table1323212753586873[[#This Row],[h1]],8))</f>
        <v>0</v>
      </c>
      <c r="Q934" s="48" t="s">
        <v>75</v>
      </c>
      <c r="R934" s="48">
        <f>HEX2DEC(RIGHT(Table1323212753586873[[#This Row],[h2]],8))</f>
        <v>0</v>
      </c>
    </row>
    <row r="935" spans="1:18">
      <c r="A935" s="15" t="str">
        <f t="shared" si="19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8" t="s">
        <v>75</v>
      </c>
      <c r="P935" s="48">
        <f>HEX2DEC(RIGHT(Table1323212753586873[[#This Row],[h1]],8))</f>
        <v>0</v>
      </c>
      <c r="Q935" s="48" t="s">
        <v>75</v>
      </c>
      <c r="R935" s="48">
        <f>HEX2DEC(RIGHT(Table1323212753586873[[#This Row],[h2]],8))</f>
        <v>0</v>
      </c>
    </row>
    <row r="936" spans="1:18">
      <c r="A936" s="15" t="str">
        <f t="shared" si="19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8" t="s">
        <v>75</v>
      </c>
      <c r="P936" s="48">
        <f>HEX2DEC(RIGHT(Table1323212753586873[[#This Row],[h1]],8))</f>
        <v>0</v>
      </c>
      <c r="Q936" s="48" t="s">
        <v>75</v>
      </c>
      <c r="R936" s="48">
        <f>HEX2DEC(RIGHT(Table1323212753586873[[#This Row],[h2]],8))</f>
        <v>0</v>
      </c>
    </row>
    <row r="937" spans="1:18">
      <c r="A937" s="15" t="str">
        <f t="shared" si="19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8" t="s">
        <v>75</v>
      </c>
      <c r="P937" s="48">
        <f>HEX2DEC(RIGHT(Table1323212753586873[[#This Row],[h1]],8))</f>
        <v>0</v>
      </c>
      <c r="Q937" s="48" t="s">
        <v>75</v>
      </c>
      <c r="R937" s="48">
        <f>HEX2DEC(RIGHT(Table1323212753586873[[#This Row],[h2]],8))</f>
        <v>0</v>
      </c>
    </row>
    <row r="938" spans="1:18">
      <c r="A938" s="15" t="str">
        <f t="shared" si="19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8" t="s">
        <v>75</v>
      </c>
      <c r="P938" s="48">
        <f>HEX2DEC(RIGHT(Table1323212753586873[[#This Row],[h1]],8))</f>
        <v>0</v>
      </c>
      <c r="Q938" s="48" t="s">
        <v>75</v>
      </c>
      <c r="R938" s="48">
        <f>HEX2DEC(RIGHT(Table1323212753586873[[#This Row],[h2]],8))</f>
        <v>0</v>
      </c>
    </row>
    <row r="939" spans="1:18">
      <c r="A939" s="15" t="str">
        <f t="shared" si="19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8" t="s">
        <v>75</v>
      </c>
      <c r="P939" s="48">
        <f>HEX2DEC(RIGHT(Table1323212753586873[[#This Row],[h1]],8))</f>
        <v>0</v>
      </c>
      <c r="Q939" s="48" t="s">
        <v>75</v>
      </c>
      <c r="R939" s="48">
        <f>HEX2DEC(RIGHT(Table1323212753586873[[#This Row],[h2]],8))</f>
        <v>0</v>
      </c>
    </row>
    <row r="940" spans="1:18">
      <c r="A940" s="15" t="str">
        <f t="shared" si="19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8" t="s">
        <v>75</v>
      </c>
      <c r="P940" s="48">
        <f>HEX2DEC(RIGHT(Table1323212753586873[[#This Row],[h1]],8))</f>
        <v>0</v>
      </c>
      <c r="Q940" s="48" t="s">
        <v>75</v>
      </c>
      <c r="R940" s="48">
        <f>HEX2DEC(RIGHT(Table1323212753586873[[#This Row],[h2]],8))</f>
        <v>0</v>
      </c>
    </row>
    <row r="941" spans="1:18">
      <c r="A941" s="15" t="str">
        <f t="shared" si="19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8" t="s">
        <v>75</v>
      </c>
      <c r="P941" s="48">
        <f>HEX2DEC(RIGHT(Table1323212753586873[[#This Row],[h1]],8))</f>
        <v>0</v>
      </c>
      <c r="Q941" s="48" t="s">
        <v>75</v>
      </c>
      <c r="R941" s="48">
        <f>HEX2DEC(RIGHT(Table1323212753586873[[#This Row],[h2]],8))</f>
        <v>0</v>
      </c>
    </row>
    <row r="942" spans="1:18">
      <c r="A942" s="15" t="str">
        <f t="shared" si="19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8" t="s">
        <v>75</v>
      </c>
      <c r="P942" s="48">
        <f>HEX2DEC(RIGHT(Table1323212753586873[[#This Row],[h1]],8))</f>
        <v>0</v>
      </c>
      <c r="Q942" s="48" t="s">
        <v>75</v>
      </c>
      <c r="R942" s="48">
        <f>HEX2DEC(RIGHT(Table1323212753586873[[#This Row],[h2]],8))</f>
        <v>0</v>
      </c>
    </row>
    <row r="943" spans="1:18">
      <c r="A943" s="15" t="str">
        <f t="shared" si="19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8" t="s">
        <v>75</v>
      </c>
      <c r="P943" s="48">
        <f>HEX2DEC(RIGHT(Table1323212753586873[[#This Row],[h1]],8))</f>
        <v>0</v>
      </c>
      <c r="Q943" s="48" t="s">
        <v>75</v>
      </c>
      <c r="R943" s="48">
        <f>HEX2DEC(RIGHT(Table1323212753586873[[#This Row],[h2]],8))</f>
        <v>0</v>
      </c>
    </row>
    <row r="944" spans="1:18">
      <c r="A944" s="15" t="str">
        <f t="shared" si="19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8" t="s">
        <v>75</v>
      </c>
      <c r="P944" s="48">
        <f>HEX2DEC(RIGHT(Table1323212753586873[[#This Row],[h1]],8))</f>
        <v>0</v>
      </c>
      <c r="Q944" s="48" t="s">
        <v>75</v>
      </c>
      <c r="R944" s="48">
        <f>HEX2DEC(RIGHT(Table1323212753586873[[#This Row],[h2]],8))</f>
        <v>0</v>
      </c>
    </row>
    <row r="945" spans="1:18">
      <c r="A945" s="15" t="str">
        <f t="shared" si="19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8" t="s">
        <v>75</v>
      </c>
      <c r="P945" s="48">
        <f>HEX2DEC(RIGHT(Table1323212753586873[[#This Row],[h1]],8))</f>
        <v>0</v>
      </c>
      <c r="Q945" s="48" t="s">
        <v>75</v>
      </c>
      <c r="R945" s="48">
        <f>HEX2DEC(RIGHT(Table1323212753586873[[#This Row],[h2]],8))</f>
        <v>0</v>
      </c>
    </row>
    <row r="946" spans="1:18">
      <c r="A946" s="15" t="str">
        <f t="shared" si="19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8" t="s">
        <v>75</v>
      </c>
      <c r="P946" s="48">
        <f>HEX2DEC(RIGHT(Table1323212753586873[[#This Row],[h1]],8))</f>
        <v>0</v>
      </c>
      <c r="Q946" s="48" t="s">
        <v>75</v>
      </c>
      <c r="R946" s="48">
        <f>HEX2DEC(RIGHT(Table1323212753586873[[#This Row],[h2]],8))</f>
        <v>0</v>
      </c>
    </row>
    <row r="947" spans="1:18">
      <c r="A947" s="15" t="str">
        <f t="shared" si="19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8" t="s">
        <v>75</v>
      </c>
      <c r="P947" s="48">
        <f>HEX2DEC(RIGHT(Table1323212753586873[[#This Row],[h1]],8))</f>
        <v>0</v>
      </c>
      <c r="Q947" s="48" t="s">
        <v>75</v>
      </c>
      <c r="R947" s="48">
        <f>HEX2DEC(RIGHT(Table1323212753586873[[#This Row],[h2]],8))</f>
        <v>0</v>
      </c>
    </row>
    <row r="948" spans="1:18">
      <c r="A948" s="15" t="str">
        <f t="shared" si="19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8" t="s">
        <v>75</v>
      </c>
      <c r="P948" s="48">
        <f>HEX2DEC(RIGHT(Table1323212753586873[[#This Row],[h1]],8))</f>
        <v>0</v>
      </c>
      <c r="Q948" s="48" t="s">
        <v>75</v>
      </c>
      <c r="R948" s="48">
        <f>HEX2DEC(RIGHT(Table1323212753586873[[#This Row],[h2]],8))</f>
        <v>0</v>
      </c>
    </row>
    <row r="949" spans="1:18">
      <c r="A949" s="15" t="str">
        <f t="shared" si="19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8" t="s">
        <v>75</v>
      </c>
      <c r="P949" s="48">
        <f>HEX2DEC(RIGHT(Table1323212753586873[[#This Row],[h1]],8))</f>
        <v>0</v>
      </c>
      <c r="Q949" s="48" t="s">
        <v>75</v>
      </c>
      <c r="R949" s="48">
        <f>HEX2DEC(RIGHT(Table1323212753586873[[#This Row],[h2]],8))</f>
        <v>0</v>
      </c>
    </row>
    <row r="950" spans="1:18">
      <c r="A950" s="15" t="str">
        <f t="shared" si="19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8" t="s">
        <v>75</v>
      </c>
      <c r="P950" s="48">
        <f>HEX2DEC(RIGHT(Table1323212753586873[[#This Row],[h1]],8))</f>
        <v>0</v>
      </c>
      <c r="Q950" s="48" t="s">
        <v>75</v>
      </c>
      <c r="R950" s="48">
        <f>HEX2DEC(RIGHT(Table1323212753586873[[#This Row],[h2]],8))</f>
        <v>0</v>
      </c>
    </row>
    <row r="951" spans="1:18">
      <c r="A951" s="15" t="str">
        <f t="shared" si="19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8" t="s">
        <v>75</v>
      </c>
      <c r="P951" s="48">
        <f>HEX2DEC(RIGHT(Table1323212753586873[[#This Row],[h1]],8))</f>
        <v>0</v>
      </c>
      <c r="Q951" s="48" t="s">
        <v>75</v>
      </c>
      <c r="R951" s="48">
        <f>HEX2DEC(RIGHT(Table1323212753586873[[#This Row],[h2]],8))</f>
        <v>0</v>
      </c>
    </row>
    <row r="952" spans="1:18">
      <c r="A952" s="15" t="str">
        <f t="shared" si="19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8" t="s">
        <v>75</v>
      </c>
      <c r="P952" s="48">
        <f>HEX2DEC(RIGHT(Table1323212753586873[[#This Row],[h1]],8))</f>
        <v>0</v>
      </c>
      <c r="Q952" s="48" t="s">
        <v>75</v>
      </c>
      <c r="R952" s="48">
        <f>HEX2DEC(RIGHT(Table1323212753586873[[#This Row],[h2]],8))</f>
        <v>0</v>
      </c>
    </row>
    <row r="953" spans="1:18">
      <c r="A953" s="15" t="str">
        <f t="shared" si="19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8" t="s">
        <v>75</v>
      </c>
      <c r="P953" s="48">
        <f>HEX2DEC(RIGHT(Table1323212753586873[[#This Row],[h1]],8))</f>
        <v>0</v>
      </c>
      <c r="Q953" s="48" t="s">
        <v>75</v>
      </c>
      <c r="R953" s="48">
        <f>HEX2DEC(RIGHT(Table1323212753586873[[#This Row],[h2]],8))</f>
        <v>0</v>
      </c>
    </row>
    <row r="954" spans="1:18">
      <c r="A954" s="15" t="str">
        <f t="shared" si="19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8" t="s">
        <v>75</v>
      </c>
      <c r="P954" s="48">
        <f>HEX2DEC(RIGHT(Table1323212753586873[[#This Row],[h1]],8))</f>
        <v>0</v>
      </c>
      <c r="Q954" s="48" t="s">
        <v>75</v>
      </c>
      <c r="R954" s="48">
        <f>HEX2DEC(RIGHT(Table1323212753586873[[#This Row],[h2]],8))</f>
        <v>0</v>
      </c>
    </row>
    <row r="955" spans="1:18">
      <c r="A955" s="15" t="str">
        <f t="shared" si="19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8" t="s">
        <v>75</v>
      </c>
      <c r="P955" s="48">
        <f>HEX2DEC(RIGHT(Table1323212753586873[[#This Row],[h1]],8))</f>
        <v>0</v>
      </c>
      <c r="Q955" s="48" t="s">
        <v>75</v>
      </c>
      <c r="R955" s="48">
        <f>HEX2DEC(RIGHT(Table1323212753586873[[#This Row],[h2]],8))</f>
        <v>0</v>
      </c>
    </row>
    <row r="956" spans="1:18">
      <c r="A956" s="15" t="str">
        <f t="shared" si="19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8" t="s">
        <v>75</v>
      </c>
      <c r="P956" s="48">
        <f>HEX2DEC(RIGHT(Table1323212753586873[[#This Row],[h1]],8))</f>
        <v>0</v>
      </c>
      <c r="Q956" s="48" t="s">
        <v>75</v>
      </c>
      <c r="R956" s="48">
        <f>HEX2DEC(RIGHT(Table1323212753586873[[#This Row],[h2]],8))</f>
        <v>0</v>
      </c>
    </row>
    <row r="957" spans="1:18">
      <c r="A957" s="15" t="str">
        <f t="shared" si="19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8" t="s">
        <v>75</v>
      </c>
      <c r="P957" s="48">
        <f>HEX2DEC(RIGHT(Table1323212753586873[[#This Row],[h1]],8))</f>
        <v>0</v>
      </c>
      <c r="Q957" s="48" t="s">
        <v>75</v>
      </c>
      <c r="R957" s="48">
        <f>HEX2DEC(RIGHT(Table1323212753586873[[#This Row],[h2]],8))</f>
        <v>0</v>
      </c>
    </row>
    <row r="958" spans="1:18">
      <c r="A958" s="15" t="str">
        <f t="shared" si="19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8" t="s">
        <v>75</v>
      </c>
      <c r="P958" s="48">
        <f>HEX2DEC(RIGHT(Table1323212753586873[[#This Row],[h1]],8))</f>
        <v>0</v>
      </c>
      <c r="Q958" s="48" t="s">
        <v>75</v>
      </c>
      <c r="R958" s="48">
        <f>HEX2DEC(RIGHT(Table1323212753586873[[#This Row],[h2]],8))</f>
        <v>0</v>
      </c>
    </row>
    <row r="959" spans="1:18">
      <c r="A959" s="15" t="str">
        <f t="shared" si="19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8" t="s">
        <v>75</v>
      </c>
      <c r="P959" s="48">
        <f>HEX2DEC(RIGHT(Table1323212753586873[[#This Row],[h1]],8))</f>
        <v>0</v>
      </c>
      <c r="Q959" s="48" t="s">
        <v>75</v>
      </c>
      <c r="R959" s="48">
        <f>HEX2DEC(RIGHT(Table1323212753586873[[#This Row],[h2]],8))</f>
        <v>0</v>
      </c>
    </row>
    <row r="960" spans="1:18">
      <c r="A960" s="15" t="str">
        <f t="shared" si="19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8" t="s">
        <v>75</v>
      </c>
      <c r="P960" s="48">
        <f>HEX2DEC(RIGHT(Table1323212753586873[[#This Row],[h1]],8))</f>
        <v>0</v>
      </c>
      <c r="Q960" s="48" t="s">
        <v>75</v>
      </c>
      <c r="R960" s="48">
        <f>HEX2DEC(RIGHT(Table1323212753586873[[#This Row],[h2]],8))</f>
        <v>0</v>
      </c>
    </row>
    <row r="961" spans="1:18">
      <c r="A961" s="15" t="str">
        <f t="shared" si="19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8" t="s">
        <v>75</v>
      </c>
      <c r="P961" s="48">
        <f>HEX2DEC(RIGHT(Table1323212753586873[[#This Row],[h1]],8))</f>
        <v>0</v>
      </c>
      <c r="Q961" s="48" t="s">
        <v>75</v>
      </c>
      <c r="R961" s="48">
        <f>HEX2DEC(RIGHT(Table1323212753586873[[#This Row],[h2]],8))</f>
        <v>0</v>
      </c>
    </row>
    <row r="962" spans="1:18">
      <c r="A962" s="15" t="str">
        <f t="shared" si="19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8" t="s">
        <v>75</v>
      </c>
      <c r="P962" s="48">
        <f>HEX2DEC(RIGHT(Table1323212753586873[[#This Row],[h1]],8))</f>
        <v>0</v>
      </c>
      <c r="Q962" s="48" t="s">
        <v>75</v>
      </c>
      <c r="R962" s="48">
        <f>HEX2DEC(RIGHT(Table1323212753586873[[#This Row],[h2]],8))</f>
        <v>0</v>
      </c>
    </row>
    <row r="963" spans="1:18">
      <c r="A963" s="15" t="str">
        <f t="shared" si="19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8" t="s">
        <v>75</v>
      </c>
      <c r="P963" s="48">
        <f>HEX2DEC(RIGHT(Table1323212753586873[[#This Row],[h1]],8))</f>
        <v>0</v>
      </c>
      <c r="Q963" s="48" t="s">
        <v>75</v>
      </c>
      <c r="R963" s="48">
        <f>HEX2DEC(RIGHT(Table1323212753586873[[#This Row],[h2]],8))</f>
        <v>0</v>
      </c>
    </row>
    <row r="964" spans="1:18">
      <c r="A964" s="15" t="str">
        <f t="shared" si="19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8" t="s">
        <v>75</v>
      </c>
      <c r="P964" s="48">
        <f>HEX2DEC(RIGHT(Table1323212753586873[[#This Row],[h1]],8))</f>
        <v>0</v>
      </c>
      <c r="Q964" s="48" t="s">
        <v>75</v>
      </c>
      <c r="R964" s="48">
        <f>HEX2DEC(RIGHT(Table1323212753586873[[#This Row],[h2]],8))</f>
        <v>0</v>
      </c>
    </row>
    <row r="965" spans="1:18">
      <c r="A965" s="15" t="str">
        <f t="shared" si="19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8" t="s">
        <v>75</v>
      </c>
      <c r="P965" s="48">
        <f>HEX2DEC(RIGHT(Table1323212753586873[[#This Row],[h1]],8))</f>
        <v>0</v>
      </c>
      <c r="Q965" s="48" t="s">
        <v>75</v>
      </c>
      <c r="R965" s="48">
        <f>HEX2DEC(RIGHT(Table1323212753586873[[#This Row],[h2]],8))</f>
        <v>0</v>
      </c>
    </row>
    <row r="966" spans="1:18">
      <c r="A966" s="15" t="str">
        <f t="shared" si="19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8" t="s">
        <v>75</v>
      </c>
      <c r="P966" s="48">
        <f>HEX2DEC(RIGHT(Table1323212753586873[[#This Row],[h1]],8))</f>
        <v>0</v>
      </c>
      <c r="Q966" s="48" t="s">
        <v>75</v>
      </c>
      <c r="R966" s="48">
        <f>HEX2DEC(RIGHT(Table1323212753586873[[#This Row],[h2]],8))</f>
        <v>0</v>
      </c>
    </row>
    <row r="967" spans="1:18">
      <c r="A967" s="15" t="str">
        <f t="shared" si="19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8" t="s">
        <v>75</v>
      </c>
      <c r="P967" s="48">
        <f>HEX2DEC(RIGHT(Table1323212753586873[[#This Row],[h1]],8))</f>
        <v>0</v>
      </c>
      <c r="Q967" s="48" t="s">
        <v>75</v>
      </c>
      <c r="R967" s="48">
        <f>HEX2DEC(RIGHT(Table1323212753586873[[#This Row],[h2]],8))</f>
        <v>0</v>
      </c>
    </row>
    <row r="968" spans="1:18">
      <c r="A968" s="15" t="str">
        <f t="shared" si="19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8" t="s">
        <v>75</v>
      </c>
      <c r="P968" s="48">
        <f>HEX2DEC(RIGHT(Table1323212753586873[[#This Row],[h1]],8))</f>
        <v>0</v>
      </c>
      <c r="Q968" s="48" t="s">
        <v>75</v>
      </c>
      <c r="R968" s="48">
        <f>HEX2DEC(RIGHT(Table1323212753586873[[#This Row],[h2]],8))</f>
        <v>0</v>
      </c>
    </row>
    <row r="969" spans="1:18">
      <c r="A969" s="15" t="str">
        <f t="shared" si="19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8" t="s">
        <v>75</v>
      </c>
      <c r="P969" s="48">
        <f>HEX2DEC(RIGHT(Table1323212753586873[[#This Row],[h1]],8))</f>
        <v>0</v>
      </c>
      <c r="Q969" s="48" t="s">
        <v>75</v>
      </c>
      <c r="R969" s="48">
        <f>HEX2DEC(RIGHT(Table1323212753586873[[#This Row],[h2]],8))</f>
        <v>0</v>
      </c>
    </row>
    <row r="970" spans="1:18">
      <c r="A970" s="15" t="str">
        <f t="shared" si="19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8" t="s">
        <v>75</v>
      </c>
      <c r="P970" s="48">
        <f>HEX2DEC(RIGHT(Table1323212753586873[[#This Row],[h1]],8))</f>
        <v>0</v>
      </c>
      <c r="Q970" s="48" t="s">
        <v>75</v>
      </c>
      <c r="R970" s="48">
        <f>HEX2DEC(RIGHT(Table1323212753586873[[#This Row],[h2]],8))</f>
        <v>0</v>
      </c>
    </row>
    <row r="971" spans="1:18">
      <c r="A971" s="15" t="str">
        <f t="shared" ref="A971:A1034" si="20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8" t="s">
        <v>75</v>
      </c>
      <c r="P971" s="48">
        <f>HEX2DEC(RIGHT(Table1323212753586873[[#This Row],[h1]],8))</f>
        <v>0</v>
      </c>
      <c r="Q971" s="48" t="s">
        <v>75</v>
      </c>
      <c r="R971" s="48">
        <f>HEX2DEC(RIGHT(Table1323212753586873[[#This Row],[h2]],8))</f>
        <v>0</v>
      </c>
    </row>
    <row r="972" spans="1:18">
      <c r="A972" s="15" t="str">
        <f t="shared" si="20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8" t="s">
        <v>75</v>
      </c>
      <c r="P972" s="48">
        <f>HEX2DEC(RIGHT(Table1323212753586873[[#This Row],[h1]],8))</f>
        <v>0</v>
      </c>
      <c r="Q972" s="48" t="s">
        <v>75</v>
      </c>
      <c r="R972" s="48">
        <f>HEX2DEC(RIGHT(Table1323212753586873[[#This Row],[h2]],8))</f>
        <v>0</v>
      </c>
    </row>
    <row r="973" spans="1:18">
      <c r="A973" s="15" t="str">
        <f t="shared" si="20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8" t="s">
        <v>75</v>
      </c>
      <c r="P973" s="48">
        <f>HEX2DEC(RIGHT(Table1323212753586873[[#This Row],[h1]],8))</f>
        <v>0</v>
      </c>
      <c r="Q973" s="48" t="s">
        <v>75</v>
      </c>
      <c r="R973" s="48">
        <f>HEX2DEC(RIGHT(Table1323212753586873[[#This Row],[h2]],8))</f>
        <v>0</v>
      </c>
    </row>
    <row r="974" spans="1:18">
      <c r="A974" s="15" t="str">
        <f t="shared" si="20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8" t="s">
        <v>75</v>
      </c>
      <c r="P974" s="48">
        <f>HEX2DEC(RIGHT(Table1323212753586873[[#This Row],[h1]],8))</f>
        <v>0</v>
      </c>
      <c r="Q974" s="48" t="s">
        <v>75</v>
      </c>
      <c r="R974" s="48">
        <f>HEX2DEC(RIGHT(Table1323212753586873[[#This Row],[h2]],8))</f>
        <v>0</v>
      </c>
    </row>
    <row r="975" spans="1:18">
      <c r="A975" s="15" t="str">
        <f t="shared" si="20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8" t="s">
        <v>75</v>
      </c>
      <c r="P975" s="48">
        <f>HEX2DEC(RIGHT(Table1323212753586873[[#This Row],[h1]],8))</f>
        <v>0</v>
      </c>
      <c r="Q975" s="48" t="s">
        <v>75</v>
      </c>
      <c r="R975" s="48">
        <f>HEX2DEC(RIGHT(Table1323212753586873[[#This Row],[h2]],8))</f>
        <v>0</v>
      </c>
    </row>
    <row r="976" spans="1:18">
      <c r="A976" s="15" t="str">
        <f t="shared" si="20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8" t="s">
        <v>75</v>
      </c>
      <c r="P976" s="48">
        <f>HEX2DEC(RIGHT(Table1323212753586873[[#This Row],[h1]],8))</f>
        <v>0</v>
      </c>
      <c r="Q976" s="48" t="s">
        <v>75</v>
      </c>
      <c r="R976" s="48">
        <f>HEX2DEC(RIGHT(Table1323212753586873[[#This Row],[h2]],8))</f>
        <v>0</v>
      </c>
    </row>
    <row r="977" spans="1:18">
      <c r="A977" s="15" t="str">
        <f t="shared" si="20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8" t="s">
        <v>75</v>
      </c>
      <c r="P977" s="48">
        <f>HEX2DEC(RIGHT(Table1323212753586873[[#This Row],[h1]],8))</f>
        <v>0</v>
      </c>
      <c r="Q977" s="48" t="s">
        <v>75</v>
      </c>
      <c r="R977" s="48">
        <f>HEX2DEC(RIGHT(Table1323212753586873[[#This Row],[h2]],8))</f>
        <v>0</v>
      </c>
    </row>
    <row r="978" spans="1:18">
      <c r="A978" s="15" t="str">
        <f t="shared" si="20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8" t="s">
        <v>75</v>
      </c>
      <c r="P978" s="48">
        <f>HEX2DEC(RIGHT(Table1323212753586873[[#This Row],[h1]],8))</f>
        <v>0</v>
      </c>
      <c r="Q978" s="48" t="s">
        <v>75</v>
      </c>
      <c r="R978" s="48">
        <f>HEX2DEC(RIGHT(Table1323212753586873[[#This Row],[h2]],8))</f>
        <v>0</v>
      </c>
    </row>
    <row r="979" spans="1:18">
      <c r="A979" s="15" t="str">
        <f t="shared" si="20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8" t="s">
        <v>75</v>
      </c>
      <c r="P979" s="48">
        <f>HEX2DEC(RIGHT(Table1323212753586873[[#This Row],[h1]],8))</f>
        <v>0</v>
      </c>
      <c r="Q979" s="48" t="s">
        <v>75</v>
      </c>
      <c r="R979" s="48">
        <f>HEX2DEC(RIGHT(Table1323212753586873[[#This Row],[h2]],8))</f>
        <v>0</v>
      </c>
    </row>
    <row r="980" spans="1:18">
      <c r="A980" s="15" t="str">
        <f t="shared" si="20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8" t="s">
        <v>75</v>
      </c>
      <c r="P980" s="48">
        <f>HEX2DEC(RIGHT(Table1323212753586873[[#This Row],[h1]],8))</f>
        <v>0</v>
      </c>
      <c r="Q980" s="48" t="s">
        <v>75</v>
      </c>
      <c r="R980" s="48">
        <f>HEX2DEC(RIGHT(Table1323212753586873[[#This Row],[h2]],8))</f>
        <v>0</v>
      </c>
    </row>
    <row r="981" spans="1:18">
      <c r="A981" s="15" t="str">
        <f t="shared" si="20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8" t="s">
        <v>75</v>
      </c>
      <c r="P981" s="48">
        <f>HEX2DEC(RIGHT(Table1323212753586873[[#This Row],[h1]],8))</f>
        <v>0</v>
      </c>
      <c r="Q981" s="48" t="s">
        <v>75</v>
      </c>
      <c r="R981" s="48">
        <f>HEX2DEC(RIGHT(Table1323212753586873[[#This Row],[h2]],8))</f>
        <v>0</v>
      </c>
    </row>
    <row r="982" spans="1:18">
      <c r="A982" s="15" t="str">
        <f t="shared" si="20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8" t="s">
        <v>75</v>
      </c>
      <c r="P982" s="48">
        <f>HEX2DEC(RIGHT(Table1323212753586873[[#This Row],[h1]],8))</f>
        <v>0</v>
      </c>
      <c r="Q982" s="48" t="s">
        <v>75</v>
      </c>
      <c r="R982" s="48">
        <f>HEX2DEC(RIGHT(Table1323212753586873[[#This Row],[h2]],8))</f>
        <v>0</v>
      </c>
    </row>
    <row r="983" spans="1:18">
      <c r="A983" s="15" t="str">
        <f t="shared" si="20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8" t="s">
        <v>75</v>
      </c>
      <c r="P983" s="48">
        <f>HEX2DEC(RIGHT(Table1323212753586873[[#This Row],[h1]],8))</f>
        <v>0</v>
      </c>
      <c r="Q983" s="48" t="s">
        <v>75</v>
      </c>
      <c r="R983" s="48">
        <f>HEX2DEC(RIGHT(Table1323212753586873[[#This Row],[h2]],8))</f>
        <v>0</v>
      </c>
    </row>
    <row r="984" spans="1:18">
      <c r="A984" s="15" t="str">
        <f t="shared" si="20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8" t="s">
        <v>75</v>
      </c>
      <c r="P984" s="48">
        <f>HEX2DEC(RIGHT(Table1323212753586873[[#This Row],[h1]],8))</f>
        <v>0</v>
      </c>
      <c r="Q984" s="48" t="s">
        <v>75</v>
      </c>
      <c r="R984" s="48">
        <f>HEX2DEC(RIGHT(Table1323212753586873[[#This Row],[h2]],8))</f>
        <v>0</v>
      </c>
    </row>
    <row r="985" spans="1:18">
      <c r="A985" s="15" t="str">
        <f t="shared" si="20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8" t="s">
        <v>75</v>
      </c>
      <c r="P985" s="48">
        <f>HEX2DEC(RIGHT(Table1323212753586873[[#This Row],[h1]],8))</f>
        <v>0</v>
      </c>
      <c r="Q985" s="48" t="s">
        <v>75</v>
      </c>
      <c r="R985" s="48">
        <f>HEX2DEC(RIGHT(Table1323212753586873[[#This Row],[h2]],8))</f>
        <v>0</v>
      </c>
    </row>
    <row r="986" spans="1:18">
      <c r="A986" s="15" t="str">
        <f t="shared" si="20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8" t="s">
        <v>75</v>
      </c>
      <c r="P986" s="48">
        <f>HEX2DEC(RIGHT(Table1323212753586873[[#This Row],[h1]],8))</f>
        <v>0</v>
      </c>
      <c r="Q986" s="48" t="s">
        <v>75</v>
      </c>
      <c r="R986" s="48">
        <f>HEX2DEC(RIGHT(Table1323212753586873[[#This Row],[h2]],8))</f>
        <v>0</v>
      </c>
    </row>
    <row r="987" spans="1:18">
      <c r="A987" s="15" t="str">
        <f t="shared" si="20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8" t="s">
        <v>75</v>
      </c>
      <c r="P987" s="48">
        <f>HEX2DEC(RIGHT(Table1323212753586873[[#This Row],[h1]],8))</f>
        <v>0</v>
      </c>
      <c r="Q987" s="48" t="s">
        <v>75</v>
      </c>
      <c r="R987" s="48">
        <f>HEX2DEC(RIGHT(Table1323212753586873[[#This Row],[h2]],8))</f>
        <v>0</v>
      </c>
    </row>
    <row r="988" spans="1:18">
      <c r="A988" s="15" t="str">
        <f t="shared" si="20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8" t="s">
        <v>75</v>
      </c>
      <c r="P988" s="48">
        <f>HEX2DEC(RIGHT(Table1323212753586873[[#This Row],[h1]],8))</f>
        <v>0</v>
      </c>
      <c r="Q988" s="48" t="s">
        <v>75</v>
      </c>
      <c r="R988" s="48">
        <f>HEX2DEC(RIGHT(Table1323212753586873[[#This Row],[h2]],8))</f>
        <v>0</v>
      </c>
    </row>
    <row r="989" spans="1:18">
      <c r="A989" s="15" t="str">
        <f t="shared" si="20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8" t="s">
        <v>75</v>
      </c>
      <c r="P989" s="48">
        <f>HEX2DEC(RIGHT(Table1323212753586873[[#This Row],[h1]],8))</f>
        <v>0</v>
      </c>
      <c r="Q989" s="48" t="s">
        <v>75</v>
      </c>
      <c r="R989" s="48">
        <f>HEX2DEC(RIGHT(Table1323212753586873[[#This Row],[h2]],8))</f>
        <v>0</v>
      </c>
    </row>
    <row r="990" spans="1:18">
      <c r="A990" s="15" t="str">
        <f t="shared" si="20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8" t="s">
        <v>75</v>
      </c>
      <c r="P990" s="48">
        <f>HEX2DEC(RIGHT(Table1323212753586873[[#This Row],[h1]],8))</f>
        <v>0</v>
      </c>
      <c r="Q990" s="48" t="s">
        <v>75</v>
      </c>
      <c r="R990" s="48">
        <f>HEX2DEC(RIGHT(Table1323212753586873[[#This Row],[h2]],8))</f>
        <v>0</v>
      </c>
    </row>
    <row r="991" spans="1:18">
      <c r="A991" s="15" t="str">
        <f t="shared" si="20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8" t="s">
        <v>75</v>
      </c>
      <c r="P991" s="48">
        <f>HEX2DEC(RIGHT(Table1323212753586873[[#This Row],[h1]],8))</f>
        <v>0</v>
      </c>
      <c r="Q991" s="48" t="s">
        <v>75</v>
      </c>
      <c r="R991" s="48">
        <f>HEX2DEC(RIGHT(Table1323212753586873[[#This Row],[h2]],8))</f>
        <v>0</v>
      </c>
    </row>
    <row r="992" spans="1:18">
      <c r="A992" s="15" t="str">
        <f t="shared" si="20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8" t="s">
        <v>75</v>
      </c>
      <c r="P992" s="48">
        <f>HEX2DEC(RIGHT(Table1323212753586873[[#This Row],[h1]],8))</f>
        <v>0</v>
      </c>
      <c r="Q992" s="48" t="s">
        <v>75</v>
      </c>
      <c r="R992" s="48">
        <f>HEX2DEC(RIGHT(Table1323212753586873[[#This Row],[h2]],8))</f>
        <v>0</v>
      </c>
    </row>
    <row r="993" spans="1:18">
      <c r="A993" s="15" t="str">
        <f t="shared" si="20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8" t="s">
        <v>75</v>
      </c>
      <c r="P993" s="48">
        <f>HEX2DEC(RIGHT(Table1323212753586873[[#This Row],[h1]],8))</f>
        <v>0</v>
      </c>
      <c r="Q993" s="48" t="s">
        <v>75</v>
      </c>
      <c r="R993" s="48">
        <f>HEX2DEC(RIGHT(Table1323212753586873[[#This Row],[h2]],8))</f>
        <v>0</v>
      </c>
    </row>
    <row r="994" spans="1:18">
      <c r="A994" s="15" t="str">
        <f t="shared" si="20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8" t="s">
        <v>75</v>
      </c>
      <c r="P994" s="48">
        <f>HEX2DEC(RIGHT(Table1323212753586873[[#This Row],[h1]],8))</f>
        <v>0</v>
      </c>
      <c r="Q994" s="48" t="s">
        <v>75</v>
      </c>
      <c r="R994" s="48">
        <f>HEX2DEC(RIGHT(Table1323212753586873[[#This Row],[h2]],8))</f>
        <v>0</v>
      </c>
    </row>
    <row r="995" spans="1:18">
      <c r="A995" s="15" t="str">
        <f t="shared" si="20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8" t="s">
        <v>75</v>
      </c>
      <c r="P995" s="48">
        <f>HEX2DEC(RIGHT(Table1323212753586873[[#This Row],[h1]],8))</f>
        <v>0</v>
      </c>
      <c r="Q995" s="48" t="s">
        <v>75</v>
      </c>
      <c r="R995" s="48">
        <f>HEX2DEC(RIGHT(Table1323212753586873[[#This Row],[h2]],8))</f>
        <v>0</v>
      </c>
    </row>
    <row r="996" spans="1:18">
      <c r="A996" s="15" t="str">
        <f t="shared" si="20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8" t="s">
        <v>75</v>
      </c>
      <c r="P996" s="48">
        <f>HEX2DEC(RIGHT(Table1323212753586873[[#This Row],[h1]],8))</f>
        <v>0</v>
      </c>
      <c r="Q996" s="48" t="s">
        <v>75</v>
      </c>
      <c r="R996" s="48">
        <f>HEX2DEC(RIGHT(Table1323212753586873[[#This Row],[h2]],8))</f>
        <v>0</v>
      </c>
    </row>
    <row r="997" spans="1:18">
      <c r="A997" s="15" t="str">
        <f t="shared" si="20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8" t="s">
        <v>75</v>
      </c>
      <c r="P997" s="48">
        <f>HEX2DEC(RIGHT(Table1323212753586873[[#This Row],[h1]],8))</f>
        <v>0</v>
      </c>
      <c r="Q997" s="48" t="s">
        <v>75</v>
      </c>
      <c r="R997" s="48">
        <f>HEX2DEC(RIGHT(Table1323212753586873[[#This Row],[h2]],8))</f>
        <v>0</v>
      </c>
    </row>
    <row r="998" spans="1:18">
      <c r="A998" s="15" t="str">
        <f t="shared" si="20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8" t="s">
        <v>75</v>
      </c>
      <c r="P998" s="48">
        <f>HEX2DEC(RIGHT(Table1323212753586873[[#This Row],[h1]],8))</f>
        <v>0</v>
      </c>
      <c r="Q998" s="48" t="s">
        <v>75</v>
      </c>
      <c r="R998" s="48">
        <f>HEX2DEC(RIGHT(Table1323212753586873[[#This Row],[h2]],8))</f>
        <v>0</v>
      </c>
    </row>
    <row r="999" spans="1:18">
      <c r="A999" s="15" t="str">
        <f t="shared" si="20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8" t="s">
        <v>75</v>
      </c>
      <c r="P999" s="48">
        <f>HEX2DEC(RIGHT(Table1323212753586873[[#This Row],[h1]],8))</f>
        <v>0</v>
      </c>
      <c r="Q999" s="48" t="s">
        <v>75</v>
      </c>
      <c r="R999" s="48">
        <f>HEX2DEC(RIGHT(Table1323212753586873[[#This Row],[h2]],8))</f>
        <v>0</v>
      </c>
    </row>
    <row r="1000" spans="1:18">
      <c r="A1000" s="15" t="str">
        <f t="shared" si="20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8" t="s">
        <v>75</v>
      </c>
      <c r="P1000" s="48">
        <f>HEX2DEC(RIGHT(Table1323212753586873[[#This Row],[h1]],8))</f>
        <v>0</v>
      </c>
      <c r="Q1000" s="48" t="s">
        <v>75</v>
      </c>
      <c r="R1000" s="48">
        <f>HEX2DEC(RIGHT(Table1323212753586873[[#This Row],[h2]],8))</f>
        <v>0</v>
      </c>
    </row>
    <row r="1001" spans="1:18">
      <c r="A1001" s="15" t="str">
        <f t="shared" si="20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8" t="s">
        <v>75</v>
      </c>
      <c r="P1001" s="48">
        <f>HEX2DEC(RIGHT(Table1323212753586873[[#This Row],[h1]],8))</f>
        <v>0</v>
      </c>
      <c r="Q1001" s="48" t="s">
        <v>75</v>
      </c>
      <c r="R1001" s="48">
        <f>HEX2DEC(RIGHT(Table1323212753586873[[#This Row],[h2]],8))</f>
        <v>0</v>
      </c>
    </row>
    <row r="1002" spans="1:18">
      <c r="A1002" s="15" t="str">
        <f t="shared" si="20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8" t="s">
        <v>75</v>
      </c>
      <c r="P1002" s="48">
        <f>HEX2DEC(RIGHT(Table1323212753586873[[#This Row],[h1]],8))</f>
        <v>0</v>
      </c>
      <c r="Q1002" s="48" t="s">
        <v>75</v>
      </c>
      <c r="R1002" s="48">
        <f>HEX2DEC(RIGHT(Table1323212753586873[[#This Row],[h2]],8))</f>
        <v>0</v>
      </c>
    </row>
    <row r="1003" spans="1:18">
      <c r="A1003" s="15" t="str">
        <f t="shared" si="20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8" t="s">
        <v>75</v>
      </c>
      <c r="P1003" s="48">
        <f>HEX2DEC(RIGHT(Table1323212753586873[[#This Row],[h1]],8))</f>
        <v>0</v>
      </c>
      <c r="Q1003" s="48" t="s">
        <v>75</v>
      </c>
      <c r="R1003" s="48">
        <f>HEX2DEC(RIGHT(Table1323212753586873[[#This Row],[h2]],8))</f>
        <v>0</v>
      </c>
    </row>
    <row r="1004" spans="1:18">
      <c r="A1004" s="15" t="str">
        <f t="shared" si="20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8" t="s">
        <v>75</v>
      </c>
      <c r="P1004" s="48">
        <f>HEX2DEC(RIGHT(Table1323212753586873[[#This Row],[h1]],8))</f>
        <v>0</v>
      </c>
      <c r="Q1004" s="48" t="s">
        <v>75</v>
      </c>
      <c r="R1004" s="48">
        <f>HEX2DEC(RIGHT(Table1323212753586873[[#This Row],[h2]],8))</f>
        <v>0</v>
      </c>
    </row>
    <row r="1005" spans="1:18">
      <c r="A1005" s="15" t="str">
        <f t="shared" si="20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8" t="s">
        <v>75</v>
      </c>
      <c r="P1005" s="48">
        <f>HEX2DEC(RIGHT(Table1323212753586873[[#This Row],[h1]],8))</f>
        <v>0</v>
      </c>
      <c r="Q1005" s="48" t="s">
        <v>75</v>
      </c>
      <c r="R1005" s="48">
        <f>HEX2DEC(RIGHT(Table1323212753586873[[#This Row],[h2]],8))</f>
        <v>0</v>
      </c>
    </row>
    <row r="1006" spans="1:18">
      <c r="A1006" s="15" t="str">
        <f t="shared" si="20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8" t="s">
        <v>75</v>
      </c>
      <c r="P1006" s="48">
        <f>HEX2DEC(RIGHT(Table1323212753586873[[#This Row],[h1]],8))</f>
        <v>0</v>
      </c>
      <c r="Q1006" s="48" t="s">
        <v>75</v>
      </c>
      <c r="R1006" s="48">
        <f>HEX2DEC(RIGHT(Table1323212753586873[[#This Row],[h2]],8))</f>
        <v>0</v>
      </c>
    </row>
    <row r="1007" spans="1:18">
      <c r="A1007" s="15" t="str">
        <f t="shared" si="20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8" t="s">
        <v>75</v>
      </c>
      <c r="P1007" s="48">
        <f>HEX2DEC(RIGHT(Table1323212753586873[[#This Row],[h1]],8))</f>
        <v>0</v>
      </c>
      <c r="Q1007" s="48" t="s">
        <v>75</v>
      </c>
      <c r="R1007" s="48">
        <f>HEX2DEC(RIGHT(Table1323212753586873[[#This Row],[h2]],8))</f>
        <v>0</v>
      </c>
    </row>
    <row r="1008" spans="1:18">
      <c r="A1008" s="15" t="str">
        <f t="shared" si="20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8" t="s">
        <v>75</v>
      </c>
      <c r="P1008" s="48">
        <f>HEX2DEC(RIGHT(Table1323212753586873[[#This Row],[h1]],8))</f>
        <v>0</v>
      </c>
      <c r="Q1008" s="48" t="s">
        <v>75</v>
      </c>
      <c r="R1008" s="48">
        <f>HEX2DEC(RIGHT(Table1323212753586873[[#This Row],[h2]],8))</f>
        <v>0</v>
      </c>
    </row>
    <row r="1009" spans="1:18">
      <c r="A1009" s="15" t="str">
        <f t="shared" si="20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8" t="s">
        <v>75</v>
      </c>
      <c r="P1009" s="48">
        <f>HEX2DEC(RIGHT(Table1323212753586873[[#This Row],[h1]],8))</f>
        <v>0</v>
      </c>
      <c r="Q1009" s="48" t="s">
        <v>75</v>
      </c>
      <c r="R1009" s="48">
        <f>HEX2DEC(RIGHT(Table1323212753586873[[#This Row],[h2]],8))</f>
        <v>0</v>
      </c>
    </row>
    <row r="1010" spans="1:18">
      <c r="A1010" s="15" t="str">
        <f t="shared" si="20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8" t="s">
        <v>75</v>
      </c>
      <c r="P1010" s="48">
        <f>HEX2DEC(RIGHT(Table1323212753586873[[#This Row],[h1]],8))</f>
        <v>0</v>
      </c>
      <c r="Q1010" s="48" t="s">
        <v>75</v>
      </c>
      <c r="R1010" s="48">
        <f>HEX2DEC(RIGHT(Table1323212753586873[[#This Row],[h2]],8))</f>
        <v>0</v>
      </c>
    </row>
    <row r="1011" spans="1:18">
      <c r="A1011" s="15" t="str">
        <f t="shared" si="20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8" t="s">
        <v>75</v>
      </c>
      <c r="P1011" s="48">
        <f>HEX2DEC(RIGHT(Table1323212753586873[[#This Row],[h1]],8))</f>
        <v>0</v>
      </c>
      <c r="Q1011" s="48" t="s">
        <v>75</v>
      </c>
      <c r="R1011" s="48">
        <f>HEX2DEC(RIGHT(Table1323212753586873[[#This Row],[h2]],8))</f>
        <v>0</v>
      </c>
    </row>
    <row r="1012" spans="1:18">
      <c r="A1012" s="15" t="str">
        <f t="shared" si="20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8" t="s">
        <v>75</v>
      </c>
      <c r="P1012" s="48">
        <f>HEX2DEC(RIGHT(Table1323212753586873[[#This Row],[h1]],8))</f>
        <v>0</v>
      </c>
      <c r="Q1012" s="48" t="s">
        <v>75</v>
      </c>
      <c r="R1012" s="48">
        <f>HEX2DEC(RIGHT(Table1323212753586873[[#This Row],[h2]],8))</f>
        <v>0</v>
      </c>
    </row>
    <row r="1013" spans="1:18">
      <c r="A1013" s="15" t="str">
        <f t="shared" si="20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8" t="s">
        <v>75</v>
      </c>
      <c r="P1013" s="48">
        <f>HEX2DEC(RIGHT(Table1323212753586873[[#This Row],[h1]],8))</f>
        <v>0</v>
      </c>
      <c r="Q1013" s="48" t="s">
        <v>75</v>
      </c>
      <c r="R1013" s="48">
        <f>HEX2DEC(RIGHT(Table1323212753586873[[#This Row],[h2]],8))</f>
        <v>0</v>
      </c>
    </row>
    <row r="1014" spans="1:18">
      <c r="A1014" s="15" t="str">
        <f t="shared" si="20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8" t="s">
        <v>75</v>
      </c>
      <c r="P1014" s="48">
        <f>HEX2DEC(RIGHT(Table1323212753586873[[#This Row],[h1]],8))</f>
        <v>0</v>
      </c>
      <c r="Q1014" s="48" t="s">
        <v>75</v>
      </c>
      <c r="R1014" s="48">
        <f>HEX2DEC(RIGHT(Table1323212753586873[[#This Row],[h2]],8))</f>
        <v>0</v>
      </c>
    </row>
    <row r="1015" spans="1:18">
      <c r="A1015" s="15" t="str">
        <f t="shared" si="20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8" t="s">
        <v>75</v>
      </c>
      <c r="P1015" s="48">
        <f>HEX2DEC(RIGHT(Table1323212753586873[[#This Row],[h1]],8))</f>
        <v>0</v>
      </c>
      <c r="Q1015" s="48" t="s">
        <v>75</v>
      </c>
      <c r="R1015" s="48">
        <f>HEX2DEC(RIGHT(Table1323212753586873[[#This Row],[h2]],8))</f>
        <v>0</v>
      </c>
    </row>
    <row r="1016" spans="1:18">
      <c r="A1016" s="15" t="str">
        <f t="shared" si="20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8" t="s">
        <v>75</v>
      </c>
      <c r="P1016" s="48">
        <f>HEX2DEC(RIGHT(Table1323212753586873[[#This Row],[h1]],8))</f>
        <v>0</v>
      </c>
      <c r="Q1016" s="48" t="s">
        <v>75</v>
      </c>
      <c r="R1016" s="48">
        <f>HEX2DEC(RIGHT(Table1323212753586873[[#This Row],[h2]],8))</f>
        <v>0</v>
      </c>
    </row>
    <row r="1017" spans="1:18">
      <c r="A1017" s="15" t="str">
        <f t="shared" si="20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8" t="s">
        <v>75</v>
      </c>
      <c r="P1017" s="48">
        <f>HEX2DEC(RIGHT(Table1323212753586873[[#This Row],[h1]],8))</f>
        <v>0</v>
      </c>
      <c r="Q1017" s="48" t="s">
        <v>75</v>
      </c>
      <c r="R1017" s="48">
        <f>HEX2DEC(RIGHT(Table1323212753586873[[#This Row],[h2]],8))</f>
        <v>0</v>
      </c>
    </row>
    <row r="1018" spans="1:18">
      <c r="A1018" s="15" t="str">
        <f t="shared" si="20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8" t="s">
        <v>75</v>
      </c>
      <c r="P1018" s="48">
        <f>HEX2DEC(RIGHT(Table1323212753586873[[#This Row],[h1]],8))</f>
        <v>0</v>
      </c>
      <c r="Q1018" s="48" t="s">
        <v>75</v>
      </c>
      <c r="R1018" s="48">
        <f>HEX2DEC(RIGHT(Table1323212753586873[[#This Row],[h2]],8))</f>
        <v>0</v>
      </c>
    </row>
    <row r="1019" spans="1:18">
      <c r="A1019" s="15" t="str">
        <f t="shared" si="20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8" t="s">
        <v>75</v>
      </c>
      <c r="P1019" s="48">
        <f>HEX2DEC(RIGHT(Table1323212753586873[[#This Row],[h1]],8))</f>
        <v>0</v>
      </c>
      <c r="Q1019" s="48" t="s">
        <v>75</v>
      </c>
      <c r="R1019" s="48">
        <f>HEX2DEC(RIGHT(Table1323212753586873[[#This Row],[h2]],8))</f>
        <v>0</v>
      </c>
    </row>
    <row r="1020" spans="1:18">
      <c r="A1020" s="15" t="str">
        <f t="shared" si="20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8" t="s">
        <v>75</v>
      </c>
      <c r="P1020" s="48">
        <f>HEX2DEC(RIGHT(Table1323212753586873[[#This Row],[h1]],8))</f>
        <v>0</v>
      </c>
      <c r="Q1020" s="48" t="s">
        <v>75</v>
      </c>
      <c r="R1020" s="48">
        <f>HEX2DEC(RIGHT(Table1323212753586873[[#This Row],[h2]],8))</f>
        <v>0</v>
      </c>
    </row>
    <row r="1021" spans="1:18">
      <c r="A1021" s="15" t="str">
        <f t="shared" si="20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8" t="s">
        <v>75</v>
      </c>
      <c r="P1021" s="48">
        <f>HEX2DEC(RIGHT(Table1323212753586873[[#This Row],[h1]],8))</f>
        <v>0</v>
      </c>
      <c r="Q1021" s="48" t="s">
        <v>75</v>
      </c>
      <c r="R1021" s="48">
        <f>HEX2DEC(RIGHT(Table1323212753586873[[#This Row],[h2]],8))</f>
        <v>0</v>
      </c>
    </row>
    <row r="1022" spans="1:18">
      <c r="A1022" s="15" t="str">
        <f t="shared" si="20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8" t="s">
        <v>75</v>
      </c>
      <c r="P1022" s="48">
        <f>HEX2DEC(RIGHT(Table1323212753586873[[#This Row],[h1]],8))</f>
        <v>0</v>
      </c>
      <c r="Q1022" s="48" t="s">
        <v>75</v>
      </c>
      <c r="R1022" s="48">
        <f>HEX2DEC(RIGHT(Table1323212753586873[[#This Row],[h2]],8))</f>
        <v>0</v>
      </c>
    </row>
    <row r="1023" spans="1:18">
      <c r="A1023" s="15" t="str">
        <f t="shared" si="20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8" t="s">
        <v>75</v>
      </c>
      <c r="P1023" s="48">
        <f>HEX2DEC(RIGHT(Table1323212753586873[[#This Row],[h1]],8))</f>
        <v>0</v>
      </c>
      <c r="Q1023" s="48" t="s">
        <v>75</v>
      </c>
      <c r="R1023" s="48">
        <f>HEX2DEC(RIGHT(Table1323212753586873[[#This Row],[h2]],8))</f>
        <v>0</v>
      </c>
    </row>
    <row r="1024" spans="1:18">
      <c r="A1024" s="15" t="str">
        <f t="shared" si="20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8" t="s">
        <v>75</v>
      </c>
      <c r="P1024" s="48">
        <f>HEX2DEC(RIGHT(Table1323212753586873[[#This Row],[h1]],8))</f>
        <v>0</v>
      </c>
      <c r="Q1024" s="48" t="s">
        <v>75</v>
      </c>
      <c r="R1024" s="48">
        <f>HEX2DEC(RIGHT(Table1323212753586873[[#This Row],[h2]],8))</f>
        <v>0</v>
      </c>
    </row>
    <row r="1025" spans="1:18">
      <c r="A1025" s="15" t="str">
        <f t="shared" si="20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8" t="s">
        <v>75</v>
      </c>
      <c r="P1025" s="48">
        <f>HEX2DEC(RIGHT(Table1323212753586873[[#This Row],[h1]],8))</f>
        <v>0</v>
      </c>
      <c r="Q1025" s="48" t="s">
        <v>75</v>
      </c>
      <c r="R1025" s="48">
        <f>HEX2DEC(RIGHT(Table1323212753586873[[#This Row],[h2]],8))</f>
        <v>0</v>
      </c>
    </row>
    <row r="1026" spans="1:18">
      <c r="A1026" s="15" t="str">
        <f t="shared" si="20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8" t="s">
        <v>75</v>
      </c>
      <c r="P1026" s="48">
        <f>HEX2DEC(RIGHT(Table1323212753586873[[#This Row],[h1]],8))</f>
        <v>0</v>
      </c>
      <c r="Q1026" s="48" t="s">
        <v>75</v>
      </c>
      <c r="R1026" s="48">
        <f>HEX2DEC(RIGHT(Table1323212753586873[[#This Row],[h2]],8))</f>
        <v>0</v>
      </c>
    </row>
    <row r="1027" spans="1:18">
      <c r="A1027" s="15" t="str">
        <f t="shared" si="20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8" t="s">
        <v>75</v>
      </c>
      <c r="P1027" s="48">
        <f>HEX2DEC(RIGHT(Table1323212753586873[[#This Row],[h1]],8))</f>
        <v>0</v>
      </c>
      <c r="Q1027" s="48" t="s">
        <v>75</v>
      </c>
      <c r="R1027" s="48">
        <f>HEX2DEC(RIGHT(Table1323212753586873[[#This Row],[h2]],8))</f>
        <v>0</v>
      </c>
    </row>
    <row r="1028" spans="1:18">
      <c r="A1028" s="15" t="str">
        <f t="shared" si="20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8" t="s">
        <v>75</v>
      </c>
      <c r="P1028" s="48">
        <f>HEX2DEC(RIGHT(Table1323212753586873[[#This Row],[h1]],8))</f>
        <v>0</v>
      </c>
      <c r="Q1028" s="48" t="s">
        <v>75</v>
      </c>
      <c r="R1028" s="48">
        <f>HEX2DEC(RIGHT(Table1323212753586873[[#This Row],[h2]],8))</f>
        <v>0</v>
      </c>
    </row>
    <row r="1029" spans="1:18">
      <c r="A1029" s="15" t="str">
        <f t="shared" si="20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8" t="s">
        <v>75</v>
      </c>
      <c r="P1029" s="48">
        <f>HEX2DEC(RIGHT(Table1323212753586873[[#This Row],[h1]],8))</f>
        <v>0</v>
      </c>
      <c r="Q1029" s="48" t="s">
        <v>75</v>
      </c>
      <c r="R1029" s="48">
        <f>HEX2DEC(RIGHT(Table1323212753586873[[#This Row],[h2]],8))</f>
        <v>0</v>
      </c>
    </row>
    <row r="1030" spans="1:18">
      <c r="A1030" s="15" t="str">
        <f t="shared" si="20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8" t="s">
        <v>75</v>
      </c>
      <c r="P1030" s="48">
        <f>HEX2DEC(RIGHT(Table1323212753586873[[#This Row],[h1]],8))</f>
        <v>0</v>
      </c>
      <c r="Q1030" s="48" t="s">
        <v>75</v>
      </c>
      <c r="R1030" s="48">
        <f>HEX2DEC(RIGHT(Table1323212753586873[[#This Row],[h2]],8))</f>
        <v>0</v>
      </c>
    </row>
    <row r="1031" spans="1:18">
      <c r="A1031" s="15" t="str">
        <f t="shared" si="20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8" t="s">
        <v>75</v>
      </c>
      <c r="P1031" s="48">
        <f>HEX2DEC(RIGHT(Table1323212753586873[[#This Row],[h1]],8))</f>
        <v>0</v>
      </c>
      <c r="Q1031" s="48" t="s">
        <v>75</v>
      </c>
      <c r="R1031" s="48">
        <f>HEX2DEC(RIGHT(Table1323212753586873[[#This Row],[h2]],8))</f>
        <v>0</v>
      </c>
    </row>
    <row r="1032" spans="1:18">
      <c r="A1032" s="15" t="str">
        <f t="shared" si="20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8" t="s">
        <v>75</v>
      </c>
      <c r="P1032" s="48">
        <f>HEX2DEC(RIGHT(Table1323212753586873[[#This Row],[h1]],8))</f>
        <v>0</v>
      </c>
      <c r="Q1032" s="48" t="s">
        <v>75</v>
      </c>
      <c r="R1032" s="48">
        <f>HEX2DEC(RIGHT(Table1323212753586873[[#This Row],[h2]],8))</f>
        <v>0</v>
      </c>
    </row>
    <row r="1033" spans="1:18">
      <c r="A1033" s="15" t="str">
        <f t="shared" si="20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8" t="s">
        <v>75</v>
      </c>
      <c r="P1033" s="48">
        <f>HEX2DEC(RIGHT(Table1323212753586873[[#This Row],[h1]],8))</f>
        <v>0</v>
      </c>
      <c r="Q1033" s="48" t="s">
        <v>75</v>
      </c>
      <c r="R1033" s="48">
        <f>HEX2DEC(RIGHT(Table1323212753586873[[#This Row],[h2]],8))</f>
        <v>0</v>
      </c>
    </row>
    <row r="1034" spans="1:18">
      <c r="A1034" s="15" t="str">
        <f t="shared" si="20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8" t="s">
        <v>75</v>
      </c>
      <c r="P1034" s="48">
        <f>HEX2DEC(RIGHT(Table1323212753586873[[#This Row],[h1]],8))</f>
        <v>0</v>
      </c>
      <c r="Q1034" s="48" t="s">
        <v>75</v>
      </c>
      <c r="R1034" s="48">
        <f>HEX2DEC(RIGHT(Table1323212753586873[[#This Row],[h2]],8))</f>
        <v>0</v>
      </c>
    </row>
    <row r="1035" spans="1:18">
      <c r="A1035" s="15" t="str">
        <f t="shared" ref="A1035:A1098" si="21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8" t="s">
        <v>75</v>
      </c>
      <c r="P1035" s="48">
        <f>HEX2DEC(RIGHT(Table1323212753586873[[#This Row],[h1]],8))</f>
        <v>0</v>
      </c>
      <c r="Q1035" s="48" t="s">
        <v>75</v>
      </c>
      <c r="R1035" s="48">
        <f>HEX2DEC(RIGHT(Table1323212753586873[[#This Row],[h2]],8))</f>
        <v>0</v>
      </c>
    </row>
    <row r="1036" spans="1:18">
      <c r="A1036" s="15" t="str">
        <f t="shared" si="21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8" t="s">
        <v>75</v>
      </c>
      <c r="P1036" s="48">
        <f>HEX2DEC(RIGHT(Table1323212753586873[[#This Row],[h1]],8))</f>
        <v>0</v>
      </c>
      <c r="Q1036" s="48" t="s">
        <v>75</v>
      </c>
      <c r="R1036" s="48">
        <f>HEX2DEC(RIGHT(Table1323212753586873[[#This Row],[h2]],8))</f>
        <v>0</v>
      </c>
    </row>
    <row r="1037" spans="1:18">
      <c r="A1037" s="15" t="str">
        <f t="shared" si="21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8" t="s">
        <v>75</v>
      </c>
      <c r="P1037" s="48">
        <f>HEX2DEC(RIGHT(Table1323212753586873[[#This Row],[h1]],8))</f>
        <v>0</v>
      </c>
      <c r="Q1037" s="48" t="s">
        <v>75</v>
      </c>
      <c r="R1037" s="48">
        <f>HEX2DEC(RIGHT(Table1323212753586873[[#This Row],[h2]],8))</f>
        <v>0</v>
      </c>
    </row>
    <row r="1038" spans="1:18">
      <c r="A1038" s="15" t="str">
        <f t="shared" si="21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8" t="s">
        <v>75</v>
      </c>
      <c r="P1038" s="48">
        <f>HEX2DEC(RIGHT(Table1323212753586873[[#This Row],[h1]],8))</f>
        <v>0</v>
      </c>
      <c r="Q1038" s="48" t="s">
        <v>75</v>
      </c>
      <c r="R1038" s="48">
        <f>HEX2DEC(RIGHT(Table1323212753586873[[#This Row],[h2]],8))</f>
        <v>0</v>
      </c>
    </row>
    <row r="1039" spans="1:18">
      <c r="A1039" s="15" t="str">
        <f t="shared" si="21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8" t="s">
        <v>75</v>
      </c>
      <c r="P1039" s="48">
        <f>HEX2DEC(RIGHT(Table1323212753586873[[#This Row],[h1]],8))</f>
        <v>0</v>
      </c>
      <c r="Q1039" s="48" t="s">
        <v>75</v>
      </c>
      <c r="R1039" s="48">
        <f>HEX2DEC(RIGHT(Table1323212753586873[[#This Row],[h2]],8))</f>
        <v>0</v>
      </c>
    </row>
    <row r="1040" spans="1:18">
      <c r="A1040" s="15" t="str">
        <f t="shared" si="21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8" t="s">
        <v>75</v>
      </c>
      <c r="P1040" s="48">
        <f>HEX2DEC(RIGHT(Table1323212753586873[[#This Row],[h1]],8))</f>
        <v>0</v>
      </c>
      <c r="Q1040" s="48" t="s">
        <v>75</v>
      </c>
      <c r="R1040" s="48">
        <f>HEX2DEC(RIGHT(Table1323212753586873[[#This Row],[h2]],8))</f>
        <v>0</v>
      </c>
    </row>
    <row r="1041" spans="1:18">
      <c r="A1041" s="15" t="str">
        <f t="shared" si="21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8" t="s">
        <v>75</v>
      </c>
      <c r="P1041" s="48">
        <f>HEX2DEC(RIGHT(Table1323212753586873[[#This Row],[h1]],8))</f>
        <v>0</v>
      </c>
      <c r="Q1041" s="48" t="s">
        <v>75</v>
      </c>
      <c r="R1041" s="48">
        <f>HEX2DEC(RIGHT(Table1323212753586873[[#This Row],[h2]],8))</f>
        <v>0</v>
      </c>
    </row>
    <row r="1042" spans="1:18">
      <c r="A1042" s="15" t="str">
        <f t="shared" si="21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8" t="s">
        <v>75</v>
      </c>
      <c r="P1042" s="48">
        <f>HEX2DEC(RIGHT(Table1323212753586873[[#This Row],[h1]],8))</f>
        <v>0</v>
      </c>
      <c r="Q1042" s="48" t="s">
        <v>75</v>
      </c>
      <c r="R1042" s="48">
        <f>HEX2DEC(RIGHT(Table1323212753586873[[#This Row],[h2]],8))</f>
        <v>0</v>
      </c>
    </row>
    <row r="1043" spans="1:18">
      <c r="A1043" s="15" t="str">
        <f t="shared" si="21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8" t="s">
        <v>75</v>
      </c>
      <c r="P1043" s="48">
        <f>HEX2DEC(RIGHT(Table1323212753586873[[#This Row],[h1]],8))</f>
        <v>0</v>
      </c>
      <c r="Q1043" s="48" t="s">
        <v>75</v>
      </c>
      <c r="R1043" s="48">
        <f>HEX2DEC(RIGHT(Table1323212753586873[[#This Row],[h2]],8))</f>
        <v>0</v>
      </c>
    </row>
    <row r="1044" spans="1:18">
      <c r="A1044" s="15" t="str">
        <f t="shared" si="21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8" t="s">
        <v>75</v>
      </c>
      <c r="P1044" s="48">
        <f>HEX2DEC(RIGHT(Table1323212753586873[[#This Row],[h1]],8))</f>
        <v>0</v>
      </c>
      <c r="Q1044" s="48" t="s">
        <v>75</v>
      </c>
      <c r="R1044" s="48">
        <f>HEX2DEC(RIGHT(Table1323212753586873[[#This Row],[h2]],8))</f>
        <v>0</v>
      </c>
    </row>
    <row r="1045" spans="1:18">
      <c r="A1045" s="15" t="str">
        <f t="shared" si="21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8" t="s">
        <v>75</v>
      </c>
      <c r="P1045" s="48">
        <f>HEX2DEC(RIGHT(Table1323212753586873[[#This Row],[h1]],8))</f>
        <v>0</v>
      </c>
      <c r="Q1045" s="48" t="s">
        <v>75</v>
      </c>
      <c r="R1045" s="48">
        <f>HEX2DEC(RIGHT(Table1323212753586873[[#This Row],[h2]],8))</f>
        <v>0</v>
      </c>
    </row>
    <row r="1046" spans="1:18">
      <c r="A1046" s="15" t="str">
        <f t="shared" si="21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8" t="s">
        <v>75</v>
      </c>
      <c r="P1046" s="48">
        <f>HEX2DEC(RIGHT(Table1323212753586873[[#This Row],[h1]],8))</f>
        <v>0</v>
      </c>
      <c r="Q1046" s="48" t="s">
        <v>75</v>
      </c>
      <c r="R1046" s="48">
        <f>HEX2DEC(RIGHT(Table1323212753586873[[#This Row],[h2]],8))</f>
        <v>0</v>
      </c>
    </row>
    <row r="1047" spans="1:18">
      <c r="A1047" s="15" t="str">
        <f t="shared" si="21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8" t="s">
        <v>75</v>
      </c>
      <c r="P1047" s="48">
        <f>HEX2DEC(RIGHT(Table1323212753586873[[#This Row],[h1]],8))</f>
        <v>0</v>
      </c>
      <c r="Q1047" s="48" t="s">
        <v>75</v>
      </c>
      <c r="R1047" s="48">
        <f>HEX2DEC(RIGHT(Table1323212753586873[[#This Row],[h2]],8))</f>
        <v>0</v>
      </c>
    </row>
    <row r="1048" spans="1:18">
      <c r="A1048" s="15" t="str">
        <f t="shared" si="21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8" t="s">
        <v>75</v>
      </c>
      <c r="P1048" s="48">
        <f>HEX2DEC(RIGHT(Table1323212753586873[[#This Row],[h1]],8))</f>
        <v>0</v>
      </c>
      <c r="Q1048" s="48" t="s">
        <v>75</v>
      </c>
      <c r="R1048" s="48">
        <f>HEX2DEC(RIGHT(Table1323212753586873[[#This Row],[h2]],8))</f>
        <v>0</v>
      </c>
    </row>
    <row r="1049" spans="1:18">
      <c r="A1049" s="15" t="str">
        <f t="shared" si="21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8" t="s">
        <v>75</v>
      </c>
      <c r="P1049" s="48">
        <f>HEX2DEC(RIGHT(Table1323212753586873[[#This Row],[h1]],8))</f>
        <v>0</v>
      </c>
      <c r="Q1049" s="48" t="s">
        <v>75</v>
      </c>
      <c r="R1049" s="48">
        <f>HEX2DEC(RIGHT(Table1323212753586873[[#This Row],[h2]],8))</f>
        <v>0</v>
      </c>
    </row>
    <row r="1050" spans="1:18">
      <c r="A1050" s="15" t="str">
        <f t="shared" si="21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8" t="s">
        <v>75</v>
      </c>
      <c r="P1050" s="48">
        <f>HEX2DEC(RIGHT(Table1323212753586873[[#This Row],[h1]],8))</f>
        <v>0</v>
      </c>
      <c r="Q1050" s="48" t="s">
        <v>75</v>
      </c>
      <c r="R1050" s="48">
        <f>HEX2DEC(RIGHT(Table1323212753586873[[#This Row],[h2]],8))</f>
        <v>0</v>
      </c>
    </row>
    <row r="1051" spans="1:18">
      <c r="A1051" s="15" t="str">
        <f t="shared" si="21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8" t="s">
        <v>75</v>
      </c>
      <c r="P1051" s="48">
        <f>HEX2DEC(RIGHT(Table1323212753586873[[#This Row],[h1]],8))</f>
        <v>0</v>
      </c>
      <c r="Q1051" s="48" t="s">
        <v>75</v>
      </c>
      <c r="R1051" s="48">
        <f>HEX2DEC(RIGHT(Table1323212753586873[[#This Row],[h2]],8))</f>
        <v>0</v>
      </c>
    </row>
    <row r="1052" spans="1:18">
      <c r="A1052" s="15" t="str">
        <f t="shared" si="21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8" t="s">
        <v>75</v>
      </c>
      <c r="P1052" s="48">
        <f>HEX2DEC(RIGHT(Table1323212753586873[[#This Row],[h1]],8))</f>
        <v>0</v>
      </c>
      <c r="Q1052" s="48" t="s">
        <v>75</v>
      </c>
      <c r="R1052" s="48">
        <f>HEX2DEC(RIGHT(Table1323212753586873[[#This Row],[h2]],8))</f>
        <v>0</v>
      </c>
    </row>
    <row r="1053" spans="1:18">
      <c r="A1053" s="15" t="str">
        <f t="shared" si="21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8" t="s">
        <v>75</v>
      </c>
      <c r="P1053" s="48">
        <f>HEX2DEC(RIGHT(Table1323212753586873[[#This Row],[h1]],8))</f>
        <v>0</v>
      </c>
      <c r="Q1053" s="48" t="s">
        <v>75</v>
      </c>
      <c r="R1053" s="48">
        <f>HEX2DEC(RIGHT(Table1323212753586873[[#This Row],[h2]],8))</f>
        <v>0</v>
      </c>
    </row>
    <row r="1054" spans="1:18">
      <c r="A1054" s="15" t="str">
        <f t="shared" si="21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8" t="s">
        <v>75</v>
      </c>
      <c r="P1054" s="48">
        <f>HEX2DEC(RIGHT(Table1323212753586873[[#This Row],[h1]],8))</f>
        <v>0</v>
      </c>
      <c r="Q1054" s="48" t="s">
        <v>75</v>
      </c>
      <c r="R1054" s="48">
        <f>HEX2DEC(RIGHT(Table1323212753586873[[#This Row],[h2]],8))</f>
        <v>0</v>
      </c>
    </row>
    <row r="1055" spans="1:18">
      <c r="A1055" s="15" t="str">
        <f t="shared" si="21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8" t="s">
        <v>75</v>
      </c>
      <c r="P1055" s="48">
        <f>HEX2DEC(RIGHT(Table1323212753586873[[#This Row],[h1]],8))</f>
        <v>0</v>
      </c>
      <c r="Q1055" s="48" t="s">
        <v>75</v>
      </c>
      <c r="R1055" s="48">
        <f>HEX2DEC(RIGHT(Table1323212753586873[[#This Row],[h2]],8))</f>
        <v>0</v>
      </c>
    </row>
    <row r="1056" spans="1:18">
      <c r="A1056" s="15" t="str">
        <f t="shared" si="21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8" t="s">
        <v>75</v>
      </c>
      <c r="P1056" s="48">
        <f>HEX2DEC(RIGHT(Table1323212753586873[[#This Row],[h1]],8))</f>
        <v>0</v>
      </c>
      <c r="Q1056" s="48" t="s">
        <v>75</v>
      </c>
      <c r="R1056" s="48">
        <f>HEX2DEC(RIGHT(Table1323212753586873[[#This Row],[h2]],8))</f>
        <v>0</v>
      </c>
    </row>
    <row r="1057" spans="1:18">
      <c r="A1057" s="15" t="str">
        <f t="shared" si="21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8" t="s">
        <v>75</v>
      </c>
      <c r="P1057" s="48">
        <f>HEX2DEC(RIGHT(Table1323212753586873[[#This Row],[h1]],8))</f>
        <v>0</v>
      </c>
      <c r="Q1057" s="48" t="s">
        <v>75</v>
      </c>
      <c r="R1057" s="48">
        <f>HEX2DEC(RIGHT(Table1323212753586873[[#This Row],[h2]],8))</f>
        <v>0</v>
      </c>
    </row>
    <row r="1058" spans="1:18">
      <c r="A1058" s="15" t="str">
        <f t="shared" si="21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8" t="s">
        <v>75</v>
      </c>
      <c r="P1058" s="48">
        <f>HEX2DEC(RIGHT(Table1323212753586873[[#This Row],[h1]],8))</f>
        <v>0</v>
      </c>
      <c r="Q1058" s="48" t="s">
        <v>75</v>
      </c>
      <c r="R1058" s="48">
        <f>HEX2DEC(RIGHT(Table1323212753586873[[#This Row],[h2]],8))</f>
        <v>0</v>
      </c>
    </row>
    <row r="1059" spans="1:18">
      <c r="A1059" s="15" t="str">
        <f t="shared" si="21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8" t="s">
        <v>75</v>
      </c>
      <c r="P1059" s="48">
        <f>HEX2DEC(RIGHT(Table1323212753586873[[#This Row],[h1]],8))</f>
        <v>0</v>
      </c>
      <c r="Q1059" s="48" t="s">
        <v>75</v>
      </c>
      <c r="R1059" s="48">
        <f>HEX2DEC(RIGHT(Table1323212753586873[[#This Row],[h2]],8))</f>
        <v>0</v>
      </c>
    </row>
    <row r="1060" spans="1:18">
      <c r="A1060" s="15" t="str">
        <f t="shared" si="21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8" t="s">
        <v>75</v>
      </c>
      <c r="P1060" s="48">
        <f>HEX2DEC(RIGHT(Table1323212753586873[[#This Row],[h1]],8))</f>
        <v>0</v>
      </c>
      <c r="Q1060" s="48" t="s">
        <v>75</v>
      </c>
      <c r="R1060" s="48">
        <f>HEX2DEC(RIGHT(Table1323212753586873[[#This Row],[h2]],8))</f>
        <v>0</v>
      </c>
    </row>
    <row r="1061" spans="1:18">
      <c r="A1061" s="15" t="str">
        <f t="shared" si="21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8" t="s">
        <v>75</v>
      </c>
      <c r="P1061" s="48">
        <f>HEX2DEC(RIGHT(Table1323212753586873[[#This Row],[h1]],8))</f>
        <v>0</v>
      </c>
      <c r="Q1061" s="48" t="s">
        <v>75</v>
      </c>
      <c r="R1061" s="48">
        <f>HEX2DEC(RIGHT(Table1323212753586873[[#This Row],[h2]],8))</f>
        <v>0</v>
      </c>
    </row>
    <row r="1062" spans="1:18">
      <c r="A1062" s="15" t="str">
        <f t="shared" si="21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8" t="s">
        <v>75</v>
      </c>
      <c r="P1062" s="48">
        <f>HEX2DEC(RIGHT(Table1323212753586873[[#This Row],[h1]],8))</f>
        <v>0</v>
      </c>
      <c r="Q1062" s="48" t="s">
        <v>75</v>
      </c>
      <c r="R1062" s="48">
        <f>HEX2DEC(RIGHT(Table1323212753586873[[#This Row],[h2]],8))</f>
        <v>0</v>
      </c>
    </row>
    <row r="1063" spans="1:18">
      <c r="A1063" s="15" t="str">
        <f t="shared" si="21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8" t="s">
        <v>75</v>
      </c>
      <c r="P1063" s="48">
        <f>HEX2DEC(RIGHT(Table1323212753586873[[#This Row],[h1]],8))</f>
        <v>0</v>
      </c>
      <c r="Q1063" s="48" t="s">
        <v>75</v>
      </c>
      <c r="R1063" s="48">
        <f>HEX2DEC(RIGHT(Table1323212753586873[[#This Row],[h2]],8))</f>
        <v>0</v>
      </c>
    </row>
    <row r="1064" spans="1:18">
      <c r="A1064" s="15" t="str">
        <f t="shared" si="21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8" t="s">
        <v>75</v>
      </c>
      <c r="P1064" s="48">
        <f>HEX2DEC(RIGHT(Table1323212753586873[[#This Row],[h1]],8))</f>
        <v>0</v>
      </c>
      <c r="Q1064" s="48" t="s">
        <v>75</v>
      </c>
      <c r="R1064" s="48">
        <f>HEX2DEC(RIGHT(Table1323212753586873[[#This Row],[h2]],8))</f>
        <v>0</v>
      </c>
    </row>
    <row r="1065" spans="1:18">
      <c r="A1065" s="15" t="str">
        <f t="shared" si="21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8" t="s">
        <v>75</v>
      </c>
      <c r="P1065" s="48">
        <f>HEX2DEC(RIGHT(Table1323212753586873[[#This Row],[h1]],8))</f>
        <v>0</v>
      </c>
      <c r="Q1065" s="48" t="s">
        <v>75</v>
      </c>
      <c r="R1065" s="48">
        <f>HEX2DEC(RIGHT(Table1323212753586873[[#This Row],[h2]],8))</f>
        <v>0</v>
      </c>
    </row>
    <row r="1066" spans="1:18">
      <c r="A1066" s="15" t="str">
        <f t="shared" si="21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8" t="s">
        <v>75</v>
      </c>
      <c r="P1066" s="48">
        <f>HEX2DEC(RIGHT(Table1323212753586873[[#This Row],[h1]],8))</f>
        <v>0</v>
      </c>
      <c r="Q1066" s="48" t="s">
        <v>75</v>
      </c>
      <c r="R1066" s="48">
        <f>HEX2DEC(RIGHT(Table1323212753586873[[#This Row],[h2]],8))</f>
        <v>0</v>
      </c>
    </row>
    <row r="1067" spans="1:18">
      <c r="A1067" s="15" t="str">
        <f t="shared" si="21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8" t="s">
        <v>75</v>
      </c>
      <c r="P1067" s="48">
        <f>HEX2DEC(RIGHT(Table1323212753586873[[#This Row],[h1]],8))</f>
        <v>0</v>
      </c>
      <c r="Q1067" s="48" t="s">
        <v>75</v>
      </c>
      <c r="R1067" s="48">
        <f>HEX2DEC(RIGHT(Table1323212753586873[[#This Row],[h2]],8))</f>
        <v>0</v>
      </c>
    </row>
    <row r="1068" spans="1:18">
      <c r="A1068" s="15" t="str">
        <f t="shared" si="21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8" t="s">
        <v>75</v>
      </c>
      <c r="P1068" s="48">
        <f>HEX2DEC(RIGHT(Table1323212753586873[[#This Row],[h1]],8))</f>
        <v>0</v>
      </c>
      <c r="Q1068" s="48" t="s">
        <v>75</v>
      </c>
      <c r="R1068" s="48">
        <f>HEX2DEC(RIGHT(Table1323212753586873[[#This Row],[h2]],8))</f>
        <v>0</v>
      </c>
    </row>
    <row r="1069" spans="1:18">
      <c r="A1069" s="15" t="str">
        <f t="shared" si="21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8" t="s">
        <v>75</v>
      </c>
      <c r="P1069" s="48">
        <f>HEX2DEC(RIGHT(Table1323212753586873[[#This Row],[h1]],8))</f>
        <v>0</v>
      </c>
      <c r="Q1069" s="48" t="s">
        <v>75</v>
      </c>
      <c r="R1069" s="48">
        <f>HEX2DEC(RIGHT(Table1323212753586873[[#This Row],[h2]],8))</f>
        <v>0</v>
      </c>
    </row>
    <row r="1070" spans="1:18">
      <c r="A1070" s="15" t="str">
        <f t="shared" si="21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8" t="s">
        <v>75</v>
      </c>
      <c r="P1070" s="48">
        <f>HEX2DEC(RIGHT(Table1323212753586873[[#This Row],[h1]],8))</f>
        <v>0</v>
      </c>
      <c r="Q1070" s="48" t="s">
        <v>75</v>
      </c>
      <c r="R1070" s="48">
        <f>HEX2DEC(RIGHT(Table1323212753586873[[#This Row],[h2]],8))</f>
        <v>0</v>
      </c>
    </row>
    <row r="1071" spans="1:18">
      <c r="A1071" s="15" t="str">
        <f t="shared" si="21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8" t="s">
        <v>75</v>
      </c>
      <c r="P1071" s="48">
        <f>HEX2DEC(RIGHT(Table1323212753586873[[#This Row],[h1]],8))</f>
        <v>0</v>
      </c>
      <c r="Q1071" s="48" t="s">
        <v>75</v>
      </c>
      <c r="R1071" s="48">
        <f>HEX2DEC(RIGHT(Table1323212753586873[[#This Row],[h2]],8))</f>
        <v>0</v>
      </c>
    </row>
    <row r="1072" spans="1:18">
      <c r="A1072" s="15" t="str">
        <f t="shared" si="21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8" t="s">
        <v>75</v>
      </c>
      <c r="P1072" s="48">
        <f>HEX2DEC(RIGHT(Table1323212753586873[[#This Row],[h1]],8))</f>
        <v>0</v>
      </c>
      <c r="Q1072" s="48" t="s">
        <v>75</v>
      </c>
      <c r="R1072" s="48">
        <f>HEX2DEC(RIGHT(Table1323212753586873[[#This Row],[h2]],8))</f>
        <v>0</v>
      </c>
    </row>
    <row r="1073" spans="1:18">
      <c r="A1073" s="15" t="str">
        <f t="shared" si="21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8" t="s">
        <v>75</v>
      </c>
      <c r="P1073" s="48">
        <f>HEX2DEC(RIGHT(Table1323212753586873[[#This Row],[h1]],8))</f>
        <v>0</v>
      </c>
      <c r="Q1073" s="48" t="s">
        <v>75</v>
      </c>
      <c r="R1073" s="48">
        <f>HEX2DEC(RIGHT(Table1323212753586873[[#This Row],[h2]],8))</f>
        <v>0</v>
      </c>
    </row>
    <row r="1074" spans="1:18">
      <c r="A1074" s="15" t="str">
        <f t="shared" si="21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8" t="s">
        <v>75</v>
      </c>
      <c r="P1074" s="48">
        <f>HEX2DEC(RIGHT(Table1323212753586873[[#This Row],[h1]],8))</f>
        <v>0</v>
      </c>
      <c r="Q1074" s="48" t="s">
        <v>75</v>
      </c>
      <c r="R1074" s="48">
        <f>HEX2DEC(RIGHT(Table1323212753586873[[#This Row],[h2]],8))</f>
        <v>0</v>
      </c>
    </row>
    <row r="1075" spans="1:18">
      <c r="A1075" s="15" t="str">
        <f t="shared" si="21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8" t="s">
        <v>75</v>
      </c>
      <c r="P1075" s="48">
        <f>HEX2DEC(RIGHT(Table1323212753586873[[#This Row],[h1]],8))</f>
        <v>0</v>
      </c>
      <c r="Q1075" s="48" t="s">
        <v>75</v>
      </c>
      <c r="R1075" s="48">
        <f>HEX2DEC(RIGHT(Table1323212753586873[[#This Row],[h2]],8))</f>
        <v>0</v>
      </c>
    </row>
    <row r="1076" spans="1:18">
      <c r="A1076" s="15" t="str">
        <f t="shared" si="21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8" t="s">
        <v>75</v>
      </c>
      <c r="P1076" s="48">
        <f>HEX2DEC(RIGHT(Table1323212753586873[[#This Row],[h1]],8))</f>
        <v>0</v>
      </c>
      <c r="Q1076" s="48" t="s">
        <v>75</v>
      </c>
      <c r="R1076" s="48">
        <f>HEX2DEC(RIGHT(Table1323212753586873[[#This Row],[h2]],8))</f>
        <v>0</v>
      </c>
    </row>
    <row r="1077" spans="1:18">
      <c r="A1077" s="15" t="str">
        <f t="shared" si="21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8" t="s">
        <v>75</v>
      </c>
      <c r="P1077" s="48">
        <f>HEX2DEC(RIGHT(Table1323212753586873[[#This Row],[h1]],8))</f>
        <v>0</v>
      </c>
      <c r="Q1077" s="48" t="s">
        <v>75</v>
      </c>
      <c r="R1077" s="48">
        <f>HEX2DEC(RIGHT(Table1323212753586873[[#This Row],[h2]],8))</f>
        <v>0</v>
      </c>
    </row>
    <row r="1078" spans="1:18">
      <c r="A1078" s="15" t="str">
        <f t="shared" si="21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8" t="s">
        <v>75</v>
      </c>
      <c r="P1078" s="48">
        <f>HEX2DEC(RIGHT(Table1323212753586873[[#This Row],[h1]],8))</f>
        <v>0</v>
      </c>
      <c r="Q1078" s="48" t="s">
        <v>75</v>
      </c>
      <c r="R1078" s="48">
        <f>HEX2DEC(RIGHT(Table1323212753586873[[#This Row],[h2]],8))</f>
        <v>0</v>
      </c>
    </row>
    <row r="1079" spans="1:18">
      <c r="A1079" s="15" t="str">
        <f t="shared" si="21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8" t="s">
        <v>75</v>
      </c>
      <c r="P1079" s="48">
        <f>HEX2DEC(RIGHT(Table1323212753586873[[#This Row],[h1]],8))</f>
        <v>0</v>
      </c>
      <c r="Q1079" s="48" t="s">
        <v>75</v>
      </c>
      <c r="R1079" s="48">
        <f>HEX2DEC(RIGHT(Table1323212753586873[[#This Row],[h2]],8))</f>
        <v>0</v>
      </c>
    </row>
    <row r="1080" spans="1:18">
      <c r="A1080" s="15" t="str">
        <f t="shared" si="21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8" t="s">
        <v>75</v>
      </c>
      <c r="P1080" s="48">
        <f>HEX2DEC(RIGHT(Table1323212753586873[[#This Row],[h1]],8))</f>
        <v>0</v>
      </c>
      <c r="Q1080" s="48" t="s">
        <v>75</v>
      </c>
      <c r="R1080" s="48">
        <f>HEX2DEC(RIGHT(Table1323212753586873[[#This Row],[h2]],8))</f>
        <v>0</v>
      </c>
    </row>
    <row r="1081" spans="1:18">
      <c r="A1081" s="15" t="str">
        <f t="shared" si="21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8" t="s">
        <v>75</v>
      </c>
      <c r="P1081" s="48">
        <f>HEX2DEC(RIGHT(Table1323212753586873[[#This Row],[h1]],8))</f>
        <v>0</v>
      </c>
      <c r="Q1081" s="48" t="s">
        <v>75</v>
      </c>
      <c r="R1081" s="48">
        <f>HEX2DEC(RIGHT(Table1323212753586873[[#This Row],[h2]],8))</f>
        <v>0</v>
      </c>
    </row>
    <row r="1082" spans="1:18">
      <c r="A1082" s="15" t="str">
        <f t="shared" si="21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8" t="s">
        <v>75</v>
      </c>
      <c r="P1082" s="48">
        <f>HEX2DEC(RIGHT(Table1323212753586873[[#This Row],[h1]],8))</f>
        <v>0</v>
      </c>
      <c r="Q1082" s="48" t="s">
        <v>75</v>
      </c>
      <c r="R1082" s="48">
        <f>HEX2DEC(RIGHT(Table1323212753586873[[#This Row],[h2]],8))</f>
        <v>0</v>
      </c>
    </row>
    <row r="1083" spans="1:18">
      <c r="A1083" s="15" t="str">
        <f t="shared" si="21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8" t="s">
        <v>75</v>
      </c>
      <c r="P1083" s="48">
        <f>HEX2DEC(RIGHT(Table1323212753586873[[#This Row],[h1]],8))</f>
        <v>0</v>
      </c>
      <c r="Q1083" s="48" t="s">
        <v>75</v>
      </c>
      <c r="R1083" s="48">
        <f>HEX2DEC(RIGHT(Table1323212753586873[[#This Row],[h2]],8))</f>
        <v>0</v>
      </c>
    </row>
    <row r="1084" spans="1:18">
      <c r="A1084" s="15" t="str">
        <f t="shared" si="21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8" t="s">
        <v>75</v>
      </c>
      <c r="P1084" s="48">
        <f>HEX2DEC(RIGHT(Table1323212753586873[[#This Row],[h1]],8))</f>
        <v>0</v>
      </c>
      <c r="Q1084" s="48" t="s">
        <v>75</v>
      </c>
      <c r="R1084" s="48">
        <f>HEX2DEC(RIGHT(Table1323212753586873[[#This Row],[h2]],8))</f>
        <v>0</v>
      </c>
    </row>
    <row r="1085" spans="1:18">
      <c r="A1085" s="15" t="str">
        <f t="shared" si="21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8" t="s">
        <v>75</v>
      </c>
      <c r="P1085" s="48">
        <f>HEX2DEC(RIGHT(Table1323212753586873[[#This Row],[h1]],8))</f>
        <v>0</v>
      </c>
      <c r="Q1085" s="48" t="s">
        <v>75</v>
      </c>
      <c r="R1085" s="48">
        <f>HEX2DEC(RIGHT(Table1323212753586873[[#This Row],[h2]],8))</f>
        <v>0</v>
      </c>
    </row>
    <row r="1086" spans="1:18">
      <c r="A1086" s="15" t="str">
        <f t="shared" si="21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8" t="s">
        <v>75</v>
      </c>
      <c r="P1086" s="48">
        <f>HEX2DEC(RIGHT(Table1323212753586873[[#This Row],[h1]],8))</f>
        <v>0</v>
      </c>
      <c r="Q1086" s="48" t="s">
        <v>75</v>
      </c>
      <c r="R1086" s="48">
        <f>HEX2DEC(RIGHT(Table1323212753586873[[#This Row],[h2]],8))</f>
        <v>0</v>
      </c>
    </row>
    <row r="1087" spans="1:18">
      <c r="A1087" s="15" t="str">
        <f t="shared" si="21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8" t="s">
        <v>75</v>
      </c>
      <c r="P1087" s="48">
        <f>HEX2DEC(RIGHT(Table1323212753586873[[#This Row],[h1]],8))</f>
        <v>0</v>
      </c>
      <c r="Q1087" s="48" t="s">
        <v>75</v>
      </c>
      <c r="R1087" s="48">
        <f>HEX2DEC(RIGHT(Table1323212753586873[[#This Row],[h2]],8))</f>
        <v>0</v>
      </c>
    </row>
    <row r="1088" spans="1:18">
      <c r="A1088" s="15" t="str">
        <f t="shared" si="21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8" t="s">
        <v>75</v>
      </c>
      <c r="P1088" s="48">
        <f>HEX2DEC(RIGHT(Table1323212753586873[[#This Row],[h1]],8))</f>
        <v>0</v>
      </c>
      <c r="Q1088" s="48" t="s">
        <v>75</v>
      </c>
      <c r="R1088" s="48">
        <f>HEX2DEC(RIGHT(Table1323212753586873[[#This Row],[h2]],8))</f>
        <v>0</v>
      </c>
    </row>
    <row r="1089" spans="1:18">
      <c r="A1089" s="15" t="str">
        <f t="shared" si="21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8" t="s">
        <v>75</v>
      </c>
      <c r="P1089" s="48">
        <f>HEX2DEC(RIGHT(Table1323212753586873[[#This Row],[h1]],8))</f>
        <v>0</v>
      </c>
      <c r="Q1089" s="48" t="s">
        <v>75</v>
      </c>
      <c r="R1089" s="48">
        <f>HEX2DEC(RIGHT(Table1323212753586873[[#This Row],[h2]],8))</f>
        <v>0</v>
      </c>
    </row>
    <row r="1090" spans="1:18">
      <c r="A1090" s="15" t="str">
        <f t="shared" si="21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8" t="s">
        <v>75</v>
      </c>
      <c r="P1090" s="48">
        <f>HEX2DEC(RIGHT(Table1323212753586873[[#This Row],[h1]],8))</f>
        <v>0</v>
      </c>
      <c r="Q1090" s="48" t="s">
        <v>75</v>
      </c>
      <c r="R1090" s="48">
        <f>HEX2DEC(RIGHT(Table1323212753586873[[#This Row],[h2]],8))</f>
        <v>0</v>
      </c>
    </row>
    <row r="1091" spans="1:18">
      <c r="A1091" s="15" t="str">
        <f t="shared" si="21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8" t="s">
        <v>75</v>
      </c>
      <c r="P1091" s="48">
        <f>HEX2DEC(RIGHT(Table1323212753586873[[#This Row],[h1]],8))</f>
        <v>0</v>
      </c>
      <c r="Q1091" s="48" t="s">
        <v>75</v>
      </c>
      <c r="R1091" s="48">
        <f>HEX2DEC(RIGHT(Table1323212753586873[[#This Row],[h2]],8))</f>
        <v>0</v>
      </c>
    </row>
    <row r="1092" spans="1:18">
      <c r="A1092" s="15" t="str">
        <f t="shared" si="21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8" t="s">
        <v>75</v>
      </c>
      <c r="P1092" s="48">
        <f>HEX2DEC(RIGHT(Table1323212753586873[[#This Row],[h1]],8))</f>
        <v>0</v>
      </c>
      <c r="Q1092" s="48" t="s">
        <v>75</v>
      </c>
      <c r="R1092" s="48">
        <f>HEX2DEC(RIGHT(Table1323212753586873[[#This Row],[h2]],8))</f>
        <v>0</v>
      </c>
    </row>
    <row r="1093" spans="1:18">
      <c r="A1093" s="15" t="str">
        <f t="shared" si="21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8" t="s">
        <v>75</v>
      </c>
      <c r="P1093" s="48">
        <f>HEX2DEC(RIGHT(Table1323212753586873[[#This Row],[h1]],8))</f>
        <v>0</v>
      </c>
      <c r="Q1093" s="48" t="s">
        <v>75</v>
      </c>
      <c r="R1093" s="48">
        <f>HEX2DEC(RIGHT(Table1323212753586873[[#This Row],[h2]],8))</f>
        <v>0</v>
      </c>
    </row>
    <row r="1094" spans="1:18">
      <c r="A1094" s="15" t="str">
        <f t="shared" si="21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8" t="s">
        <v>75</v>
      </c>
      <c r="P1094" s="48">
        <f>HEX2DEC(RIGHT(Table1323212753586873[[#This Row],[h1]],8))</f>
        <v>0</v>
      </c>
      <c r="Q1094" s="48" t="s">
        <v>75</v>
      </c>
      <c r="R1094" s="48">
        <f>HEX2DEC(RIGHT(Table1323212753586873[[#This Row],[h2]],8))</f>
        <v>0</v>
      </c>
    </row>
    <row r="1095" spans="1:18">
      <c r="A1095" s="15" t="str">
        <f t="shared" si="21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8" t="s">
        <v>75</v>
      </c>
      <c r="P1095" s="48">
        <f>HEX2DEC(RIGHT(Table1323212753586873[[#This Row],[h1]],8))</f>
        <v>0</v>
      </c>
      <c r="Q1095" s="48" t="s">
        <v>75</v>
      </c>
      <c r="R1095" s="48">
        <f>HEX2DEC(RIGHT(Table1323212753586873[[#This Row],[h2]],8))</f>
        <v>0</v>
      </c>
    </row>
    <row r="1096" spans="1:18">
      <c r="A1096" s="15" t="str">
        <f t="shared" si="21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8" t="s">
        <v>75</v>
      </c>
      <c r="P1096" s="48">
        <f>HEX2DEC(RIGHT(Table1323212753586873[[#This Row],[h1]],8))</f>
        <v>0</v>
      </c>
      <c r="Q1096" s="48" t="s">
        <v>75</v>
      </c>
      <c r="R1096" s="48">
        <f>HEX2DEC(RIGHT(Table1323212753586873[[#This Row],[h2]],8))</f>
        <v>0</v>
      </c>
    </row>
    <row r="1097" spans="1:18">
      <c r="A1097" s="15" t="str">
        <f t="shared" si="21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8" t="s">
        <v>75</v>
      </c>
      <c r="P1097" s="48">
        <f>HEX2DEC(RIGHT(Table1323212753586873[[#This Row],[h1]],8))</f>
        <v>0</v>
      </c>
      <c r="Q1097" s="48" t="s">
        <v>75</v>
      </c>
      <c r="R1097" s="48">
        <f>HEX2DEC(RIGHT(Table1323212753586873[[#This Row],[h2]],8))</f>
        <v>0</v>
      </c>
    </row>
    <row r="1098" spans="1:18">
      <c r="A1098" s="15" t="str">
        <f t="shared" si="21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8" t="s">
        <v>75</v>
      </c>
      <c r="P1098" s="48">
        <f>HEX2DEC(RIGHT(Table1323212753586873[[#This Row],[h1]],8))</f>
        <v>0</v>
      </c>
      <c r="Q1098" s="48" t="s">
        <v>75</v>
      </c>
      <c r="R1098" s="48">
        <f>HEX2DEC(RIGHT(Table1323212753586873[[#This Row],[h2]],8))</f>
        <v>0</v>
      </c>
    </row>
    <row r="1099" spans="1:18">
      <c r="A1099" s="15" t="str">
        <f t="shared" ref="A1099:A1162" si="22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8" t="s">
        <v>75</v>
      </c>
      <c r="P1099" s="48">
        <f>HEX2DEC(RIGHT(Table1323212753586873[[#This Row],[h1]],8))</f>
        <v>0</v>
      </c>
      <c r="Q1099" s="48" t="s">
        <v>75</v>
      </c>
      <c r="R1099" s="48">
        <f>HEX2DEC(RIGHT(Table1323212753586873[[#This Row],[h2]],8))</f>
        <v>0</v>
      </c>
    </row>
    <row r="1100" spans="1:18">
      <c r="A1100" s="15" t="str">
        <f t="shared" si="22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8" t="s">
        <v>75</v>
      </c>
      <c r="P1100" s="48">
        <f>HEX2DEC(RIGHT(Table1323212753586873[[#This Row],[h1]],8))</f>
        <v>0</v>
      </c>
      <c r="Q1100" s="48" t="s">
        <v>75</v>
      </c>
      <c r="R1100" s="48">
        <f>HEX2DEC(RIGHT(Table1323212753586873[[#This Row],[h2]],8))</f>
        <v>0</v>
      </c>
    </row>
    <row r="1101" spans="1:18">
      <c r="A1101" s="15" t="str">
        <f t="shared" si="22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8" t="s">
        <v>75</v>
      </c>
      <c r="P1101" s="48">
        <f>HEX2DEC(RIGHT(Table1323212753586873[[#This Row],[h1]],8))</f>
        <v>0</v>
      </c>
      <c r="Q1101" s="48" t="s">
        <v>75</v>
      </c>
      <c r="R1101" s="48">
        <f>HEX2DEC(RIGHT(Table1323212753586873[[#This Row],[h2]],8))</f>
        <v>0</v>
      </c>
    </row>
    <row r="1102" spans="1:18">
      <c r="A1102" s="15" t="str">
        <f t="shared" si="22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8" t="s">
        <v>75</v>
      </c>
      <c r="P1102" s="48">
        <f>HEX2DEC(RIGHT(Table1323212753586873[[#This Row],[h1]],8))</f>
        <v>0</v>
      </c>
      <c r="Q1102" s="48" t="s">
        <v>75</v>
      </c>
      <c r="R1102" s="48">
        <f>HEX2DEC(RIGHT(Table1323212753586873[[#This Row],[h2]],8))</f>
        <v>0</v>
      </c>
    </row>
    <row r="1103" spans="1:18">
      <c r="A1103" s="15" t="str">
        <f t="shared" si="22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8" t="s">
        <v>75</v>
      </c>
      <c r="P1103" s="48">
        <f>HEX2DEC(RIGHT(Table1323212753586873[[#This Row],[h1]],8))</f>
        <v>0</v>
      </c>
      <c r="Q1103" s="48" t="s">
        <v>75</v>
      </c>
      <c r="R1103" s="48">
        <f>HEX2DEC(RIGHT(Table1323212753586873[[#This Row],[h2]],8))</f>
        <v>0</v>
      </c>
    </row>
    <row r="1104" spans="1:18">
      <c r="A1104" s="15" t="str">
        <f t="shared" si="22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8" t="s">
        <v>75</v>
      </c>
      <c r="P1104" s="48">
        <f>HEX2DEC(RIGHT(Table1323212753586873[[#This Row],[h1]],8))</f>
        <v>0</v>
      </c>
      <c r="Q1104" s="48" t="s">
        <v>75</v>
      </c>
      <c r="R1104" s="48">
        <f>HEX2DEC(RIGHT(Table1323212753586873[[#This Row],[h2]],8))</f>
        <v>0</v>
      </c>
    </row>
    <row r="1105" spans="1:18">
      <c r="A1105" s="15" t="str">
        <f t="shared" si="22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8" t="s">
        <v>75</v>
      </c>
      <c r="P1105" s="48">
        <f>HEX2DEC(RIGHT(Table1323212753586873[[#This Row],[h1]],8))</f>
        <v>0</v>
      </c>
      <c r="Q1105" s="48" t="s">
        <v>75</v>
      </c>
      <c r="R1105" s="48">
        <f>HEX2DEC(RIGHT(Table1323212753586873[[#This Row],[h2]],8))</f>
        <v>0</v>
      </c>
    </row>
    <row r="1106" spans="1:18">
      <c r="A1106" s="15" t="str">
        <f t="shared" si="22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8" t="s">
        <v>75</v>
      </c>
      <c r="P1106" s="48">
        <f>HEX2DEC(RIGHT(Table1323212753586873[[#This Row],[h1]],8))</f>
        <v>0</v>
      </c>
      <c r="Q1106" s="48" t="s">
        <v>75</v>
      </c>
      <c r="R1106" s="48">
        <f>HEX2DEC(RIGHT(Table1323212753586873[[#This Row],[h2]],8))</f>
        <v>0</v>
      </c>
    </row>
    <row r="1107" spans="1:18">
      <c r="A1107" s="15" t="str">
        <f t="shared" si="22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8" t="s">
        <v>75</v>
      </c>
      <c r="P1107" s="48">
        <f>HEX2DEC(RIGHT(Table1323212753586873[[#This Row],[h1]],8))</f>
        <v>0</v>
      </c>
      <c r="Q1107" s="48" t="s">
        <v>75</v>
      </c>
      <c r="R1107" s="48">
        <f>HEX2DEC(RIGHT(Table1323212753586873[[#This Row],[h2]],8))</f>
        <v>0</v>
      </c>
    </row>
    <row r="1108" spans="1:18">
      <c r="A1108" s="15" t="str">
        <f t="shared" si="22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8" t="s">
        <v>75</v>
      </c>
      <c r="P1108" s="48">
        <f>HEX2DEC(RIGHT(Table1323212753586873[[#This Row],[h1]],8))</f>
        <v>0</v>
      </c>
      <c r="Q1108" s="48" t="s">
        <v>75</v>
      </c>
      <c r="R1108" s="48">
        <f>HEX2DEC(RIGHT(Table1323212753586873[[#This Row],[h2]],8))</f>
        <v>0</v>
      </c>
    </row>
    <row r="1109" spans="1:18">
      <c r="A1109" s="15" t="str">
        <f t="shared" si="22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8" t="s">
        <v>75</v>
      </c>
      <c r="P1109" s="48">
        <f>HEX2DEC(RIGHT(Table1323212753586873[[#This Row],[h1]],8))</f>
        <v>0</v>
      </c>
      <c r="Q1109" s="48" t="s">
        <v>75</v>
      </c>
      <c r="R1109" s="48">
        <f>HEX2DEC(RIGHT(Table1323212753586873[[#This Row],[h2]],8))</f>
        <v>0</v>
      </c>
    </row>
    <row r="1110" spans="1:18">
      <c r="A1110" s="15" t="str">
        <f t="shared" si="22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8" t="s">
        <v>75</v>
      </c>
      <c r="P1110" s="48">
        <f>HEX2DEC(RIGHT(Table1323212753586873[[#This Row],[h1]],8))</f>
        <v>0</v>
      </c>
      <c r="Q1110" s="48" t="s">
        <v>75</v>
      </c>
      <c r="R1110" s="48">
        <f>HEX2DEC(RIGHT(Table1323212753586873[[#This Row],[h2]],8))</f>
        <v>0</v>
      </c>
    </row>
    <row r="1111" spans="1:18">
      <c r="A1111" s="15" t="str">
        <f t="shared" si="22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8" t="s">
        <v>75</v>
      </c>
      <c r="P1111" s="48">
        <f>HEX2DEC(RIGHT(Table1323212753586873[[#This Row],[h1]],8))</f>
        <v>0</v>
      </c>
      <c r="Q1111" s="48" t="s">
        <v>75</v>
      </c>
      <c r="R1111" s="48">
        <f>HEX2DEC(RIGHT(Table1323212753586873[[#This Row],[h2]],8))</f>
        <v>0</v>
      </c>
    </row>
    <row r="1112" spans="1:18">
      <c r="A1112" s="15" t="str">
        <f t="shared" si="22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8" t="s">
        <v>75</v>
      </c>
      <c r="P1112" s="48">
        <f>HEX2DEC(RIGHT(Table1323212753586873[[#This Row],[h1]],8))</f>
        <v>0</v>
      </c>
      <c r="Q1112" s="48" t="s">
        <v>75</v>
      </c>
      <c r="R1112" s="48">
        <f>HEX2DEC(RIGHT(Table1323212753586873[[#This Row],[h2]],8))</f>
        <v>0</v>
      </c>
    </row>
    <row r="1113" spans="1:18">
      <c r="A1113" s="15" t="str">
        <f t="shared" si="22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8" t="s">
        <v>75</v>
      </c>
      <c r="P1113" s="48">
        <f>HEX2DEC(RIGHT(Table1323212753586873[[#This Row],[h1]],8))</f>
        <v>0</v>
      </c>
      <c r="Q1113" s="48" t="s">
        <v>75</v>
      </c>
      <c r="R1113" s="48">
        <f>HEX2DEC(RIGHT(Table1323212753586873[[#This Row],[h2]],8))</f>
        <v>0</v>
      </c>
    </row>
    <row r="1114" spans="1:18">
      <c r="A1114" s="15" t="str">
        <f t="shared" si="22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8" t="s">
        <v>75</v>
      </c>
      <c r="P1114" s="48">
        <f>HEX2DEC(RIGHT(Table1323212753586873[[#This Row],[h1]],8))</f>
        <v>0</v>
      </c>
      <c r="Q1114" s="48" t="s">
        <v>75</v>
      </c>
      <c r="R1114" s="48">
        <f>HEX2DEC(RIGHT(Table1323212753586873[[#This Row],[h2]],8))</f>
        <v>0</v>
      </c>
    </row>
    <row r="1115" spans="1:18">
      <c r="A1115" s="15" t="str">
        <f t="shared" si="22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8" t="s">
        <v>75</v>
      </c>
      <c r="P1115" s="48">
        <f>HEX2DEC(RIGHT(Table1323212753586873[[#This Row],[h1]],8))</f>
        <v>0</v>
      </c>
      <c r="Q1115" s="48" t="s">
        <v>75</v>
      </c>
      <c r="R1115" s="48">
        <f>HEX2DEC(RIGHT(Table1323212753586873[[#This Row],[h2]],8))</f>
        <v>0</v>
      </c>
    </row>
    <row r="1116" spans="1:18">
      <c r="A1116" s="15" t="str">
        <f t="shared" si="22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8" t="s">
        <v>75</v>
      </c>
      <c r="P1116" s="48">
        <f>HEX2DEC(RIGHT(Table1323212753586873[[#This Row],[h1]],8))</f>
        <v>0</v>
      </c>
      <c r="Q1116" s="48" t="s">
        <v>75</v>
      </c>
      <c r="R1116" s="48">
        <f>HEX2DEC(RIGHT(Table1323212753586873[[#This Row],[h2]],8))</f>
        <v>0</v>
      </c>
    </row>
    <row r="1117" spans="1:18">
      <c r="A1117" s="15" t="str">
        <f t="shared" si="22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8" t="s">
        <v>75</v>
      </c>
      <c r="P1117" s="48">
        <f>HEX2DEC(RIGHT(Table1323212753586873[[#This Row],[h1]],8))</f>
        <v>0</v>
      </c>
      <c r="Q1117" s="48" t="s">
        <v>75</v>
      </c>
      <c r="R1117" s="48">
        <f>HEX2DEC(RIGHT(Table1323212753586873[[#This Row],[h2]],8))</f>
        <v>0</v>
      </c>
    </row>
    <row r="1118" spans="1:18">
      <c r="A1118" s="15" t="str">
        <f t="shared" si="22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8" t="s">
        <v>75</v>
      </c>
      <c r="P1118" s="48">
        <f>HEX2DEC(RIGHT(Table1323212753586873[[#This Row],[h1]],8))</f>
        <v>0</v>
      </c>
      <c r="Q1118" s="48" t="s">
        <v>75</v>
      </c>
      <c r="R1118" s="48">
        <f>HEX2DEC(RIGHT(Table1323212753586873[[#This Row],[h2]],8))</f>
        <v>0</v>
      </c>
    </row>
    <row r="1119" spans="1:18">
      <c r="A1119" s="15" t="str">
        <f t="shared" si="22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8" t="s">
        <v>75</v>
      </c>
      <c r="P1119" s="48">
        <f>HEX2DEC(RIGHT(Table1323212753586873[[#This Row],[h1]],8))</f>
        <v>0</v>
      </c>
      <c r="Q1119" s="48" t="s">
        <v>75</v>
      </c>
      <c r="R1119" s="48">
        <f>HEX2DEC(RIGHT(Table1323212753586873[[#This Row],[h2]],8))</f>
        <v>0</v>
      </c>
    </row>
    <row r="1120" spans="1:18">
      <c r="A1120" s="15" t="str">
        <f t="shared" si="22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8" t="s">
        <v>75</v>
      </c>
      <c r="P1120" s="48">
        <f>HEX2DEC(RIGHT(Table1323212753586873[[#This Row],[h1]],8))</f>
        <v>0</v>
      </c>
      <c r="Q1120" s="48" t="s">
        <v>75</v>
      </c>
      <c r="R1120" s="48">
        <f>HEX2DEC(RIGHT(Table1323212753586873[[#This Row],[h2]],8))</f>
        <v>0</v>
      </c>
    </row>
    <row r="1121" spans="1:18">
      <c r="A1121" s="15" t="str">
        <f t="shared" si="22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8" t="s">
        <v>75</v>
      </c>
      <c r="P1121" s="48">
        <f>HEX2DEC(RIGHT(Table1323212753586873[[#This Row],[h1]],8))</f>
        <v>0</v>
      </c>
      <c r="Q1121" s="48" t="s">
        <v>75</v>
      </c>
      <c r="R1121" s="48">
        <f>HEX2DEC(RIGHT(Table1323212753586873[[#This Row],[h2]],8))</f>
        <v>0</v>
      </c>
    </row>
    <row r="1122" spans="1:18">
      <c r="A1122" s="15" t="str">
        <f t="shared" si="22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8" t="s">
        <v>75</v>
      </c>
      <c r="P1122" s="48">
        <f>HEX2DEC(RIGHT(Table1323212753586873[[#This Row],[h1]],8))</f>
        <v>0</v>
      </c>
      <c r="Q1122" s="48" t="s">
        <v>75</v>
      </c>
      <c r="R1122" s="48">
        <f>HEX2DEC(RIGHT(Table1323212753586873[[#This Row],[h2]],8))</f>
        <v>0</v>
      </c>
    </row>
    <row r="1123" spans="1:18">
      <c r="A1123" s="15" t="str">
        <f t="shared" si="22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8" t="s">
        <v>75</v>
      </c>
      <c r="P1123" s="48">
        <f>HEX2DEC(RIGHT(Table1323212753586873[[#This Row],[h1]],8))</f>
        <v>0</v>
      </c>
      <c r="Q1123" s="48" t="s">
        <v>75</v>
      </c>
      <c r="R1123" s="48">
        <f>HEX2DEC(RIGHT(Table1323212753586873[[#This Row],[h2]],8))</f>
        <v>0</v>
      </c>
    </row>
    <row r="1124" spans="1:18">
      <c r="A1124" s="15" t="str">
        <f t="shared" si="22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8" t="s">
        <v>75</v>
      </c>
      <c r="P1124" s="48">
        <f>HEX2DEC(RIGHT(Table1323212753586873[[#This Row],[h1]],8))</f>
        <v>0</v>
      </c>
      <c r="Q1124" s="48" t="s">
        <v>75</v>
      </c>
      <c r="R1124" s="48">
        <f>HEX2DEC(RIGHT(Table1323212753586873[[#This Row],[h2]],8))</f>
        <v>0</v>
      </c>
    </row>
    <row r="1125" spans="1:18">
      <c r="A1125" s="15" t="str">
        <f t="shared" si="22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8" t="s">
        <v>75</v>
      </c>
      <c r="P1125" s="48">
        <f>HEX2DEC(RIGHT(Table1323212753586873[[#This Row],[h1]],8))</f>
        <v>0</v>
      </c>
      <c r="Q1125" s="48" t="s">
        <v>75</v>
      </c>
      <c r="R1125" s="48">
        <f>HEX2DEC(RIGHT(Table1323212753586873[[#This Row],[h2]],8))</f>
        <v>0</v>
      </c>
    </row>
    <row r="1126" spans="1:18">
      <c r="A1126" s="15" t="str">
        <f t="shared" si="22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8" t="s">
        <v>75</v>
      </c>
      <c r="P1126" s="48">
        <f>HEX2DEC(RIGHT(Table1323212753586873[[#This Row],[h1]],8))</f>
        <v>0</v>
      </c>
      <c r="Q1126" s="48" t="s">
        <v>75</v>
      </c>
      <c r="R1126" s="48">
        <f>HEX2DEC(RIGHT(Table1323212753586873[[#This Row],[h2]],8))</f>
        <v>0</v>
      </c>
    </row>
    <row r="1127" spans="1:18">
      <c r="A1127" s="15" t="str">
        <f t="shared" si="22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8" t="s">
        <v>75</v>
      </c>
      <c r="P1127" s="48">
        <f>HEX2DEC(RIGHT(Table1323212753586873[[#This Row],[h1]],8))</f>
        <v>0</v>
      </c>
      <c r="Q1127" s="48" t="s">
        <v>75</v>
      </c>
      <c r="R1127" s="48">
        <f>HEX2DEC(RIGHT(Table1323212753586873[[#This Row],[h2]],8))</f>
        <v>0</v>
      </c>
    </row>
    <row r="1128" spans="1:18">
      <c r="A1128" s="15" t="str">
        <f t="shared" si="22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8" t="s">
        <v>75</v>
      </c>
      <c r="P1128" s="48">
        <f>HEX2DEC(RIGHT(Table1323212753586873[[#This Row],[h1]],8))</f>
        <v>0</v>
      </c>
      <c r="Q1128" s="48" t="s">
        <v>75</v>
      </c>
      <c r="R1128" s="48">
        <f>HEX2DEC(RIGHT(Table1323212753586873[[#This Row],[h2]],8))</f>
        <v>0</v>
      </c>
    </row>
    <row r="1129" spans="1:18">
      <c r="A1129" s="15" t="str">
        <f t="shared" si="22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8" t="s">
        <v>75</v>
      </c>
      <c r="P1129" s="48">
        <f>HEX2DEC(RIGHT(Table1323212753586873[[#This Row],[h1]],8))</f>
        <v>0</v>
      </c>
      <c r="Q1129" s="48" t="s">
        <v>75</v>
      </c>
      <c r="R1129" s="48">
        <f>HEX2DEC(RIGHT(Table1323212753586873[[#This Row],[h2]],8))</f>
        <v>0</v>
      </c>
    </row>
    <row r="1130" spans="1:18">
      <c r="A1130" s="15" t="str">
        <f t="shared" si="22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8" t="s">
        <v>75</v>
      </c>
      <c r="P1130" s="48">
        <f>HEX2DEC(RIGHT(Table1323212753586873[[#This Row],[h1]],8))</f>
        <v>0</v>
      </c>
      <c r="Q1130" s="48" t="s">
        <v>75</v>
      </c>
      <c r="R1130" s="48">
        <f>HEX2DEC(RIGHT(Table1323212753586873[[#This Row],[h2]],8))</f>
        <v>0</v>
      </c>
    </row>
    <row r="1131" spans="1:18">
      <c r="A1131" s="15" t="str">
        <f t="shared" si="22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8" t="s">
        <v>75</v>
      </c>
      <c r="P1131" s="48">
        <f>HEX2DEC(RIGHT(Table1323212753586873[[#This Row],[h1]],8))</f>
        <v>0</v>
      </c>
      <c r="Q1131" s="48" t="s">
        <v>75</v>
      </c>
      <c r="R1131" s="48">
        <f>HEX2DEC(RIGHT(Table1323212753586873[[#This Row],[h2]],8))</f>
        <v>0</v>
      </c>
    </row>
    <row r="1132" spans="1:18">
      <c r="A1132" s="15" t="str">
        <f t="shared" si="22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8" t="s">
        <v>75</v>
      </c>
      <c r="P1132" s="48">
        <f>HEX2DEC(RIGHT(Table1323212753586873[[#This Row],[h1]],8))</f>
        <v>0</v>
      </c>
      <c r="Q1132" s="48" t="s">
        <v>75</v>
      </c>
      <c r="R1132" s="48">
        <f>HEX2DEC(RIGHT(Table1323212753586873[[#This Row],[h2]],8))</f>
        <v>0</v>
      </c>
    </row>
    <row r="1133" spans="1:18">
      <c r="A1133" s="15" t="str">
        <f t="shared" si="22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8" t="s">
        <v>75</v>
      </c>
      <c r="P1133" s="48">
        <f>HEX2DEC(RIGHT(Table1323212753586873[[#This Row],[h1]],8))</f>
        <v>0</v>
      </c>
      <c r="Q1133" s="48" t="s">
        <v>75</v>
      </c>
      <c r="R1133" s="48">
        <f>HEX2DEC(RIGHT(Table1323212753586873[[#This Row],[h2]],8))</f>
        <v>0</v>
      </c>
    </row>
    <row r="1134" spans="1:18">
      <c r="A1134" s="15" t="str">
        <f t="shared" si="22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8" t="s">
        <v>75</v>
      </c>
      <c r="P1134" s="48">
        <f>HEX2DEC(RIGHT(Table1323212753586873[[#This Row],[h1]],8))</f>
        <v>0</v>
      </c>
      <c r="Q1134" s="48" t="s">
        <v>75</v>
      </c>
      <c r="R1134" s="48">
        <f>HEX2DEC(RIGHT(Table1323212753586873[[#This Row],[h2]],8))</f>
        <v>0</v>
      </c>
    </row>
    <row r="1135" spans="1:18">
      <c r="A1135" s="15" t="str">
        <f t="shared" si="22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8" t="s">
        <v>75</v>
      </c>
      <c r="P1135" s="48">
        <f>HEX2DEC(RIGHT(Table1323212753586873[[#This Row],[h1]],8))</f>
        <v>0</v>
      </c>
      <c r="Q1135" s="48" t="s">
        <v>75</v>
      </c>
      <c r="R1135" s="48">
        <f>HEX2DEC(RIGHT(Table1323212753586873[[#This Row],[h2]],8))</f>
        <v>0</v>
      </c>
    </row>
    <row r="1136" spans="1:18">
      <c r="A1136" s="15" t="str">
        <f t="shared" si="22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8" t="s">
        <v>75</v>
      </c>
      <c r="P1136" s="48">
        <f>HEX2DEC(RIGHT(Table1323212753586873[[#This Row],[h1]],8))</f>
        <v>0</v>
      </c>
      <c r="Q1136" s="48" t="s">
        <v>75</v>
      </c>
      <c r="R1136" s="48">
        <f>HEX2DEC(RIGHT(Table1323212753586873[[#This Row],[h2]],8))</f>
        <v>0</v>
      </c>
    </row>
    <row r="1137" spans="1:18">
      <c r="A1137" s="15" t="str">
        <f t="shared" si="22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8" t="s">
        <v>75</v>
      </c>
      <c r="P1137" s="48">
        <f>HEX2DEC(RIGHT(Table1323212753586873[[#This Row],[h1]],8))</f>
        <v>0</v>
      </c>
      <c r="Q1137" s="48" t="s">
        <v>75</v>
      </c>
      <c r="R1137" s="48">
        <f>HEX2DEC(RIGHT(Table1323212753586873[[#This Row],[h2]],8))</f>
        <v>0</v>
      </c>
    </row>
    <row r="1138" spans="1:18">
      <c r="A1138" s="15" t="str">
        <f t="shared" si="22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8" t="s">
        <v>75</v>
      </c>
      <c r="P1138" s="48">
        <f>HEX2DEC(RIGHT(Table1323212753586873[[#This Row],[h1]],8))</f>
        <v>0</v>
      </c>
      <c r="Q1138" s="48" t="s">
        <v>75</v>
      </c>
      <c r="R1138" s="48">
        <f>HEX2DEC(RIGHT(Table1323212753586873[[#This Row],[h2]],8))</f>
        <v>0</v>
      </c>
    </row>
    <row r="1139" spans="1:18">
      <c r="A1139" s="15" t="str">
        <f t="shared" si="22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8" t="s">
        <v>75</v>
      </c>
      <c r="P1139" s="48">
        <f>HEX2DEC(RIGHT(Table1323212753586873[[#This Row],[h1]],8))</f>
        <v>0</v>
      </c>
      <c r="Q1139" s="48" t="s">
        <v>75</v>
      </c>
      <c r="R1139" s="48">
        <f>HEX2DEC(RIGHT(Table1323212753586873[[#This Row],[h2]],8))</f>
        <v>0</v>
      </c>
    </row>
    <row r="1140" spans="1:18">
      <c r="A1140" s="15" t="str">
        <f t="shared" si="22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8" t="s">
        <v>75</v>
      </c>
      <c r="P1140" s="48">
        <f>HEX2DEC(RIGHT(Table1323212753586873[[#This Row],[h1]],8))</f>
        <v>0</v>
      </c>
      <c r="Q1140" s="48" t="s">
        <v>75</v>
      </c>
      <c r="R1140" s="48">
        <f>HEX2DEC(RIGHT(Table1323212753586873[[#This Row],[h2]],8))</f>
        <v>0</v>
      </c>
    </row>
    <row r="1141" spans="1:18">
      <c r="A1141" s="15" t="str">
        <f t="shared" si="22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8" t="s">
        <v>75</v>
      </c>
      <c r="P1141" s="48">
        <f>HEX2DEC(RIGHT(Table1323212753586873[[#This Row],[h1]],8))</f>
        <v>0</v>
      </c>
      <c r="Q1141" s="48" t="s">
        <v>75</v>
      </c>
      <c r="R1141" s="48">
        <f>HEX2DEC(RIGHT(Table1323212753586873[[#This Row],[h2]],8))</f>
        <v>0</v>
      </c>
    </row>
    <row r="1142" spans="1:18">
      <c r="A1142" s="15" t="str">
        <f t="shared" si="22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8" t="s">
        <v>75</v>
      </c>
      <c r="P1142" s="48">
        <f>HEX2DEC(RIGHT(Table1323212753586873[[#This Row],[h1]],8))</f>
        <v>0</v>
      </c>
      <c r="Q1142" s="48" t="s">
        <v>75</v>
      </c>
      <c r="R1142" s="48">
        <f>HEX2DEC(RIGHT(Table1323212753586873[[#This Row],[h2]],8))</f>
        <v>0</v>
      </c>
    </row>
    <row r="1143" spans="1:18">
      <c r="A1143" s="15" t="str">
        <f t="shared" si="22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8" t="s">
        <v>75</v>
      </c>
      <c r="P1143" s="48">
        <f>HEX2DEC(RIGHT(Table1323212753586873[[#This Row],[h1]],8))</f>
        <v>0</v>
      </c>
      <c r="Q1143" s="48" t="s">
        <v>75</v>
      </c>
      <c r="R1143" s="48">
        <f>HEX2DEC(RIGHT(Table1323212753586873[[#This Row],[h2]],8))</f>
        <v>0</v>
      </c>
    </row>
    <row r="1144" spans="1:18">
      <c r="A1144" s="15" t="str">
        <f t="shared" si="22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8" t="s">
        <v>75</v>
      </c>
      <c r="P1144" s="48">
        <f>HEX2DEC(RIGHT(Table1323212753586873[[#This Row],[h1]],8))</f>
        <v>0</v>
      </c>
      <c r="Q1144" s="48" t="s">
        <v>75</v>
      </c>
      <c r="R1144" s="48">
        <f>HEX2DEC(RIGHT(Table1323212753586873[[#This Row],[h2]],8))</f>
        <v>0</v>
      </c>
    </row>
    <row r="1145" spans="1:18">
      <c r="A1145" s="15" t="str">
        <f t="shared" si="22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8" t="s">
        <v>75</v>
      </c>
      <c r="P1145" s="48">
        <f>HEX2DEC(RIGHT(Table1323212753586873[[#This Row],[h1]],8))</f>
        <v>0</v>
      </c>
      <c r="Q1145" s="48" t="s">
        <v>75</v>
      </c>
      <c r="R1145" s="48">
        <f>HEX2DEC(RIGHT(Table1323212753586873[[#This Row],[h2]],8))</f>
        <v>0</v>
      </c>
    </row>
    <row r="1146" spans="1:18">
      <c r="A1146" s="15" t="str">
        <f t="shared" si="22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8" t="s">
        <v>75</v>
      </c>
      <c r="P1146" s="48">
        <f>HEX2DEC(RIGHT(Table1323212753586873[[#This Row],[h1]],8))</f>
        <v>0</v>
      </c>
      <c r="Q1146" s="48" t="s">
        <v>75</v>
      </c>
      <c r="R1146" s="48">
        <f>HEX2DEC(RIGHT(Table1323212753586873[[#This Row],[h2]],8))</f>
        <v>0</v>
      </c>
    </row>
    <row r="1147" spans="1:18">
      <c r="A1147" s="15" t="str">
        <f t="shared" si="22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8" t="s">
        <v>75</v>
      </c>
      <c r="P1147" s="48">
        <f>HEX2DEC(RIGHT(Table1323212753586873[[#This Row],[h1]],8))</f>
        <v>0</v>
      </c>
      <c r="Q1147" s="48" t="s">
        <v>75</v>
      </c>
      <c r="R1147" s="48">
        <f>HEX2DEC(RIGHT(Table1323212753586873[[#This Row],[h2]],8))</f>
        <v>0</v>
      </c>
    </row>
    <row r="1148" spans="1:18">
      <c r="A1148" s="15" t="str">
        <f t="shared" si="22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8" t="s">
        <v>75</v>
      </c>
      <c r="P1148" s="48">
        <f>HEX2DEC(RIGHT(Table1323212753586873[[#This Row],[h1]],8))</f>
        <v>0</v>
      </c>
      <c r="Q1148" s="48" t="s">
        <v>75</v>
      </c>
      <c r="R1148" s="48">
        <f>HEX2DEC(RIGHT(Table1323212753586873[[#This Row],[h2]],8))</f>
        <v>0</v>
      </c>
    </row>
    <row r="1149" spans="1:18">
      <c r="A1149" s="15" t="str">
        <f t="shared" si="22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8" t="s">
        <v>75</v>
      </c>
      <c r="P1149" s="48">
        <f>HEX2DEC(RIGHT(Table1323212753586873[[#This Row],[h1]],8))</f>
        <v>0</v>
      </c>
      <c r="Q1149" s="48" t="s">
        <v>75</v>
      </c>
      <c r="R1149" s="48">
        <f>HEX2DEC(RIGHT(Table1323212753586873[[#This Row],[h2]],8))</f>
        <v>0</v>
      </c>
    </row>
    <row r="1150" spans="1:18">
      <c r="A1150" s="15" t="str">
        <f t="shared" si="22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8" t="s">
        <v>75</v>
      </c>
      <c r="P1150" s="48">
        <f>HEX2DEC(RIGHT(Table1323212753586873[[#This Row],[h1]],8))</f>
        <v>0</v>
      </c>
      <c r="Q1150" s="48" t="s">
        <v>75</v>
      </c>
      <c r="R1150" s="48">
        <f>HEX2DEC(RIGHT(Table1323212753586873[[#This Row],[h2]],8))</f>
        <v>0</v>
      </c>
    </row>
    <row r="1151" spans="1:18">
      <c r="A1151" s="15" t="str">
        <f t="shared" si="22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8" t="s">
        <v>75</v>
      </c>
      <c r="P1151" s="48">
        <f>HEX2DEC(RIGHT(Table1323212753586873[[#This Row],[h1]],8))</f>
        <v>0</v>
      </c>
      <c r="Q1151" s="48" t="s">
        <v>75</v>
      </c>
      <c r="R1151" s="48">
        <f>HEX2DEC(RIGHT(Table1323212753586873[[#This Row],[h2]],8))</f>
        <v>0</v>
      </c>
    </row>
    <row r="1152" spans="1:18">
      <c r="A1152" s="15" t="str">
        <f t="shared" si="22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8" t="s">
        <v>75</v>
      </c>
      <c r="P1152" s="48">
        <f>HEX2DEC(RIGHT(Table1323212753586873[[#This Row],[h1]],8))</f>
        <v>0</v>
      </c>
      <c r="Q1152" s="48" t="s">
        <v>75</v>
      </c>
      <c r="R1152" s="48">
        <f>HEX2DEC(RIGHT(Table1323212753586873[[#This Row],[h2]],8))</f>
        <v>0</v>
      </c>
    </row>
    <row r="1153" spans="1:18">
      <c r="A1153" s="15" t="str">
        <f t="shared" si="22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8" t="s">
        <v>75</v>
      </c>
      <c r="P1153" s="48">
        <f>HEX2DEC(RIGHT(Table1323212753586873[[#This Row],[h1]],8))</f>
        <v>0</v>
      </c>
      <c r="Q1153" s="48" t="s">
        <v>75</v>
      </c>
      <c r="R1153" s="48">
        <f>HEX2DEC(RIGHT(Table1323212753586873[[#This Row],[h2]],8))</f>
        <v>0</v>
      </c>
    </row>
    <row r="1154" spans="1:18">
      <c r="A1154" s="15" t="str">
        <f t="shared" si="22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8" t="s">
        <v>75</v>
      </c>
      <c r="P1154" s="48">
        <f>HEX2DEC(RIGHT(Table1323212753586873[[#This Row],[h1]],8))</f>
        <v>0</v>
      </c>
      <c r="Q1154" s="48" t="s">
        <v>75</v>
      </c>
      <c r="R1154" s="48">
        <f>HEX2DEC(RIGHT(Table1323212753586873[[#This Row],[h2]],8))</f>
        <v>0</v>
      </c>
    </row>
    <row r="1155" spans="1:18">
      <c r="A1155" s="15" t="str">
        <f t="shared" si="22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8" t="s">
        <v>75</v>
      </c>
      <c r="P1155" s="48">
        <f>HEX2DEC(RIGHT(Table1323212753586873[[#This Row],[h1]],8))</f>
        <v>0</v>
      </c>
      <c r="Q1155" s="48" t="s">
        <v>75</v>
      </c>
      <c r="R1155" s="48">
        <f>HEX2DEC(RIGHT(Table1323212753586873[[#This Row],[h2]],8))</f>
        <v>0</v>
      </c>
    </row>
    <row r="1156" spans="1:18">
      <c r="A1156" s="15" t="str">
        <f t="shared" si="22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8" t="s">
        <v>75</v>
      </c>
      <c r="P1156" s="48">
        <f>HEX2DEC(RIGHT(Table1323212753586873[[#This Row],[h1]],8))</f>
        <v>0</v>
      </c>
      <c r="Q1156" s="48" t="s">
        <v>75</v>
      </c>
      <c r="R1156" s="48">
        <f>HEX2DEC(RIGHT(Table1323212753586873[[#This Row],[h2]],8))</f>
        <v>0</v>
      </c>
    </row>
    <row r="1157" spans="1:18">
      <c r="A1157" s="15" t="str">
        <f t="shared" si="22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8" t="s">
        <v>75</v>
      </c>
      <c r="P1157" s="48">
        <f>HEX2DEC(RIGHT(Table1323212753586873[[#This Row],[h1]],8))</f>
        <v>0</v>
      </c>
      <c r="Q1157" s="48" t="s">
        <v>75</v>
      </c>
      <c r="R1157" s="48">
        <f>HEX2DEC(RIGHT(Table1323212753586873[[#This Row],[h2]],8))</f>
        <v>0</v>
      </c>
    </row>
    <row r="1158" spans="1:18">
      <c r="A1158" s="15" t="str">
        <f t="shared" si="22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8" t="s">
        <v>75</v>
      </c>
      <c r="P1158" s="48">
        <f>HEX2DEC(RIGHT(Table1323212753586873[[#This Row],[h1]],8))</f>
        <v>0</v>
      </c>
      <c r="Q1158" s="48" t="s">
        <v>75</v>
      </c>
      <c r="R1158" s="48">
        <f>HEX2DEC(RIGHT(Table1323212753586873[[#This Row],[h2]],8))</f>
        <v>0</v>
      </c>
    </row>
    <row r="1159" spans="1:18">
      <c r="A1159" s="15" t="str">
        <f t="shared" si="22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8" t="s">
        <v>75</v>
      </c>
      <c r="P1159" s="48">
        <f>HEX2DEC(RIGHT(Table1323212753586873[[#This Row],[h1]],8))</f>
        <v>0</v>
      </c>
      <c r="Q1159" s="48" t="s">
        <v>75</v>
      </c>
      <c r="R1159" s="48">
        <f>HEX2DEC(RIGHT(Table1323212753586873[[#This Row],[h2]],8))</f>
        <v>0</v>
      </c>
    </row>
    <row r="1160" spans="1:18">
      <c r="A1160" s="15" t="str">
        <f t="shared" si="22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8" t="s">
        <v>75</v>
      </c>
      <c r="P1160" s="48">
        <f>HEX2DEC(RIGHT(Table1323212753586873[[#This Row],[h1]],8))</f>
        <v>0</v>
      </c>
      <c r="Q1160" s="48" t="s">
        <v>75</v>
      </c>
      <c r="R1160" s="48">
        <f>HEX2DEC(RIGHT(Table1323212753586873[[#This Row],[h2]],8))</f>
        <v>0</v>
      </c>
    </row>
    <row r="1161" spans="1:18">
      <c r="A1161" s="15" t="str">
        <f t="shared" si="22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8" t="s">
        <v>75</v>
      </c>
      <c r="P1161" s="48">
        <f>HEX2DEC(RIGHT(Table1323212753586873[[#This Row],[h1]],8))</f>
        <v>0</v>
      </c>
      <c r="Q1161" s="48" t="s">
        <v>75</v>
      </c>
      <c r="R1161" s="48">
        <f>HEX2DEC(RIGHT(Table1323212753586873[[#This Row],[h2]],8))</f>
        <v>0</v>
      </c>
    </row>
    <row r="1162" spans="1:18">
      <c r="A1162" s="15" t="str">
        <f t="shared" si="22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8" t="s">
        <v>75</v>
      </c>
      <c r="P1162" s="48">
        <f>HEX2DEC(RIGHT(Table1323212753586873[[#This Row],[h1]],8))</f>
        <v>0</v>
      </c>
      <c r="Q1162" s="48" t="s">
        <v>75</v>
      </c>
      <c r="R1162" s="48">
        <f>HEX2DEC(RIGHT(Table1323212753586873[[#This Row],[h2]],8))</f>
        <v>0</v>
      </c>
    </row>
    <row r="1163" spans="1:18">
      <c r="A1163" s="15" t="str">
        <f t="shared" ref="A1163:A1226" si="23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8" t="s">
        <v>75</v>
      </c>
      <c r="P1163" s="48">
        <f>HEX2DEC(RIGHT(Table1323212753586873[[#This Row],[h1]],8))</f>
        <v>0</v>
      </c>
      <c r="Q1163" s="48" t="s">
        <v>75</v>
      </c>
      <c r="R1163" s="48">
        <f>HEX2DEC(RIGHT(Table1323212753586873[[#This Row],[h2]],8))</f>
        <v>0</v>
      </c>
    </row>
    <row r="1164" spans="1:18">
      <c r="A1164" s="15" t="str">
        <f t="shared" si="23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8" t="s">
        <v>75</v>
      </c>
      <c r="P1164" s="48">
        <f>HEX2DEC(RIGHT(Table1323212753586873[[#This Row],[h1]],8))</f>
        <v>0</v>
      </c>
      <c r="Q1164" s="48" t="s">
        <v>75</v>
      </c>
      <c r="R1164" s="48">
        <f>HEX2DEC(RIGHT(Table1323212753586873[[#This Row],[h2]],8))</f>
        <v>0</v>
      </c>
    </row>
    <row r="1165" spans="1:18">
      <c r="A1165" s="15" t="str">
        <f t="shared" si="23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8" t="s">
        <v>75</v>
      </c>
      <c r="P1165" s="48">
        <f>HEX2DEC(RIGHT(Table1323212753586873[[#This Row],[h1]],8))</f>
        <v>0</v>
      </c>
      <c r="Q1165" s="48" t="s">
        <v>75</v>
      </c>
      <c r="R1165" s="48">
        <f>HEX2DEC(RIGHT(Table1323212753586873[[#This Row],[h2]],8))</f>
        <v>0</v>
      </c>
    </row>
    <row r="1166" spans="1:18">
      <c r="A1166" s="15" t="str">
        <f t="shared" si="23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8" t="s">
        <v>75</v>
      </c>
      <c r="P1166" s="48">
        <f>HEX2DEC(RIGHT(Table1323212753586873[[#This Row],[h1]],8))</f>
        <v>0</v>
      </c>
      <c r="Q1166" s="48" t="s">
        <v>75</v>
      </c>
      <c r="R1166" s="48">
        <f>HEX2DEC(RIGHT(Table1323212753586873[[#This Row],[h2]],8))</f>
        <v>0</v>
      </c>
    </row>
    <row r="1167" spans="1:18">
      <c r="A1167" s="15" t="str">
        <f t="shared" si="23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8" t="s">
        <v>75</v>
      </c>
      <c r="P1167" s="48">
        <f>HEX2DEC(RIGHT(Table1323212753586873[[#This Row],[h1]],8))</f>
        <v>0</v>
      </c>
      <c r="Q1167" s="48" t="s">
        <v>75</v>
      </c>
      <c r="R1167" s="48">
        <f>HEX2DEC(RIGHT(Table1323212753586873[[#This Row],[h2]],8))</f>
        <v>0</v>
      </c>
    </row>
    <row r="1168" spans="1:18">
      <c r="A1168" s="15" t="str">
        <f t="shared" si="23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8" t="s">
        <v>75</v>
      </c>
      <c r="P1168" s="48">
        <f>HEX2DEC(RIGHT(Table1323212753586873[[#This Row],[h1]],8))</f>
        <v>0</v>
      </c>
      <c r="Q1168" s="48" t="s">
        <v>75</v>
      </c>
      <c r="R1168" s="48">
        <f>HEX2DEC(RIGHT(Table1323212753586873[[#This Row],[h2]],8))</f>
        <v>0</v>
      </c>
    </row>
    <row r="1169" spans="1:18">
      <c r="A1169" s="15" t="str">
        <f t="shared" si="23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8" t="s">
        <v>75</v>
      </c>
      <c r="P1169" s="48">
        <f>HEX2DEC(RIGHT(Table1323212753586873[[#This Row],[h1]],8))</f>
        <v>0</v>
      </c>
      <c r="Q1169" s="48" t="s">
        <v>75</v>
      </c>
      <c r="R1169" s="48">
        <f>HEX2DEC(RIGHT(Table1323212753586873[[#This Row],[h2]],8))</f>
        <v>0</v>
      </c>
    </row>
    <row r="1170" spans="1:18">
      <c r="A1170" s="15" t="str">
        <f t="shared" si="23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8" t="s">
        <v>75</v>
      </c>
      <c r="P1170" s="48">
        <f>HEX2DEC(RIGHT(Table1323212753586873[[#This Row],[h1]],8))</f>
        <v>0</v>
      </c>
      <c r="Q1170" s="48" t="s">
        <v>75</v>
      </c>
      <c r="R1170" s="48">
        <f>HEX2DEC(RIGHT(Table1323212753586873[[#This Row],[h2]],8))</f>
        <v>0</v>
      </c>
    </row>
    <row r="1171" spans="1:18">
      <c r="A1171" s="15" t="str">
        <f t="shared" si="23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8" t="s">
        <v>75</v>
      </c>
      <c r="P1171" s="48">
        <f>HEX2DEC(RIGHT(Table1323212753586873[[#This Row],[h1]],8))</f>
        <v>0</v>
      </c>
      <c r="Q1171" s="48" t="s">
        <v>75</v>
      </c>
      <c r="R1171" s="48">
        <f>HEX2DEC(RIGHT(Table1323212753586873[[#This Row],[h2]],8))</f>
        <v>0</v>
      </c>
    </row>
    <row r="1172" spans="1:18">
      <c r="A1172" s="15" t="str">
        <f t="shared" si="23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8" t="s">
        <v>75</v>
      </c>
      <c r="P1172" s="48">
        <f>HEX2DEC(RIGHT(Table1323212753586873[[#This Row],[h1]],8))</f>
        <v>0</v>
      </c>
      <c r="Q1172" s="48" t="s">
        <v>75</v>
      </c>
      <c r="R1172" s="48">
        <f>HEX2DEC(RIGHT(Table1323212753586873[[#This Row],[h2]],8))</f>
        <v>0</v>
      </c>
    </row>
    <row r="1173" spans="1:18">
      <c r="A1173" s="15" t="str">
        <f t="shared" si="23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8" t="s">
        <v>75</v>
      </c>
      <c r="P1173" s="48">
        <f>HEX2DEC(RIGHT(Table1323212753586873[[#This Row],[h1]],8))</f>
        <v>0</v>
      </c>
      <c r="Q1173" s="48" t="s">
        <v>75</v>
      </c>
      <c r="R1173" s="48">
        <f>HEX2DEC(RIGHT(Table1323212753586873[[#This Row],[h2]],8))</f>
        <v>0</v>
      </c>
    </row>
    <row r="1174" spans="1:18">
      <c r="A1174" s="15" t="str">
        <f t="shared" si="23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8" t="s">
        <v>75</v>
      </c>
      <c r="P1174" s="48">
        <f>HEX2DEC(RIGHT(Table1323212753586873[[#This Row],[h1]],8))</f>
        <v>0</v>
      </c>
      <c r="Q1174" s="48" t="s">
        <v>75</v>
      </c>
      <c r="R1174" s="48">
        <f>HEX2DEC(RIGHT(Table1323212753586873[[#This Row],[h2]],8))</f>
        <v>0</v>
      </c>
    </row>
    <row r="1175" spans="1:18">
      <c r="A1175" s="15" t="str">
        <f t="shared" si="23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8" t="s">
        <v>75</v>
      </c>
      <c r="P1175" s="48">
        <f>HEX2DEC(RIGHT(Table1323212753586873[[#This Row],[h1]],8))</f>
        <v>0</v>
      </c>
      <c r="Q1175" s="48" t="s">
        <v>75</v>
      </c>
      <c r="R1175" s="48">
        <f>HEX2DEC(RIGHT(Table1323212753586873[[#This Row],[h2]],8))</f>
        <v>0</v>
      </c>
    </row>
    <row r="1176" spans="1:18">
      <c r="A1176" s="15" t="str">
        <f t="shared" si="23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8" t="s">
        <v>75</v>
      </c>
      <c r="P1176" s="48">
        <f>HEX2DEC(RIGHT(Table1323212753586873[[#This Row],[h1]],8))</f>
        <v>0</v>
      </c>
      <c r="Q1176" s="48" t="s">
        <v>75</v>
      </c>
      <c r="R1176" s="48">
        <f>HEX2DEC(RIGHT(Table1323212753586873[[#This Row],[h2]],8))</f>
        <v>0</v>
      </c>
    </row>
    <row r="1177" spans="1:18">
      <c r="A1177" s="15" t="str">
        <f t="shared" si="23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8" t="s">
        <v>75</v>
      </c>
      <c r="P1177" s="48">
        <f>HEX2DEC(RIGHT(Table1323212753586873[[#This Row],[h1]],8))</f>
        <v>0</v>
      </c>
      <c r="Q1177" s="48" t="s">
        <v>75</v>
      </c>
      <c r="R1177" s="48">
        <f>HEX2DEC(RIGHT(Table1323212753586873[[#This Row],[h2]],8))</f>
        <v>0</v>
      </c>
    </row>
    <row r="1178" spans="1:18">
      <c r="A1178" s="15" t="str">
        <f t="shared" si="23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8" t="s">
        <v>75</v>
      </c>
      <c r="P1178" s="48">
        <f>HEX2DEC(RIGHT(Table1323212753586873[[#This Row],[h1]],8))</f>
        <v>0</v>
      </c>
      <c r="Q1178" s="48" t="s">
        <v>75</v>
      </c>
      <c r="R1178" s="48">
        <f>HEX2DEC(RIGHT(Table1323212753586873[[#This Row],[h2]],8))</f>
        <v>0</v>
      </c>
    </row>
    <row r="1179" spans="1:18">
      <c r="A1179" s="15" t="str">
        <f t="shared" si="23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8" t="s">
        <v>75</v>
      </c>
      <c r="P1179" s="48">
        <f>HEX2DEC(RIGHT(Table1323212753586873[[#This Row],[h1]],8))</f>
        <v>0</v>
      </c>
      <c r="Q1179" s="48" t="s">
        <v>75</v>
      </c>
      <c r="R1179" s="48">
        <f>HEX2DEC(RIGHT(Table1323212753586873[[#This Row],[h2]],8))</f>
        <v>0</v>
      </c>
    </row>
    <row r="1180" spans="1:18">
      <c r="A1180" s="15" t="str">
        <f t="shared" si="23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8" t="s">
        <v>75</v>
      </c>
      <c r="P1180" s="48">
        <f>HEX2DEC(RIGHT(Table1323212753586873[[#This Row],[h1]],8))</f>
        <v>0</v>
      </c>
      <c r="Q1180" s="48" t="s">
        <v>75</v>
      </c>
      <c r="R1180" s="48">
        <f>HEX2DEC(RIGHT(Table1323212753586873[[#This Row],[h2]],8))</f>
        <v>0</v>
      </c>
    </row>
    <row r="1181" spans="1:18">
      <c r="A1181" s="15" t="str">
        <f t="shared" si="23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8" t="s">
        <v>75</v>
      </c>
      <c r="P1181" s="48">
        <f>HEX2DEC(RIGHT(Table1323212753586873[[#This Row],[h1]],8))</f>
        <v>0</v>
      </c>
      <c r="Q1181" s="48" t="s">
        <v>75</v>
      </c>
      <c r="R1181" s="48">
        <f>HEX2DEC(RIGHT(Table1323212753586873[[#This Row],[h2]],8))</f>
        <v>0</v>
      </c>
    </row>
    <row r="1182" spans="1:18">
      <c r="A1182" s="15" t="str">
        <f t="shared" si="23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8" t="s">
        <v>75</v>
      </c>
      <c r="P1182" s="48">
        <f>HEX2DEC(RIGHT(Table1323212753586873[[#This Row],[h1]],8))</f>
        <v>0</v>
      </c>
      <c r="Q1182" s="48" t="s">
        <v>75</v>
      </c>
      <c r="R1182" s="48">
        <f>HEX2DEC(RIGHT(Table1323212753586873[[#This Row],[h2]],8))</f>
        <v>0</v>
      </c>
    </row>
    <row r="1183" spans="1:18">
      <c r="A1183" s="15" t="str">
        <f t="shared" si="23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8" t="s">
        <v>75</v>
      </c>
      <c r="P1183" s="48">
        <f>HEX2DEC(RIGHT(Table1323212753586873[[#This Row],[h1]],8))</f>
        <v>0</v>
      </c>
      <c r="Q1183" s="48" t="s">
        <v>75</v>
      </c>
      <c r="R1183" s="48">
        <f>HEX2DEC(RIGHT(Table1323212753586873[[#This Row],[h2]],8))</f>
        <v>0</v>
      </c>
    </row>
    <row r="1184" spans="1:18">
      <c r="A1184" s="15" t="str">
        <f t="shared" si="23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8" t="s">
        <v>75</v>
      </c>
      <c r="P1184" s="48">
        <f>HEX2DEC(RIGHT(Table1323212753586873[[#This Row],[h1]],8))</f>
        <v>0</v>
      </c>
      <c r="Q1184" s="48" t="s">
        <v>75</v>
      </c>
      <c r="R1184" s="48">
        <f>HEX2DEC(RIGHT(Table1323212753586873[[#This Row],[h2]],8))</f>
        <v>0</v>
      </c>
    </row>
    <row r="1185" spans="1:18">
      <c r="A1185" s="15" t="str">
        <f t="shared" si="23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8" t="s">
        <v>75</v>
      </c>
      <c r="P1185" s="48">
        <f>HEX2DEC(RIGHT(Table1323212753586873[[#This Row],[h1]],8))</f>
        <v>0</v>
      </c>
      <c r="Q1185" s="48" t="s">
        <v>75</v>
      </c>
      <c r="R1185" s="48">
        <f>HEX2DEC(RIGHT(Table1323212753586873[[#This Row],[h2]],8))</f>
        <v>0</v>
      </c>
    </row>
    <row r="1186" spans="1:18">
      <c r="A1186" s="15" t="str">
        <f t="shared" si="23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8" t="s">
        <v>75</v>
      </c>
      <c r="P1186" s="48">
        <f>HEX2DEC(RIGHT(Table1323212753586873[[#This Row],[h1]],8))</f>
        <v>0</v>
      </c>
      <c r="Q1186" s="48" t="s">
        <v>75</v>
      </c>
      <c r="R1186" s="48">
        <f>HEX2DEC(RIGHT(Table1323212753586873[[#This Row],[h2]],8))</f>
        <v>0</v>
      </c>
    </row>
    <row r="1187" spans="1:18">
      <c r="A1187" s="15" t="str">
        <f t="shared" si="23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8" t="s">
        <v>75</v>
      </c>
      <c r="P1187" s="48">
        <f>HEX2DEC(RIGHT(Table1323212753586873[[#This Row],[h1]],8))</f>
        <v>0</v>
      </c>
      <c r="Q1187" s="48" t="s">
        <v>75</v>
      </c>
      <c r="R1187" s="48">
        <f>HEX2DEC(RIGHT(Table1323212753586873[[#This Row],[h2]],8))</f>
        <v>0</v>
      </c>
    </row>
    <row r="1188" spans="1:18">
      <c r="A1188" s="15" t="str">
        <f t="shared" si="23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8" t="s">
        <v>75</v>
      </c>
      <c r="P1188" s="48">
        <f>HEX2DEC(RIGHT(Table1323212753586873[[#This Row],[h1]],8))</f>
        <v>0</v>
      </c>
      <c r="Q1188" s="48" t="s">
        <v>75</v>
      </c>
      <c r="R1188" s="48">
        <f>HEX2DEC(RIGHT(Table1323212753586873[[#This Row],[h2]],8))</f>
        <v>0</v>
      </c>
    </row>
    <row r="1189" spans="1:18">
      <c r="A1189" s="15" t="str">
        <f t="shared" si="23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8" t="s">
        <v>75</v>
      </c>
      <c r="P1189" s="48">
        <f>HEX2DEC(RIGHT(Table1323212753586873[[#This Row],[h1]],8))</f>
        <v>0</v>
      </c>
      <c r="Q1189" s="48" t="s">
        <v>75</v>
      </c>
      <c r="R1189" s="48">
        <f>HEX2DEC(RIGHT(Table1323212753586873[[#This Row],[h2]],8))</f>
        <v>0</v>
      </c>
    </row>
    <row r="1190" spans="1:18">
      <c r="A1190" s="15" t="str">
        <f t="shared" si="23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8" t="s">
        <v>75</v>
      </c>
      <c r="P1190" s="48">
        <f>HEX2DEC(RIGHT(Table1323212753586873[[#This Row],[h1]],8))</f>
        <v>0</v>
      </c>
      <c r="Q1190" s="48" t="s">
        <v>75</v>
      </c>
      <c r="R1190" s="48">
        <f>HEX2DEC(RIGHT(Table1323212753586873[[#This Row],[h2]],8))</f>
        <v>0</v>
      </c>
    </row>
    <row r="1191" spans="1:18">
      <c r="A1191" s="15" t="str">
        <f t="shared" si="23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8" t="s">
        <v>75</v>
      </c>
      <c r="P1191" s="48">
        <f>HEX2DEC(RIGHT(Table1323212753586873[[#This Row],[h1]],8))</f>
        <v>0</v>
      </c>
      <c r="Q1191" s="48" t="s">
        <v>75</v>
      </c>
      <c r="R1191" s="48">
        <f>HEX2DEC(RIGHT(Table1323212753586873[[#This Row],[h2]],8))</f>
        <v>0</v>
      </c>
    </row>
    <row r="1192" spans="1:18">
      <c r="A1192" s="15" t="str">
        <f t="shared" si="23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8" t="s">
        <v>75</v>
      </c>
      <c r="P1192" s="48">
        <f>HEX2DEC(RIGHT(Table1323212753586873[[#This Row],[h1]],8))</f>
        <v>0</v>
      </c>
      <c r="Q1192" s="48" t="s">
        <v>75</v>
      </c>
      <c r="R1192" s="48">
        <f>HEX2DEC(RIGHT(Table1323212753586873[[#This Row],[h2]],8))</f>
        <v>0</v>
      </c>
    </row>
    <row r="1193" spans="1:18">
      <c r="A1193" s="15" t="str">
        <f t="shared" si="23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8" t="s">
        <v>75</v>
      </c>
      <c r="P1193" s="48">
        <f>HEX2DEC(RIGHT(Table1323212753586873[[#This Row],[h1]],8))</f>
        <v>0</v>
      </c>
      <c r="Q1193" s="48" t="s">
        <v>75</v>
      </c>
      <c r="R1193" s="48">
        <f>HEX2DEC(RIGHT(Table1323212753586873[[#This Row],[h2]],8))</f>
        <v>0</v>
      </c>
    </row>
    <row r="1194" spans="1:18">
      <c r="A1194" s="15" t="str">
        <f t="shared" si="23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8" t="s">
        <v>75</v>
      </c>
      <c r="P1194" s="48">
        <f>HEX2DEC(RIGHT(Table1323212753586873[[#This Row],[h1]],8))</f>
        <v>0</v>
      </c>
      <c r="Q1194" s="48" t="s">
        <v>75</v>
      </c>
      <c r="R1194" s="48">
        <f>HEX2DEC(RIGHT(Table1323212753586873[[#This Row],[h2]],8))</f>
        <v>0</v>
      </c>
    </row>
    <row r="1195" spans="1:18">
      <c r="A1195" s="15" t="str">
        <f t="shared" si="23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8" t="s">
        <v>75</v>
      </c>
      <c r="P1195" s="48">
        <f>HEX2DEC(RIGHT(Table1323212753586873[[#This Row],[h1]],8))</f>
        <v>0</v>
      </c>
      <c r="Q1195" s="48" t="s">
        <v>75</v>
      </c>
      <c r="R1195" s="48">
        <f>HEX2DEC(RIGHT(Table1323212753586873[[#This Row],[h2]],8))</f>
        <v>0</v>
      </c>
    </row>
    <row r="1196" spans="1:18">
      <c r="A1196" s="15" t="str">
        <f t="shared" si="23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8" t="s">
        <v>75</v>
      </c>
      <c r="P1196" s="48">
        <f>HEX2DEC(RIGHT(Table1323212753586873[[#This Row],[h1]],8))</f>
        <v>0</v>
      </c>
      <c r="Q1196" s="48" t="s">
        <v>75</v>
      </c>
      <c r="R1196" s="48">
        <f>HEX2DEC(RIGHT(Table1323212753586873[[#This Row],[h2]],8))</f>
        <v>0</v>
      </c>
    </row>
    <row r="1197" spans="1:18">
      <c r="A1197" s="15" t="str">
        <f t="shared" si="23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8" t="s">
        <v>75</v>
      </c>
      <c r="P1197" s="48">
        <f>HEX2DEC(RIGHT(Table1323212753586873[[#This Row],[h1]],8))</f>
        <v>0</v>
      </c>
      <c r="Q1197" s="48" t="s">
        <v>75</v>
      </c>
      <c r="R1197" s="48">
        <f>HEX2DEC(RIGHT(Table1323212753586873[[#This Row],[h2]],8))</f>
        <v>0</v>
      </c>
    </row>
    <row r="1198" spans="1:18">
      <c r="A1198" s="15" t="str">
        <f t="shared" si="23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8" t="s">
        <v>75</v>
      </c>
      <c r="P1198" s="48">
        <f>HEX2DEC(RIGHT(Table1323212753586873[[#This Row],[h1]],8))</f>
        <v>0</v>
      </c>
      <c r="Q1198" s="48" t="s">
        <v>75</v>
      </c>
      <c r="R1198" s="48">
        <f>HEX2DEC(RIGHT(Table1323212753586873[[#This Row],[h2]],8))</f>
        <v>0</v>
      </c>
    </row>
    <row r="1199" spans="1:18">
      <c r="A1199" s="15" t="str">
        <f t="shared" si="23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8" t="s">
        <v>75</v>
      </c>
      <c r="P1199" s="48">
        <f>HEX2DEC(RIGHT(Table1323212753586873[[#This Row],[h1]],8))</f>
        <v>0</v>
      </c>
      <c r="Q1199" s="48" t="s">
        <v>75</v>
      </c>
      <c r="R1199" s="48">
        <f>HEX2DEC(RIGHT(Table1323212753586873[[#This Row],[h2]],8))</f>
        <v>0</v>
      </c>
    </row>
    <row r="1200" spans="1:18">
      <c r="A1200" s="15" t="str">
        <f t="shared" si="23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8" t="s">
        <v>75</v>
      </c>
      <c r="P1200" s="48">
        <f>HEX2DEC(RIGHT(Table1323212753586873[[#This Row],[h1]],8))</f>
        <v>0</v>
      </c>
      <c r="Q1200" s="48" t="s">
        <v>75</v>
      </c>
      <c r="R1200" s="48">
        <f>HEX2DEC(RIGHT(Table1323212753586873[[#This Row],[h2]],8))</f>
        <v>0</v>
      </c>
    </row>
    <row r="1201" spans="1:18">
      <c r="A1201" s="15" t="str">
        <f t="shared" si="23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8" t="s">
        <v>75</v>
      </c>
      <c r="P1201" s="48">
        <f>HEX2DEC(RIGHT(Table1323212753586873[[#This Row],[h1]],8))</f>
        <v>0</v>
      </c>
      <c r="Q1201" s="48" t="s">
        <v>75</v>
      </c>
      <c r="R1201" s="48">
        <f>HEX2DEC(RIGHT(Table1323212753586873[[#This Row],[h2]],8))</f>
        <v>0</v>
      </c>
    </row>
    <row r="1202" spans="1:18">
      <c r="A1202" s="15" t="str">
        <f t="shared" si="23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8" t="s">
        <v>75</v>
      </c>
      <c r="P1202" s="48">
        <f>HEX2DEC(RIGHT(Table1323212753586873[[#This Row],[h1]],8))</f>
        <v>0</v>
      </c>
      <c r="Q1202" s="48" t="s">
        <v>75</v>
      </c>
      <c r="R1202" s="48">
        <f>HEX2DEC(RIGHT(Table1323212753586873[[#This Row],[h2]],8))</f>
        <v>0</v>
      </c>
    </row>
    <row r="1203" spans="1:18">
      <c r="A1203" s="15" t="str">
        <f t="shared" si="23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8" t="s">
        <v>75</v>
      </c>
      <c r="P1203" s="48">
        <f>HEX2DEC(RIGHT(Table1323212753586873[[#This Row],[h1]],8))</f>
        <v>0</v>
      </c>
      <c r="Q1203" s="48" t="s">
        <v>75</v>
      </c>
      <c r="R1203" s="48">
        <f>HEX2DEC(RIGHT(Table1323212753586873[[#This Row],[h2]],8))</f>
        <v>0</v>
      </c>
    </row>
    <row r="1204" spans="1:18">
      <c r="A1204" s="15" t="str">
        <f t="shared" si="23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8" t="s">
        <v>75</v>
      </c>
      <c r="P1204" s="48">
        <f>HEX2DEC(RIGHT(Table1323212753586873[[#This Row],[h1]],8))</f>
        <v>0</v>
      </c>
      <c r="Q1204" s="48" t="s">
        <v>75</v>
      </c>
      <c r="R1204" s="48">
        <f>HEX2DEC(RIGHT(Table1323212753586873[[#This Row],[h2]],8))</f>
        <v>0</v>
      </c>
    </row>
    <row r="1205" spans="1:18">
      <c r="A1205" s="15" t="str">
        <f t="shared" si="23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8" t="s">
        <v>75</v>
      </c>
      <c r="P1205" s="48">
        <f>HEX2DEC(RIGHT(Table1323212753586873[[#This Row],[h1]],8))</f>
        <v>0</v>
      </c>
      <c r="Q1205" s="48" t="s">
        <v>75</v>
      </c>
      <c r="R1205" s="48">
        <f>HEX2DEC(RIGHT(Table1323212753586873[[#This Row],[h2]],8))</f>
        <v>0</v>
      </c>
    </row>
    <row r="1206" spans="1:18">
      <c r="A1206" s="15" t="str">
        <f t="shared" si="23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8" t="s">
        <v>75</v>
      </c>
      <c r="P1206" s="48">
        <f>HEX2DEC(RIGHT(Table1323212753586873[[#This Row],[h1]],8))</f>
        <v>0</v>
      </c>
      <c r="Q1206" s="48" t="s">
        <v>75</v>
      </c>
      <c r="R1206" s="48">
        <f>HEX2DEC(RIGHT(Table1323212753586873[[#This Row],[h2]],8))</f>
        <v>0</v>
      </c>
    </row>
    <row r="1207" spans="1:18">
      <c r="A1207" s="15" t="str">
        <f t="shared" si="23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8" t="s">
        <v>75</v>
      </c>
      <c r="P1207" s="48">
        <f>HEX2DEC(RIGHT(Table1323212753586873[[#This Row],[h1]],8))</f>
        <v>0</v>
      </c>
      <c r="Q1207" s="48" t="s">
        <v>75</v>
      </c>
      <c r="R1207" s="48">
        <f>HEX2DEC(RIGHT(Table1323212753586873[[#This Row],[h2]],8))</f>
        <v>0</v>
      </c>
    </row>
    <row r="1208" spans="1:18">
      <c r="A1208" s="15" t="str">
        <f t="shared" si="23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8" t="s">
        <v>75</v>
      </c>
      <c r="P1208" s="48">
        <f>HEX2DEC(RIGHT(Table1323212753586873[[#This Row],[h1]],8))</f>
        <v>0</v>
      </c>
      <c r="Q1208" s="48" t="s">
        <v>75</v>
      </c>
      <c r="R1208" s="48">
        <f>HEX2DEC(RIGHT(Table1323212753586873[[#This Row],[h2]],8))</f>
        <v>0</v>
      </c>
    </row>
    <row r="1209" spans="1:18">
      <c r="A1209" s="15" t="str">
        <f t="shared" si="23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8" t="s">
        <v>75</v>
      </c>
      <c r="P1209" s="48">
        <f>HEX2DEC(RIGHT(Table1323212753586873[[#This Row],[h1]],8))</f>
        <v>0</v>
      </c>
      <c r="Q1209" s="48" t="s">
        <v>75</v>
      </c>
      <c r="R1209" s="48">
        <f>HEX2DEC(RIGHT(Table1323212753586873[[#This Row],[h2]],8))</f>
        <v>0</v>
      </c>
    </row>
    <row r="1210" spans="1:18">
      <c r="A1210" s="15" t="str">
        <f t="shared" si="23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8" t="s">
        <v>75</v>
      </c>
      <c r="P1210" s="48">
        <f>HEX2DEC(RIGHT(Table1323212753586873[[#This Row],[h1]],8))</f>
        <v>0</v>
      </c>
      <c r="Q1210" s="48" t="s">
        <v>75</v>
      </c>
      <c r="R1210" s="48">
        <f>HEX2DEC(RIGHT(Table1323212753586873[[#This Row],[h2]],8))</f>
        <v>0</v>
      </c>
    </row>
    <row r="1211" spans="1:18">
      <c r="A1211" s="15" t="str">
        <f t="shared" si="23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8" t="s">
        <v>75</v>
      </c>
      <c r="P1211" s="48">
        <f>HEX2DEC(RIGHT(Table1323212753586873[[#This Row],[h1]],8))</f>
        <v>0</v>
      </c>
      <c r="Q1211" s="48" t="s">
        <v>75</v>
      </c>
      <c r="R1211" s="48">
        <f>HEX2DEC(RIGHT(Table1323212753586873[[#This Row],[h2]],8))</f>
        <v>0</v>
      </c>
    </row>
    <row r="1212" spans="1:18">
      <c r="A1212" s="15" t="str">
        <f t="shared" si="23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8" t="s">
        <v>75</v>
      </c>
      <c r="P1212" s="48">
        <f>HEX2DEC(RIGHT(Table1323212753586873[[#This Row],[h1]],8))</f>
        <v>0</v>
      </c>
      <c r="Q1212" s="48" t="s">
        <v>75</v>
      </c>
      <c r="R1212" s="48">
        <f>HEX2DEC(RIGHT(Table1323212753586873[[#This Row],[h2]],8))</f>
        <v>0</v>
      </c>
    </row>
    <row r="1213" spans="1:18">
      <c r="A1213" s="15" t="str">
        <f t="shared" si="23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8" t="s">
        <v>75</v>
      </c>
      <c r="P1213" s="48">
        <f>HEX2DEC(RIGHT(Table1323212753586873[[#This Row],[h1]],8))</f>
        <v>0</v>
      </c>
      <c r="Q1213" s="48" t="s">
        <v>75</v>
      </c>
      <c r="R1213" s="48">
        <f>HEX2DEC(RIGHT(Table1323212753586873[[#This Row],[h2]],8))</f>
        <v>0</v>
      </c>
    </row>
    <row r="1214" spans="1:18">
      <c r="A1214" s="15" t="str">
        <f t="shared" si="23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8" t="s">
        <v>75</v>
      </c>
      <c r="P1214" s="48">
        <f>HEX2DEC(RIGHT(Table1323212753586873[[#This Row],[h1]],8))</f>
        <v>0</v>
      </c>
      <c r="Q1214" s="48" t="s">
        <v>75</v>
      </c>
      <c r="R1214" s="48">
        <f>HEX2DEC(RIGHT(Table1323212753586873[[#This Row],[h2]],8))</f>
        <v>0</v>
      </c>
    </row>
    <row r="1215" spans="1:18">
      <c r="A1215" s="15" t="str">
        <f t="shared" si="23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8" t="s">
        <v>75</v>
      </c>
      <c r="P1215" s="48">
        <f>HEX2DEC(RIGHT(Table1323212753586873[[#This Row],[h1]],8))</f>
        <v>0</v>
      </c>
      <c r="Q1215" s="48" t="s">
        <v>75</v>
      </c>
      <c r="R1215" s="48">
        <f>HEX2DEC(RIGHT(Table1323212753586873[[#This Row],[h2]],8))</f>
        <v>0</v>
      </c>
    </row>
    <row r="1216" spans="1:18">
      <c r="A1216" s="15" t="str">
        <f t="shared" si="23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8" t="s">
        <v>75</v>
      </c>
      <c r="P1216" s="48">
        <f>HEX2DEC(RIGHT(Table1323212753586873[[#This Row],[h1]],8))</f>
        <v>0</v>
      </c>
      <c r="Q1216" s="48" t="s">
        <v>75</v>
      </c>
      <c r="R1216" s="48">
        <f>HEX2DEC(RIGHT(Table1323212753586873[[#This Row],[h2]],8))</f>
        <v>0</v>
      </c>
    </row>
    <row r="1217" spans="1:18">
      <c r="A1217" s="15" t="str">
        <f t="shared" si="23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8" t="s">
        <v>75</v>
      </c>
      <c r="P1217" s="48">
        <f>HEX2DEC(RIGHT(Table1323212753586873[[#This Row],[h1]],8))</f>
        <v>0</v>
      </c>
      <c r="Q1217" s="48" t="s">
        <v>75</v>
      </c>
      <c r="R1217" s="48">
        <f>HEX2DEC(RIGHT(Table1323212753586873[[#This Row],[h2]],8))</f>
        <v>0</v>
      </c>
    </row>
    <row r="1218" spans="1:18">
      <c r="A1218" s="15" t="str">
        <f t="shared" si="23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8" t="s">
        <v>75</v>
      </c>
      <c r="P1218" s="48">
        <f>HEX2DEC(RIGHT(Table1323212753586873[[#This Row],[h1]],8))</f>
        <v>0</v>
      </c>
      <c r="Q1218" s="48" t="s">
        <v>75</v>
      </c>
      <c r="R1218" s="48">
        <f>HEX2DEC(RIGHT(Table1323212753586873[[#This Row],[h2]],8))</f>
        <v>0</v>
      </c>
    </row>
    <row r="1219" spans="1:18">
      <c r="A1219" s="15" t="str">
        <f t="shared" si="23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8" t="s">
        <v>75</v>
      </c>
      <c r="P1219" s="48">
        <f>HEX2DEC(RIGHT(Table1323212753586873[[#This Row],[h1]],8))</f>
        <v>0</v>
      </c>
      <c r="Q1219" s="48" t="s">
        <v>75</v>
      </c>
      <c r="R1219" s="48">
        <f>HEX2DEC(RIGHT(Table1323212753586873[[#This Row],[h2]],8))</f>
        <v>0</v>
      </c>
    </row>
    <row r="1220" spans="1:18">
      <c r="A1220" s="15" t="str">
        <f t="shared" si="23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8" t="s">
        <v>75</v>
      </c>
      <c r="P1220" s="48">
        <f>HEX2DEC(RIGHT(Table1323212753586873[[#This Row],[h1]],8))</f>
        <v>0</v>
      </c>
      <c r="Q1220" s="48" t="s">
        <v>75</v>
      </c>
      <c r="R1220" s="48">
        <f>HEX2DEC(RIGHT(Table1323212753586873[[#This Row],[h2]],8))</f>
        <v>0</v>
      </c>
    </row>
    <row r="1221" spans="1:18">
      <c r="A1221" s="15" t="str">
        <f t="shared" si="23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8" t="s">
        <v>75</v>
      </c>
      <c r="P1221" s="48">
        <f>HEX2DEC(RIGHT(Table1323212753586873[[#This Row],[h1]],8))</f>
        <v>0</v>
      </c>
      <c r="Q1221" s="48" t="s">
        <v>75</v>
      </c>
      <c r="R1221" s="48">
        <f>HEX2DEC(RIGHT(Table1323212753586873[[#This Row],[h2]],8))</f>
        <v>0</v>
      </c>
    </row>
    <row r="1222" spans="1:18">
      <c r="A1222" s="15" t="str">
        <f t="shared" si="23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8" t="s">
        <v>75</v>
      </c>
      <c r="P1222" s="48">
        <f>HEX2DEC(RIGHT(Table1323212753586873[[#This Row],[h1]],8))</f>
        <v>0</v>
      </c>
      <c r="Q1222" s="48" t="s">
        <v>75</v>
      </c>
      <c r="R1222" s="48">
        <f>HEX2DEC(RIGHT(Table1323212753586873[[#This Row],[h2]],8))</f>
        <v>0</v>
      </c>
    </row>
    <row r="1223" spans="1:18">
      <c r="A1223" s="15" t="str">
        <f t="shared" si="23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8" t="s">
        <v>75</v>
      </c>
      <c r="P1223" s="48">
        <f>HEX2DEC(RIGHT(Table1323212753586873[[#This Row],[h1]],8))</f>
        <v>0</v>
      </c>
      <c r="Q1223" s="48" t="s">
        <v>75</v>
      </c>
      <c r="R1223" s="48">
        <f>HEX2DEC(RIGHT(Table1323212753586873[[#This Row],[h2]],8))</f>
        <v>0</v>
      </c>
    </row>
    <row r="1224" spans="1:18">
      <c r="A1224" s="15" t="str">
        <f t="shared" si="23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8" t="s">
        <v>75</v>
      </c>
      <c r="P1224" s="48">
        <f>HEX2DEC(RIGHT(Table1323212753586873[[#This Row],[h1]],8))</f>
        <v>0</v>
      </c>
      <c r="Q1224" s="48" t="s">
        <v>75</v>
      </c>
      <c r="R1224" s="48">
        <f>HEX2DEC(RIGHT(Table1323212753586873[[#This Row],[h2]],8))</f>
        <v>0</v>
      </c>
    </row>
    <row r="1225" spans="1:18">
      <c r="A1225" s="15" t="str">
        <f t="shared" si="23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8" t="s">
        <v>75</v>
      </c>
      <c r="P1225" s="48">
        <f>HEX2DEC(RIGHT(Table1323212753586873[[#This Row],[h1]],8))</f>
        <v>0</v>
      </c>
      <c r="Q1225" s="48" t="s">
        <v>75</v>
      </c>
      <c r="R1225" s="48">
        <f>HEX2DEC(RIGHT(Table1323212753586873[[#This Row],[h2]],8))</f>
        <v>0</v>
      </c>
    </row>
    <row r="1226" spans="1:18">
      <c r="A1226" s="15" t="str">
        <f t="shared" si="23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8" t="s">
        <v>75</v>
      </c>
      <c r="P1226" s="48">
        <f>HEX2DEC(RIGHT(Table1323212753586873[[#This Row],[h1]],8))</f>
        <v>0</v>
      </c>
      <c r="Q1226" s="48" t="s">
        <v>75</v>
      </c>
      <c r="R1226" s="48">
        <f>HEX2DEC(RIGHT(Table1323212753586873[[#This Row],[h2]],8))</f>
        <v>0</v>
      </c>
    </row>
    <row r="1227" spans="1:18">
      <c r="A1227" s="15" t="str">
        <f t="shared" ref="A1227:A1290" si="24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8" t="s">
        <v>75</v>
      </c>
      <c r="P1227" s="48">
        <f>HEX2DEC(RIGHT(Table1323212753586873[[#This Row],[h1]],8))</f>
        <v>0</v>
      </c>
      <c r="Q1227" s="48" t="s">
        <v>75</v>
      </c>
      <c r="R1227" s="48">
        <f>HEX2DEC(RIGHT(Table1323212753586873[[#This Row],[h2]],8))</f>
        <v>0</v>
      </c>
    </row>
    <row r="1228" spans="1:18">
      <c r="A1228" s="15" t="str">
        <f t="shared" si="24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8" t="s">
        <v>75</v>
      </c>
      <c r="P1228" s="48">
        <f>HEX2DEC(RIGHT(Table1323212753586873[[#This Row],[h1]],8))</f>
        <v>0</v>
      </c>
      <c r="Q1228" s="48" t="s">
        <v>75</v>
      </c>
      <c r="R1228" s="48">
        <f>HEX2DEC(RIGHT(Table1323212753586873[[#This Row],[h2]],8))</f>
        <v>0</v>
      </c>
    </row>
    <row r="1229" spans="1:18">
      <c r="A1229" s="15" t="str">
        <f t="shared" si="24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8" t="s">
        <v>75</v>
      </c>
      <c r="P1229" s="48">
        <f>HEX2DEC(RIGHT(Table1323212753586873[[#This Row],[h1]],8))</f>
        <v>0</v>
      </c>
      <c r="Q1229" s="48" t="s">
        <v>75</v>
      </c>
      <c r="R1229" s="48">
        <f>HEX2DEC(RIGHT(Table1323212753586873[[#This Row],[h2]],8))</f>
        <v>0</v>
      </c>
    </row>
    <row r="1230" spans="1:18">
      <c r="A1230" s="15" t="str">
        <f t="shared" si="24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8" t="s">
        <v>75</v>
      </c>
      <c r="P1230" s="48">
        <f>HEX2DEC(RIGHT(Table1323212753586873[[#This Row],[h1]],8))</f>
        <v>0</v>
      </c>
      <c r="Q1230" s="48" t="s">
        <v>75</v>
      </c>
      <c r="R1230" s="48">
        <f>HEX2DEC(RIGHT(Table1323212753586873[[#This Row],[h2]],8))</f>
        <v>0</v>
      </c>
    </row>
    <row r="1231" spans="1:18">
      <c r="A1231" s="15" t="str">
        <f t="shared" si="24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8" t="s">
        <v>75</v>
      </c>
      <c r="P1231" s="48">
        <f>HEX2DEC(RIGHT(Table1323212753586873[[#This Row],[h1]],8))</f>
        <v>0</v>
      </c>
      <c r="Q1231" s="48" t="s">
        <v>75</v>
      </c>
      <c r="R1231" s="48">
        <f>HEX2DEC(RIGHT(Table1323212753586873[[#This Row],[h2]],8))</f>
        <v>0</v>
      </c>
    </row>
    <row r="1232" spans="1:18">
      <c r="A1232" s="15" t="str">
        <f t="shared" si="24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8" t="s">
        <v>75</v>
      </c>
      <c r="P1232" s="48">
        <f>HEX2DEC(RIGHT(Table1323212753586873[[#This Row],[h1]],8))</f>
        <v>0</v>
      </c>
      <c r="Q1232" s="48" t="s">
        <v>75</v>
      </c>
      <c r="R1232" s="48">
        <f>HEX2DEC(RIGHT(Table1323212753586873[[#This Row],[h2]],8))</f>
        <v>0</v>
      </c>
    </row>
    <row r="1233" spans="1:18">
      <c r="A1233" s="15" t="str">
        <f t="shared" si="24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8" t="s">
        <v>75</v>
      </c>
      <c r="P1233" s="48">
        <f>HEX2DEC(RIGHT(Table1323212753586873[[#This Row],[h1]],8))</f>
        <v>0</v>
      </c>
      <c r="Q1233" s="48" t="s">
        <v>75</v>
      </c>
      <c r="R1233" s="48">
        <f>HEX2DEC(RIGHT(Table1323212753586873[[#This Row],[h2]],8))</f>
        <v>0</v>
      </c>
    </row>
    <row r="1234" spans="1:18">
      <c r="A1234" s="15" t="str">
        <f t="shared" si="24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8" t="s">
        <v>75</v>
      </c>
      <c r="P1234" s="48">
        <f>HEX2DEC(RIGHT(Table1323212753586873[[#This Row],[h1]],8))</f>
        <v>0</v>
      </c>
      <c r="Q1234" s="48" t="s">
        <v>75</v>
      </c>
      <c r="R1234" s="48">
        <f>HEX2DEC(RIGHT(Table1323212753586873[[#This Row],[h2]],8))</f>
        <v>0</v>
      </c>
    </row>
    <row r="1235" spans="1:18">
      <c r="A1235" s="15" t="str">
        <f t="shared" si="24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8" t="s">
        <v>75</v>
      </c>
      <c r="P1235" s="48">
        <f>HEX2DEC(RIGHT(Table1323212753586873[[#This Row],[h1]],8))</f>
        <v>0</v>
      </c>
      <c r="Q1235" s="48" t="s">
        <v>75</v>
      </c>
      <c r="R1235" s="48">
        <f>HEX2DEC(RIGHT(Table1323212753586873[[#This Row],[h2]],8))</f>
        <v>0</v>
      </c>
    </row>
    <row r="1236" spans="1:18">
      <c r="A1236" s="15" t="str">
        <f t="shared" si="24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8" t="s">
        <v>75</v>
      </c>
      <c r="P1236" s="48">
        <f>HEX2DEC(RIGHT(Table1323212753586873[[#This Row],[h1]],8))</f>
        <v>0</v>
      </c>
      <c r="Q1236" s="48" t="s">
        <v>75</v>
      </c>
      <c r="R1236" s="48">
        <f>HEX2DEC(RIGHT(Table1323212753586873[[#This Row],[h2]],8))</f>
        <v>0</v>
      </c>
    </row>
    <row r="1237" spans="1:18">
      <c r="A1237" s="15" t="str">
        <f t="shared" si="24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8" t="s">
        <v>75</v>
      </c>
      <c r="P1237" s="48">
        <f>HEX2DEC(RIGHT(Table1323212753586873[[#This Row],[h1]],8))</f>
        <v>0</v>
      </c>
      <c r="Q1237" s="48" t="s">
        <v>75</v>
      </c>
      <c r="R1237" s="48">
        <f>HEX2DEC(RIGHT(Table1323212753586873[[#This Row],[h2]],8))</f>
        <v>0</v>
      </c>
    </row>
    <row r="1238" spans="1:18">
      <c r="A1238" s="15" t="str">
        <f t="shared" si="24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8" t="s">
        <v>75</v>
      </c>
      <c r="P1238" s="48">
        <f>HEX2DEC(RIGHT(Table1323212753586873[[#This Row],[h1]],8))</f>
        <v>0</v>
      </c>
      <c r="Q1238" s="48" t="s">
        <v>75</v>
      </c>
      <c r="R1238" s="48">
        <f>HEX2DEC(RIGHT(Table1323212753586873[[#This Row],[h2]],8))</f>
        <v>0</v>
      </c>
    </row>
    <row r="1239" spans="1:18">
      <c r="A1239" s="15" t="str">
        <f t="shared" si="24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8" t="s">
        <v>75</v>
      </c>
      <c r="P1239" s="48">
        <f>HEX2DEC(RIGHT(Table1323212753586873[[#This Row],[h1]],8))</f>
        <v>0</v>
      </c>
      <c r="Q1239" s="48" t="s">
        <v>75</v>
      </c>
      <c r="R1239" s="48">
        <f>HEX2DEC(RIGHT(Table1323212753586873[[#This Row],[h2]],8))</f>
        <v>0</v>
      </c>
    </row>
    <row r="1240" spans="1:18">
      <c r="A1240" s="15" t="str">
        <f t="shared" si="24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8" t="s">
        <v>75</v>
      </c>
      <c r="P1240" s="48">
        <f>HEX2DEC(RIGHT(Table1323212753586873[[#This Row],[h1]],8))</f>
        <v>0</v>
      </c>
      <c r="Q1240" s="48" t="s">
        <v>75</v>
      </c>
      <c r="R1240" s="48">
        <f>HEX2DEC(RIGHT(Table1323212753586873[[#This Row],[h2]],8))</f>
        <v>0</v>
      </c>
    </row>
    <row r="1241" spans="1:18">
      <c r="A1241" s="15" t="str">
        <f t="shared" si="24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8" t="s">
        <v>75</v>
      </c>
      <c r="P1241" s="48">
        <f>HEX2DEC(RIGHT(Table1323212753586873[[#This Row],[h1]],8))</f>
        <v>0</v>
      </c>
      <c r="Q1241" s="48" t="s">
        <v>75</v>
      </c>
      <c r="R1241" s="48">
        <f>HEX2DEC(RIGHT(Table1323212753586873[[#This Row],[h2]],8))</f>
        <v>0</v>
      </c>
    </row>
    <row r="1242" spans="1:18">
      <c r="A1242" s="15" t="str">
        <f t="shared" si="24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8" t="s">
        <v>75</v>
      </c>
      <c r="P1242" s="48">
        <f>HEX2DEC(RIGHT(Table1323212753586873[[#This Row],[h1]],8))</f>
        <v>0</v>
      </c>
      <c r="Q1242" s="48" t="s">
        <v>75</v>
      </c>
      <c r="R1242" s="48">
        <f>HEX2DEC(RIGHT(Table1323212753586873[[#This Row],[h2]],8))</f>
        <v>0</v>
      </c>
    </row>
    <row r="1243" spans="1:18">
      <c r="A1243" s="15" t="str">
        <f t="shared" si="24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8" t="s">
        <v>75</v>
      </c>
      <c r="P1243" s="48">
        <f>HEX2DEC(RIGHT(Table1323212753586873[[#This Row],[h1]],8))</f>
        <v>0</v>
      </c>
      <c r="Q1243" s="48" t="s">
        <v>75</v>
      </c>
      <c r="R1243" s="48">
        <f>HEX2DEC(RIGHT(Table1323212753586873[[#This Row],[h2]],8))</f>
        <v>0</v>
      </c>
    </row>
    <row r="1244" spans="1:18">
      <c r="A1244" s="15" t="str">
        <f t="shared" si="24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8" t="s">
        <v>75</v>
      </c>
      <c r="P1244" s="48">
        <f>HEX2DEC(RIGHT(Table1323212753586873[[#This Row],[h1]],8))</f>
        <v>0</v>
      </c>
      <c r="Q1244" s="48" t="s">
        <v>75</v>
      </c>
      <c r="R1244" s="48">
        <f>HEX2DEC(RIGHT(Table1323212753586873[[#This Row],[h2]],8))</f>
        <v>0</v>
      </c>
    </row>
    <row r="1245" spans="1:18">
      <c r="A1245" s="15" t="str">
        <f t="shared" si="24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8" t="s">
        <v>75</v>
      </c>
      <c r="P1245" s="48">
        <f>HEX2DEC(RIGHT(Table1323212753586873[[#This Row],[h1]],8))</f>
        <v>0</v>
      </c>
      <c r="Q1245" s="48" t="s">
        <v>75</v>
      </c>
      <c r="R1245" s="48">
        <f>HEX2DEC(RIGHT(Table1323212753586873[[#This Row],[h2]],8))</f>
        <v>0</v>
      </c>
    </row>
    <row r="1246" spans="1:18">
      <c r="A1246" s="15" t="str">
        <f t="shared" si="24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8" t="s">
        <v>75</v>
      </c>
      <c r="P1246" s="48">
        <f>HEX2DEC(RIGHT(Table1323212753586873[[#This Row],[h1]],8))</f>
        <v>0</v>
      </c>
      <c r="Q1246" s="48" t="s">
        <v>75</v>
      </c>
      <c r="R1246" s="48">
        <f>HEX2DEC(RIGHT(Table1323212753586873[[#This Row],[h2]],8))</f>
        <v>0</v>
      </c>
    </row>
    <row r="1247" spans="1:18">
      <c r="A1247" s="15" t="str">
        <f t="shared" si="24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8" t="s">
        <v>75</v>
      </c>
      <c r="P1247" s="48">
        <f>HEX2DEC(RIGHT(Table1323212753586873[[#This Row],[h1]],8))</f>
        <v>0</v>
      </c>
      <c r="Q1247" s="48" t="s">
        <v>75</v>
      </c>
      <c r="R1247" s="48">
        <f>HEX2DEC(RIGHT(Table1323212753586873[[#This Row],[h2]],8))</f>
        <v>0</v>
      </c>
    </row>
    <row r="1248" spans="1:18">
      <c r="A1248" s="15" t="str">
        <f t="shared" si="24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8" t="s">
        <v>75</v>
      </c>
      <c r="P1248" s="48">
        <f>HEX2DEC(RIGHT(Table1323212753586873[[#This Row],[h1]],8))</f>
        <v>0</v>
      </c>
      <c r="Q1248" s="48" t="s">
        <v>75</v>
      </c>
      <c r="R1248" s="48">
        <f>HEX2DEC(RIGHT(Table1323212753586873[[#This Row],[h2]],8))</f>
        <v>0</v>
      </c>
    </row>
    <row r="1249" spans="1:18">
      <c r="A1249" s="15" t="str">
        <f t="shared" si="24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8" t="s">
        <v>75</v>
      </c>
      <c r="P1249" s="48">
        <f>HEX2DEC(RIGHT(Table1323212753586873[[#This Row],[h1]],8))</f>
        <v>0</v>
      </c>
      <c r="Q1249" s="48" t="s">
        <v>75</v>
      </c>
      <c r="R1249" s="48">
        <f>HEX2DEC(RIGHT(Table1323212753586873[[#This Row],[h2]],8))</f>
        <v>0</v>
      </c>
    </row>
    <row r="1250" spans="1:18">
      <c r="A1250" s="15" t="str">
        <f t="shared" si="24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8" t="s">
        <v>75</v>
      </c>
      <c r="P1250" s="48">
        <f>HEX2DEC(RIGHT(Table1323212753586873[[#This Row],[h1]],8))</f>
        <v>0</v>
      </c>
      <c r="Q1250" s="48" t="s">
        <v>75</v>
      </c>
      <c r="R1250" s="48">
        <f>HEX2DEC(RIGHT(Table1323212753586873[[#This Row],[h2]],8))</f>
        <v>0</v>
      </c>
    </row>
    <row r="1251" spans="1:18">
      <c r="A1251" s="15" t="str">
        <f t="shared" si="24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8" t="s">
        <v>75</v>
      </c>
      <c r="P1251" s="48">
        <f>HEX2DEC(RIGHT(Table1323212753586873[[#This Row],[h1]],8))</f>
        <v>0</v>
      </c>
      <c r="Q1251" s="48" t="s">
        <v>75</v>
      </c>
      <c r="R1251" s="48">
        <f>HEX2DEC(RIGHT(Table1323212753586873[[#This Row],[h2]],8))</f>
        <v>0</v>
      </c>
    </row>
    <row r="1252" spans="1:18">
      <c r="A1252" s="15" t="str">
        <f t="shared" si="24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8" t="s">
        <v>75</v>
      </c>
      <c r="P1252" s="48">
        <f>HEX2DEC(RIGHT(Table1323212753586873[[#This Row],[h1]],8))</f>
        <v>0</v>
      </c>
      <c r="Q1252" s="48" t="s">
        <v>75</v>
      </c>
      <c r="R1252" s="48">
        <f>HEX2DEC(RIGHT(Table1323212753586873[[#This Row],[h2]],8))</f>
        <v>0</v>
      </c>
    </row>
    <row r="1253" spans="1:18">
      <c r="A1253" s="15" t="str">
        <f t="shared" si="24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8" t="s">
        <v>75</v>
      </c>
      <c r="P1253" s="48">
        <f>HEX2DEC(RIGHT(Table1323212753586873[[#This Row],[h1]],8))</f>
        <v>0</v>
      </c>
      <c r="Q1253" s="48" t="s">
        <v>75</v>
      </c>
      <c r="R1253" s="48">
        <f>HEX2DEC(RIGHT(Table1323212753586873[[#This Row],[h2]],8))</f>
        <v>0</v>
      </c>
    </row>
    <row r="1254" spans="1:18">
      <c r="A1254" s="15" t="str">
        <f t="shared" si="24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8" t="s">
        <v>75</v>
      </c>
      <c r="P1254" s="48">
        <f>HEX2DEC(RIGHT(Table1323212753586873[[#This Row],[h1]],8))</f>
        <v>0</v>
      </c>
      <c r="Q1254" s="48" t="s">
        <v>75</v>
      </c>
      <c r="R1254" s="48">
        <f>HEX2DEC(RIGHT(Table1323212753586873[[#This Row],[h2]],8))</f>
        <v>0</v>
      </c>
    </row>
    <row r="1255" spans="1:18">
      <c r="A1255" s="15" t="str">
        <f t="shared" si="24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8" t="s">
        <v>75</v>
      </c>
      <c r="P1255" s="48">
        <f>HEX2DEC(RIGHT(Table1323212753586873[[#This Row],[h1]],8))</f>
        <v>0</v>
      </c>
      <c r="Q1255" s="48" t="s">
        <v>75</v>
      </c>
      <c r="R1255" s="48">
        <f>HEX2DEC(RIGHT(Table1323212753586873[[#This Row],[h2]],8))</f>
        <v>0</v>
      </c>
    </row>
    <row r="1256" spans="1:18">
      <c r="A1256" s="15" t="str">
        <f t="shared" si="24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8" t="s">
        <v>75</v>
      </c>
      <c r="P1256" s="48">
        <f>HEX2DEC(RIGHT(Table1323212753586873[[#This Row],[h1]],8))</f>
        <v>0</v>
      </c>
      <c r="Q1256" s="48" t="s">
        <v>75</v>
      </c>
      <c r="R1256" s="48">
        <f>HEX2DEC(RIGHT(Table1323212753586873[[#This Row],[h2]],8))</f>
        <v>0</v>
      </c>
    </row>
    <row r="1257" spans="1:18">
      <c r="A1257" s="15" t="str">
        <f t="shared" si="24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8" t="s">
        <v>75</v>
      </c>
      <c r="P1257" s="48">
        <f>HEX2DEC(RIGHT(Table1323212753586873[[#This Row],[h1]],8))</f>
        <v>0</v>
      </c>
      <c r="Q1257" s="48" t="s">
        <v>75</v>
      </c>
      <c r="R1257" s="48">
        <f>HEX2DEC(RIGHT(Table1323212753586873[[#This Row],[h2]],8))</f>
        <v>0</v>
      </c>
    </row>
    <row r="1258" spans="1:18">
      <c r="A1258" s="15" t="str">
        <f t="shared" si="24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8" t="s">
        <v>75</v>
      </c>
      <c r="P1258" s="48">
        <f>HEX2DEC(RIGHT(Table1323212753586873[[#This Row],[h1]],8))</f>
        <v>0</v>
      </c>
      <c r="Q1258" s="48" t="s">
        <v>75</v>
      </c>
      <c r="R1258" s="48">
        <f>HEX2DEC(RIGHT(Table1323212753586873[[#This Row],[h2]],8))</f>
        <v>0</v>
      </c>
    </row>
    <row r="1259" spans="1:18">
      <c r="A1259" s="15" t="str">
        <f t="shared" si="24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8" t="s">
        <v>75</v>
      </c>
      <c r="P1259" s="48">
        <f>HEX2DEC(RIGHT(Table1323212753586873[[#This Row],[h1]],8))</f>
        <v>0</v>
      </c>
      <c r="Q1259" s="48" t="s">
        <v>75</v>
      </c>
      <c r="R1259" s="48">
        <f>HEX2DEC(RIGHT(Table1323212753586873[[#This Row],[h2]],8))</f>
        <v>0</v>
      </c>
    </row>
    <row r="1260" spans="1:18">
      <c r="A1260" s="15" t="str">
        <f t="shared" si="24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8" t="s">
        <v>75</v>
      </c>
      <c r="P1260" s="48">
        <f>HEX2DEC(RIGHT(Table1323212753586873[[#This Row],[h1]],8))</f>
        <v>0</v>
      </c>
      <c r="Q1260" s="48" t="s">
        <v>75</v>
      </c>
      <c r="R1260" s="48">
        <f>HEX2DEC(RIGHT(Table1323212753586873[[#This Row],[h2]],8))</f>
        <v>0</v>
      </c>
    </row>
    <row r="1261" spans="1:18">
      <c r="A1261" s="15" t="str">
        <f t="shared" si="24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8" t="s">
        <v>75</v>
      </c>
      <c r="P1261" s="48">
        <f>HEX2DEC(RIGHT(Table1323212753586873[[#This Row],[h1]],8))</f>
        <v>0</v>
      </c>
      <c r="Q1261" s="48" t="s">
        <v>75</v>
      </c>
      <c r="R1261" s="48">
        <f>HEX2DEC(RIGHT(Table1323212753586873[[#This Row],[h2]],8))</f>
        <v>0</v>
      </c>
    </row>
    <row r="1262" spans="1:18">
      <c r="A1262" s="15" t="str">
        <f t="shared" si="24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8" t="s">
        <v>75</v>
      </c>
      <c r="P1262" s="48">
        <f>HEX2DEC(RIGHT(Table1323212753586873[[#This Row],[h1]],8))</f>
        <v>0</v>
      </c>
      <c r="Q1262" s="48" t="s">
        <v>75</v>
      </c>
      <c r="R1262" s="48">
        <f>HEX2DEC(RIGHT(Table1323212753586873[[#This Row],[h2]],8))</f>
        <v>0</v>
      </c>
    </row>
    <row r="1263" spans="1:18">
      <c r="A1263" s="15" t="str">
        <f t="shared" si="24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8" t="s">
        <v>75</v>
      </c>
      <c r="P1263" s="48">
        <f>HEX2DEC(RIGHT(Table1323212753586873[[#This Row],[h1]],8))</f>
        <v>0</v>
      </c>
      <c r="Q1263" s="48" t="s">
        <v>75</v>
      </c>
      <c r="R1263" s="48">
        <f>HEX2DEC(RIGHT(Table1323212753586873[[#This Row],[h2]],8))</f>
        <v>0</v>
      </c>
    </row>
    <row r="1264" spans="1:18">
      <c r="A1264" s="15" t="str">
        <f t="shared" si="24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8" t="s">
        <v>75</v>
      </c>
      <c r="P1264" s="48">
        <f>HEX2DEC(RIGHT(Table1323212753586873[[#This Row],[h1]],8))</f>
        <v>0</v>
      </c>
      <c r="Q1264" s="48" t="s">
        <v>75</v>
      </c>
      <c r="R1264" s="48">
        <f>HEX2DEC(RIGHT(Table1323212753586873[[#This Row],[h2]],8))</f>
        <v>0</v>
      </c>
    </row>
    <row r="1265" spans="1:18">
      <c r="A1265" s="15" t="str">
        <f t="shared" si="24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8" t="s">
        <v>75</v>
      </c>
      <c r="P1265" s="48">
        <f>HEX2DEC(RIGHT(Table1323212753586873[[#This Row],[h1]],8))</f>
        <v>0</v>
      </c>
      <c r="Q1265" s="48" t="s">
        <v>75</v>
      </c>
      <c r="R1265" s="48">
        <f>HEX2DEC(RIGHT(Table1323212753586873[[#This Row],[h2]],8))</f>
        <v>0</v>
      </c>
    </row>
    <row r="1266" spans="1:18">
      <c r="A1266" s="15" t="str">
        <f t="shared" si="24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8" t="s">
        <v>75</v>
      </c>
      <c r="P1266" s="48">
        <f>HEX2DEC(RIGHT(Table1323212753586873[[#This Row],[h1]],8))</f>
        <v>0</v>
      </c>
      <c r="Q1266" s="48" t="s">
        <v>75</v>
      </c>
      <c r="R1266" s="48">
        <f>HEX2DEC(RIGHT(Table1323212753586873[[#This Row],[h2]],8))</f>
        <v>0</v>
      </c>
    </row>
    <row r="1267" spans="1:18">
      <c r="A1267" s="15" t="str">
        <f t="shared" si="24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8" t="s">
        <v>75</v>
      </c>
      <c r="P1267" s="48">
        <f>HEX2DEC(RIGHT(Table1323212753586873[[#This Row],[h1]],8))</f>
        <v>0</v>
      </c>
      <c r="Q1267" s="48" t="s">
        <v>75</v>
      </c>
      <c r="R1267" s="48">
        <f>HEX2DEC(RIGHT(Table1323212753586873[[#This Row],[h2]],8))</f>
        <v>0</v>
      </c>
    </row>
    <row r="1268" spans="1:18">
      <c r="A1268" s="15" t="str">
        <f t="shared" si="24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8" t="s">
        <v>75</v>
      </c>
      <c r="P1268" s="48">
        <f>HEX2DEC(RIGHT(Table1323212753586873[[#This Row],[h1]],8))</f>
        <v>0</v>
      </c>
      <c r="Q1268" s="48" t="s">
        <v>75</v>
      </c>
      <c r="R1268" s="48">
        <f>HEX2DEC(RIGHT(Table1323212753586873[[#This Row],[h2]],8))</f>
        <v>0</v>
      </c>
    </row>
    <row r="1269" spans="1:18">
      <c r="A1269" s="15" t="str">
        <f t="shared" si="24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8" t="s">
        <v>75</v>
      </c>
      <c r="P1269" s="48">
        <f>HEX2DEC(RIGHT(Table1323212753586873[[#This Row],[h1]],8))</f>
        <v>0</v>
      </c>
      <c r="Q1269" s="48" t="s">
        <v>75</v>
      </c>
      <c r="R1269" s="48">
        <f>HEX2DEC(RIGHT(Table1323212753586873[[#This Row],[h2]],8))</f>
        <v>0</v>
      </c>
    </row>
    <row r="1270" spans="1:18">
      <c r="A1270" s="15" t="str">
        <f t="shared" si="24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8" t="s">
        <v>75</v>
      </c>
      <c r="P1270" s="48">
        <f>HEX2DEC(RIGHT(Table1323212753586873[[#This Row],[h1]],8))</f>
        <v>0</v>
      </c>
      <c r="Q1270" s="48" t="s">
        <v>75</v>
      </c>
      <c r="R1270" s="48">
        <f>HEX2DEC(RIGHT(Table1323212753586873[[#This Row],[h2]],8))</f>
        <v>0</v>
      </c>
    </row>
    <row r="1271" spans="1:18">
      <c r="A1271" s="15" t="str">
        <f t="shared" si="24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8" t="s">
        <v>75</v>
      </c>
      <c r="P1271" s="48">
        <f>HEX2DEC(RIGHT(Table1323212753586873[[#This Row],[h1]],8))</f>
        <v>0</v>
      </c>
      <c r="Q1271" s="48" t="s">
        <v>75</v>
      </c>
      <c r="R1271" s="48">
        <f>HEX2DEC(RIGHT(Table1323212753586873[[#This Row],[h2]],8))</f>
        <v>0</v>
      </c>
    </row>
    <row r="1272" spans="1:18">
      <c r="A1272" s="15" t="str">
        <f t="shared" si="24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8" t="s">
        <v>75</v>
      </c>
      <c r="P1272" s="48">
        <f>HEX2DEC(RIGHT(Table1323212753586873[[#This Row],[h1]],8))</f>
        <v>0</v>
      </c>
      <c r="Q1272" s="48" t="s">
        <v>75</v>
      </c>
      <c r="R1272" s="48">
        <f>HEX2DEC(RIGHT(Table1323212753586873[[#This Row],[h2]],8))</f>
        <v>0</v>
      </c>
    </row>
    <row r="1273" spans="1:18">
      <c r="A1273" s="15" t="str">
        <f t="shared" si="24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8" t="s">
        <v>75</v>
      </c>
      <c r="P1273" s="48">
        <f>HEX2DEC(RIGHT(Table1323212753586873[[#This Row],[h1]],8))</f>
        <v>0</v>
      </c>
      <c r="Q1273" s="48" t="s">
        <v>75</v>
      </c>
      <c r="R1273" s="48">
        <f>HEX2DEC(RIGHT(Table1323212753586873[[#This Row],[h2]],8))</f>
        <v>0</v>
      </c>
    </row>
    <row r="1274" spans="1:18">
      <c r="A1274" s="15" t="str">
        <f t="shared" si="24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8" t="s">
        <v>75</v>
      </c>
      <c r="P1274" s="48">
        <f>HEX2DEC(RIGHT(Table1323212753586873[[#This Row],[h1]],8))</f>
        <v>0</v>
      </c>
      <c r="Q1274" s="48" t="s">
        <v>75</v>
      </c>
      <c r="R1274" s="48">
        <f>HEX2DEC(RIGHT(Table1323212753586873[[#This Row],[h2]],8))</f>
        <v>0</v>
      </c>
    </row>
    <row r="1275" spans="1:18">
      <c r="A1275" s="15" t="str">
        <f t="shared" si="24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8" t="s">
        <v>75</v>
      </c>
      <c r="P1275" s="48">
        <f>HEX2DEC(RIGHT(Table1323212753586873[[#This Row],[h1]],8))</f>
        <v>0</v>
      </c>
      <c r="Q1275" s="48" t="s">
        <v>75</v>
      </c>
      <c r="R1275" s="48">
        <f>HEX2DEC(RIGHT(Table1323212753586873[[#This Row],[h2]],8))</f>
        <v>0</v>
      </c>
    </row>
    <row r="1276" spans="1:18">
      <c r="A1276" s="15" t="str">
        <f t="shared" si="24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8" t="s">
        <v>75</v>
      </c>
      <c r="P1276" s="48">
        <f>HEX2DEC(RIGHT(Table1323212753586873[[#This Row],[h1]],8))</f>
        <v>0</v>
      </c>
      <c r="Q1276" s="48" t="s">
        <v>75</v>
      </c>
      <c r="R1276" s="48">
        <f>HEX2DEC(RIGHT(Table1323212753586873[[#This Row],[h2]],8))</f>
        <v>0</v>
      </c>
    </row>
    <row r="1277" spans="1:18">
      <c r="A1277" s="15" t="str">
        <f t="shared" si="24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8" t="s">
        <v>75</v>
      </c>
      <c r="P1277" s="48">
        <f>HEX2DEC(RIGHT(Table1323212753586873[[#This Row],[h1]],8))</f>
        <v>0</v>
      </c>
      <c r="Q1277" s="48" t="s">
        <v>75</v>
      </c>
      <c r="R1277" s="48">
        <f>HEX2DEC(RIGHT(Table1323212753586873[[#This Row],[h2]],8))</f>
        <v>0</v>
      </c>
    </row>
    <row r="1278" spans="1:18">
      <c r="A1278" s="15" t="str">
        <f t="shared" si="24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8" t="s">
        <v>75</v>
      </c>
      <c r="P1278" s="48">
        <f>HEX2DEC(RIGHT(Table1323212753586873[[#This Row],[h1]],8))</f>
        <v>0</v>
      </c>
      <c r="Q1278" s="48" t="s">
        <v>75</v>
      </c>
      <c r="R1278" s="48">
        <f>HEX2DEC(RIGHT(Table1323212753586873[[#This Row],[h2]],8))</f>
        <v>0</v>
      </c>
    </row>
    <row r="1279" spans="1:18">
      <c r="A1279" s="15" t="str">
        <f t="shared" si="24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8" t="s">
        <v>75</v>
      </c>
      <c r="P1279" s="48">
        <f>HEX2DEC(RIGHT(Table1323212753586873[[#This Row],[h1]],8))</f>
        <v>0</v>
      </c>
      <c r="Q1279" s="48" t="s">
        <v>75</v>
      </c>
      <c r="R1279" s="48">
        <f>HEX2DEC(RIGHT(Table1323212753586873[[#This Row],[h2]],8))</f>
        <v>0</v>
      </c>
    </row>
    <row r="1280" spans="1:18">
      <c r="A1280" s="15" t="str">
        <f t="shared" si="24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8" t="s">
        <v>75</v>
      </c>
      <c r="P1280" s="48">
        <f>HEX2DEC(RIGHT(Table1323212753586873[[#This Row],[h1]],8))</f>
        <v>0</v>
      </c>
      <c r="Q1280" s="48" t="s">
        <v>75</v>
      </c>
      <c r="R1280" s="48">
        <f>HEX2DEC(RIGHT(Table1323212753586873[[#This Row],[h2]],8))</f>
        <v>0</v>
      </c>
    </row>
    <row r="1281" spans="1:18">
      <c r="A1281" s="15" t="str">
        <f t="shared" si="24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8" t="s">
        <v>75</v>
      </c>
      <c r="P1281" s="48">
        <f>HEX2DEC(RIGHT(Table1323212753586873[[#This Row],[h1]],8))</f>
        <v>0</v>
      </c>
      <c r="Q1281" s="48" t="s">
        <v>75</v>
      </c>
      <c r="R1281" s="48">
        <f>HEX2DEC(RIGHT(Table1323212753586873[[#This Row],[h2]],8))</f>
        <v>0</v>
      </c>
    </row>
    <row r="1282" spans="1:18">
      <c r="A1282" s="15" t="str">
        <f t="shared" si="24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8" t="s">
        <v>75</v>
      </c>
      <c r="P1282" s="48">
        <f>HEX2DEC(RIGHT(Table1323212753586873[[#This Row],[h1]],8))</f>
        <v>0</v>
      </c>
      <c r="Q1282" s="48" t="s">
        <v>75</v>
      </c>
      <c r="R1282" s="48">
        <f>HEX2DEC(RIGHT(Table1323212753586873[[#This Row],[h2]],8))</f>
        <v>0</v>
      </c>
    </row>
    <row r="1283" spans="1:18">
      <c r="A1283" s="15" t="str">
        <f t="shared" si="24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8" t="s">
        <v>75</v>
      </c>
      <c r="P1283" s="48">
        <f>HEX2DEC(RIGHT(Table1323212753586873[[#This Row],[h1]],8))</f>
        <v>0</v>
      </c>
      <c r="Q1283" s="48" t="s">
        <v>75</v>
      </c>
      <c r="R1283" s="48">
        <f>HEX2DEC(RIGHT(Table1323212753586873[[#This Row],[h2]],8))</f>
        <v>0</v>
      </c>
    </row>
    <row r="1284" spans="1:18">
      <c r="A1284" s="15" t="str">
        <f t="shared" si="24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8" t="s">
        <v>75</v>
      </c>
      <c r="P1284" s="48">
        <f>HEX2DEC(RIGHT(Table1323212753586873[[#This Row],[h1]],8))</f>
        <v>0</v>
      </c>
      <c r="Q1284" s="48" t="s">
        <v>75</v>
      </c>
      <c r="R1284" s="48">
        <f>HEX2DEC(RIGHT(Table1323212753586873[[#This Row],[h2]],8))</f>
        <v>0</v>
      </c>
    </row>
    <row r="1285" spans="1:18">
      <c r="A1285" s="15" t="str">
        <f t="shared" si="24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8" t="s">
        <v>75</v>
      </c>
      <c r="P1285" s="48">
        <f>HEX2DEC(RIGHT(Table1323212753586873[[#This Row],[h1]],8))</f>
        <v>0</v>
      </c>
      <c r="Q1285" s="48" t="s">
        <v>75</v>
      </c>
      <c r="R1285" s="48">
        <f>HEX2DEC(RIGHT(Table1323212753586873[[#This Row],[h2]],8))</f>
        <v>0</v>
      </c>
    </row>
    <row r="1286" spans="1:18">
      <c r="A1286" s="15" t="str">
        <f t="shared" si="24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8" t="s">
        <v>75</v>
      </c>
      <c r="P1286" s="48">
        <f>HEX2DEC(RIGHT(Table1323212753586873[[#This Row],[h1]],8))</f>
        <v>0</v>
      </c>
      <c r="Q1286" s="48" t="s">
        <v>75</v>
      </c>
      <c r="R1286" s="48">
        <f>HEX2DEC(RIGHT(Table1323212753586873[[#This Row],[h2]],8))</f>
        <v>0</v>
      </c>
    </row>
    <row r="1287" spans="1:18">
      <c r="A1287" s="15" t="str">
        <f t="shared" si="24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8" t="s">
        <v>75</v>
      </c>
      <c r="P1287" s="48">
        <f>HEX2DEC(RIGHT(Table1323212753586873[[#This Row],[h1]],8))</f>
        <v>0</v>
      </c>
      <c r="Q1287" s="48" t="s">
        <v>75</v>
      </c>
      <c r="R1287" s="48">
        <f>HEX2DEC(RIGHT(Table1323212753586873[[#This Row],[h2]],8))</f>
        <v>0</v>
      </c>
    </row>
    <row r="1288" spans="1:18">
      <c r="A1288" s="15" t="str">
        <f t="shared" si="24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8" t="s">
        <v>75</v>
      </c>
      <c r="P1288" s="48">
        <f>HEX2DEC(RIGHT(Table1323212753586873[[#This Row],[h1]],8))</f>
        <v>0</v>
      </c>
      <c r="Q1288" s="48" t="s">
        <v>75</v>
      </c>
      <c r="R1288" s="48">
        <f>HEX2DEC(RIGHT(Table1323212753586873[[#This Row],[h2]],8))</f>
        <v>0</v>
      </c>
    </row>
    <row r="1289" spans="1:18">
      <c r="A1289" s="15" t="str">
        <f t="shared" si="24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8" t="s">
        <v>75</v>
      </c>
      <c r="P1289" s="48">
        <f>HEX2DEC(RIGHT(Table1323212753586873[[#This Row],[h1]],8))</f>
        <v>0</v>
      </c>
      <c r="Q1289" s="48" t="s">
        <v>75</v>
      </c>
      <c r="R1289" s="48">
        <f>HEX2DEC(RIGHT(Table1323212753586873[[#This Row],[h2]],8))</f>
        <v>0</v>
      </c>
    </row>
    <row r="1290" spans="1:18">
      <c r="A1290" s="15" t="str">
        <f t="shared" si="24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8" t="s">
        <v>75</v>
      </c>
      <c r="P1290" s="48">
        <f>HEX2DEC(RIGHT(Table1323212753586873[[#This Row],[h1]],8))</f>
        <v>0</v>
      </c>
      <c r="Q1290" s="48" t="s">
        <v>75</v>
      </c>
      <c r="R1290" s="48">
        <f>HEX2DEC(RIGHT(Table1323212753586873[[#This Row],[h2]],8))</f>
        <v>0</v>
      </c>
    </row>
    <row r="1291" spans="1:18">
      <c r="A1291" s="15" t="str">
        <f t="shared" ref="A1291:A1354" si="25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8" t="s">
        <v>75</v>
      </c>
      <c r="P1291" s="48">
        <f>HEX2DEC(RIGHT(Table1323212753586873[[#This Row],[h1]],8))</f>
        <v>0</v>
      </c>
      <c r="Q1291" s="48" t="s">
        <v>75</v>
      </c>
      <c r="R1291" s="48">
        <f>HEX2DEC(RIGHT(Table1323212753586873[[#This Row],[h2]],8))</f>
        <v>0</v>
      </c>
    </row>
    <row r="1292" spans="1:18">
      <c r="A1292" s="15" t="str">
        <f t="shared" si="25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8" t="s">
        <v>75</v>
      </c>
      <c r="P1292" s="48">
        <f>HEX2DEC(RIGHT(Table1323212753586873[[#This Row],[h1]],8))</f>
        <v>0</v>
      </c>
      <c r="Q1292" s="48" t="s">
        <v>75</v>
      </c>
      <c r="R1292" s="48">
        <f>HEX2DEC(RIGHT(Table1323212753586873[[#This Row],[h2]],8))</f>
        <v>0</v>
      </c>
    </row>
    <row r="1293" spans="1:18">
      <c r="A1293" s="15" t="str">
        <f t="shared" si="25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8" t="s">
        <v>75</v>
      </c>
      <c r="P1293" s="48">
        <f>HEX2DEC(RIGHT(Table1323212753586873[[#This Row],[h1]],8))</f>
        <v>0</v>
      </c>
      <c r="Q1293" s="48" t="s">
        <v>75</v>
      </c>
      <c r="R1293" s="48">
        <f>HEX2DEC(RIGHT(Table1323212753586873[[#This Row],[h2]],8))</f>
        <v>0</v>
      </c>
    </row>
    <row r="1294" spans="1:18">
      <c r="A1294" s="15" t="str">
        <f t="shared" si="25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8" t="s">
        <v>75</v>
      </c>
      <c r="P1294" s="48">
        <f>HEX2DEC(RIGHT(Table1323212753586873[[#This Row],[h1]],8))</f>
        <v>0</v>
      </c>
      <c r="Q1294" s="48" t="s">
        <v>75</v>
      </c>
      <c r="R1294" s="48">
        <f>HEX2DEC(RIGHT(Table1323212753586873[[#This Row],[h2]],8))</f>
        <v>0</v>
      </c>
    </row>
    <row r="1295" spans="1:18">
      <c r="A1295" s="15" t="str">
        <f t="shared" si="25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8" t="s">
        <v>75</v>
      </c>
      <c r="P1295" s="48">
        <f>HEX2DEC(RIGHT(Table1323212753586873[[#This Row],[h1]],8))</f>
        <v>0</v>
      </c>
      <c r="Q1295" s="48" t="s">
        <v>75</v>
      </c>
      <c r="R1295" s="48">
        <f>HEX2DEC(RIGHT(Table1323212753586873[[#This Row],[h2]],8))</f>
        <v>0</v>
      </c>
    </row>
    <row r="1296" spans="1:18">
      <c r="A1296" s="15" t="str">
        <f t="shared" si="25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8" t="s">
        <v>75</v>
      </c>
      <c r="P1296" s="48">
        <f>HEX2DEC(RIGHT(Table1323212753586873[[#This Row],[h1]],8))</f>
        <v>0</v>
      </c>
      <c r="Q1296" s="48" t="s">
        <v>75</v>
      </c>
      <c r="R1296" s="48">
        <f>HEX2DEC(RIGHT(Table1323212753586873[[#This Row],[h2]],8))</f>
        <v>0</v>
      </c>
    </row>
    <row r="1297" spans="1:18">
      <c r="A1297" s="15" t="str">
        <f t="shared" si="25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8" t="s">
        <v>75</v>
      </c>
      <c r="P1297" s="48">
        <f>HEX2DEC(RIGHT(Table1323212753586873[[#This Row],[h1]],8))</f>
        <v>0</v>
      </c>
      <c r="Q1297" s="48" t="s">
        <v>75</v>
      </c>
      <c r="R1297" s="48">
        <f>HEX2DEC(RIGHT(Table1323212753586873[[#This Row],[h2]],8))</f>
        <v>0</v>
      </c>
    </row>
    <row r="1298" spans="1:18">
      <c r="A1298" s="15" t="str">
        <f t="shared" si="25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8" t="s">
        <v>75</v>
      </c>
      <c r="P1298" s="48">
        <f>HEX2DEC(RIGHT(Table1323212753586873[[#This Row],[h1]],8))</f>
        <v>0</v>
      </c>
      <c r="Q1298" s="48" t="s">
        <v>75</v>
      </c>
      <c r="R1298" s="48">
        <f>HEX2DEC(RIGHT(Table1323212753586873[[#This Row],[h2]],8))</f>
        <v>0</v>
      </c>
    </row>
    <row r="1299" spans="1:18">
      <c r="A1299" s="15" t="str">
        <f t="shared" si="25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8" t="s">
        <v>75</v>
      </c>
      <c r="P1299" s="48">
        <f>HEX2DEC(RIGHT(Table1323212753586873[[#This Row],[h1]],8))</f>
        <v>0</v>
      </c>
      <c r="Q1299" s="48" t="s">
        <v>75</v>
      </c>
      <c r="R1299" s="48">
        <f>HEX2DEC(RIGHT(Table1323212753586873[[#This Row],[h2]],8))</f>
        <v>0</v>
      </c>
    </row>
    <row r="1300" spans="1:18">
      <c r="A1300" s="15" t="str">
        <f t="shared" si="25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8" t="s">
        <v>75</v>
      </c>
      <c r="P1300" s="48">
        <f>HEX2DEC(RIGHT(Table1323212753586873[[#This Row],[h1]],8))</f>
        <v>0</v>
      </c>
      <c r="Q1300" s="48" t="s">
        <v>75</v>
      </c>
      <c r="R1300" s="48">
        <f>HEX2DEC(RIGHT(Table1323212753586873[[#This Row],[h2]],8))</f>
        <v>0</v>
      </c>
    </row>
    <row r="1301" spans="1:18">
      <c r="A1301" s="15" t="str">
        <f t="shared" si="25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8" t="s">
        <v>75</v>
      </c>
      <c r="P1301" s="48">
        <f>HEX2DEC(RIGHT(Table1323212753586873[[#This Row],[h1]],8))</f>
        <v>0</v>
      </c>
      <c r="Q1301" s="48" t="s">
        <v>75</v>
      </c>
      <c r="R1301" s="48">
        <f>HEX2DEC(RIGHT(Table1323212753586873[[#This Row],[h2]],8))</f>
        <v>0</v>
      </c>
    </row>
    <row r="1302" spans="1:18">
      <c r="A1302" s="15" t="str">
        <f t="shared" si="25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8" t="s">
        <v>75</v>
      </c>
      <c r="P1302" s="48">
        <f>HEX2DEC(RIGHT(Table1323212753586873[[#This Row],[h1]],8))</f>
        <v>0</v>
      </c>
      <c r="Q1302" s="48" t="s">
        <v>75</v>
      </c>
      <c r="R1302" s="48">
        <f>HEX2DEC(RIGHT(Table1323212753586873[[#This Row],[h2]],8))</f>
        <v>0</v>
      </c>
    </row>
    <row r="1303" spans="1:18">
      <c r="A1303" s="15" t="str">
        <f t="shared" si="25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8" t="s">
        <v>75</v>
      </c>
      <c r="P1303" s="48">
        <f>HEX2DEC(RIGHT(Table1323212753586873[[#This Row],[h1]],8))</f>
        <v>0</v>
      </c>
      <c r="Q1303" s="48" t="s">
        <v>75</v>
      </c>
      <c r="R1303" s="48">
        <f>HEX2DEC(RIGHT(Table1323212753586873[[#This Row],[h2]],8))</f>
        <v>0</v>
      </c>
    </row>
    <row r="1304" spans="1:18">
      <c r="A1304" s="15" t="str">
        <f t="shared" si="25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8" t="s">
        <v>75</v>
      </c>
      <c r="P1304" s="48">
        <f>HEX2DEC(RIGHT(Table1323212753586873[[#This Row],[h1]],8))</f>
        <v>0</v>
      </c>
      <c r="Q1304" s="48" t="s">
        <v>75</v>
      </c>
      <c r="R1304" s="48">
        <f>HEX2DEC(RIGHT(Table1323212753586873[[#This Row],[h2]],8))</f>
        <v>0</v>
      </c>
    </row>
    <row r="1305" spans="1:18">
      <c r="A1305" s="15" t="str">
        <f t="shared" si="25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8" t="s">
        <v>75</v>
      </c>
      <c r="P1305" s="48">
        <f>HEX2DEC(RIGHT(Table1323212753586873[[#This Row],[h1]],8))</f>
        <v>0</v>
      </c>
      <c r="Q1305" s="48" t="s">
        <v>75</v>
      </c>
      <c r="R1305" s="48">
        <f>HEX2DEC(RIGHT(Table1323212753586873[[#This Row],[h2]],8))</f>
        <v>0</v>
      </c>
    </row>
    <row r="1306" spans="1:18">
      <c r="A1306" s="15" t="str">
        <f t="shared" si="25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8" t="s">
        <v>75</v>
      </c>
      <c r="P1306" s="48">
        <f>HEX2DEC(RIGHT(Table1323212753586873[[#This Row],[h1]],8))</f>
        <v>0</v>
      </c>
      <c r="Q1306" s="48" t="s">
        <v>75</v>
      </c>
      <c r="R1306" s="48">
        <f>HEX2DEC(RIGHT(Table1323212753586873[[#This Row],[h2]],8))</f>
        <v>0</v>
      </c>
    </row>
    <row r="1307" spans="1:18">
      <c r="A1307" s="15" t="str">
        <f t="shared" si="25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8" t="s">
        <v>75</v>
      </c>
      <c r="P1307" s="48">
        <f>HEX2DEC(RIGHT(Table1323212753586873[[#This Row],[h1]],8))</f>
        <v>0</v>
      </c>
      <c r="Q1307" s="48" t="s">
        <v>75</v>
      </c>
      <c r="R1307" s="48">
        <f>HEX2DEC(RIGHT(Table1323212753586873[[#This Row],[h2]],8))</f>
        <v>0</v>
      </c>
    </row>
    <row r="1308" spans="1:18">
      <c r="A1308" s="15" t="str">
        <f t="shared" si="25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8" t="s">
        <v>75</v>
      </c>
      <c r="P1308" s="48">
        <f>HEX2DEC(RIGHT(Table1323212753586873[[#This Row],[h1]],8))</f>
        <v>0</v>
      </c>
      <c r="Q1308" s="48" t="s">
        <v>75</v>
      </c>
      <c r="R1308" s="48">
        <f>HEX2DEC(RIGHT(Table1323212753586873[[#This Row],[h2]],8))</f>
        <v>0</v>
      </c>
    </row>
    <row r="1309" spans="1:18">
      <c r="A1309" s="15" t="str">
        <f t="shared" si="25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8" t="s">
        <v>75</v>
      </c>
      <c r="P1309" s="48">
        <f>HEX2DEC(RIGHT(Table1323212753586873[[#This Row],[h1]],8))</f>
        <v>0</v>
      </c>
      <c r="Q1309" s="48" t="s">
        <v>75</v>
      </c>
      <c r="R1309" s="48">
        <f>HEX2DEC(RIGHT(Table1323212753586873[[#This Row],[h2]],8))</f>
        <v>0</v>
      </c>
    </row>
    <row r="1310" spans="1:18">
      <c r="A1310" s="15" t="str">
        <f t="shared" si="25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8" t="s">
        <v>75</v>
      </c>
      <c r="P1310" s="48">
        <f>HEX2DEC(RIGHT(Table1323212753586873[[#This Row],[h1]],8))</f>
        <v>0</v>
      </c>
      <c r="Q1310" s="48" t="s">
        <v>75</v>
      </c>
      <c r="R1310" s="48">
        <f>HEX2DEC(RIGHT(Table1323212753586873[[#This Row],[h2]],8))</f>
        <v>0</v>
      </c>
    </row>
    <row r="1311" spans="1:18">
      <c r="A1311" s="15" t="str">
        <f t="shared" si="25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8" t="s">
        <v>75</v>
      </c>
      <c r="P1311" s="48">
        <f>HEX2DEC(RIGHT(Table1323212753586873[[#This Row],[h1]],8))</f>
        <v>0</v>
      </c>
      <c r="Q1311" s="48" t="s">
        <v>75</v>
      </c>
      <c r="R1311" s="48">
        <f>HEX2DEC(RIGHT(Table1323212753586873[[#This Row],[h2]],8))</f>
        <v>0</v>
      </c>
    </row>
    <row r="1312" spans="1:18">
      <c r="A1312" s="15" t="str">
        <f t="shared" si="25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8" t="s">
        <v>75</v>
      </c>
      <c r="P1312" s="48">
        <f>HEX2DEC(RIGHT(Table1323212753586873[[#This Row],[h1]],8))</f>
        <v>0</v>
      </c>
      <c r="Q1312" s="48" t="s">
        <v>75</v>
      </c>
      <c r="R1312" s="48">
        <f>HEX2DEC(RIGHT(Table1323212753586873[[#This Row],[h2]],8))</f>
        <v>0</v>
      </c>
    </row>
    <row r="1313" spans="1:18">
      <c r="A1313" s="15" t="str">
        <f t="shared" si="25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8" t="s">
        <v>75</v>
      </c>
      <c r="P1313" s="48">
        <f>HEX2DEC(RIGHT(Table1323212753586873[[#This Row],[h1]],8))</f>
        <v>0</v>
      </c>
      <c r="Q1313" s="48" t="s">
        <v>75</v>
      </c>
      <c r="R1313" s="48">
        <f>HEX2DEC(RIGHT(Table1323212753586873[[#This Row],[h2]],8))</f>
        <v>0</v>
      </c>
    </row>
    <row r="1314" spans="1:18">
      <c r="A1314" s="15" t="str">
        <f t="shared" si="25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8" t="s">
        <v>75</v>
      </c>
      <c r="P1314" s="48">
        <f>HEX2DEC(RIGHT(Table1323212753586873[[#This Row],[h1]],8))</f>
        <v>0</v>
      </c>
      <c r="Q1314" s="48" t="s">
        <v>75</v>
      </c>
      <c r="R1314" s="48">
        <f>HEX2DEC(RIGHT(Table1323212753586873[[#This Row],[h2]],8))</f>
        <v>0</v>
      </c>
    </row>
    <row r="1315" spans="1:18">
      <c r="A1315" s="15" t="str">
        <f t="shared" si="25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8" t="s">
        <v>75</v>
      </c>
      <c r="P1315" s="48">
        <f>HEX2DEC(RIGHT(Table1323212753586873[[#This Row],[h1]],8))</f>
        <v>0</v>
      </c>
      <c r="Q1315" s="48" t="s">
        <v>75</v>
      </c>
      <c r="R1315" s="48">
        <f>HEX2DEC(RIGHT(Table1323212753586873[[#This Row],[h2]],8))</f>
        <v>0</v>
      </c>
    </row>
    <row r="1316" spans="1:18">
      <c r="A1316" s="15" t="str">
        <f t="shared" si="25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8" t="s">
        <v>75</v>
      </c>
      <c r="P1316" s="48">
        <f>HEX2DEC(RIGHT(Table1323212753586873[[#This Row],[h1]],8))</f>
        <v>0</v>
      </c>
      <c r="Q1316" s="48" t="s">
        <v>75</v>
      </c>
      <c r="R1316" s="48">
        <f>HEX2DEC(RIGHT(Table1323212753586873[[#This Row],[h2]],8))</f>
        <v>0</v>
      </c>
    </row>
    <row r="1317" spans="1:18">
      <c r="A1317" s="15" t="str">
        <f t="shared" si="25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8" t="s">
        <v>75</v>
      </c>
      <c r="P1317" s="48">
        <f>HEX2DEC(RIGHT(Table1323212753586873[[#This Row],[h1]],8))</f>
        <v>0</v>
      </c>
      <c r="Q1317" s="48" t="s">
        <v>75</v>
      </c>
      <c r="R1317" s="48">
        <f>HEX2DEC(RIGHT(Table1323212753586873[[#This Row],[h2]],8))</f>
        <v>0</v>
      </c>
    </row>
    <row r="1318" spans="1:18">
      <c r="A1318" s="15" t="str">
        <f t="shared" si="25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8" t="s">
        <v>75</v>
      </c>
      <c r="P1318" s="48">
        <f>HEX2DEC(RIGHT(Table1323212753586873[[#This Row],[h1]],8))</f>
        <v>0</v>
      </c>
      <c r="Q1318" s="48" t="s">
        <v>75</v>
      </c>
      <c r="R1318" s="48">
        <f>HEX2DEC(RIGHT(Table1323212753586873[[#This Row],[h2]],8))</f>
        <v>0</v>
      </c>
    </row>
    <row r="1319" spans="1:18">
      <c r="A1319" s="15" t="str">
        <f t="shared" si="25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8" t="s">
        <v>75</v>
      </c>
      <c r="P1319" s="48">
        <f>HEX2DEC(RIGHT(Table1323212753586873[[#This Row],[h1]],8))</f>
        <v>0</v>
      </c>
      <c r="Q1319" s="48" t="s">
        <v>75</v>
      </c>
      <c r="R1319" s="48">
        <f>HEX2DEC(RIGHT(Table1323212753586873[[#This Row],[h2]],8))</f>
        <v>0</v>
      </c>
    </row>
    <row r="1320" spans="1:18">
      <c r="A1320" s="15" t="str">
        <f t="shared" si="25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8" t="s">
        <v>75</v>
      </c>
      <c r="P1320" s="48">
        <f>HEX2DEC(RIGHT(Table1323212753586873[[#This Row],[h1]],8))</f>
        <v>0</v>
      </c>
      <c r="Q1320" s="48" t="s">
        <v>75</v>
      </c>
      <c r="R1320" s="48">
        <f>HEX2DEC(RIGHT(Table1323212753586873[[#This Row],[h2]],8))</f>
        <v>0</v>
      </c>
    </row>
    <row r="1321" spans="1:18">
      <c r="A1321" s="15" t="str">
        <f t="shared" si="25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8" t="s">
        <v>75</v>
      </c>
      <c r="P1321" s="48">
        <f>HEX2DEC(RIGHT(Table1323212753586873[[#This Row],[h1]],8))</f>
        <v>0</v>
      </c>
      <c r="Q1321" s="48" t="s">
        <v>75</v>
      </c>
      <c r="R1321" s="48">
        <f>HEX2DEC(RIGHT(Table1323212753586873[[#This Row],[h2]],8))</f>
        <v>0</v>
      </c>
    </row>
    <row r="1322" spans="1:18">
      <c r="A1322" s="15" t="str">
        <f t="shared" si="25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8" t="s">
        <v>75</v>
      </c>
      <c r="P1322" s="48">
        <f>HEX2DEC(RIGHT(Table1323212753586873[[#This Row],[h1]],8))</f>
        <v>0</v>
      </c>
      <c r="Q1322" s="48" t="s">
        <v>75</v>
      </c>
      <c r="R1322" s="48">
        <f>HEX2DEC(RIGHT(Table1323212753586873[[#This Row],[h2]],8))</f>
        <v>0</v>
      </c>
    </row>
    <row r="1323" spans="1:18">
      <c r="A1323" s="15" t="str">
        <f t="shared" si="25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8" t="s">
        <v>75</v>
      </c>
      <c r="P1323" s="48">
        <f>HEX2DEC(RIGHT(Table1323212753586873[[#This Row],[h1]],8))</f>
        <v>0</v>
      </c>
      <c r="Q1323" s="48" t="s">
        <v>75</v>
      </c>
      <c r="R1323" s="48">
        <f>HEX2DEC(RIGHT(Table1323212753586873[[#This Row],[h2]],8))</f>
        <v>0</v>
      </c>
    </row>
    <row r="1324" spans="1:18">
      <c r="A1324" s="15" t="str">
        <f t="shared" si="25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8" t="s">
        <v>75</v>
      </c>
      <c r="P1324" s="48">
        <f>HEX2DEC(RIGHT(Table1323212753586873[[#This Row],[h1]],8))</f>
        <v>0</v>
      </c>
      <c r="Q1324" s="48" t="s">
        <v>75</v>
      </c>
      <c r="R1324" s="48">
        <f>HEX2DEC(RIGHT(Table1323212753586873[[#This Row],[h2]],8))</f>
        <v>0</v>
      </c>
    </row>
    <row r="1325" spans="1:18">
      <c r="A1325" s="15" t="str">
        <f t="shared" si="25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8" t="s">
        <v>75</v>
      </c>
      <c r="P1325" s="48">
        <f>HEX2DEC(RIGHT(Table1323212753586873[[#This Row],[h1]],8))</f>
        <v>0</v>
      </c>
      <c r="Q1325" s="48" t="s">
        <v>75</v>
      </c>
      <c r="R1325" s="48">
        <f>HEX2DEC(RIGHT(Table1323212753586873[[#This Row],[h2]],8))</f>
        <v>0</v>
      </c>
    </row>
    <row r="1326" spans="1:18">
      <c r="A1326" s="15" t="str">
        <f t="shared" si="25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8" t="s">
        <v>75</v>
      </c>
      <c r="P1326" s="48">
        <f>HEX2DEC(RIGHT(Table1323212753586873[[#This Row],[h1]],8))</f>
        <v>0</v>
      </c>
      <c r="Q1326" s="48" t="s">
        <v>75</v>
      </c>
      <c r="R1326" s="48">
        <f>HEX2DEC(RIGHT(Table1323212753586873[[#This Row],[h2]],8))</f>
        <v>0</v>
      </c>
    </row>
    <row r="1327" spans="1:18">
      <c r="A1327" s="15" t="str">
        <f t="shared" si="25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8" t="s">
        <v>75</v>
      </c>
      <c r="P1327" s="48">
        <f>HEX2DEC(RIGHT(Table1323212753586873[[#This Row],[h1]],8))</f>
        <v>0</v>
      </c>
      <c r="Q1327" s="48" t="s">
        <v>75</v>
      </c>
      <c r="R1327" s="48">
        <f>HEX2DEC(RIGHT(Table1323212753586873[[#This Row],[h2]],8))</f>
        <v>0</v>
      </c>
    </row>
    <row r="1328" spans="1:18">
      <c r="A1328" s="15" t="str">
        <f t="shared" si="25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8" t="s">
        <v>75</v>
      </c>
      <c r="P1328" s="48">
        <f>HEX2DEC(RIGHT(Table1323212753586873[[#This Row],[h1]],8))</f>
        <v>0</v>
      </c>
      <c r="Q1328" s="48" t="s">
        <v>75</v>
      </c>
      <c r="R1328" s="48">
        <f>HEX2DEC(RIGHT(Table1323212753586873[[#This Row],[h2]],8))</f>
        <v>0</v>
      </c>
    </row>
    <row r="1329" spans="1:18">
      <c r="A1329" s="15" t="str">
        <f t="shared" si="25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8" t="s">
        <v>75</v>
      </c>
      <c r="P1329" s="48">
        <f>HEX2DEC(RIGHT(Table1323212753586873[[#This Row],[h1]],8))</f>
        <v>0</v>
      </c>
      <c r="Q1329" s="48" t="s">
        <v>75</v>
      </c>
      <c r="R1329" s="48">
        <f>HEX2DEC(RIGHT(Table1323212753586873[[#This Row],[h2]],8))</f>
        <v>0</v>
      </c>
    </row>
    <row r="1330" spans="1:18">
      <c r="A1330" s="15" t="str">
        <f t="shared" si="25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8" t="s">
        <v>75</v>
      </c>
      <c r="P1330" s="48">
        <f>HEX2DEC(RIGHT(Table1323212753586873[[#This Row],[h1]],8))</f>
        <v>0</v>
      </c>
      <c r="Q1330" s="48" t="s">
        <v>75</v>
      </c>
      <c r="R1330" s="48">
        <f>HEX2DEC(RIGHT(Table1323212753586873[[#This Row],[h2]],8))</f>
        <v>0</v>
      </c>
    </row>
    <row r="1331" spans="1:18">
      <c r="A1331" s="15" t="str">
        <f t="shared" si="25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8" t="s">
        <v>75</v>
      </c>
      <c r="P1331" s="48">
        <f>HEX2DEC(RIGHT(Table1323212753586873[[#This Row],[h1]],8))</f>
        <v>0</v>
      </c>
      <c r="Q1331" s="48" t="s">
        <v>75</v>
      </c>
      <c r="R1331" s="48">
        <f>HEX2DEC(RIGHT(Table1323212753586873[[#This Row],[h2]],8))</f>
        <v>0</v>
      </c>
    </row>
    <row r="1332" spans="1:18">
      <c r="A1332" s="15" t="str">
        <f t="shared" si="25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8" t="s">
        <v>75</v>
      </c>
      <c r="P1332" s="48">
        <f>HEX2DEC(RIGHT(Table1323212753586873[[#This Row],[h1]],8))</f>
        <v>0</v>
      </c>
      <c r="Q1332" s="48" t="s">
        <v>75</v>
      </c>
      <c r="R1332" s="48">
        <f>HEX2DEC(RIGHT(Table1323212753586873[[#This Row],[h2]],8))</f>
        <v>0</v>
      </c>
    </row>
    <row r="1333" spans="1:18">
      <c r="A1333" s="15" t="str">
        <f t="shared" si="25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8" t="s">
        <v>75</v>
      </c>
      <c r="P1333" s="48">
        <f>HEX2DEC(RIGHT(Table1323212753586873[[#This Row],[h1]],8))</f>
        <v>0</v>
      </c>
      <c r="Q1333" s="48" t="s">
        <v>75</v>
      </c>
      <c r="R1333" s="48">
        <f>HEX2DEC(RIGHT(Table1323212753586873[[#This Row],[h2]],8))</f>
        <v>0</v>
      </c>
    </row>
    <row r="1334" spans="1:18">
      <c r="A1334" s="15" t="str">
        <f t="shared" si="25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8" t="s">
        <v>75</v>
      </c>
      <c r="P1334" s="48">
        <f>HEX2DEC(RIGHT(Table1323212753586873[[#This Row],[h1]],8))</f>
        <v>0</v>
      </c>
      <c r="Q1334" s="48" t="s">
        <v>75</v>
      </c>
      <c r="R1334" s="48">
        <f>HEX2DEC(RIGHT(Table1323212753586873[[#This Row],[h2]],8))</f>
        <v>0</v>
      </c>
    </row>
    <row r="1335" spans="1:18">
      <c r="A1335" s="15" t="str">
        <f t="shared" si="25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8" t="s">
        <v>75</v>
      </c>
      <c r="P1335" s="48">
        <f>HEX2DEC(RIGHT(Table1323212753586873[[#This Row],[h1]],8))</f>
        <v>0</v>
      </c>
      <c r="Q1335" s="48" t="s">
        <v>75</v>
      </c>
      <c r="R1335" s="48">
        <f>HEX2DEC(RIGHT(Table1323212753586873[[#This Row],[h2]],8))</f>
        <v>0</v>
      </c>
    </row>
    <row r="1336" spans="1:18">
      <c r="A1336" s="15" t="str">
        <f t="shared" si="25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8" t="s">
        <v>75</v>
      </c>
      <c r="P1336" s="48">
        <f>HEX2DEC(RIGHT(Table1323212753586873[[#This Row],[h1]],8))</f>
        <v>0</v>
      </c>
      <c r="Q1336" s="48" t="s">
        <v>75</v>
      </c>
      <c r="R1336" s="48">
        <f>HEX2DEC(RIGHT(Table1323212753586873[[#This Row],[h2]],8))</f>
        <v>0</v>
      </c>
    </row>
    <row r="1337" spans="1:18">
      <c r="A1337" s="15" t="str">
        <f t="shared" si="25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8" t="s">
        <v>75</v>
      </c>
      <c r="P1337" s="48">
        <f>HEX2DEC(RIGHT(Table1323212753586873[[#This Row],[h1]],8))</f>
        <v>0</v>
      </c>
      <c r="Q1337" s="48" t="s">
        <v>75</v>
      </c>
      <c r="R1337" s="48">
        <f>HEX2DEC(RIGHT(Table1323212753586873[[#This Row],[h2]],8))</f>
        <v>0</v>
      </c>
    </row>
    <row r="1338" spans="1:18">
      <c r="A1338" s="15" t="str">
        <f t="shared" si="25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8" t="s">
        <v>75</v>
      </c>
      <c r="P1338" s="48">
        <f>HEX2DEC(RIGHT(Table1323212753586873[[#This Row],[h1]],8))</f>
        <v>0</v>
      </c>
      <c r="Q1338" s="48" t="s">
        <v>75</v>
      </c>
      <c r="R1338" s="48">
        <f>HEX2DEC(RIGHT(Table1323212753586873[[#This Row],[h2]],8))</f>
        <v>0</v>
      </c>
    </row>
    <row r="1339" spans="1:18">
      <c r="A1339" s="15" t="str">
        <f t="shared" si="25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8" t="s">
        <v>75</v>
      </c>
      <c r="P1339" s="48">
        <f>HEX2DEC(RIGHT(Table1323212753586873[[#This Row],[h1]],8))</f>
        <v>0</v>
      </c>
      <c r="Q1339" s="48" t="s">
        <v>75</v>
      </c>
      <c r="R1339" s="48">
        <f>HEX2DEC(RIGHT(Table1323212753586873[[#This Row],[h2]],8))</f>
        <v>0</v>
      </c>
    </row>
    <row r="1340" spans="1:18">
      <c r="A1340" s="15" t="str">
        <f t="shared" si="25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8" t="s">
        <v>75</v>
      </c>
      <c r="P1340" s="48">
        <f>HEX2DEC(RIGHT(Table1323212753586873[[#This Row],[h1]],8))</f>
        <v>0</v>
      </c>
      <c r="Q1340" s="48" t="s">
        <v>75</v>
      </c>
      <c r="R1340" s="48">
        <f>HEX2DEC(RIGHT(Table1323212753586873[[#This Row],[h2]],8))</f>
        <v>0</v>
      </c>
    </row>
    <row r="1341" spans="1:18">
      <c r="A1341" s="15" t="str">
        <f t="shared" si="25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8" t="s">
        <v>75</v>
      </c>
      <c r="P1341" s="48">
        <f>HEX2DEC(RIGHT(Table1323212753586873[[#This Row],[h1]],8))</f>
        <v>0</v>
      </c>
      <c r="Q1341" s="48" t="s">
        <v>75</v>
      </c>
      <c r="R1341" s="48">
        <f>HEX2DEC(RIGHT(Table1323212753586873[[#This Row],[h2]],8))</f>
        <v>0</v>
      </c>
    </row>
    <row r="1342" spans="1:18">
      <c r="A1342" s="15" t="str">
        <f t="shared" si="25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8" t="s">
        <v>75</v>
      </c>
      <c r="P1342" s="48">
        <f>HEX2DEC(RIGHT(Table1323212753586873[[#This Row],[h1]],8))</f>
        <v>0</v>
      </c>
      <c r="Q1342" s="48" t="s">
        <v>75</v>
      </c>
      <c r="R1342" s="48">
        <f>HEX2DEC(RIGHT(Table1323212753586873[[#This Row],[h2]],8))</f>
        <v>0</v>
      </c>
    </row>
    <row r="1343" spans="1:18">
      <c r="A1343" s="15" t="str">
        <f t="shared" si="25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8" t="s">
        <v>75</v>
      </c>
      <c r="P1343" s="48">
        <f>HEX2DEC(RIGHT(Table1323212753586873[[#This Row],[h1]],8))</f>
        <v>0</v>
      </c>
      <c r="Q1343" s="48" t="s">
        <v>75</v>
      </c>
      <c r="R1343" s="48">
        <f>HEX2DEC(RIGHT(Table1323212753586873[[#This Row],[h2]],8))</f>
        <v>0</v>
      </c>
    </row>
    <row r="1344" spans="1:18">
      <c r="A1344" s="15" t="str">
        <f t="shared" si="25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8" t="s">
        <v>75</v>
      </c>
      <c r="P1344" s="48">
        <f>HEX2DEC(RIGHT(Table1323212753586873[[#This Row],[h1]],8))</f>
        <v>0</v>
      </c>
      <c r="Q1344" s="48" t="s">
        <v>75</v>
      </c>
      <c r="R1344" s="48">
        <f>HEX2DEC(RIGHT(Table1323212753586873[[#This Row],[h2]],8))</f>
        <v>0</v>
      </c>
    </row>
    <row r="1345" spans="1:18">
      <c r="A1345" s="15" t="str">
        <f t="shared" si="25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8" t="s">
        <v>75</v>
      </c>
      <c r="P1345" s="48">
        <f>HEX2DEC(RIGHT(Table1323212753586873[[#This Row],[h1]],8))</f>
        <v>0</v>
      </c>
      <c r="Q1345" s="48" t="s">
        <v>75</v>
      </c>
      <c r="R1345" s="48">
        <f>HEX2DEC(RIGHT(Table1323212753586873[[#This Row],[h2]],8))</f>
        <v>0</v>
      </c>
    </row>
    <row r="1346" spans="1:18">
      <c r="A1346" s="15" t="str">
        <f t="shared" si="25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8" t="s">
        <v>75</v>
      </c>
      <c r="P1346" s="48">
        <f>HEX2DEC(RIGHT(Table1323212753586873[[#This Row],[h1]],8))</f>
        <v>0</v>
      </c>
      <c r="Q1346" s="48" t="s">
        <v>75</v>
      </c>
      <c r="R1346" s="48">
        <f>HEX2DEC(RIGHT(Table1323212753586873[[#This Row],[h2]],8))</f>
        <v>0</v>
      </c>
    </row>
    <row r="1347" spans="1:18">
      <c r="A1347" s="15" t="str">
        <f t="shared" si="25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8" t="s">
        <v>75</v>
      </c>
      <c r="P1347" s="48">
        <f>HEX2DEC(RIGHT(Table1323212753586873[[#This Row],[h1]],8))</f>
        <v>0</v>
      </c>
      <c r="Q1347" s="48" t="s">
        <v>75</v>
      </c>
      <c r="R1347" s="48">
        <f>HEX2DEC(RIGHT(Table1323212753586873[[#This Row],[h2]],8))</f>
        <v>0</v>
      </c>
    </row>
    <row r="1348" spans="1:18">
      <c r="A1348" s="15" t="str">
        <f t="shared" si="25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8" t="s">
        <v>75</v>
      </c>
      <c r="P1348" s="48">
        <f>HEX2DEC(RIGHT(Table1323212753586873[[#This Row],[h1]],8))</f>
        <v>0</v>
      </c>
      <c r="Q1348" s="48" t="s">
        <v>75</v>
      </c>
      <c r="R1348" s="48">
        <f>HEX2DEC(RIGHT(Table1323212753586873[[#This Row],[h2]],8))</f>
        <v>0</v>
      </c>
    </row>
    <row r="1349" spans="1:18">
      <c r="A1349" s="15" t="str">
        <f t="shared" si="25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8" t="s">
        <v>75</v>
      </c>
      <c r="P1349" s="48">
        <f>HEX2DEC(RIGHT(Table1323212753586873[[#This Row],[h1]],8))</f>
        <v>0</v>
      </c>
      <c r="Q1349" s="48" t="s">
        <v>75</v>
      </c>
      <c r="R1349" s="48">
        <f>HEX2DEC(RIGHT(Table1323212753586873[[#This Row],[h2]],8))</f>
        <v>0</v>
      </c>
    </row>
    <row r="1350" spans="1:18">
      <c r="A1350" s="15" t="str">
        <f t="shared" si="25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8" t="s">
        <v>75</v>
      </c>
      <c r="P1350" s="48">
        <f>HEX2DEC(RIGHT(Table1323212753586873[[#This Row],[h1]],8))</f>
        <v>0</v>
      </c>
      <c r="Q1350" s="48" t="s">
        <v>75</v>
      </c>
      <c r="R1350" s="48">
        <f>HEX2DEC(RIGHT(Table1323212753586873[[#This Row],[h2]],8))</f>
        <v>0</v>
      </c>
    </row>
    <row r="1351" spans="1:18">
      <c r="A1351" s="15" t="str">
        <f t="shared" si="25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8" t="s">
        <v>75</v>
      </c>
      <c r="P1351" s="48">
        <f>HEX2DEC(RIGHT(Table1323212753586873[[#This Row],[h1]],8))</f>
        <v>0</v>
      </c>
      <c r="Q1351" s="48" t="s">
        <v>75</v>
      </c>
      <c r="R1351" s="48">
        <f>HEX2DEC(RIGHT(Table1323212753586873[[#This Row],[h2]],8))</f>
        <v>0</v>
      </c>
    </row>
    <row r="1352" spans="1:18">
      <c r="A1352" s="15" t="str">
        <f t="shared" si="25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8" t="s">
        <v>75</v>
      </c>
      <c r="P1352" s="48">
        <f>HEX2DEC(RIGHT(Table1323212753586873[[#This Row],[h1]],8))</f>
        <v>0</v>
      </c>
      <c r="Q1352" s="48" t="s">
        <v>75</v>
      </c>
      <c r="R1352" s="48">
        <f>HEX2DEC(RIGHT(Table1323212753586873[[#This Row],[h2]],8))</f>
        <v>0</v>
      </c>
    </row>
    <row r="1353" spans="1:18">
      <c r="A1353" s="15" t="str">
        <f t="shared" si="25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8" t="s">
        <v>75</v>
      </c>
      <c r="P1353" s="48">
        <f>HEX2DEC(RIGHT(Table1323212753586873[[#This Row],[h1]],8))</f>
        <v>0</v>
      </c>
      <c r="Q1353" s="48" t="s">
        <v>75</v>
      </c>
      <c r="R1353" s="48">
        <f>HEX2DEC(RIGHT(Table1323212753586873[[#This Row],[h2]],8))</f>
        <v>0</v>
      </c>
    </row>
    <row r="1354" spans="1:18">
      <c r="A1354" s="15" t="str">
        <f t="shared" si="25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8" t="s">
        <v>75</v>
      </c>
      <c r="P1354" s="48">
        <f>HEX2DEC(RIGHT(Table1323212753586873[[#This Row],[h1]],8))</f>
        <v>0</v>
      </c>
      <c r="Q1354" s="48" t="s">
        <v>75</v>
      </c>
      <c r="R1354" s="48">
        <f>HEX2DEC(RIGHT(Table1323212753586873[[#This Row],[h2]],8))</f>
        <v>0</v>
      </c>
    </row>
    <row r="1355" spans="1:18">
      <c r="A1355" s="15" t="str">
        <f t="shared" ref="A1355:A1418" si="26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8" t="s">
        <v>75</v>
      </c>
      <c r="P1355" s="48">
        <f>HEX2DEC(RIGHT(Table1323212753586873[[#This Row],[h1]],8))</f>
        <v>0</v>
      </c>
      <c r="Q1355" s="48" t="s">
        <v>75</v>
      </c>
      <c r="R1355" s="48">
        <f>HEX2DEC(RIGHT(Table1323212753586873[[#This Row],[h2]],8))</f>
        <v>0</v>
      </c>
    </row>
    <row r="1356" spans="1:18">
      <c r="A1356" s="15" t="str">
        <f t="shared" si="26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8" t="s">
        <v>75</v>
      </c>
      <c r="P1356" s="48">
        <f>HEX2DEC(RIGHT(Table1323212753586873[[#This Row],[h1]],8))</f>
        <v>0</v>
      </c>
      <c r="Q1356" s="48" t="s">
        <v>75</v>
      </c>
      <c r="R1356" s="48">
        <f>HEX2DEC(RIGHT(Table1323212753586873[[#This Row],[h2]],8))</f>
        <v>0</v>
      </c>
    </row>
    <row r="1357" spans="1:18">
      <c r="A1357" s="15" t="str">
        <f t="shared" si="26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8" t="s">
        <v>75</v>
      </c>
      <c r="P1357" s="48">
        <f>HEX2DEC(RIGHT(Table1323212753586873[[#This Row],[h1]],8))</f>
        <v>0</v>
      </c>
      <c r="Q1357" s="48" t="s">
        <v>75</v>
      </c>
      <c r="R1357" s="48">
        <f>HEX2DEC(RIGHT(Table1323212753586873[[#This Row],[h2]],8))</f>
        <v>0</v>
      </c>
    </row>
    <row r="1358" spans="1:18">
      <c r="A1358" s="15" t="str">
        <f t="shared" si="26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8" t="s">
        <v>75</v>
      </c>
      <c r="P1358" s="48">
        <f>HEX2DEC(RIGHT(Table1323212753586873[[#This Row],[h1]],8))</f>
        <v>0</v>
      </c>
      <c r="Q1358" s="48" t="s">
        <v>75</v>
      </c>
      <c r="R1358" s="48">
        <f>HEX2DEC(RIGHT(Table1323212753586873[[#This Row],[h2]],8))</f>
        <v>0</v>
      </c>
    </row>
    <row r="1359" spans="1:18">
      <c r="A1359" s="15" t="str">
        <f t="shared" si="26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8" t="s">
        <v>75</v>
      </c>
      <c r="P1359" s="48">
        <f>HEX2DEC(RIGHT(Table1323212753586873[[#This Row],[h1]],8))</f>
        <v>0</v>
      </c>
      <c r="Q1359" s="48" t="s">
        <v>75</v>
      </c>
      <c r="R1359" s="48">
        <f>HEX2DEC(RIGHT(Table1323212753586873[[#This Row],[h2]],8))</f>
        <v>0</v>
      </c>
    </row>
    <row r="1360" spans="1:18">
      <c r="A1360" s="15" t="str">
        <f t="shared" si="26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8" t="s">
        <v>75</v>
      </c>
      <c r="P1360" s="48">
        <f>HEX2DEC(RIGHT(Table1323212753586873[[#This Row],[h1]],8))</f>
        <v>0</v>
      </c>
      <c r="Q1360" s="48" t="s">
        <v>75</v>
      </c>
      <c r="R1360" s="48">
        <f>HEX2DEC(RIGHT(Table1323212753586873[[#This Row],[h2]],8))</f>
        <v>0</v>
      </c>
    </row>
    <row r="1361" spans="1:18">
      <c r="A1361" s="15" t="str">
        <f t="shared" si="26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8" t="s">
        <v>75</v>
      </c>
      <c r="P1361" s="48">
        <f>HEX2DEC(RIGHT(Table1323212753586873[[#This Row],[h1]],8))</f>
        <v>0</v>
      </c>
      <c r="Q1361" s="48" t="s">
        <v>75</v>
      </c>
      <c r="R1361" s="48">
        <f>HEX2DEC(RIGHT(Table1323212753586873[[#This Row],[h2]],8))</f>
        <v>0</v>
      </c>
    </row>
    <row r="1362" spans="1:18">
      <c r="A1362" s="15" t="str">
        <f t="shared" si="26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8" t="s">
        <v>75</v>
      </c>
      <c r="P1362" s="48">
        <f>HEX2DEC(RIGHT(Table1323212753586873[[#This Row],[h1]],8))</f>
        <v>0</v>
      </c>
      <c r="Q1362" s="48" t="s">
        <v>75</v>
      </c>
      <c r="R1362" s="48">
        <f>HEX2DEC(RIGHT(Table1323212753586873[[#This Row],[h2]],8))</f>
        <v>0</v>
      </c>
    </row>
    <row r="1363" spans="1:18">
      <c r="A1363" s="15" t="str">
        <f t="shared" si="26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8" t="s">
        <v>75</v>
      </c>
      <c r="P1363" s="48">
        <f>HEX2DEC(RIGHT(Table1323212753586873[[#This Row],[h1]],8))</f>
        <v>0</v>
      </c>
      <c r="Q1363" s="48" t="s">
        <v>75</v>
      </c>
      <c r="R1363" s="48">
        <f>HEX2DEC(RIGHT(Table1323212753586873[[#This Row],[h2]],8))</f>
        <v>0</v>
      </c>
    </row>
    <row r="1364" spans="1:18">
      <c r="A1364" s="15" t="str">
        <f t="shared" si="26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8" t="s">
        <v>75</v>
      </c>
      <c r="P1364" s="48">
        <f>HEX2DEC(RIGHT(Table1323212753586873[[#This Row],[h1]],8))</f>
        <v>0</v>
      </c>
      <c r="Q1364" s="48" t="s">
        <v>75</v>
      </c>
      <c r="R1364" s="48">
        <f>HEX2DEC(RIGHT(Table1323212753586873[[#This Row],[h2]],8))</f>
        <v>0</v>
      </c>
    </row>
    <row r="1365" spans="1:18">
      <c r="A1365" s="15" t="str">
        <f t="shared" si="26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8" t="s">
        <v>75</v>
      </c>
      <c r="P1365" s="48">
        <f>HEX2DEC(RIGHT(Table1323212753586873[[#This Row],[h1]],8))</f>
        <v>0</v>
      </c>
      <c r="Q1365" s="48" t="s">
        <v>75</v>
      </c>
      <c r="R1365" s="48">
        <f>HEX2DEC(RIGHT(Table1323212753586873[[#This Row],[h2]],8))</f>
        <v>0</v>
      </c>
    </row>
    <row r="1366" spans="1:18">
      <c r="A1366" s="15" t="str">
        <f t="shared" si="26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8" t="s">
        <v>75</v>
      </c>
      <c r="P1366" s="48">
        <f>HEX2DEC(RIGHT(Table1323212753586873[[#This Row],[h1]],8))</f>
        <v>0</v>
      </c>
      <c r="Q1366" s="48" t="s">
        <v>75</v>
      </c>
      <c r="R1366" s="48">
        <f>HEX2DEC(RIGHT(Table1323212753586873[[#This Row],[h2]],8))</f>
        <v>0</v>
      </c>
    </row>
    <row r="1367" spans="1:18">
      <c r="A1367" s="15" t="str">
        <f t="shared" si="26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8" t="s">
        <v>75</v>
      </c>
      <c r="P1367" s="48">
        <f>HEX2DEC(RIGHT(Table1323212753586873[[#This Row],[h1]],8))</f>
        <v>0</v>
      </c>
      <c r="Q1367" s="48" t="s">
        <v>75</v>
      </c>
      <c r="R1367" s="48">
        <f>HEX2DEC(RIGHT(Table1323212753586873[[#This Row],[h2]],8))</f>
        <v>0</v>
      </c>
    </row>
    <row r="1368" spans="1:18">
      <c r="A1368" s="15" t="str">
        <f t="shared" si="26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8" t="s">
        <v>75</v>
      </c>
      <c r="P1368" s="48">
        <f>HEX2DEC(RIGHT(Table1323212753586873[[#This Row],[h1]],8))</f>
        <v>0</v>
      </c>
      <c r="Q1368" s="48" t="s">
        <v>75</v>
      </c>
      <c r="R1368" s="48">
        <f>HEX2DEC(RIGHT(Table1323212753586873[[#This Row],[h2]],8))</f>
        <v>0</v>
      </c>
    </row>
    <row r="1369" spans="1:18">
      <c r="A1369" s="15" t="str">
        <f t="shared" si="26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8" t="s">
        <v>75</v>
      </c>
      <c r="P1369" s="48">
        <f>HEX2DEC(RIGHT(Table1323212753586873[[#This Row],[h1]],8))</f>
        <v>0</v>
      </c>
      <c r="Q1369" s="48" t="s">
        <v>75</v>
      </c>
      <c r="R1369" s="48">
        <f>HEX2DEC(RIGHT(Table1323212753586873[[#This Row],[h2]],8))</f>
        <v>0</v>
      </c>
    </row>
    <row r="1370" spans="1:18">
      <c r="A1370" s="15" t="str">
        <f t="shared" si="26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8" t="s">
        <v>75</v>
      </c>
      <c r="P1370" s="48">
        <f>HEX2DEC(RIGHT(Table1323212753586873[[#This Row],[h1]],8))</f>
        <v>0</v>
      </c>
      <c r="Q1370" s="48" t="s">
        <v>75</v>
      </c>
      <c r="R1370" s="48">
        <f>HEX2DEC(RIGHT(Table1323212753586873[[#This Row],[h2]],8))</f>
        <v>0</v>
      </c>
    </row>
    <row r="1371" spans="1:18">
      <c r="A1371" s="15" t="str">
        <f t="shared" si="26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8" t="s">
        <v>75</v>
      </c>
      <c r="P1371" s="48">
        <f>HEX2DEC(RIGHT(Table1323212753586873[[#This Row],[h1]],8))</f>
        <v>0</v>
      </c>
      <c r="Q1371" s="48" t="s">
        <v>75</v>
      </c>
      <c r="R1371" s="48">
        <f>HEX2DEC(RIGHT(Table1323212753586873[[#This Row],[h2]],8))</f>
        <v>0</v>
      </c>
    </row>
    <row r="1372" spans="1:18">
      <c r="A1372" s="15" t="str">
        <f t="shared" si="26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8" t="s">
        <v>75</v>
      </c>
      <c r="P1372" s="48">
        <f>HEX2DEC(RIGHT(Table1323212753586873[[#This Row],[h1]],8))</f>
        <v>0</v>
      </c>
      <c r="Q1372" s="48" t="s">
        <v>75</v>
      </c>
      <c r="R1372" s="48">
        <f>HEX2DEC(RIGHT(Table1323212753586873[[#This Row],[h2]],8))</f>
        <v>0</v>
      </c>
    </row>
    <row r="1373" spans="1:18">
      <c r="A1373" s="15" t="str">
        <f t="shared" si="26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8" t="s">
        <v>75</v>
      </c>
      <c r="P1373" s="48">
        <f>HEX2DEC(RIGHT(Table1323212753586873[[#This Row],[h1]],8))</f>
        <v>0</v>
      </c>
      <c r="Q1373" s="48" t="s">
        <v>75</v>
      </c>
      <c r="R1373" s="48">
        <f>HEX2DEC(RIGHT(Table1323212753586873[[#This Row],[h2]],8))</f>
        <v>0</v>
      </c>
    </row>
    <row r="1374" spans="1:18">
      <c r="A1374" s="15" t="str">
        <f t="shared" si="26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8" t="s">
        <v>75</v>
      </c>
      <c r="P1374" s="48">
        <f>HEX2DEC(RIGHT(Table1323212753586873[[#This Row],[h1]],8))</f>
        <v>0</v>
      </c>
      <c r="Q1374" s="48" t="s">
        <v>75</v>
      </c>
      <c r="R1374" s="48">
        <f>HEX2DEC(RIGHT(Table1323212753586873[[#This Row],[h2]],8))</f>
        <v>0</v>
      </c>
    </row>
    <row r="1375" spans="1:18">
      <c r="A1375" s="15" t="str">
        <f t="shared" si="26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8" t="s">
        <v>75</v>
      </c>
      <c r="P1375" s="48">
        <f>HEX2DEC(RIGHT(Table1323212753586873[[#This Row],[h1]],8))</f>
        <v>0</v>
      </c>
      <c r="Q1375" s="48" t="s">
        <v>75</v>
      </c>
      <c r="R1375" s="48">
        <f>HEX2DEC(RIGHT(Table1323212753586873[[#This Row],[h2]],8))</f>
        <v>0</v>
      </c>
    </row>
    <row r="1376" spans="1:18">
      <c r="A1376" s="15" t="str">
        <f t="shared" si="26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8" t="s">
        <v>75</v>
      </c>
      <c r="P1376" s="48">
        <f>HEX2DEC(RIGHT(Table1323212753586873[[#This Row],[h1]],8))</f>
        <v>0</v>
      </c>
      <c r="Q1376" s="48" t="s">
        <v>75</v>
      </c>
      <c r="R1376" s="48">
        <f>HEX2DEC(RIGHT(Table1323212753586873[[#This Row],[h2]],8))</f>
        <v>0</v>
      </c>
    </row>
    <row r="1377" spans="1:18">
      <c r="A1377" s="15" t="str">
        <f t="shared" si="26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8" t="s">
        <v>75</v>
      </c>
      <c r="P1377" s="48">
        <f>HEX2DEC(RIGHT(Table1323212753586873[[#This Row],[h1]],8))</f>
        <v>0</v>
      </c>
      <c r="Q1377" s="48" t="s">
        <v>75</v>
      </c>
      <c r="R1377" s="48">
        <f>HEX2DEC(RIGHT(Table1323212753586873[[#This Row],[h2]],8))</f>
        <v>0</v>
      </c>
    </row>
    <row r="1378" spans="1:18">
      <c r="A1378" s="15" t="str">
        <f t="shared" si="26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8" t="s">
        <v>75</v>
      </c>
      <c r="P1378" s="48">
        <f>HEX2DEC(RIGHT(Table1323212753586873[[#This Row],[h1]],8))</f>
        <v>0</v>
      </c>
      <c r="Q1378" s="48" t="s">
        <v>75</v>
      </c>
      <c r="R1378" s="48">
        <f>HEX2DEC(RIGHT(Table1323212753586873[[#This Row],[h2]],8))</f>
        <v>0</v>
      </c>
    </row>
    <row r="1379" spans="1:18">
      <c r="A1379" s="15" t="str">
        <f t="shared" si="26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8" t="s">
        <v>75</v>
      </c>
      <c r="P1379" s="48">
        <f>HEX2DEC(RIGHT(Table1323212753586873[[#This Row],[h1]],8))</f>
        <v>0</v>
      </c>
      <c r="Q1379" s="48" t="s">
        <v>75</v>
      </c>
      <c r="R1379" s="48">
        <f>HEX2DEC(RIGHT(Table1323212753586873[[#This Row],[h2]],8))</f>
        <v>0</v>
      </c>
    </row>
    <row r="1380" spans="1:18">
      <c r="A1380" s="15" t="str">
        <f t="shared" si="26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8" t="s">
        <v>75</v>
      </c>
      <c r="P1380" s="48">
        <f>HEX2DEC(RIGHT(Table1323212753586873[[#This Row],[h1]],8))</f>
        <v>0</v>
      </c>
      <c r="Q1380" s="48" t="s">
        <v>75</v>
      </c>
      <c r="R1380" s="48">
        <f>HEX2DEC(RIGHT(Table1323212753586873[[#This Row],[h2]],8))</f>
        <v>0</v>
      </c>
    </row>
    <row r="1381" spans="1:18">
      <c r="A1381" s="15" t="str">
        <f t="shared" si="26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8" t="s">
        <v>75</v>
      </c>
      <c r="P1381" s="48">
        <f>HEX2DEC(RIGHT(Table1323212753586873[[#This Row],[h1]],8))</f>
        <v>0</v>
      </c>
      <c r="Q1381" s="48" t="s">
        <v>75</v>
      </c>
      <c r="R1381" s="48">
        <f>HEX2DEC(RIGHT(Table1323212753586873[[#This Row],[h2]],8))</f>
        <v>0</v>
      </c>
    </row>
    <row r="1382" spans="1:18">
      <c r="A1382" s="15" t="str">
        <f t="shared" si="26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8" t="s">
        <v>75</v>
      </c>
      <c r="P1382" s="48">
        <f>HEX2DEC(RIGHT(Table1323212753586873[[#This Row],[h1]],8))</f>
        <v>0</v>
      </c>
      <c r="Q1382" s="48" t="s">
        <v>75</v>
      </c>
      <c r="R1382" s="48">
        <f>HEX2DEC(RIGHT(Table1323212753586873[[#This Row],[h2]],8))</f>
        <v>0</v>
      </c>
    </row>
    <row r="1383" spans="1:18">
      <c r="A1383" s="15" t="str">
        <f t="shared" si="26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8" t="s">
        <v>75</v>
      </c>
      <c r="P1383" s="48">
        <f>HEX2DEC(RIGHT(Table1323212753586873[[#This Row],[h1]],8))</f>
        <v>0</v>
      </c>
      <c r="Q1383" s="48" t="s">
        <v>75</v>
      </c>
      <c r="R1383" s="48">
        <f>HEX2DEC(RIGHT(Table1323212753586873[[#This Row],[h2]],8))</f>
        <v>0</v>
      </c>
    </row>
    <row r="1384" spans="1:18">
      <c r="A1384" s="15" t="str">
        <f t="shared" si="26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8" t="s">
        <v>75</v>
      </c>
      <c r="P1384" s="48">
        <f>HEX2DEC(RIGHT(Table1323212753586873[[#This Row],[h1]],8))</f>
        <v>0</v>
      </c>
      <c r="Q1384" s="48" t="s">
        <v>75</v>
      </c>
      <c r="R1384" s="48">
        <f>HEX2DEC(RIGHT(Table1323212753586873[[#This Row],[h2]],8))</f>
        <v>0</v>
      </c>
    </row>
    <row r="1385" spans="1:18">
      <c r="A1385" s="15" t="str">
        <f t="shared" si="26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8" t="s">
        <v>75</v>
      </c>
      <c r="P1385" s="48">
        <f>HEX2DEC(RIGHT(Table1323212753586873[[#This Row],[h1]],8))</f>
        <v>0</v>
      </c>
      <c r="Q1385" s="48" t="s">
        <v>75</v>
      </c>
      <c r="R1385" s="48">
        <f>HEX2DEC(RIGHT(Table1323212753586873[[#This Row],[h2]],8))</f>
        <v>0</v>
      </c>
    </row>
    <row r="1386" spans="1:18">
      <c r="A1386" s="15" t="str">
        <f t="shared" si="26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8" t="s">
        <v>75</v>
      </c>
      <c r="P1386" s="48">
        <f>HEX2DEC(RIGHT(Table1323212753586873[[#This Row],[h1]],8))</f>
        <v>0</v>
      </c>
      <c r="Q1386" s="48" t="s">
        <v>75</v>
      </c>
      <c r="R1386" s="48">
        <f>HEX2DEC(RIGHT(Table1323212753586873[[#This Row],[h2]],8))</f>
        <v>0</v>
      </c>
    </row>
    <row r="1387" spans="1:18">
      <c r="A1387" s="15" t="str">
        <f t="shared" si="26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8" t="s">
        <v>75</v>
      </c>
      <c r="P1387" s="48">
        <f>HEX2DEC(RIGHT(Table1323212753586873[[#This Row],[h1]],8))</f>
        <v>0</v>
      </c>
      <c r="Q1387" s="48" t="s">
        <v>75</v>
      </c>
      <c r="R1387" s="48">
        <f>HEX2DEC(RIGHT(Table1323212753586873[[#This Row],[h2]],8))</f>
        <v>0</v>
      </c>
    </row>
    <row r="1388" spans="1:18">
      <c r="A1388" s="15" t="str">
        <f t="shared" si="26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8" t="s">
        <v>75</v>
      </c>
      <c r="P1388" s="48">
        <f>HEX2DEC(RIGHT(Table1323212753586873[[#This Row],[h1]],8))</f>
        <v>0</v>
      </c>
      <c r="Q1388" s="48" t="s">
        <v>75</v>
      </c>
      <c r="R1388" s="48">
        <f>HEX2DEC(RIGHT(Table1323212753586873[[#This Row],[h2]],8))</f>
        <v>0</v>
      </c>
    </row>
    <row r="1389" spans="1:18">
      <c r="A1389" s="15" t="str">
        <f t="shared" si="26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8" t="s">
        <v>75</v>
      </c>
      <c r="P1389" s="48">
        <f>HEX2DEC(RIGHT(Table1323212753586873[[#This Row],[h1]],8))</f>
        <v>0</v>
      </c>
      <c r="Q1389" s="48" t="s">
        <v>75</v>
      </c>
      <c r="R1389" s="48">
        <f>HEX2DEC(RIGHT(Table1323212753586873[[#This Row],[h2]],8))</f>
        <v>0</v>
      </c>
    </row>
    <row r="1390" spans="1:18">
      <c r="A1390" s="15" t="str">
        <f t="shared" si="26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8" t="s">
        <v>75</v>
      </c>
      <c r="P1390" s="48">
        <f>HEX2DEC(RIGHT(Table1323212753586873[[#This Row],[h1]],8))</f>
        <v>0</v>
      </c>
      <c r="Q1390" s="48" t="s">
        <v>75</v>
      </c>
      <c r="R1390" s="48">
        <f>HEX2DEC(RIGHT(Table1323212753586873[[#This Row],[h2]],8))</f>
        <v>0</v>
      </c>
    </row>
    <row r="1391" spans="1:18">
      <c r="A1391" s="15" t="str">
        <f t="shared" si="26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8" t="s">
        <v>75</v>
      </c>
      <c r="P1391" s="48">
        <f>HEX2DEC(RIGHT(Table1323212753586873[[#This Row],[h1]],8))</f>
        <v>0</v>
      </c>
      <c r="Q1391" s="48" t="s">
        <v>75</v>
      </c>
      <c r="R1391" s="48">
        <f>HEX2DEC(RIGHT(Table1323212753586873[[#This Row],[h2]],8))</f>
        <v>0</v>
      </c>
    </row>
    <row r="1392" spans="1:18">
      <c r="A1392" s="15" t="str">
        <f t="shared" si="26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8" t="s">
        <v>75</v>
      </c>
      <c r="P1392" s="48">
        <f>HEX2DEC(RIGHT(Table1323212753586873[[#This Row],[h1]],8))</f>
        <v>0</v>
      </c>
      <c r="Q1392" s="48" t="s">
        <v>75</v>
      </c>
      <c r="R1392" s="48">
        <f>HEX2DEC(RIGHT(Table1323212753586873[[#This Row],[h2]],8))</f>
        <v>0</v>
      </c>
    </row>
    <row r="1393" spans="1:18">
      <c r="A1393" s="15" t="str">
        <f t="shared" si="26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8" t="s">
        <v>75</v>
      </c>
      <c r="P1393" s="48">
        <f>HEX2DEC(RIGHT(Table1323212753586873[[#This Row],[h1]],8))</f>
        <v>0</v>
      </c>
      <c r="Q1393" s="48" t="s">
        <v>75</v>
      </c>
      <c r="R1393" s="48">
        <f>HEX2DEC(RIGHT(Table1323212753586873[[#This Row],[h2]],8))</f>
        <v>0</v>
      </c>
    </row>
    <row r="1394" spans="1:18">
      <c r="A1394" s="15" t="str">
        <f t="shared" si="26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8" t="s">
        <v>75</v>
      </c>
      <c r="P1394" s="48">
        <f>HEX2DEC(RIGHT(Table1323212753586873[[#This Row],[h1]],8))</f>
        <v>0</v>
      </c>
      <c r="Q1394" s="48" t="s">
        <v>75</v>
      </c>
      <c r="R1394" s="48">
        <f>HEX2DEC(RIGHT(Table1323212753586873[[#This Row],[h2]],8))</f>
        <v>0</v>
      </c>
    </row>
    <row r="1395" spans="1:18">
      <c r="A1395" s="15" t="str">
        <f t="shared" si="26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8" t="s">
        <v>75</v>
      </c>
      <c r="P1395" s="48">
        <f>HEX2DEC(RIGHT(Table1323212753586873[[#This Row],[h1]],8))</f>
        <v>0</v>
      </c>
      <c r="Q1395" s="48" t="s">
        <v>75</v>
      </c>
      <c r="R1395" s="48">
        <f>HEX2DEC(RIGHT(Table1323212753586873[[#This Row],[h2]],8))</f>
        <v>0</v>
      </c>
    </row>
    <row r="1396" spans="1:18">
      <c r="A1396" s="15" t="str">
        <f t="shared" si="26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8" t="s">
        <v>75</v>
      </c>
      <c r="P1396" s="48">
        <f>HEX2DEC(RIGHT(Table1323212753586873[[#This Row],[h1]],8))</f>
        <v>0</v>
      </c>
      <c r="Q1396" s="48" t="s">
        <v>75</v>
      </c>
      <c r="R1396" s="48">
        <f>HEX2DEC(RIGHT(Table1323212753586873[[#This Row],[h2]],8))</f>
        <v>0</v>
      </c>
    </row>
    <row r="1397" spans="1:18">
      <c r="A1397" s="15" t="str">
        <f t="shared" si="26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8" t="s">
        <v>75</v>
      </c>
      <c r="P1397" s="48">
        <f>HEX2DEC(RIGHT(Table1323212753586873[[#This Row],[h1]],8))</f>
        <v>0</v>
      </c>
      <c r="Q1397" s="48" t="s">
        <v>75</v>
      </c>
      <c r="R1397" s="48">
        <f>HEX2DEC(RIGHT(Table1323212753586873[[#This Row],[h2]],8))</f>
        <v>0</v>
      </c>
    </row>
    <row r="1398" spans="1:18">
      <c r="A1398" s="15" t="str">
        <f t="shared" si="26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8" t="s">
        <v>75</v>
      </c>
      <c r="P1398" s="48">
        <f>HEX2DEC(RIGHT(Table1323212753586873[[#This Row],[h1]],8))</f>
        <v>0</v>
      </c>
      <c r="Q1398" s="48" t="s">
        <v>75</v>
      </c>
      <c r="R1398" s="48">
        <f>HEX2DEC(RIGHT(Table1323212753586873[[#This Row],[h2]],8))</f>
        <v>0</v>
      </c>
    </row>
    <row r="1399" spans="1:18">
      <c r="A1399" s="15" t="str">
        <f t="shared" si="26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8" t="s">
        <v>75</v>
      </c>
      <c r="P1399" s="48">
        <f>HEX2DEC(RIGHT(Table1323212753586873[[#This Row],[h1]],8))</f>
        <v>0</v>
      </c>
      <c r="Q1399" s="48" t="s">
        <v>75</v>
      </c>
      <c r="R1399" s="48">
        <f>HEX2DEC(RIGHT(Table1323212753586873[[#This Row],[h2]],8))</f>
        <v>0</v>
      </c>
    </row>
    <row r="1400" spans="1:18">
      <c r="A1400" s="15" t="str">
        <f t="shared" si="26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8" t="s">
        <v>75</v>
      </c>
      <c r="P1400" s="48">
        <f>HEX2DEC(RIGHT(Table1323212753586873[[#This Row],[h1]],8))</f>
        <v>0</v>
      </c>
      <c r="Q1400" s="48" t="s">
        <v>75</v>
      </c>
      <c r="R1400" s="48">
        <f>HEX2DEC(RIGHT(Table1323212753586873[[#This Row],[h2]],8))</f>
        <v>0</v>
      </c>
    </row>
    <row r="1401" spans="1:18">
      <c r="A1401" s="15" t="str">
        <f t="shared" si="26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8" t="s">
        <v>75</v>
      </c>
      <c r="P1401" s="48">
        <f>HEX2DEC(RIGHT(Table1323212753586873[[#This Row],[h1]],8))</f>
        <v>0</v>
      </c>
      <c r="Q1401" s="48" t="s">
        <v>75</v>
      </c>
      <c r="R1401" s="48">
        <f>HEX2DEC(RIGHT(Table1323212753586873[[#This Row],[h2]],8))</f>
        <v>0</v>
      </c>
    </row>
    <row r="1402" spans="1:18">
      <c r="A1402" s="15" t="str">
        <f t="shared" si="26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8" t="s">
        <v>75</v>
      </c>
      <c r="P1402" s="48">
        <f>HEX2DEC(RIGHT(Table1323212753586873[[#This Row],[h1]],8))</f>
        <v>0</v>
      </c>
      <c r="Q1402" s="48" t="s">
        <v>75</v>
      </c>
      <c r="R1402" s="48">
        <f>HEX2DEC(RIGHT(Table1323212753586873[[#This Row],[h2]],8))</f>
        <v>0</v>
      </c>
    </row>
    <row r="1403" spans="1:18">
      <c r="A1403" s="15" t="str">
        <f t="shared" si="26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8" t="s">
        <v>75</v>
      </c>
      <c r="P1403" s="48">
        <f>HEX2DEC(RIGHT(Table1323212753586873[[#This Row],[h1]],8))</f>
        <v>0</v>
      </c>
      <c r="Q1403" s="48" t="s">
        <v>75</v>
      </c>
      <c r="R1403" s="48">
        <f>HEX2DEC(RIGHT(Table1323212753586873[[#This Row],[h2]],8))</f>
        <v>0</v>
      </c>
    </row>
    <row r="1404" spans="1:18">
      <c r="A1404" s="15" t="str">
        <f t="shared" si="26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8" t="s">
        <v>75</v>
      </c>
      <c r="P1404" s="48">
        <f>HEX2DEC(RIGHT(Table1323212753586873[[#This Row],[h1]],8))</f>
        <v>0</v>
      </c>
      <c r="Q1404" s="48" t="s">
        <v>75</v>
      </c>
      <c r="R1404" s="48">
        <f>HEX2DEC(RIGHT(Table1323212753586873[[#This Row],[h2]],8))</f>
        <v>0</v>
      </c>
    </row>
    <row r="1405" spans="1:18">
      <c r="A1405" s="15" t="str">
        <f t="shared" si="26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8" t="s">
        <v>75</v>
      </c>
      <c r="P1405" s="48">
        <f>HEX2DEC(RIGHT(Table1323212753586873[[#This Row],[h1]],8))</f>
        <v>0</v>
      </c>
      <c r="Q1405" s="48" t="s">
        <v>75</v>
      </c>
      <c r="R1405" s="48">
        <f>HEX2DEC(RIGHT(Table1323212753586873[[#This Row],[h2]],8))</f>
        <v>0</v>
      </c>
    </row>
    <row r="1406" spans="1:18">
      <c r="A1406" s="15" t="str">
        <f t="shared" si="26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8" t="s">
        <v>75</v>
      </c>
      <c r="P1406" s="48">
        <f>HEX2DEC(RIGHT(Table1323212753586873[[#This Row],[h1]],8))</f>
        <v>0</v>
      </c>
      <c r="Q1406" s="48" t="s">
        <v>75</v>
      </c>
      <c r="R1406" s="48">
        <f>HEX2DEC(RIGHT(Table1323212753586873[[#This Row],[h2]],8))</f>
        <v>0</v>
      </c>
    </row>
    <row r="1407" spans="1:18">
      <c r="A1407" s="15" t="str">
        <f t="shared" si="26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8" t="s">
        <v>75</v>
      </c>
      <c r="P1407" s="48">
        <f>HEX2DEC(RIGHT(Table1323212753586873[[#This Row],[h1]],8))</f>
        <v>0</v>
      </c>
      <c r="Q1407" s="48" t="s">
        <v>75</v>
      </c>
      <c r="R1407" s="48">
        <f>HEX2DEC(RIGHT(Table1323212753586873[[#This Row],[h2]],8))</f>
        <v>0</v>
      </c>
    </row>
    <row r="1408" spans="1:18">
      <c r="A1408" s="15" t="str">
        <f t="shared" si="26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8" t="s">
        <v>75</v>
      </c>
      <c r="P1408" s="48">
        <f>HEX2DEC(RIGHT(Table1323212753586873[[#This Row],[h1]],8))</f>
        <v>0</v>
      </c>
      <c r="Q1408" s="48" t="s">
        <v>75</v>
      </c>
      <c r="R1408" s="48">
        <f>HEX2DEC(RIGHT(Table1323212753586873[[#This Row],[h2]],8))</f>
        <v>0</v>
      </c>
    </row>
    <row r="1409" spans="1:18">
      <c r="A1409" s="15" t="str">
        <f t="shared" si="26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8" t="s">
        <v>75</v>
      </c>
      <c r="P1409" s="48">
        <f>HEX2DEC(RIGHT(Table1323212753586873[[#This Row],[h1]],8))</f>
        <v>0</v>
      </c>
      <c r="Q1409" s="48" t="s">
        <v>75</v>
      </c>
      <c r="R1409" s="48">
        <f>HEX2DEC(RIGHT(Table1323212753586873[[#This Row],[h2]],8))</f>
        <v>0</v>
      </c>
    </row>
    <row r="1410" spans="1:18">
      <c r="A1410" s="15" t="str">
        <f t="shared" si="26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8" t="s">
        <v>75</v>
      </c>
      <c r="P1410" s="48">
        <f>HEX2DEC(RIGHT(Table1323212753586873[[#This Row],[h1]],8))</f>
        <v>0</v>
      </c>
      <c r="Q1410" s="48" t="s">
        <v>75</v>
      </c>
      <c r="R1410" s="48">
        <f>HEX2DEC(RIGHT(Table1323212753586873[[#This Row],[h2]],8))</f>
        <v>0</v>
      </c>
    </row>
    <row r="1411" spans="1:18">
      <c r="A1411" s="15" t="str">
        <f t="shared" si="26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8" t="s">
        <v>75</v>
      </c>
      <c r="P1411" s="48">
        <f>HEX2DEC(RIGHT(Table1323212753586873[[#This Row],[h1]],8))</f>
        <v>0</v>
      </c>
      <c r="Q1411" s="48" t="s">
        <v>75</v>
      </c>
      <c r="R1411" s="48">
        <f>HEX2DEC(RIGHT(Table1323212753586873[[#This Row],[h2]],8))</f>
        <v>0</v>
      </c>
    </row>
    <row r="1412" spans="1:18">
      <c r="A1412" s="15" t="str">
        <f t="shared" si="26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8" t="s">
        <v>75</v>
      </c>
      <c r="P1412" s="48">
        <f>HEX2DEC(RIGHT(Table1323212753586873[[#This Row],[h1]],8))</f>
        <v>0</v>
      </c>
      <c r="Q1412" s="48" t="s">
        <v>75</v>
      </c>
      <c r="R1412" s="48">
        <f>HEX2DEC(RIGHT(Table1323212753586873[[#This Row],[h2]],8))</f>
        <v>0</v>
      </c>
    </row>
    <row r="1413" spans="1:18">
      <c r="A1413" s="15" t="str">
        <f t="shared" si="26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8" t="s">
        <v>75</v>
      </c>
      <c r="P1413" s="48">
        <f>HEX2DEC(RIGHT(Table1323212753586873[[#This Row],[h1]],8))</f>
        <v>0</v>
      </c>
      <c r="Q1413" s="48" t="s">
        <v>75</v>
      </c>
      <c r="R1413" s="48">
        <f>HEX2DEC(RIGHT(Table1323212753586873[[#This Row],[h2]],8))</f>
        <v>0</v>
      </c>
    </row>
    <row r="1414" spans="1:18">
      <c r="A1414" s="15" t="str">
        <f t="shared" si="26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8" t="s">
        <v>75</v>
      </c>
      <c r="P1414" s="48">
        <f>HEX2DEC(RIGHT(Table1323212753586873[[#This Row],[h1]],8))</f>
        <v>0</v>
      </c>
      <c r="Q1414" s="48" t="s">
        <v>75</v>
      </c>
      <c r="R1414" s="48">
        <f>HEX2DEC(RIGHT(Table1323212753586873[[#This Row],[h2]],8))</f>
        <v>0</v>
      </c>
    </row>
    <row r="1415" spans="1:18">
      <c r="A1415" s="15" t="str">
        <f t="shared" si="26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8" t="s">
        <v>75</v>
      </c>
      <c r="P1415" s="48">
        <f>HEX2DEC(RIGHT(Table1323212753586873[[#This Row],[h1]],8))</f>
        <v>0</v>
      </c>
      <c r="Q1415" s="48" t="s">
        <v>75</v>
      </c>
      <c r="R1415" s="48">
        <f>HEX2DEC(RIGHT(Table1323212753586873[[#This Row],[h2]],8))</f>
        <v>0</v>
      </c>
    </row>
    <row r="1416" spans="1:18">
      <c r="A1416" s="15" t="str">
        <f t="shared" si="26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8" t="s">
        <v>75</v>
      </c>
      <c r="P1416" s="48">
        <f>HEX2DEC(RIGHT(Table1323212753586873[[#This Row],[h1]],8))</f>
        <v>0</v>
      </c>
      <c r="Q1416" s="48" t="s">
        <v>75</v>
      </c>
      <c r="R1416" s="48">
        <f>HEX2DEC(RIGHT(Table1323212753586873[[#This Row],[h2]],8))</f>
        <v>0</v>
      </c>
    </row>
    <row r="1417" spans="1:18">
      <c r="A1417" s="15" t="str">
        <f t="shared" si="26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8" t="s">
        <v>75</v>
      </c>
      <c r="P1417" s="48">
        <f>HEX2DEC(RIGHT(Table1323212753586873[[#This Row],[h1]],8))</f>
        <v>0</v>
      </c>
      <c r="Q1417" s="48" t="s">
        <v>75</v>
      </c>
      <c r="R1417" s="48">
        <f>HEX2DEC(RIGHT(Table1323212753586873[[#This Row],[h2]],8))</f>
        <v>0</v>
      </c>
    </row>
    <row r="1418" spans="1:18">
      <c r="A1418" s="15" t="str">
        <f t="shared" si="26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8" t="s">
        <v>75</v>
      </c>
      <c r="P1418" s="48">
        <f>HEX2DEC(RIGHT(Table1323212753586873[[#This Row],[h1]],8))</f>
        <v>0</v>
      </c>
      <c r="Q1418" s="48" t="s">
        <v>75</v>
      </c>
      <c r="R1418" s="48">
        <f>HEX2DEC(RIGHT(Table1323212753586873[[#This Row],[h2]],8))</f>
        <v>0</v>
      </c>
    </row>
    <row r="1419" spans="1:18">
      <c r="A1419" s="15" t="str">
        <f t="shared" ref="A1419:A1482" si="27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8" t="s">
        <v>75</v>
      </c>
      <c r="P1419" s="48">
        <f>HEX2DEC(RIGHT(Table1323212753586873[[#This Row],[h1]],8))</f>
        <v>0</v>
      </c>
      <c r="Q1419" s="48" t="s">
        <v>75</v>
      </c>
      <c r="R1419" s="48">
        <f>HEX2DEC(RIGHT(Table1323212753586873[[#This Row],[h2]],8))</f>
        <v>0</v>
      </c>
    </row>
    <row r="1420" spans="1:18">
      <c r="A1420" s="15" t="str">
        <f t="shared" si="27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8" t="s">
        <v>75</v>
      </c>
      <c r="P1420" s="48">
        <f>HEX2DEC(RIGHT(Table1323212753586873[[#This Row],[h1]],8))</f>
        <v>0</v>
      </c>
      <c r="Q1420" s="48" t="s">
        <v>75</v>
      </c>
      <c r="R1420" s="48">
        <f>HEX2DEC(RIGHT(Table1323212753586873[[#This Row],[h2]],8))</f>
        <v>0</v>
      </c>
    </row>
    <row r="1421" spans="1:18">
      <c r="A1421" s="15" t="str">
        <f t="shared" si="27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8" t="s">
        <v>75</v>
      </c>
      <c r="P1421" s="48">
        <f>HEX2DEC(RIGHT(Table1323212753586873[[#This Row],[h1]],8))</f>
        <v>0</v>
      </c>
      <c r="Q1421" s="48" t="s">
        <v>75</v>
      </c>
      <c r="R1421" s="48">
        <f>HEX2DEC(RIGHT(Table1323212753586873[[#This Row],[h2]],8))</f>
        <v>0</v>
      </c>
    </row>
    <row r="1422" spans="1:18">
      <c r="A1422" s="15" t="str">
        <f t="shared" si="27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8" t="s">
        <v>75</v>
      </c>
      <c r="P1422" s="48">
        <f>HEX2DEC(RIGHT(Table1323212753586873[[#This Row],[h1]],8))</f>
        <v>0</v>
      </c>
      <c r="Q1422" s="48" t="s">
        <v>75</v>
      </c>
      <c r="R1422" s="48">
        <f>HEX2DEC(RIGHT(Table1323212753586873[[#This Row],[h2]],8))</f>
        <v>0</v>
      </c>
    </row>
    <row r="1423" spans="1:18">
      <c r="A1423" s="15" t="str">
        <f t="shared" si="27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8" t="s">
        <v>75</v>
      </c>
      <c r="P1423" s="48">
        <f>HEX2DEC(RIGHT(Table1323212753586873[[#This Row],[h1]],8))</f>
        <v>0</v>
      </c>
      <c r="Q1423" s="48" t="s">
        <v>75</v>
      </c>
      <c r="R1423" s="48">
        <f>HEX2DEC(RIGHT(Table1323212753586873[[#This Row],[h2]],8))</f>
        <v>0</v>
      </c>
    </row>
    <row r="1424" spans="1:18">
      <c r="A1424" s="15" t="str">
        <f t="shared" si="27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8" t="s">
        <v>75</v>
      </c>
      <c r="P1424" s="48">
        <f>HEX2DEC(RIGHT(Table1323212753586873[[#This Row],[h1]],8))</f>
        <v>0</v>
      </c>
      <c r="Q1424" s="48" t="s">
        <v>75</v>
      </c>
      <c r="R1424" s="48">
        <f>HEX2DEC(RIGHT(Table1323212753586873[[#This Row],[h2]],8))</f>
        <v>0</v>
      </c>
    </row>
    <row r="1425" spans="1:18">
      <c r="A1425" s="15" t="str">
        <f t="shared" si="27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8" t="s">
        <v>75</v>
      </c>
      <c r="P1425" s="48">
        <f>HEX2DEC(RIGHT(Table1323212753586873[[#This Row],[h1]],8))</f>
        <v>0</v>
      </c>
      <c r="Q1425" s="48" t="s">
        <v>75</v>
      </c>
      <c r="R1425" s="48">
        <f>HEX2DEC(RIGHT(Table1323212753586873[[#This Row],[h2]],8))</f>
        <v>0</v>
      </c>
    </row>
    <row r="1426" spans="1:18">
      <c r="A1426" s="15" t="str">
        <f t="shared" si="27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8" t="s">
        <v>75</v>
      </c>
      <c r="P1426" s="48">
        <f>HEX2DEC(RIGHT(Table1323212753586873[[#This Row],[h1]],8))</f>
        <v>0</v>
      </c>
      <c r="Q1426" s="48" t="s">
        <v>75</v>
      </c>
      <c r="R1426" s="48">
        <f>HEX2DEC(RIGHT(Table1323212753586873[[#This Row],[h2]],8))</f>
        <v>0</v>
      </c>
    </row>
    <row r="1427" spans="1:18">
      <c r="A1427" s="15" t="str">
        <f t="shared" si="27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8" t="s">
        <v>75</v>
      </c>
      <c r="P1427" s="48">
        <f>HEX2DEC(RIGHT(Table1323212753586873[[#This Row],[h1]],8))</f>
        <v>0</v>
      </c>
      <c r="Q1427" s="48" t="s">
        <v>75</v>
      </c>
      <c r="R1427" s="48">
        <f>HEX2DEC(RIGHT(Table1323212753586873[[#This Row],[h2]],8))</f>
        <v>0</v>
      </c>
    </row>
    <row r="1428" spans="1:18">
      <c r="A1428" s="15" t="str">
        <f t="shared" si="27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8" t="s">
        <v>75</v>
      </c>
      <c r="P1428" s="48">
        <f>HEX2DEC(RIGHT(Table1323212753586873[[#This Row],[h1]],8))</f>
        <v>0</v>
      </c>
      <c r="Q1428" s="48" t="s">
        <v>75</v>
      </c>
      <c r="R1428" s="48">
        <f>HEX2DEC(RIGHT(Table1323212753586873[[#This Row],[h2]],8))</f>
        <v>0</v>
      </c>
    </row>
    <row r="1429" spans="1:18">
      <c r="A1429" s="15" t="str">
        <f t="shared" si="27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8" t="s">
        <v>75</v>
      </c>
      <c r="P1429" s="48">
        <f>HEX2DEC(RIGHT(Table1323212753586873[[#This Row],[h1]],8))</f>
        <v>0</v>
      </c>
      <c r="Q1429" s="48" t="s">
        <v>75</v>
      </c>
      <c r="R1429" s="48">
        <f>HEX2DEC(RIGHT(Table1323212753586873[[#This Row],[h2]],8))</f>
        <v>0</v>
      </c>
    </row>
    <row r="1430" spans="1:18">
      <c r="A1430" s="15" t="str">
        <f t="shared" si="27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8" t="s">
        <v>75</v>
      </c>
      <c r="P1430" s="48">
        <f>HEX2DEC(RIGHT(Table1323212753586873[[#This Row],[h1]],8))</f>
        <v>0</v>
      </c>
      <c r="Q1430" s="48" t="s">
        <v>75</v>
      </c>
      <c r="R1430" s="48">
        <f>HEX2DEC(RIGHT(Table1323212753586873[[#This Row],[h2]],8))</f>
        <v>0</v>
      </c>
    </row>
    <row r="1431" spans="1:18">
      <c r="A1431" s="15" t="str">
        <f t="shared" si="27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8" t="s">
        <v>75</v>
      </c>
      <c r="P1431" s="48">
        <f>HEX2DEC(RIGHT(Table1323212753586873[[#This Row],[h1]],8))</f>
        <v>0</v>
      </c>
      <c r="Q1431" s="48" t="s">
        <v>75</v>
      </c>
      <c r="R1431" s="48">
        <f>HEX2DEC(RIGHT(Table1323212753586873[[#This Row],[h2]],8))</f>
        <v>0</v>
      </c>
    </row>
    <row r="1432" spans="1:18">
      <c r="A1432" s="15" t="str">
        <f t="shared" si="27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8" t="s">
        <v>75</v>
      </c>
      <c r="P1432" s="48">
        <f>HEX2DEC(RIGHT(Table1323212753586873[[#This Row],[h1]],8))</f>
        <v>0</v>
      </c>
      <c r="Q1432" s="48" t="s">
        <v>75</v>
      </c>
      <c r="R1432" s="48">
        <f>HEX2DEC(RIGHT(Table1323212753586873[[#This Row],[h2]],8))</f>
        <v>0</v>
      </c>
    </row>
    <row r="1433" spans="1:18">
      <c r="A1433" s="15" t="str">
        <f t="shared" si="27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8" t="s">
        <v>75</v>
      </c>
      <c r="P1433" s="48">
        <f>HEX2DEC(RIGHT(Table1323212753586873[[#This Row],[h1]],8))</f>
        <v>0</v>
      </c>
      <c r="Q1433" s="48" t="s">
        <v>75</v>
      </c>
      <c r="R1433" s="48">
        <f>HEX2DEC(RIGHT(Table1323212753586873[[#This Row],[h2]],8))</f>
        <v>0</v>
      </c>
    </row>
    <row r="1434" spans="1:18">
      <c r="A1434" s="15" t="str">
        <f t="shared" si="27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8" t="s">
        <v>75</v>
      </c>
      <c r="P1434" s="48">
        <f>HEX2DEC(RIGHT(Table1323212753586873[[#This Row],[h1]],8))</f>
        <v>0</v>
      </c>
      <c r="Q1434" s="48" t="s">
        <v>75</v>
      </c>
      <c r="R1434" s="48">
        <f>HEX2DEC(RIGHT(Table1323212753586873[[#This Row],[h2]],8))</f>
        <v>0</v>
      </c>
    </row>
    <row r="1435" spans="1:18">
      <c r="A1435" s="15" t="str">
        <f t="shared" si="27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8" t="s">
        <v>75</v>
      </c>
      <c r="P1435" s="48">
        <f>HEX2DEC(RIGHT(Table1323212753586873[[#This Row],[h1]],8))</f>
        <v>0</v>
      </c>
      <c r="Q1435" s="48" t="s">
        <v>75</v>
      </c>
      <c r="R1435" s="48">
        <f>HEX2DEC(RIGHT(Table1323212753586873[[#This Row],[h2]],8))</f>
        <v>0</v>
      </c>
    </row>
    <row r="1436" spans="1:18">
      <c r="A1436" s="15" t="str">
        <f t="shared" si="27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8" t="s">
        <v>75</v>
      </c>
      <c r="P1436" s="48">
        <f>HEX2DEC(RIGHT(Table1323212753586873[[#This Row],[h1]],8))</f>
        <v>0</v>
      </c>
      <c r="Q1436" s="48" t="s">
        <v>75</v>
      </c>
      <c r="R1436" s="48">
        <f>HEX2DEC(RIGHT(Table1323212753586873[[#This Row],[h2]],8))</f>
        <v>0</v>
      </c>
    </row>
    <row r="1437" spans="1:18">
      <c r="A1437" s="15" t="str">
        <f t="shared" si="27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8" t="s">
        <v>75</v>
      </c>
      <c r="P1437" s="48">
        <f>HEX2DEC(RIGHT(Table1323212753586873[[#This Row],[h1]],8))</f>
        <v>0</v>
      </c>
      <c r="Q1437" s="48" t="s">
        <v>75</v>
      </c>
      <c r="R1437" s="48">
        <f>HEX2DEC(RIGHT(Table1323212753586873[[#This Row],[h2]],8))</f>
        <v>0</v>
      </c>
    </row>
    <row r="1438" spans="1:18">
      <c r="A1438" s="15" t="str">
        <f t="shared" si="27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8" t="s">
        <v>75</v>
      </c>
      <c r="P1438" s="48">
        <f>HEX2DEC(RIGHT(Table1323212753586873[[#This Row],[h1]],8))</f>
        <v>0</v>
      </c>
      <c r="Q1438" s="48" t="s">
        <v>75</v>
      </c>
      <c r="R1438" s="48">
        <f>HEX2DEC(RIGHT(Table1323212753586873[[#This Row],[h2]],8))</f>
        <v>0</v>
      </c>
    </row>
    <row r="1439" spans="1:18">
      <c r="A1439" s="15" t="str">
        <f t="shared" si="27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8" t="s">
        <v>75</v>
      </c>
      <c r="P1439" s="48">
        <f>HEX2DEC(RIGHT(Table1323212753586873[[#This Row],[h1]],8))</f>
        <v>0</v>
      </c>
      <c r="Q1439" s="48" t="s">
        <v>75</v>
      </c>
      <c r="R1439" s="48">
        <f>HEX2DEC(RIGHT(Table1323212753586873[[#This Row],[h2]],8))</f>
        <v>0</v>
      </c>
    </row>
    <row r="1440" spans="1:18">
      <c r="A1440" s="15" t="str">
        <f t="shared" si="27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8" t="s">
        <v>75</v>
      </c>
      <c r="P1440" s="48">
        <f>HEX2DEC(RIGHT(Table1323212753586873[[#This Row],[h1]],8))</f>
        <v>0</v>
      </c>
      <c r="Q1440" s="48" t="s">
        <v>75</v>
      </c>
      <c r="R1440" s="48">
        <f>HEX2DEC(RIGHT(Table1323212753586873[[#This Row],[h2]],8))</f>
        <v>0</v>
      </c>
    </row>
    <row r="1441" spans="1:18">
      <c r="A1441" s="15" t="str">
        <f t="shared" si="27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8" t="s">
        <v>75</v>
      </c>
      <c r="P1441" s="48">
        <f>HEX2DEC(RIGHT(Table1323212753586873[[#This Row],[h1]],8))</f>
        <v>0</v>
      </c>
      <c r="Q1441" s="48" t="s">
        <v>75</v>
      </c>
      <c r="R1441" s="48">
        <f>HEX2DEC(RIGHT(Table1323212753586873[[#This Row],[h2]],8))</f>
        <v>0</v>
      </c>
    </row>
    <row r="1442" spans="1:18">
      <c r="A1442" s="15" t="str">
        <f t="shared" si="27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8" t="s">
        <v>75</v>
      </c>
      <c r="P1442" s="48">
        <f>HEX2DEC(RIGHT(Table1323212753586873[[#This Row],[h1]],8))</f>
        <v>0</v>
      </c>
      <c r="Q1442" s="48" t="s">
        <v>75</v>
      </c>
      <c r="R1442" s="48">
        <f>HEX2DEC(RIGHT(Table1323212753586873[[#This Row],[h2]],8))</f>
        <v>0</v>
      </c>
    </row>
    <row r="1443" spans="1:18">
      <c r="A1443" s="15" t="str">
        <f t="shared" si="27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8" t="s">
        <v>75</v>
      </c>
      <c r="P1443" s="48">
        <f>HEX2DEC(RIGHT(Table1323212753586873[[#This Row],[h1]],8))</f>
        <v>0</v>
      </c>
      <c r="Q1443" s="48" t="s">
        <v>75</v>
      </c>
      <c r="R1443" s="48">
        <f>HEX2DEC(RIGHT(Table1323212753586873[[#This Row],[h2]],8))</f>
        <v>0</v>
      </c>
    </row>
    <row r="1444" spans="1:18">
      <c r="A1444" s="15" t="str">
        <f t="shared" si="27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8" t="s">
        <v>75</v>
      </c>
      <c r="P1444" s="48">
        <f>HEX2DEC(RIGHT(Table1323212753586873[[#This Row],[h1]],8))</f>
        <v>0</v>
      </c>
      <c r="Q1444" s="48" t="s">
        <v>75</v>
      </c>
      <c r="R1444" s="48">
        <f>HEX2DEC(RIGHT(Table1323212753586873[[#This Row],[h2]],8))</f>
        <v>0</v>
      </c>
    </row>
    <row r="1445" spans="1:18">
      <c r="A1445" s="15" t="str">
        <f t="shared" si="27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8" t="s">
        <v>75</v>
      </c>
      <c r="P1445" s="48">
        <f>HEX2DEC(RIGHT(Table1323212753586873[[#This Row],[h1]],8))</f>
        <v>0</v>
      </c>
      <c r="Q1445" s="48" t="s">
        <v>75</v>
      </c>
      <c r="R1445" s="48">
        <f>HEX2DEC(RIGHT(Table1323212753586873[[#This Row],[h2]],8))</f>
        <v>0</v>
      </c>
    </row>
    <row r="1446" spans="1:18">
      <c r="A1446" s="15" t="str">
        <f t="shared" si="27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8" t="s">
        <v>75</v>
      </c>
      <c r="P1446" s="48">
        <f>HEX2DEC(RIGHT(Table1323212753586873[[#This Row],[h1]],8))</f>
        <v>0</v>
      </c>
      <c r="Q1446" s="48" t="s">
        <v>75</v>
      </c>
      <c r="R1446" s="48">
        <f>HEX2DEC(RIGHT(Table1323212753586873[[#This Row],[h2]],8))</f>
        <v>0</v>
      </c>
    </row>
    <row r="1447" spans="1:18">
      <c r="A1447" s="15" t="str">
        <f t="shared" si="27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8" t="s">
        <v>75</v>
      </c>
      <c r="P1447" s="48">
        <f>HEX2DEC(RIGHT(Table1323212753586873[[#This Row],[h1]],8))</f>
        <v>0</v>
      </c>
      <c r="Q1447" s="48" t="s">
        <v>75</v>
      </c>
      <c r="R1447" s="48">
        <f>HEX2DEC(RIGHT(Table1323212753586873[[#This Row],[h2]],8))</f>
        <v>0</v>
      </c>
    </row>
    <row r="1448" spans="1:18">
      <c r="A1448" s="15" t="str">
        <f t="shared" si="27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8" t="s">
        <v>75</v>
      </c>
      <c r="P1448" s="48">
        <f>HEX2DEC(RIGHT(Table1323212753586873[[#This Row],[h1]],8))</f>
        <v>0</v>
      </c>
      <c r="Q1448" s="48" t="s">
        <v>75</v>
      </c>
      <c r="R1448" s="48">
        <f>HEX2DEC(RIGHT(Table1323212753586873[[#This Row],[h2]],8))</f>
        <v>0</v>
      </c>
    </row>
    <row r="1449" spans="1:18">
      <c r="A1449" s="15" t="str">
        <f t="shared" si="27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8" t="s">
        <v>75</v>
      </c>
      <c r="P1449" s="48">
        <f>HEX2DEC(RIGHT(Table1323212753586873[[#This Row],[h1]],8))</f>
        <v>0</v>
      </c>
      <c r="Q1449" s="48" t="s">
        <v>75</v>
      </c>
      <c r="R1449" s="48">
        <f>HEX2DEC(RIGHT(Table1323212753586873[[#This Row],[h2]],8))</f>
        <v>0</v>
      </c>
    </row>
    <row r="1450" spans="1:18">
      <c r="A1450" s="15" t="str">
        <f t="shared" si="27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8" t="s">
        <v>75</v>
      </c>
      <c r="P1450" s="48">
        <f>HEX2DEC(RIGHT(Table1323212753586873[[#This Row],[h1]],8))</f>
        <v>0</v>
      </c>
      <c r="Q1450" s="48" t="s">
        <v>75</v>
      </c>
      <c r="R1450" s="48">
        <f>HEX2DEC(RIGHT(Table1323212753586873[[#This Row],[h2]],8))</f>
        <v>0</v>
      </c>
    </row>
    <row r="1451" spans="1:18">
      <c r="A1451" s="15" t="str">
        <f t="shared" si="27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8" t="s">
        <v>75</v>
      </c>
      <c r="P1451" s="48">
        <f>HEX2DEC(RIGHT(Table1323212753586873[[#This Row],[h1]],8))</f>
        <v>0</v>
      </c>
      <c r="Q1451" s="48" t="s">
        <v>75</v>
      </c>
      <c r="R1451" s="48">
        <f>HEX2DEC(RIGHT(Table1323212753586873[[#This Row],[h2]],8))</f>
        <v>0</v>
      </c>
    </row>
    <row r="1452" spans="1:18">
      <c r="A1452" s="15" t="str">
        <f t="shared" si="27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8" t="s">
        <v>75</v>
      </c>
      <c r="P1452" s="48">
        <f>HEX2DEC(RIGHT(Table1323212753586873[[#This Row],[h1]],8))</f>
        <v>0</v>
      </c>
      <c r="Q1452" s="48" t="s">
        <v>75</v>
      </c>
      <c r="R1452" s="48">
        <f>HEX2DEC(RIGHT(Table1323212753586873[[#This Row],[h2]],8))</f>
        <v>0</v>
      </c>
    </row>
    <row r="1453" spans="1:18">
      <c r="A1453" s="15" t="str">
        <f t="shared" si="27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8" t="s">
        <v>75</v>
      </c>
      <c r="P1453" s="48">
        <f>HEX2DEC(RIGHT(Table1323212753586873[[#This Row],[h1]],8))</f>
        <v>0</v>
      </c>
      <c r="Q1453" s="48" t="s">
        <v>75</v>
      </c>
      <c r="R1453" s="48">
        <f>HEX2DEC(RIGHT(Table1323212753586873[[#This Row],[h2]],8))</f>
        <v>0</v>
      </c>
    </row>
    <row r="1454" spans="1:18">
      <c r="A1454" s="15" t="str">
        <f t="shared" si="27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8" t="s">
        <v>75</v>
      </c>
      <c r="P1454" s="48">
        <f>HEX2DEC(RIGHT(Table1323212753586873[[#This Row],[h1]],8))</f>
        <v>0</v>
      </c>
      <c r="Q1454" s="48" t="s">
        <v>75</v>
      </c>
      <c r="R1454" s="48">
        <f>HEX2DEC(RIGHT(Table1323212753586873[[#This Row],[h2]],8))</f>
        <v>0</v>
      </c>
    </row>
    <row r="1455" spans="1:18">
      <c r="A1455" s="15" t="str">
        <f t="shared" si="27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8" t="s">
        <v>75</v>
      </c>
      <c r="P1455" s="48">
        <f>HEX2DEC(RIGHT(Table1323212753586873[[#This Row],[h1]],8))</f>
        <v>0</v>
      </c>
      <c r="Q1455" s="48" t="s">
        <v>75</v>
      </c>
      <c r="R1455" s="48">
        <f>HEX2DEC(RIGHT(Table1323212753586873[[#This Row],[h2]],8))</f>
        <v>0</v>
      </c>
    </row>
    <row r="1456" spans="1:18">
      <c r="A1456" s="15" t="str">
        <f t="shared" si="27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8" t="s">
        <v>75</v>
      </c>
      <c r="P1456" s="48">
        <f>HEX2DEC(RIGHT(Table1323212753586873[[#This Row],[h1]],8))</f>
        <v>0</v>
      </c>
      <c r="Q1456" s="48" t="s">
        <v>75</v>
      </c>
      <c r="R1456" s="48">
        <f>HEX2DEC(RIGHT(Table1323212753586873[[#This Row],[h2]],8))</f>
        <v>0</v>
      </c>
    </row>
    <row r="1457" spans="1:18">
      <c r="A1457" s="15" t="str">
        <f t="shared" si="27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8" t="s">
        <v>75</v>
      </c>
      <c r="P1457" s="48">
        <f>HEX2DEC(RIGHT(Table1323212753586873[[#This Row],[h1]],8))</f>
        <v>0</v>
      </c>
      <c r="Q1457" s="48" t="s">
        <v>75</v>
      </c>
      <c r="R1457" s="48">
        <f>HEX2DEC(RIGHT(Table1323212753586873[[#This Row],[h2]],8))</f>
        <v>0</v>
      </c>
    </row>
    <row r="1458" spans="1:18">
      <c r="A1458" s="15" t="str">
        <f t="shared" si="27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8" t="s">
        <v>75</v>
      </c>
      <c r="P1458" s="48">
        <f>HEX2DEC(RIGHT(Table1323212753586873[[#This Row],[h1]],8))</f>
        <v>0</v>
      </c>
      <c r="Q1458" s="48" t="s">
        <v>75</v>
      </c>
      <c r="R1458" s="48">
        <f>HEX2DEC(RIGHT(Table1323212753586873[[#This Row],[h2]],8))</f>
        <v>0</v>
      </c>
    </row>
    <row r="1459" spans="1:18">
      <c r="A1459" s="15" t="str">
        <f t="shared" si="27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8" t="s">
        <v>75</v>
      </c>
      <c r="P1459" s="48">
        <f>HEX2DEC(RIGHT(Table1323212753586873[[#This Row],[h1]],8))</f>
        <v>0</v>
      </c>
      <c r="Q1459" s="48" t="s">
        <v>75</v>
      </c>
      <c r="R1459" s="48">
        <f>HEX2DEC(RIGHT(Table1323212753586873[[#This Row],[h2]],8))</f>
        <v>0</v>
      </c>
    </row>
    <row r="1460" spans="1:18">
      <c r="A1460" s="15" t="str">
        <f t="shared" si="27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8" t="s">
        <v>75</v>
      </c>
      <c r="P1460" s="48">
        <f>HEX2DEC(RIGHT(Table1323212753586873[[#This Row],[h1]],8))</f>
        <v>0</v>
      </c>
      <c r="Q1460" s="48" t="s">
        <v>75</v>
      </c>
      <c r="R1460" s="48">
        <f>HEX2DEC(RIGHT(Table1323212753586873[[#This Row],[h2]],8))</f>
        <v>0</v>
      </c>
    </row>
    <row r="1461" spans="1:18">
      <c r="A1461" s="15" t="str">
        <f t="shared" si="27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8" t="s">
        <v>75</v>
      </c>
      <c r="P1461" s="48">
        <f>HEX2DEC(RIGHT(Table1323212753586873[[#This Row],[h1]],8))</f>
        <v>0</v>
      </c>
      <c r="Q1461" s="48" t="s">
        <v>75</v>
      </c>
      <c r="R1461" s="48">
        <f>HEX2DEC(RIGHT(Table1323212753586873[[#This Row],[h2]],8))</f>
        <v>0</v>
      </c>
    </row>
    <row r="1462" spans="1:18">
      <c r="A1462" s="15" t="str">
        <f t="shared" si="27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8" t="s">
        <v>75</v>
      </c>
      <c r="P1462" s="48">
        <f>HEX2DEC(RIGHT(Table1323212753586873[[#This Row],[h1]],8))</f>
        <v>0</v>
      </c>
      <c r="Q1462" s="48" t="s">
        <v>75</v>
      </c>
      <c r="R1462" s="48">
        <f>HEX2DEC(RIGHT(Table1323212753586873[[#This Row],[h2]],8))</f>
        <v>0</v>
      </c>
    </row>
    <row r="1463" spans="1:18">
      <c r="A1463" s="15" t="str">
        <f t="shared" si="27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8" t="s">
        <v>75</v>
      </c>
      <c r="P1463" s="48">
        <f>HEX2DEC(RIGHT(Table1323212753586873[[#This Row],[h1]],8))</f>
        <v>0</v>
      </c>
      <c r="Q1463" s="48" t="s">
        <v>75</v>
      </c>
      <c r="R1463" s="48">
        <f>HEX2DEC(RIGHT(Table1323212753586873[[#This Row],[h2]],8))</f>
        <v>0</v>
      </c>
    </row>
    <row r="1464" spans="1:18">
      <c r="A1464" s="15" t="str">
        <f t="shared" si="27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8" t="s">
        <v>75</v>
      </c>
      <c r="P1464" s="48">
        <f>HEX2DEC(RIGHT(Table1323212753586873[[#This Row],[h1]],8))</f>
        <v>0</v>
      </c>
      <c r="Q1464" s="48" t="s">
        <v>75</v>
      </c>
      <c r="R1464" s="48">
        <f>HEX2DEC(RIGHT(Table1323212753586873[[#This Row],[h2]],8))</f>
        <v>0</v>
      </c>
    </row>
    <row r="1465" spans="1:18">
      <c r="A1465" s="15" t="str">
        <f t="shared" si="27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8" t="s">
        <v>75</v>
      </c>
      <c r="P1465" s="48">
        <f>HEX2DEC(RIGHT(Table1323212753586873[[#This Row],[h1]],8))</f>
        <v>0</v>
      </c>
      <c r="Q1465" s="48" t="s">
        <v>75</v>
      </c>
      <c r="R1465" s="48">
        <f>HEX2DEC(RIGHT(Table1323212753586873[[#This Row],[h2]],8))</f>
        <v>0</v>
      </c>
    </row>
    <row r="1466" spans="1:18">
      <c r="A1466" s="15" t="str">
        <f t="shared" si="27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8" t="s">
        <v>75</v>
      </c>
      <c r="P1466" s="48">
        <f>HEX2DEC(RIGHT(Table1323212753586873[[#This Row],[h1]],8))</f>
        <v>0</v>
      </c>
      <c r="Q1466" s="48" t="s">
        <v>75</v>
      </c>
      <c r="R1466" s="48">
        <f>HEX2DEC(RIGHT(Table1323212753586873[[#This Row],[h2]],8))</f>
        <v>0</v>
      </c>
    </row>
    <row r="1467" spans="1:18">
      <c r="A1467" s="15" t="str">
        <f t="shared" si="27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8" t="s">
        <v>75</v>
      </c>
      <c r="P1467" s="48">
        <f>HEX2DEC(RIGHT(Table1323212753586873[[#This Row],[h1]],8))</f>
        <v>0</v>
      </c>
      <c r="Q1467" s="48" t="s">
        <v>75</v>
      </c>
      <c r="R1467" s="48">
        <f>HEX2DEC(RIGHT(Table1323212753586873[[#This Row],[h2]],8))</f>
        <v>0</v>
      </c>
    </row>
    <row r="1468" spans="1:18">
      <c r="A1468" s="15" t="str">
        <f t="shared" si="27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8" t="s">
        <v>75</v>
      </c>
      <c r="P1468" s="48">
        <f>HEX2DEC(RIGHT(Table1323212753586873[[#This Row],[h1]],8))</f>
        <v>0</v>
      </c>
      <c r="Q1468" s="48" t="s">
        <v>75</v>
      </c>
      <c r="R1468" s="48">
        <f>HEX2DEC(RIGHT(Table1323212753586873[[#This Row],[h2]],8))</f>
        <v>0</v>
      </c>
    </row>
    <row r="1469" spans="1:18">
      <c r="A1469" s="15" t="str">
        <f t="shared" si="27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8" t="s">
        <v>75</v>
      </c>
      <c r="P1469" s="48">
        <f>HEX2DEC(RIGHT(Table1323212753586873[[#This Row],[h1]],8))</f>
        <v>0</v>
      </c>
      <c r="Q1469" s="48" t="s">
        <v>75</v>
      </c>
      <c r="R1469" s="48">
        <f>HEX2DEC(RIGHT(Table1323212753586873[[#This Row],[h2]],8))</f>
        <v>0</v>
      </c>
    </row>
    <row r="1470" spans="1:18">
      <c r="A1470" s="15" t="str">
        <f t="shared" si="27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8" t="s">
        <v>75</v>
      </c>
      <c r="P1470" s="48">
        <f>HEX2DEC(RIGHT(Table1323212753586873[[#This Row],[h1]],8))</f>
        <v>0</v>
      </c>
      <c r="Q1470" s="48" t="s">
        <v>75</v>
      </c>
      <c r="R1470" s="48">
        <f>HEX2DEC(RIGHT(Table1323212753586873[[#This Row],[h2]],8))</f>
        <v>0</v>
      </c>
    </row>
    <row r="1471" spans="1:18">
      <c r="A1471" s="15" t="str">
        <f t="shared" si="27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8" t="s">
        <v>75</v>
      </c>
      <c r="P1471" s="48">
        <f>HEX2DEC(RIGHT(Table1323212753586873[[#This Row],[h1]],8))</f>
        <v>0</v>
      </c>
      <c r="Q1471" s="48" t="s">
        <v>75</v>
      </c>
      <c r="R1471" s="48">
        <f>HEX2DEC(RIGHT(Table1323212753586873[[#This Row],[h2]],8))</f>
        <v>0</v>
      </c>
    </row>
    <row r="1472" spans="1:18">
      <c r="A1472" s="15" t="str">
        <f t="shared" si="27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8" t="s">
        <v>75</v>
      </c>
      <c r="P1472" s="48">
        <f>HEX2DEC(RIGHT(Table1323212753586873[[#This Row],[h1]],8))</f>
        <v>0</v>
      </c>
      <c r="Q1472" s="48" t="s">
        <v>75</v>
      </c>
      <c r="R1472" s="48">
        <f>HEX2DEC(RIGHT(Table1323212753586873[[#This Row],[h2]],8))</f>
        <v>0</v>
      </c>
    </row>
    <row r="1473" spans="1:18">
      <c r="A1473" s="15" t="str">
        <f t="shared" si="27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8" t="s">
        <v>75</v>
      </c>
      <c r="P1473" s="48">
        <f>HEX2DEC(RIGHT(Table1323212753586873[[#This Row],[h1]],8))</f>
        <v>0</v>
      </c>
      <c r="Q1473" s="48" t="s">
        <v>75</v>
      </c>
      <c r="R1473" s="48">
        <f>HEX2DEC(RIGHT(Table1323212753586873[[#This Row],[h2]],8))</f>
        <v>0</v>
      </c>
    </row>
    <row r="1474" spans="1:18">
      <c r="A1474" s="15" t="str">
        <f t="shared" si="27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8" t="s">
        <v>75</v>
      </c>
      <c r="P1474" s="48">
        <f>HEX2DEC(RIGHT(Table1323212753586873[[#This Row],[h1]],8))</f>
        <v>0</v>
      </c>
      <c r="Q1474" s="48" t="s">
        <v>75</v>
      </c>
      <c r="R1474" s="48">
        <f>HEX2DEC(RIGHT(Table1323212753586873[[#This Row],[h2]],8))</f>
        <v>0</v>
      </c>
    </row>
    <row r="1475" spans="1:18">
      <c r="A1475" s="15" t="str">
        <f t="shared" si="27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8" t="s">
        <v>75</v>
      </c>
      <c r="P1475" s="48">
        <f>HEX2DEC(RIGHT(Table1323212753586873[[#This Row],[h1]],8))</f>
        <v>0</v>
      </c>
      <c r="Q1475" s="48" t="s">
        <v>75</v>
      </c>
      <c r="R1475" s="48">
        <f>HEX2DEC(RIGHT(Table1323212753586873[[#This Row],[h2]],8))</f>
        <v>0</v>
      </c>
    </row>
    <row r="1476" spans="1:18">
      <c r="A1476" s="15" t="str">
        <f t="shared" si="27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8" t="s">
        <v>75</v>
      </c>
      <c r="P1476" s="48">
        <f>HEX2DEC(RIGHT(Table1323212753586873[[#This Row],[h1]],8))</f>
        <v>0</v>
      </c>
      <c r="Q1476" s="48" t="s">
        <v>75</v>
      </c>
      <c r="R1476" s="48">
        <f>HEX2DEC(RIGHT(Table1323212753586873[[#This Row],[h2]],8))</f>
        <v>0</v>
      </c>
    </row>
    <row r="1477" spans="1:18">
      <c r="A1477" s="15" t="str">
        <f t="shared" si="27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8" t="s">
        <v>75</v>
      </c>
      <c r="P1477" s="48">
        <f>HEX2DEC(RIGHT(Table1323212753586873[[#This Row],[h1]],8))</f>
        <v>0</v>
      </c>
      <c r="Q1477" s="48" t="s">
        <v>75</v>
      </c>
      <c r="R1477" s="48">
        <f>HEX2DEC(RIGHT(Table1323212753586873[[#This Row],[h2]],8))</f>
        <v>0</v>
      </c>
    </row>
    <row r="1478" spans="1:18">
      <c r="A1478" s="15" t="str">
        <f t="shared" si="27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8" t="s">
        <v>75</v>
      </c>
      <c r="P1478" s="48">
        <f>HEX2DEC(RIGHT(Table1323212753586873[[#This Row],[h1]],8))</f>
        <v>0</v>
      </c>
      <c r="Q1478" s="48" t="s">
        <v>75</v>
      </c>
      <c r="R1478" s="48">
        <f>HEX2DEC(RIGHT(Table1323212753586873[[#This Row],[h2]],8))</f>
        <v>0</v>
      </c>
    </row>
    <row r="1479" spans="1:18">
      <c r="A1479" s="15" t="str">
        <f t="shared" si="27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8" t="s">
        <v>75</v>
      </c>
      <c r="P1479" s="48">
        <f>HEX2DEC(RIGHT(Table1323212753586873[[#This Row],[h1]],8))</f>
        <v>0</v>
      </c>
      <c r="Q1479" s="48" t="s">
        <v>75</v>
      </c>
      <c r="R1479" s="48">
        <f>HEX2DEC(RIGHT(Table1323212753586873[[#This Row],[h2]],8))</f>
        <v>0</v>
      </c>
    </row>
    <row r="1480" spans="1:18">
      <c r="A1480" s="15" t="str">
        <f t="shared" si="27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8" t="s">
        <v>75</v>
      </c>
      <c r="P1480" s="48">
        <f>HEX2DEC(RIGHT(Table1323212753586873[[#This Row],[h1]],8))</f>
        <v>0</v>
      </c>
      <c r="Q1480" s="48" t="s">
        <v>75</v>
      </c>
      <c r="R1480" s="48">
        <f>HEX2DEC(RIGHT(Table1323212753586873[[#This Row],[h2]],8))</f>
        <v>0</v>
      </c>
    </row>
    <row r="1481" spans="1:18">
      <c r="A1481" s="15" t="str">
        <f t="shared" si="27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8" t="s">
        <v>75</v>
      </c>
      <c r="P1481" s="48">
        <f>HEX2DEC(RIGHT(Table1323212753586873[[#This Row],[h1]],8))</f>
        <v>0</v>
      </c>
      <c r="Q1481" s="48" t="s">
        <v>75</v>
      </c>
      <c r="R1481" s="48">
        <f>HEX2DEC(RIGHT(Table1323212753586873[[#This Row],[h2]],8))</f>
        <v>0</v>
      </c>
    </row>
    <row r="1482" spans="1:18">
      <c r="A1482" s="15" t="str">
        <f t="shared" si="27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8" t="s">
        <v>75</v>
      </c>
      <c r="P1482" s="48">
        <f>HEX2DEC(RIGHT(Table1323212753586873[[#This Row],[h1]],8))</f>
        <v>0</v>
      </c>
      <c r="Q1482" s="48" t="s">
        <v>75</v>
      </c>
      <c r="R1482" s="48">
        <f>HEX2DEC(RIGHT(Table1323212753586873[[#This Row],[h2]],8))</f>
        <v>0</v>
      </c>
    </row>
    <row r="1483" spans="1:18">
      <c r="A1483" s="15" t="str">
        <f t="shared" ref="A1483:A1546" si="28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8" t="s">
        <v>75</v>
      </c>
      <c r="P1483" s="48">
        <f>HEX2DEC(RIGHT(Table1323212753586873[[#This Row],[h1]],8))</f>
        <v>0</v>
      </c>
      <c r="Q1483" s="48" t="s">
        <v>75</v>
      </c>
      <c r="R1483" s="48">
        <f>HEX2DEC(RIGHT(Table1323212753586873[[#This Row],[h2]],8))</f>
        <v>0</v>
      </c>
    </row>
    <row r="1484" spans="1:18">
      <c r="A1484" s="15" t="str">
        <f t="shared" si="28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8" t="s">
        <v>75</v>
      </c>
      <c r="P1484" s="48">
        <f>HEX2DEC(RIGHT(Table1323212753586873[[#This Row],[h1]],8))</f>
        <v>0</v>
      </c>
      <c r="Q1484" s="48" t="s">
        <v>75</v>
      </c>
      <c r="R1484" s="48">
        <f>HEX2DEC(RIGHT(Table1323212753586873[[#This Row],[h2]],8))</f>
        <v>0</v>
      </c>
    </row>
    <row r="1485" spans="1:18">
      <c r="A1485" s="15" t="str">
        <f t="shared" si="28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8" t="s">
        <v>75</v>
      </c>
      <c r="P1485" s="48">
        <f>HEX2DEC(RIGHT(Table1323212753586873[[#This Row],[h1]],8))</f>
        <v>0</v>
      </c>
      <c r="Q1485" s="48" t="s">
        <v>75</v>
      </c>
      <c r="R1485" s="48">
        <f>HEX2DEC(RIGHT(Table1323212753586873[[#This Row],[h2]],8))</f>
        <v>0</v>
      </c>
    </row>
    <row r="1486" spans="1:18">
      <c r="A1486" s="15" t="str">
        <f t="shared" si="28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8" t="s">
        <v>75</v>
      </c>
      <c r="P1486" s="48">
        <f>HEX2DEC(RIGHT(Table1323212753586873[[#This Row],[h1]],8))</f>
        <v>0</v>
      </c>
      <c r="Q1486" s="48" t="s">
        <v>75</v>
      </c>
      <c r="R1486" s="48">
        <f>HEX2DEC(RIGHT(Table1323212753586873[[#This Row],[h2]],8))</f>
        <v>0</v>
      </c>
    </row>
    <row r="1487" spans="1:18">
      <c r="A1487" s="15" t="str">
        <f t="shared" si="28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8" t="s">
        <v>75</v>
      </c>
      <c r="P1487" s="48">
        <f>HEX2DEC(RIGHT(Table1323212753586873[[#This Row],[h1]],8))</f>
        <v>0</v>
      </c>
      <c r="Q1487" s="48" t="s">
        <v>75</v>
      </c>
      <c r="R1487" s="48">
        <f>HEX2DEC(RIGHT(Table1323212753586873[[#This Row],[h2]],8))</f>
        <v>0</v>
      </c>
    </row>
    <row r="1488" spans="1:18">
      <c r="A1488" s="15" t="str">
        <f t="shared" si="28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8" t="s">
        <v>75</v>
      </c>
      <c r="P1488" s="48">
        <f>HEX2DEC(RIGHT(Table1323212753586873[[#This Row],[h1]],8))</f>
        <v>0</v>
      </c>
      <c r="Q1488" s="48" t="s">
        <v>75</v>
      </c>
      <c r="R1488" s="48">
        <f>HEX2DEC(RIGHT(Table1323212753586873[[#This Row],[h2]],8))</f>
        <v>0</v>
      </c>
    </row>
    <row r="1489" spans="1:18">
      <c r="A1489" s="15" t="str">
        <f t="shared" si="28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8" t="s">
        <v>75</v>
      </c>
      <c r="P1489" s="48">
        <f>HEX2DEC(RIGHT(Table1323212753586873[[#This Row],[h1]],8))</f>
        <v>0</v>
      </c>
      <c r="Q1489" s="48" t="s">
        <v>75</v>
      </c>
      <c r="R1489" s="48">
        <f>HEX2DEC(RIGHT(Table1323212753586873[[#This Row],[h2]],8))</f>
        <v>0</v>
      </c>
    </row>
    <row r="1490" spans="1:18">
      <c r="A1490" s="15" t="str">
        <f t="shared" si="28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8" t="s">
        <v>75</v>
      </c>
      <c r="P1490" s="48">
        <f>HEX2DEC(RIGHT(Table1323212753586873[[#This Row],[h1]],8))</f>
        <v>0</v>
      </c>
      <c r="Q1490" s="48" t="s">
        <v>75</v>
      </c>
      <c r="R1490" s="48">
        <f>HEX2DEC(RIGHT(Table1323212753586873[[#This Row],[h2]],8))</f>
        <v>0</v>
      </c>
    </row>
    <row r="1491" spans="1:18">
      <c r="A1491" s="15" t="str">
        <f t="shared" si="28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8" t="s">
        <v>75</v>
      </c>
      <c r="P1491" s="48">
        <f>HEX2DEC(RIGHT(Table1323212753586873[[#This Row],[h1]],8))</f>
        <v>0</v>
      </c>
      <c r="Q1491" s="48" t="s">
        <v>75</v>
      </c>
      <c r="R1491" s="48">
        <f>HEX2DEC(RIGHT(Table1323212753586873[[#This Row],[h2]],8))</f>
        <v>0</v>
      </c>
    </row>
    <row r="1492" spans="1:18">
      <c r="A1492" s="15" t="str">
        <f t="shared" si="28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8" t="s">
        <v>75</v>
      </c>
      <c r="P1492" s="48">
        <f>HEX2DEC(RIGHT(Table1323212753586873[[#This Row],[h1]],8))</f>
        <v>0</v>
      </c>
      <c r="Q1492" s="48" t="s">
        <v>75</v>
      </c>
      <c r="R1492" s="48">
        <f>HEX2DEC(RIGHT(Table1323212753586873[[#This Row],[h2]],8))</f>
        <v>0</v>
      </c>
    </row>
    <row r="1493" spans="1:18">
      <c r="A1493" s="15" t="str">
        <f t="shared" si="28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8" t="s">
        <v>75</v>
      </c>
      <c r="P1493" s="48">
        <f>HEX2DEC(RIGHT(Table1323212753586873[[#This Row],[h1]],8))</f>
        <v>0</v>
      </c>
      <c r="Q1493" s="48" t="s">
        <v>75</v>
      </c>
      <c r="R1493" s="48">
        <f>HEX2DEC(RIGHT(Table1323212753586873[[#This Row],[h2]],8))</f>
        <v>0</v>
      </c>
    </row>
    <row r="1494" spans="1:18">
      <c r="A1494" s="15" t="str">
        <f t="shared" si="28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8" t="s">
        <v>75</v>
      </c>
      <c r="P1494" s="48">
        <f>HEX2DEC(RIGHT(Table1323212753586873[[#This Row],[h1]],8))</f>
        <v>0</v>
      </c>
      <c r="Q1494" s="48" t="s">
        <v>75</v>
      </c>
      <c r="R1494" s="48">
        <f>HEX2DEC(RIGHT(Table1323212753586873[[#This Row],[h2]],8))</f>
        <v>0</v>
      </c>
    </row>
    <row r="1495" spans="1:18">
      <c r="A1495" s="15" t="str">
        <f t="shared" si="28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8" t="s">
        <v>75</v>
      </c>
      <c r="P1495" s="48">
        <f>HEX2DEC(RIGHT(Table1323212753586873[[#This Row],[h1]],8))</f>
        <v>0</v>
      </c>
      <c r="Q1495" s="48" t="s">
        <v>75</v>
      </c>
      <c r="R1495" s="48">
        <f>HEX2DEC(RIGHT(Table1323212753586873[[#This Row],[h2]],8))</f>
        <v>0</v>
      </c>
    </row>
    <row r="1496" spans="1:18">
      <c r="A1496" s="15" t="str">
        <f t="shared" si="28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8" t="s">
        <v>75</v>
      </c>
      <c r="P1496" s="48">
        <f>HEX2DEC(RIGHT(Table1323212753586873[[#This Row],[h1]],8))</f>
        <v>0</v>
      </c>
      <c r="Q1496" s="48" t="s">
        <v>75</v>
      </c>
      <c r="R1496" s="48">
        <f>HEX2DEC(RIGHT(Table1323212753586873[[#This Row],[h2]],8))</f>
        <v>0</v>
      </c>
    </row>
    <row r="1497" spans="1:18">
      <c r="A1497" s="15" t="str">
        <f t="shared" si="28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8" t="s">
        <v>75</v>
      </c>
      <c r="P1497" s="48">
        <f>HEX2DEC(RIGHT(Table1323212753586873[[#This Row],[h1]],8))</f>
        <v>0</v>
      </c>
      <c r="Q1497" s="48" t="s">
        <v>75</v>
      </c>
      <c r="R1497" s="48">
        <f>HEX2DEC(RIGHT(Table1323212753586873[[#This Row],[h2]],8))</f>
        <v>0</v>
      </c>
    </row>
    <row r="1498" spans="1:18">
      <c r="A1498" s="15" t="str">
        <f t="shared" si="28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8" t="s">
        <v>75</v>
      </c>
      <c r="P1498" s="48">
        <f>HEX2DEC(RIGHT(Table1323212753586873[[#This Row],[h1]],8))</f>
        <v>0</v>
      </c>
      <c r="Q1498" s="48" t="s">
        <v>75</v>
      </c>
      <c r="R1498" s="48">
        <f>HEX2DEC(RIGHT(Table1323212753586873[[#This Row],[h2]],8))</f>
        <v>0</v>
      </c>
    </row>
    <row r="1499" spans="1:18">
      <c r="A1499" s="15" t="str">
        <f t="shared" si="28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8" t="s">
        <v>75</v>
      </c>
      <c r="P1499" s="48">
        <f>HEX2DEC(RIGHT(Table1323212753586873[[#This Row],[h1]],8))</f>
        <v>0</v>
      </c>
      <c r="Q1499" s="48" t="s">
        <v>75</v>
      </c>
      <c r="R1499" s="48">
        <f>HEX2DEC(RIGHT(Table1323212753586873[[#This Row],[h2]],8))</f>
        <v>0</v>
      </c>
    </row>
    <row r="1500" spans="1:18">
      <c r="A1500" s="15" t="str">
        <f t="shared" si="28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8" t="s">
        <v>75</v>
      </c>
      <c r="P1500" s="48">
        <f>HEX2DEC(RIGHT(Table1323212753586873[[#This Row],[h1]],8))</f>
        <v>0</v>
      </c>
      <c r="Q1500" s="48" t="s">
        <v>75</v>
      </c>
      <c r="R1500" s="48">
        <f>HEX2DEC(RIGHT(Table1323212753586873[[#This Row],[h2]],8))</f>
        <v>0</v>
      </c>
    </row>
    <row r="1501" spans="1:18">
      <c r="A1501" s="15" t="str">
        <f t="shared" si="28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8" t="s">
        <v>75</v>
      </c>
      <c r="P1501" s="48">
        <f>HEX2DEC(RIGHT(Table1323212753586873[[#This Row],[h1]],8))</f>
        <v>0</v>
      </c>
      <c r="Q1501" s="48" t="s">
        <v>75</v>
      </c>
      <c r="R1501" s="48">
        <f>HEX2DEC(RIGHT(Table1323212753586873[[#This Row],[h2]],8))</f>
        <v>0</v>
      </c>
    </row>
    <row r="1502" spans="1:18">
      <c r="A1502" s="15" t="str">
        <f t="shared" si="28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8" t="s">
        <v>75</v>
      </c>
      <c r="P1502" s="48">
        <f>HEX2DEC(RIGHT(Table1323212753586873[[#This Row],[h1]],8))</f>
        <v>0</v>
      </c>
      <c r="Q1502" s="48" t="s">
        <v>75</v>
      </c>
      <c r="R1502" s="48">
        <f>HEX2DEC(RIGHT(Table1323212753586873[[#This Row],[h2]],8))</f>
        <v>0</v>
      </c>
    </row>
    <row r="1503" spans="1:18">
      <c r="A1503" s="15" t="str">
        <f t="shared" si="28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8" t="s">
        <v>75</v>
      </c>
      <c r="P1503" s="48">
        <f>HEX2DEC(RIGHT(Table1323212753586873[[#This Row],[h1]],8))</f>
        <v>0</v>
      </c>
      <c r="Q1503" s="48" t="s">
        <v>75</v>
      </c>
      <c r="R1503" s="48">
        <f>HEX2DEC(RIGHT(Table1323212753586873[[#This Row],[h2]],8))</f>
        <v>0</v>
      </c>
    </row>
    <row r="1504" spans="1:18">
      <c r="A1504" s="15" t="str">
        <f t="shared" si="28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8" t="s">
        <v>75</v>
      </c>
      <c r="P1504" s="48">
        <f>HEX2DEC(RIGHT(Table1323212753586873[[#This Row],[h1]],8))</f>
        <v>0</v>
      </c>
      <c r="Q1504" s="48" t="s">
        <v>75</v>
      </c>
      <c r="R1504" s="48">
        <f>HEX2DEC(RIGHT(Table1323212753586873[[#This Row],[h2]],8))</f>
        <v>0</v>
      </c>
    </row>
    <row r="1505" spans="1:18">
      <c r="A1505" s="15" t="str">
        <f t="shared" si="28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8" t="s">
        <v>75</v>
      </c>
      <c r="P1505" s="48">
        <f>HEX2DEC(RIGHT(Table1323212753586873[[#This Row],[h1]],8))</f>
        <v>0</v>
      </c>
      <c r="Q1505" s="48" t="s">
        <v>75</v>
      </c>
      <c r="R1505" s="48">
        <f>HEX2DEC(RIGHT(Table1323212753586873[[#This Row],[h2]],8))</f>
        <v>0</v>
      </c>
    </row>
    <row r="1506" spans="1:18">
      <c r="A1506" s="15" t="str">
        <f t="shared" si="28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8" t="s">
        <v>75</v>
      </c>
      <c r="P1506" s="48">
        <f>HEX2DEC(RIGHT(Table1323212753586873[[#This Row],[h1]],8))</f>
        <v>0</v>
      </c>
      <c r="Q1506" s="48" t="s">
        <v>75</v>
      </c>
      <c r="R1506" s="48">
        <f>HEX2DEC(RIGHT(Table1323212753586873[[#This Row],[h2]],8))</f>
        <v>0</v>
      </c>
    </row>
    <row r="1507" spans="1:18">
      <c r="A1507" s="15" t="str">
        <f t="shared" si="28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8" t="s">
        <v>75</v>
      </c>
      <c r="P1507" s="48">
        <f>HEX2DEC(RIGHT(Table1323212753586873[[#This Row],[h1]],8))</f>
        <v>0</v>
      </c>
      <c r="Q1507" s="48" t="s">
        <v>75</v>
      </c>
      <c r="R1507" s="48">
        <f>HEX2DEC(RIGHT(Table1323212753586873[[#This Row],[h2]],8))</f>
        <v>0</v>
      </c>
    </row>
    <row r="1508" spans="1:18">
      <c r="A1508" s="15" t="str">
        <f t="shared" si="28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8" t="s">
        <v>75</v>
      </c>
      <c r="P1508" s="48">
        <f>HEX2DEC(RIGHT(Table1323212753586873[[#This Row],[h1]],8))</f>
        <v>0</v>
      </c>
      <c r="Q1508" s="48" t="s">
        <v>75</v>
      </c>
      <c r="R1508" s="48">
        <f>HEX2DEC(RIGHT(Table1323212753586873[[#This Row],[h2]],8))</f>
        <v>0</v>
      </c>
    </row>
    <row r="1509" spans="1:18">
      <c r="A1509" s="15" t="str">
        <f t="shared" si="28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8" t="s">
        <v>75</v>
      </c>
      <c r="P1509" s="48">
        <f>HEX2DEC(RIGHT(Table1323212753586873[[#This Row],[h1]],8))</f>
        <v>0</v>
      </c>
      <c r="Q1509" s="48" t="s">
        <v>75</v>
      </c>
      <c r="R1509" s="48">
        <f>HEX2DEC(RIGHT(Table1323212753586873[[#This Row],[h2]],8))</f>
        <v>0</v>
      </c>
    </row>
    <row r="1510" spans="1:18">
      <c r="A1510" s="15" t="str">
        <f t="shared" si="28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8" t="s">
        <v>75</v>
      </c>
      <c r="P1510" s="48">
        <f>HEX2DEC(RIGHT(Table1323212753586873[[#This Row],[h1]],8))</f>
        <v>0</v>
      </c>
      <c r="Q1510" s="48" t="s">
        <v>75</v>
      </c>
      <c r="R1510" s="48">
        <f>HEX2DEC(RIGHT(Table1323212753586873[[#This Row],[h2]],8))</f>
        <v>0</v>
      </c>
    </row>
    <row r="1511" spans="1:18">
      <c r="A1511" s="15" t="str">
        <f t="shared" si="28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8" t="s">
        <v>75</v>
      </c>
      <c r="P1511" s="48">
        <f>HEX2DEC(RIGHT(Table1323212753586873[[#This Row],[h1]],8))</f>
        <v>0</v>
      </c>
      <c r="Q1511" s="48" t="s">
        <v>75</v>
      </c>
      <c r="R1511" s="48">
        <f>HEX2DEC(RIGHT(Table1323212753586873[[#This Row],[h2]],8))</f>
        <v>0</v>
      </c>
    </row>
    <row r="1512" spans="1:18">
      <c r="A1512" s="15" t="str">
        <f t="shared" si="28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8" t="s">
        <v>75</v>
      </c>
      <c r="P1512" s="48">
        <f>HEX2DEC(RIGHT(Table1323212753586873[[#This Row],[h1]],8))</f>
        <v>0</v>
      </c>
      <c r="Q1512" s="48" t="s">
        <v>75</v>
      </c>
      <c r="R1512" s="48">
        <f>HEX2DEC(RIGHT(Table1323212753586873[[#This Row],[h2]],8))</f>
        <v>0</v>
      </c>
    </row>
    <row r="1513" spans="1:18">
      <c r="A1513" s="15" t="str">
        <f t="shared" si="28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8" t="s">
        <v>75</v>
      </c>
      <c r="P1513" s="48">
        <f>HEX2DEC(RIGHT(Table1323212753586873[[#This Row],[h1]],8))</f>
        <v>0</v>
      </c>
      <c r="Q1513" s="48" t="s">
        <v>75</v>
      </c>
      <c r="R1513" s="48">
        <f>HEX2DEC(RIGHT(Table1323212753586873[[#This Row],[h2]],8))</f>
        <v>0</v>
      </c>
    </row>
    <row r="1514" spans="1:18">
      <c r="A1514" s="15" t="str">
        <f t="shared" si="28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8" t="s">
        <v>75</v>
      </c>
      <c r="P1514" s="48">
        <f>HEX2DEC(RIGHT(Table1323212753586873[[#This Row],[h1]],8))</f>
        <v>0</v>
      </c>
      <c r="Q1514" s="48" t="s">
        <v>75</v>
      </c>
      <c r="R1514" s="48">
        <f>HEX2DEC(RIGHT(Table1323212753586873[[#This Row],[h2]],8))</f>
        <v>0</v>
      </c>
    </row>
    <row r="1515" spans="1:18">
      <c r="A1515" s="15" t="str">
        <f t="shared" si="28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8" t="s">
        <v>75</v>
      </c>
      <c r="P1515" s="48">
        <f>HEX2DEC(RIGHT(Table1323212753586873[[#This Row],[h1]],8))</f>
        <v>0</v>
      </c>
      <c r="Q1515" s="48" t="s">
        <v>75</v>
      </c>
      <c r="R1515" s="48">
        <f>HEX2DEC(RIGHT(Table1323212753586873[[#This Row],[h2]],8))</f>
        <v>0</v>
      </c>
    </row>
    <row r="1516" spans="1:18">
      <c r="A1516" s="15" t="str">
        <f t="shared" si="28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8" t="s">
        <v>75</v>
      </c>
      <c r="P1516" s="48">
        <f>HEX2DEC(RIGHT(Table1323212753586873[[#This Row],[h1]],8))</f>
        <v>0</v>
      </c>
      <c r="Q1516" s="48" t="s">
        <v>75</v>
      </c>
      <c r="R1516" s="48">
        <f>HEX2DEC(RIGHT(Table1323212753586873[[#This Row],[h2]],8))</f>
        <v>0</v>
      </c>
    </row>
    <row r="1517" spans="1:18">
      <c r="A1517" s="15" t="str">
        <f t="shared" si="28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8" t="s">
        <v>75</v>
      </c>
      <c r="P1517" s="48">
        <f>HEX2DEC(RIGHT(Table1323212753586873[[#This Row],[h1]],8))</f>
        <v>0</v>
      </c>
      <c r="Q1517" s="48" t="s">
        <v>75</v>
      </c>
      <c r="R1517" s="48">
        <f>HEX2DEC(RIGHT(Table1323212753586873[[#This Row],[h2]],8))</f>
        <v>0</v>
      </c>
    </row>
    <row r="1518" spans="1:18">
      <c r="A1518" s="15" t="str">
        <f t="shared" si="28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8" t="s">
        <v>75</v>
      </c>
      <c r="P1518" s="48">
        <f>HEX2DEC(RIGHT(Table1323212753586873[[#This Row],[h1]],8))</f>
        <v>0</v>
      </c>
      <c r="Q1518" s="48" t="s">
        <v>75</v>
      </c>
      <c r="R1518" s="48">
        <f>HEX2DEC(RIGHT(Table1323212753586873[[#This Row],[h2]],8))</f>
        <v>0</v>
      </c>
    </row>
    <row r="1519" spans="1:18">
      <c r="A1519" s="15" t="str">
        <f t="shared" si="28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8" t="s">
        <v>75</v>
      </c>
      <c r="P1519" s="48">
        <f>HEX2DEC(RIGHT(Table1323212753586873[[#This Row],[h1]],8))</f>
        <v>0</v>
      </c>
      <c r="Q1519" s="48" t="s">
        <v>75</v>
      </c>
      <c r="R1519" s="48">
        <f>HEX2DEC(RIGHT(Table1323212753586873[[#This Row],[h2]],8))</f>
        <v>0</v>
      </c>
    </row>
    <row r="1520" spans="1:18">
      <c r="A1520" s="15" t="str">
        <f t="shared" si="28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8" t="s">
        <v>75</v>
      </c>
      <c r="P1520" s="48">
        <f>HEX2DEC(RIGHT(Table1323212753586873[[#This Row],[h1]],8))</f>
        <v>0</v>
      </c>
      <c r="Q1520" s="48" t="s">
        <v>75</v>
      </c>
      <c r="R1520" s="48">
        <f>HEX2DEC(RIGHT(Table1323212753586873[[#This Row],[h2]],8))</f>
        <v>0</v>
      </c>
    </row>
    <row r="1521" spans="1:18">
      <c r="A1521" s="15" t="str">
        <f t="shared" si="28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8" t="s">
        <v>75</v>
      </c>
      <c r="P1521" s="48">
        <f>HEX2DEC(RIGHT(Table1323212753586873[[#This Row],[h1]],8))</f>
        <v>0</v>
      </c>
      <c r="Q1521" s="48" t="s">
        <v>75</v>
      </c>
      <c r="R1521" s="48">
        <f>HEX2DEC(RIGHT(Table1323212753586873[[#This Row],[h2]],8))</f>
        <v>0</v>
      </c>
    </row>
    <row r="1522" spans="1:18">
      <c r="A1522" s="15" t="str">
        <f t="shared" si="28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8" t="s">
        <v>75</v>
      </c>
      <c r="P1522" s="48">
        <f>HEX2DEC(RIGHT(Table1323212753586873[[#This Row],[h1]],8))</f>
        <v>0</v>
      </c>
      <c r="Q1522" s="48" t="s">
        <v>75</v>
      </c>
      <c r="R1522" s="48">
        <f>HEX2DEC(RIGHT(Table1323212753586873[[#This Row],[h2]],8))</f>
        <v>0</v>
      </c>
    </row>
    <row r="1523" spans="1:18">
      <c r="A1523" s="15" t="str">
        <f t="shared" si="28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8" t="s">
        <v>75</v>
      </c>
      <c r="P1523" s="48">
        <f>HEX2DEC(RIGHT(Table1323212753586873[[#This Row],[h1]],8))</f>
        <v>0</v>
      </c>
      <c r="Q1523" s="48" t="s">
        <v>75</v>
      </c>
      <c r="R1523" s="48">
        <f>HEX2DEC(RIGHT(Table1323212753586873[[#This Row],[h2]],8))</f>
        <v>0</v>
      </c>
    </row>
    <row r="1524" spans="1:18">
      <c r="A1524" s="15" t="str">
        <f t="shared" si="28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8" t="s">
        <v>75</v>
      </c>
      <c r="P1524" s="48">
        <f>HEX2DEC(RIGHT(Table1323212753586873[[#This Row],[h1]],8))</f>
        <v>0</v>
      </c>
      <c r="Q1524" s="48" t="s">
        <v>75</v>
      </c>
      <c r="R1524" s="48">
        <f>HEX2DEC(RIGHT(Table1323212753586873[[#This Row],[h2]],8))</f>
        <v>0</v>
      </c>
    </row>
    <row r="1525" spans="1:18">
      <c r="A1525" s="15" t="str">
        <f t="shared" si="28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8" t="s">
        <v>75</v>
      </c>
      <c r="P1525" s="48">
        <f>HEX2DEC(RIGHT(Table1323212753586873[[#This Row],[h1]],8))</f>
        <v>0</v>
      </c>
      <c r="Q1525" s="48" t="s">
        <v>75</v>
      </c>
      <c r="R1525" s="48">
        <f>HEX2DEC(RIGHT(Table1323212753586873[[#This Row],[h2]],8))</f>
        <v>0</v>
      </c>
    </row>
    <row r="1526" spans="1:18">
      <c r="A1526" s="15" t="str">
        <f t="shared" si="28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8" t="s">
        <v>75</v>
      </c>
      <c r="P1526" s="48">
        <f>HEX2DEC(RIGHT(Table1323212753586873[[#This Row],[h1]],8))</f>
        <v>0</v>
      </c>
      <c r="Q1526" s="48" t="s">
        <v>75</v>
      </c>
      <c r="R1526" s="48">
        <f>HEX2DEC(RIGHT(Table1323212753586873[[#This Row],[h2]],8))</f>
        <v>0</v>
      </c>
    </row>
    <row r="1527" spans="1:18">
      <c r="A1527" s="15" t="str">
        <f t="shared" si="28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8" t="s">
        <v>75</v>
      </c>
      <c r="P1527" s="48">
        <f>HEX2DEC(RIGHT(Table1323212753586873[[#This Row],[h1]],8))</f>
        <v>0</v>
      </c>
      <c r="Q1527" s="48" t="s">
        <v>75</v>
      </c>
      <c r="R1527" s="48">
        <f>HEX2DEC(RIGHT(Table1323212753586873[[#This Row],[h2]],8))</f>
        <v>0</v>
      </c>
    </row>
    <row r="1528" spans="1:18">
      <c r="A1528" s="15" t="str">
        <f t="shared" si="28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8" t="s">
        <v>75</v>
      </c>
      <c r="P1528" s="48">
        <f>HEX2DEC(RIGHT(Table1323212753586873[[#This Row],[h1]],8))</f>
        <v>0</v>
      </c>
      <c r="Q1528" s="48" t="s">
        <v>75</v>
      </c>
      <c r="R1528" s="48">
        <f>HEX2DEC(RIGHT(Table1323212753586873[[#This Row],[h2]],8))</f>
        <v>0</v>
      </c>
    </row>
    <row r="1529" spans="1:18">
      <c r="A1529" s="15" t="str">
        <f t="shared" si="28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8" t="s">
        <v>75</v>
      </c>
      <c r="P1529" s="48">
        <f>HEX2DEC(RIGHT(Table1323212753586873[[#This Row],[h1]],8))</f>
        <v>0</v>
      </c>
      <c r="Q1529" s="48" t="s">
        <v>75</v>
      </c>
      <c r="R1529" s="48">
        <f>HEX2DEC(RIGHT(Table1323212753586873[[#This Row],[h2]],8))</f>
        <v>0</v>
      </c>
    </row>
    <row r="1530" spans="1:18">
      <c r="A1530" s="15" t="str">
        <f t="shared" si="28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8" t="s">
        <v>75</v>
      </c>
      <c r="P1530" s="48">
        <f>HEX2DEC(RIGHT(Table1323212753586873[[#This Row],[h1]],8))</f>
        <v>0</v>
      </c>
      <c r="Q1530" s="48" t="s">
        <v>75</v>
      </c>
      <c r="R1530" s="48">
        <f>HEX2DEC(RIGHT(Table1323212753586873[[#This Row],[h2]],8))</f>
        <v>0</v>
      </c>
    </row>
    <row r="1531" spans="1:18">
      <c r="A1531" s="15" t="str">
        <f t="shared" si="28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8" t="s">
        <v>75</v>
      </c>
      <c r="P1531" s="48">
        <f>HEX2DEC(RIGHT(Table1323212753586873[[#This Row],[h1]],8))</f>
        <v>0</v>
      </c>
      <c r="Q1531" s="48" t="s">
        <v>75</v>
      </c>
      <c r="R1531" s="48">
        <f>HEX2DEC(RIGHT(Table1323212753586873[[#This Row],[h2]],8))</f>
        <v>0</v>
      </c>
    </row>
    <row r="1532" spans="1:18">
      <c r="A1532" s="15" t="str">
        <f t="shared" si="28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8" t="s">
        <v>75</v>
      </c>
      <c r="P1532" s="48">
        <f>HEX2DEC(RIGHT(Table1323212753586873[[#This Row],[h1]],8))</f>
        <v>0</v>
      </c>
      <c r="Q1532" s="48" t="s">
        <v>75</v>
      </c>
      <c r="R1532" s="48">
        <f>HEX2DEC(RIGHT(Table1323212753586873[[#This Row],[h2]],8))</f>
        <v>0</v>
      </c>
    </row>
    <row r="1533" spans="1:18">
      <c r="A1533" s="15" t="str">
        <f t="shared" si="28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8" t="s">
        <v>75</v>
      </c>
      <c r="P1533" s="48">
        <f>HEX2DEC(RIGHT(Table1323212753586873[[#This Row],[h1]],8))</f>
        <v>0</v>
      </c>
      <c r="Q1533" s="48" t="s">
        <v>75</v>
      </c>
      <c r="R1533" s="48">
        <f>HEX2DEC(RIGHT(Table1323212753586873[[#This Row],[h2]],8))</f>
        <v>0</v>
      </c>
    </row>
    <row r="1534" spans="1:18">
      <c r="A1534" s="15" t="str">
        <f t="shared" si="28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8" t="s">
        <v>75</v>
      </c>
      <c r="P1534" s="48">
        <f>HEX2DEC(RIGHT(Table1323212753586873[[#This Row],[h1]],8))</f>
        <v>0</v>
      </c>
      <c r="Q1534" s="48" t="s">
        <v>75</v>
      </c>
      <c r="R1534" s="48">
        <f>HEX2DEC(RIGHT(Table1323212753586873[[#This Row],[h2]],8))</f>
        <v>0</v>
      </c>
    </row>
    <row r="1535" spans="1:18">
      <c r="A1535" s="15" t="str">
        <f t="shared" si="28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8" t="s">
        <v>75</v>
      </c>
      <c r="P1535" s="48">
        <f>HEX2DEC(RIGHT(Table1323212753586873[[#This Row],[h1]],8))</f>
        <v>0</v>
      </c>
      <c r="Q1535" s="48" t="s">
        <v>75</v>
      </c>
      <c r="R1535" s="48">
        <f>HEX2DEC(RIGHT(Table1323212753586873[[#This Row],[h2]],8))</f>
        <v>0</v>
      </c>
    </row>
    <row r="1536" spans="1:18">
      <c r="A1536" s="15" t="str">
        <f t="shared" si="28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8" t="s">
        <v>75</v>
      </c>
      <c r="P1536" s="48">
        <f>HEX2DEC(RIGHT(Table1323212753586873[[#This Row],[h1]],8))</f>
        <v>0</v>
      </c>
      <c r="Q1536" s="48" t="s">
        <v>75</v>
      </c>
      <c r="R1536" s="48">
        <f>HEX2DEC(RIGHT(Table1323212753586873[[#This Row],[h2]],8))</f>
        <v>0</v>
      </c>
    </row>
    <row r="1537" spans="1:18">
      <c r="A1537" s="15" t="str">
        <f t="shared" si="28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8" t="s">
        <v>75</v>
      </c>
      <c r="P1537" s="48">
        <f>HEX2DEC(RIGHT(Table1323212753586873[[#This Row],[h1]],8))</f>
        <v>0</v>
      </c>
      <c r="Q1537" s="48" t="s">
        <v>75</v>
      </c>
      <c r="R1537" s="48">
        <f>HEX2DEC(RIGHT(Table1323212753586873[[#This Row],[h2]],8))</f>
        <v>0</v>
      </c>
    </row>
    <row r="1538" spans="1:18">
      <c r="A1538" s="15" t="str">
        <f t="shared" si="28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8" t="s">
        <v>75</v>
      </c>
      <c r="P1538" s="48">
        <f>HEX2DEC(RIGHT(Table1323212753586873[[#This Row],[h1]],8))</f>
        <v>0</v>
      </c>
      <c r="Q1538" s="48" t="s">
        <v>75</v>
      </c>
      <c r="R1538" s="48">
        <f>HEX2DEC(RIGHT(Table1323212753586873[[#This Row],[h2]],8))</f>
        <v>0</v>
      </c>
    </row>
    <row r="1539" spans="1:18">
      <c r="A1539" s="15" t="str">
        <f t="shared" si="28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8" t="s">
        <v>75</v>
      </c>
      <c r="P1539" s="48">
        <f>HEX2DEC(RIGHT(Table1323212753586873[[#This Row],[h1]],8))</f>
        <v>0</v>
      </c>
      <c r="Q1539" s="48" t="s">
        <v>75</v>
      </c>
      <c r="R1539" s="48">
        <f>HEX2DEC(RIGHT(Table1323212753586873[[#This Row],[h2]],8))</f>
        <v>0</v>
      </c>
    </row>
    <row r="1540" spans="1:18">
      <c r="A1540" s="15" t="str">
        <f t="shared" si="28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8" t="s">
        <v>75</v>
      </c>
      <c r="P1540" s="48">
        <f>HEX2DEC(RIGHT(Table1323212753586873[[#This Row],[h1]],8))</f>
        <v>0</v>
      </c>
      <c r="Q1540" s="48" t="s">
        <v>75</v>
      </c>
      <c r="R1540" s="48">
        <f>HEX2DEC(RIGHT(Table1323212753586873[[#This Row],[h2]],8))</f>
        <v>0</v>
      </c>
    </row>
    <row r="1541" spans="1:18">
      <c r="A1541" s="15" t="str">
        <f t="shared" si="28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8" t="s">
        <v>75</v>
      </c>
      <c r="P1541" s="48">
        <f>HEX2DEC(RIGHT(Table1323212753586873[[#This Row],[h1]],8))</f>
        <v>0</v>
      </c>
      <c r="Q1541" s="48" t="s">
        <v>75</v>
      </c>
      <c r="R1541" s="48">
        <f>HEX2DEC(RIGHT(Table1323212753586873[[#This Row],[h2]],8))</f>
        <v>0</v>
      </c>
    </row>
    <row r="1542" spans="1:18">
      <c r="A1542" s="15" t="str">
        <f t="shared" si="28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8" t="s">
        <v>75</v>
      </c>
      <c r="P1542" s="48">
        <f>HEX2DEC(RIGHT(Table1323212753586873[[#This Row],[h1]],8))</f>
        <v>0</v>
      </c>
      <c r="Q1542" s="48" t="s">
        <v>75</v>
      </c>
      <c r="R1542" s="48">
        <f>HEX2DEC(RIGHT(Table1323212753586873[[#This Row],[h2]],8))</f>
        <v>0</v>
      </c>
    </row>
    <row r="1543" spans="1:18">
      <c r="A1543" s="15" t="str">
        <f t="shared" si="28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8" t="s">
        <v>75</v>
      </c>
      <c r="P1543" s="48">
        <f>HEX2DEC(RIGHT(Table1323212753586873[[#This Row],[h1]],8))</f>
        <v>0</v>
      </c>
      <c r="Q1543" s="48" t="s">
        <v>75</v>
      </c>
      <c r="R1543" s="48">
        <f>HEX2DEC(RIGHT(Table1323212753586873[[#This Row],[h2]],8))</f>
        <v>0</v>
      </c>
    </row>
    <row r="1544" spans="1:18">
      <c r="A1544" s="15" t="str">
        <f t="shared" si="28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8" t="s">
        <v>75</v>
      </c>
      <c r="P1544" s="48">
        <f>HEX2DEC(RIGHT(Table1323212753586873[[#This Row],[h1]],8))</f>
        <v>0</v>
      </c>
      <c r="Q1544" s="48" t="s">
        <v>75</v>
      </c>
      <c r="R1544" s="48">
        <f>HEX2DEC(RIGHT(Table1323212753586873[[#This Row],[h2]],8))</f>
        <v>0</v>
      </c>
    </row>
    <row r="1545" spans="1:18">
      <c r="A1545" s="15" t="str">
        <f t="shared" si="28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8" t="s">
        <v>75</v>
      </c>
      <c r="P1545" s="48">
        <f>HEX2DEC(RIGHT(Table1323212753586873[[#This Row],[h1]],8))</f>
        <v>0</v>
      </c>
      <c r="Q1545" s="48" t="s">
        <v>75</v>
      </c>
      <c r="R1545" s="48">
        <f>HEX2DEC(RIGHT(Table1323212753586873[[#This Row],[h2]],8))</f>
        <v>0</v>
      </c>
    </row>
    <row r="1546" spans="1:18">
      <c r="A1546" s="15" t="str">
        <f t="shared" si="28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8" t="s">
        <v>75</v>
      </c>
      <c r="P1546" s="48">
        <f>HEX2DEC(RIGHT(Table1323212753586873[[#This Row],[h1]],8))</f>
        <v>0</v>
      </c>
      <c r="Q1546" s="48" t="s">
        <v>75</v>
      </c>
      <c r="R1546" s="48">
        <f>HEX2DEC(RIGHT(Table1323212753586873[[#This Row],[h2]],8))</f>
        <v>0</v>
      </c>
    </row>
    <row r="1547" spans="1:18">
      <c r="A1547" s="15" t="str">
        <f t="shared" ref="A1547:A1610" si="29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8" t="s">
        <v>75</v>
      </c>
      <c r="P1547" s="48">
        <f>HEX2DEC(RIGHT(Table1323212753586873[[#This Row],[h1]],8))</f>
        <v>0</v>
      </c>
      <c r="Q1547" s="48" t="s">
        <v>75</v>
      </c>
      <c r="R1547" s="48">
        <f>HEX2DEC(RIGHT(Table1323212753586873[[#This Row],[h2]],8))</f>
        <v>0</v>
      </c>
    </row>
    <row r="1548" spans="1:18">
      <c r="A1548" s="15" t="str">
        <f t="shared" si="29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8" t="s">
        <v>75</v>
      </c>
      <c r="P1548" s="48">
        <f>HEX2DEC(RIGHT(Table1323212753586873[[#This Row],[h1]],8))</f>
        <v>0</v>
      </c>
      <c r="Q1548" s="48" t="s">
        <v>75</v>
      </c>
      <c r="R1548" s="48">
        <f>HEX2DEC(RIGHT(Table1323212753586873[[#This Row],[h2]],8))</f>
        <v>0</v>
      </c>
    </row>
    <row r="1549" spans="1:18">
      <c r="A1549" s="15" t="str">
        <f t="shared" si="29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8" t="s">
        <v>75</v>
      </c>
      <c r="P1549" s="48">
        <f>HEX2DEC(RIGHT(Table1323212753586873[[#This Row],[h1]],8))</f>
        <v>0</v>
      </c>
      <c r="Q1549" s="48" t="s">
        <v>75</v>
      </c>
      <c r="R1549" s="48">
        <f>HEX2DEC(RIGHT(Table1323212753586873[[#This Row],[h2]],8))</f>
        <v>0</v>
      </c>
    </row>
    <row r="1550" spans="1:18">
      <c r="A1550" s="15" t="str">
        <f t="shared" si="29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8" t="s">
        <v>75</v>
      </c>
      <c r="P1550" s="48">
        <f>HEX2DEC(RIGHT(Table1323212753586873[[#This Row],[h1]],8))</f>
        <v>0</v>
      </c>
      <c r="Q1550" s="48" t="s">
        <v>75</v>
      </c>
      <c r="R1550" s="48">
        <f>HEX2DEC(RIGHT(Table1323212753586873[[#This Row],[h2]],8))</f>
        <v>0</v>
      </c>
    </row>
    <row r="1551" spans="1:18">
      <c r="A1551" s="15" t="str">
        <f t="shared" si="29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8" t="s">
        <v>75</v>
      </c>
      <c r="P1551" s="48">
        <f>HEX2DEC(RIGHT(Table1323212753586873[[#This Row],[h1]],8))</f>
        <v>0</v>
      </c>
      <c r="Q1551" s="48" t="s">
        <v>75</v>
      </c>
      <c r="R1551" s="48">
        <f>HEX2DEC(RIGHT(Table1323212753586873[[#This Row],[h2]],8))</f>
        <v>0</v>
      </c>
    </row>
    <row r="1552" spans="1:18">
      <c r="A1552" s="15" t="str">
        <f t="shared" si="29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8" t="s">
        <v>75</v>
      </c>
      <c r="P1552" s="48">
        <f>HEX2DEC(RIGHT(Table1323212753586873[[#This Row],[h1]],8))</f>
        <v>0</v>
      </c>
      <c r="Q1552" s="48" t="s">
        <v>75</v>
      </c>
      <c r="R1552" s="48">
        <f>HEX2DEC(RIGHT(Table1323212753586873[[#This Row],[h2]],8))</f>
        <v>0</v>
      </c>
    </row>
    <row r="1553" spans="1:18">
      <c r="A1553" s="15" t="str">
        <f t="shared" si="29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8" t="s">
        <v>75</v>
      </c>
      <c r="P1553" s="48">
        <f>HEX2DEC(RIGHT(Table1323212753586873[[#This Row],[h1]],8))</f>
        <v>0</v>
      </c>
      <c r="Q1553" s="48" t="s">
        <v>75</v>
      </c>
      <c r="R1553" s="48">
        <f>HEX2DEC(RIGHT(Table1323212753586873[[#This Row],[h2]],8))</f>
        <v>0</v>
      </c>
    </row>
    <row r="1554" spans="1:18">
      <c r="A1554" s="15" t="str">
        <f t="shared" si="29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8" t="s">
        <v>75</v>
      </c>
      <c r="P1554" s="48">
        <f>HEX2DEC(RIGHT(Table1323212753586873[[#This Row],[h1]],8))</f>
        <v>0</v>
      </c>
      <c r="Q1554" s="48" t="s">
        <v>75</v>
      </c>
      <c r="R1554" s="48">
        <f>HEX2DEC(RIGHT(Table1323212753586873[[#This Row],[h2]],8))</f>
        <v>0</v>
      </c>
    </row>
    <row r="1555" spans="1:18">
      <c r="A1555" s="15" t="str">
        <f t="shared" si="29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8" t="s">
        <v>75</v>
      </c>
      <c r="P1555" s="48">
        <f>HEX2DEC(RIGHT(Table1323212753586873[[#This Row],[h1]],8))</f>
        <v>0</v>
      </c>
      <c r="Q1555" s="48" t="s">
        <v>75</v>
      </c>
      <c r="R1555" s="48">
        <f>HEX2DEC(RIGHT(Table1323212753586873[[#This Row],[h2]],8))</f>
        <v>0</v>
      </c>
    </row>
    <row r="1556" spans="1:18">
      <c r="A1556" s="15" t="str">
        <f t="shared" si="29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8" t="s">
        <v>75</v>
      </c>
      <c r="P1556" s="48">
        <f>HEX2DEC(RIGHT(Table1323212753586873[[#This Row],[h1]],8))</f>
        <v>0</v>
      </c>
      <c r="Q1556" s="48" t="s">
        <v>75</v>
      </c>
      <c r="R1556" s="48">
        <f>HEX2DEC(RIGHT(Table1323212753586873[[#This Row],[h2]],8))</f>
        <v>0</v>
      </c>
    </row>
    <row r="1557" spans="1:18">
      <c r="A1557" s="15" t="str">
        <f t="shared" si="29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8" t="s">
        <v>75</v>
      </c>
      <c r="P1557" s="48">
        <f>HEX2DEC(RIGHT(Table1323212753586873[[#This Row],[h1]],8))</f>
        <v>0</v>
      </c>
      <c r="Q1557" s="48" t="s">
        <v>75</v>
      </c>
      <c r="R1557" s="48">
        <f>HEX2DEC(RIGHT(Table1323212753586873[[#This Row],[h2]],8))</f>
        <v>0</v>
      </c>
    </row>
    <row r="1558" spans="1:18">
      <c r="A1558" s="15" t="str">
        <f t="shared" si="29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8" t="s">
        <v>75</v>
      </c>
      <c r="P1558" s="48">
        <f>HEX2DEC(RIGHT(Table1323212753586873[[#This Row],[h1]],8))</f>
        <v>0</v>
      </c>
      <c r="Q1558" s="48" t="s">
        <v>75</v>
      </c>
      <c r="R1558" s="48">
        <f>HEX2DEC(RIGHT(Table1323212753586873[[#This Row],[h2]],8))</f>
        <v>0</v>
      </c>
    </row>
    <row r="1559" spans="1:18">
      <c r="A1559" s="15" t="str">
        <f t="shared" si="29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8" t="s">
        <v>75</v>
      </c>
      <c r="P1559" s="48">
        <f>HEX2DEC(RIGHT(Table1323212753586873[[#This Row],[h1]],8))</f>
        <v>0</v>
      </c>
      <c r="Q1559" s="48" t="s">
        <v>75</v>
      </c>
      <c r="R1559" s="48">
        <f>HEX2DEC(RIGHT(Table1323212753586873[[#This Row],[h2]],8))</f>
        <v>0</v>
      </c>
    </row>
    <row r="1560" spans="1:18">
      <c r="A1560" s="15" t="str">
        <f t="shared" si="29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8" t="s">
        <v>75</v>
      </c>
      <c r="P1560" s="48">
        <f>HEX2DEC(RIGHT(Table1323212753586873[[#This Row],[h1]],8))</f>
        <v>0</v>
      </c>
      <c r="Q1560" s="48" t="s">
        <v>75</v>
      </c>
      <c r="R1560" s="48">
        <f>HEX2DEC(RIGHT(Table1323212753586873[[#This Row],[h2]],8))</f>
        <v>0</v>
      </c>
    </row>
    <row r="1561" spans="1:18">
      <c r="A1561" s="15" t="str">
        <f t="shared" si="29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8" t="s">
        <v>75</v>
      </c>
      <c r="P1561" s="48">
        <f>HEX2DEC(RIGHT(Table1323212753586873[[#This Row],[h1]],8))</f>
        <v>0</v>
      </c>
      <c r="Q1561" s="48" t="s">
        <v>75</v>
      </c>
      <c r="R1561" s="48">
        <f>HEX2DEC(RIGHT(Table1323212753586873[[#This Row],[h2]],8))</f>
        <v>0</v>
      </c>
    </row>
    <row r="1562" spans="1:18">
      <c r="A1562" s="15" t="str">
        <f t="shared" si="29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8" t="s">
        <v>75</v>
      </c>
      <c r="P1562" s="48">
        <f>HEX2DEC(RIGHT(Table1323212753586873[[#This Row],[h1]],8))</f>
        <v>0</v>
      </c>
      <c r="Q1562" s="48" t="s">
        <v>75</v>
      </c>
      <c r="R1562" s="48">
        <f>HEX2DEC(RIGHT(Table1323212753586873[[#This Row],[h2]],8))</f>
        <v>0</v>
      </c>
    </row>
    <row r="1563" spans="1:18">
      <c r="A1563" s="15" t="str">
        <f t="shared" si="29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8" t="s">
        <v>75</v>
      </c>
      <c r="P1563" s="48">
        <f>HEX2DEC(RIGHT(Table1323212753586873[[#This Row],[h1]],8))</f>
        <v>0</v>
      </c>
      <c r="Q1563" s="48" t="s">
        <v>75</v>
      </c>
      <c r="R1563" s="48">
        <f>HEX2DEC(RIGHT(Table1323212753586873[[#This Row],[h2]],8))</f>
        <v>0</v>
      </c>
    </row>
    <row r="1564" spans="1:18">
      <c r="A1564" s="15" t="str">
        <f t="shared" si="29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8" t="s">
        <v>75</v>
      </c>
      <c r="P1564" s="48">
        <f>HEX2DEC(RIGHT(Table1323212753586873[[#This Row],[h1]],8))</f>
        <v>0</v>
      </c>
      <c r="Q1564" s="48" t="s">
        <v>75</v>
      </c>
      <c r="R1564" s="48">
        <f>HEX2DEC(RIGHT(Table1323212753586873[[#This Row],[h2]],8))</f>
        <v>0</v>
      </c>
    </row>
    <row r="1565" spans="1:18">
      <c r="A1565" s="15" t="str">
        <f t="shared" si="29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8" t="s">
        <v>75</v>
      </c>
      <c r="P1565" s="48">
        <f>HEX2DEC(RIGHT(Table1323212753586873[[#This Row],[h1]],8))</f>
        <v>0</v>
      </c>
      <c r="Q1565" s="48" t="s">
        <v>75</v>
      </c>
      <c r="R1565" s="48">
        <f>HEX2DEC(RIGHT(Table1323212753586873[[#This Row],[h2]],8))</f>
        <v>0</v>
      </c>
    </row>
    <row r="1566" spans="1:18">
      <c r="A1566" s="15" t="str">
        <f t="shared" si="29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8" t="s">
        <v>75</v>
      </c>
      <c r="P1566" s="48">
        <f>HEX2DEC(RIGHT(Table1323212753586873[[#This Row],[h1]],8))</f>
        <v>0</v>
      </c>
      <c r="Q1566" s="48" t="s">
        <v>75</v>
      </c>
      <c r="R1566" s="48">
        <f>HEX2DEC(RIGHT(Table1323212753586873[[#This Row],[h2]],8))</f>
        <v>0</v>
      </c>
    </row>
    <row r="1567" spans="1:18">
      <c r="A1567" s="15" t="str">
        <f t="shared" si="29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8" t="s">
        <v>75</v>
      </c>
      <c r="P1567" s="48">
        <f>HEX2DEC(RIGHT(Table1323212753586873[[#This Row],[h1]],8))</f>
        <v>0</v>
      </c>
      <c r="Q1567" s="48" t="s">
        <v>75</v>
      </c>
      <c r="R1567" s="48">
        <f>HEX2DEC(RIGHT(Table1323212753586873[[#This Row],[h2]],8))</f>
        <v>0</v>
      </c>
    </row>
    <row r="1568" spans="1:18">
      <c r="A1568" s="15" t="str">
        <f t="shared" si="29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8" t="s">
        <v>75</v>
      </c>
      <c r="P1568" s="48">
        <f>HEX2DEC(RIGHT(Table1323212753586873[[#This Row],[h1]],8))</f>
        <v>0</v>
      </c>
      <c r="Q1568" s="48" t="s">
        <v>75</v>
      </c>
      <c r="R1568" s="48">
        <f>HEX2DEC(RIGHT(Table1323212753586873[[#This Row],[h2]],8))</f>
        <v>0</v>
      </c>
    </row>
    <row r="1569" spans="1:18">
      <c r="A1569" s="15" t="str">
        <f t="shared" si="29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8" t="s">
        <v>75</v>
      </c>
      <c r="P1569" s="48">
        <f>HEX2DEC(RIGHT(Table1323212753586873[[#This Row],[h1]],8))</f>
        <v>0</v>
      </c>
      <c r="Q1569" s="48" t="s">
        <v>75</v>
      </c>
      <c r="R1569" s="48">
        <f>HEX2DEC(RIGHT(Table1323212753586873[[#This Row],[h2]],8))</f>
        <v>0</v>
      </c>
    </row>
    <row r="1570" spans="1:18">
      <c r="A1570" s="15" t="str">
        <f t="shared" si="29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8" t="s">
        <v>75</v>
      </c>
      <c r="P1570" s="48">
        <f>HEX2DEC(RIGHT(Table1323212753586873[[#This Row],[h1]],8))</f>
        <v>0</v>
      </c>
      <c r="Q1570" s="48" t="s">
        <v>75</v>
      </c>
      <c r="R1570" s="48">
        <f>HEX2DEC(RIGHT(Table1323212753586873[[#This Row],[h2]],8))</f>
        <v>0</v>
      </c>
    </row>
    <row r="1571" spans="1:18">
      <c r="A1571" s="15" t="str">
        <f t="shared" si="29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8" t="s">
        <v>75</v>
      </c>
      <c r="P1571" s="48">
        <f>HEX2DEC(RIGHT(Table1323212753586873[[#This Row],[h1]],8))</f>
        <v>0</v>
      </c>
      <c r="Q1571" s="48" t="s">
        <v>75</v>
      </c>
      <c r="R1571" s="48">
        <f>HEX2DEC(RIGHT(Table1323212753586873[[#This Row],[h2]],8))</f>
        <v>0</v>
      </c>
    </row>
    <row r="1572" spans="1:18">
      <c r="A1572" s="15" t="str">
        <f t="shared" si="29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8" t="s">
        <v>75</v>
      </c>
      <c r="P1572" s="48">
        <f>HEX2DEC(RIGHT(Table1323212753586873[[#This Row],[h1]],8))</f>
        <v>0</v>
      </c>
      <c r="Q1572" s="48" t="s">
        <v>75</v>
      </c>
      <c r="R1572" s="48">
        <f>HEX2DEC(RIGHT(Table1323212753586873[[#This Row],[h2]],8))</f>
        <v>0</v>
      </c>
    </row>
    <row r="1573" spans="1:18">
      <c r="A1573" s="15" t="str">
        <f t="shared" si="29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8" t="s">
        <v>75</v>
      </c>
      <c r="P1573" s="48">
        <f>HEX2DEC(RIGHT(Table1323212753586873[[#This Row],[h1]],8))</f>
        <v>0</v>
      </c>
      <c r="Q1573" s="48" t="s">
        <v>75</v>
      </c>
      <c r="R1573" s="48">
        <f>HEX2DEC(RIGHT(Table1323212753586873[[#This Row],[h2]],8))</f>
        <v>0</v>
      </c>
    </row>
    <row r="1574" spans="1:18">
      <c r="A1574" s="15" t="str">
        <f t="shared" si="29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8" t="s">
        <v>75</v>
      </c>
      <c r="P1574" s="48">
        <f>HEX2DEC(RIGHT(Table1323212753586873[[#This Row],[h1]],8))</f>
        <v>0</v>
      </c>
      <c r="Q1574" s="48" t="s">
        <v>75</v>
      </c>
      <c r="R1574" s="48">
        <f>HEX2DEC(RIGHT(Table1323212753586873[[#This Row],[h2]],8))</f>
        <v>0</v>
      </c>
    </row>
    <row r="1575" spans="1:18">
      <c r="A1575" s="15" t="str">
        <f t="shared" si="29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8" t="s">
        <v>75</v>
      </c>
      <c r="P1575" s="48">
        <f>HEX2DEC(RIGHT(Table1323212753586873[[#This Row],[h1]],8))</f>
        <v>0</v>
      </c>
      <c r="Q1575" s="48" t="s">
        <v>75</v>
      </c>
      <c r="R1575" s="48">
        <f>HEX2DEC(RIGHT(Table1323212753586873[[#This Row],[h2]],8))</f>
        <v>0</v>
      </c>
    </row>
    <row r="1576" spans="1:18">
      <c r="A1576" s="15" t="str">
        <f t="shared" si="29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8" t="s">
        <v>75</v>
      </c>
      <c r="P1576" s="48">
        <f>HEX2DEC(RIGHT(Table1323212753586873[[#This Row],[h1]],8))</f>
        <v>0</v>
      </c>
      <c r="Q1576" s="48" t="s">
        <v>75</v>
      </c>
      <c r="R1576" s="48">
        <f>HEX2DEC(RIGHT(Table1323212753586873[[#This Row],[h2]],8))</f>
        <v>0</v>
      </c>
    </row>
    <row r="1577" spans="1:18">
      <c r="A1577" s="15" t="str">
        <f t="shared" si="29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8" t="s">
        <v>75</v>
      </c>
      <c r="P1577" s="48">
        <f>HEX2DEC(RIGHT(Table1323212753586873[[#This Row],[h1]],8))</f>
        <v>0</v>
      </c>
      <c r="Q1577" s="48" t="s">
        <v>75</v>
      </c>
      <c r="R1577" s="48">
        <f>HEX2DEC(RIGHT(Table1323212753586873[[#This Row],[h2]],8))</f>
        <v>0</v>
      </c>
    </row>
    <row r="1578" spans="1:18">
      <c r="A1578" s="15" t="str">
        <f t="shared" si="29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8" t="s">
        <v>75</v>
      </c>
      <c r="P1578" s="48">
        <f>HEX2DEC(RIGHT(Table1323212753586873[[#This Row],[h1]],8))</f>
        <v>0</v>
      </c>
      <c r="Q1578" s="48" t="s">
        <v>75</v>
      </c>
      <c r="R1578" s="48">
        <f>HEX2DEC(RIGHT(Table1323212753586873[[#This Row],[h2]],8))</f>
        <v>0</v>
      </c>
    </row>
    <row r="1579" spans="1:18">
      <c r="A1579" s="15" t="str">
        <f t="shared" si="29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8" t="s">
        <v>75</v>
      </c>
      <c r="P1579" s="48">
        <f>HEX2DEC(RIGHT(Table1323212753586873[[#This Row],[h1]],8))</f>
        <v>0</v>
      </c>
      <c r="Q1579" s="48" t="s">
        <v>75</v>
      </c>
      <c r="R1579" s="48">
        <f>HEX2DEC(RIGHT(Table1323212753586873[[#This Row],[h2]],8))</f>
        <v>0</v>
      </c>
    </row>
    <row r="1580" spans="1:18">
      <c r="A1580" s="15" t="str">
        <f t="shared" si="29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8" t="s">
        <v>75</v>
      </c>
      <c r="P1580" s="48">
        <f>HEX2DEC(RIGHT(Table1323212753586873[[#This Row],[h1]],8))</f>
        <v>0</v>
      </c>
      <c r="Q1580" s="48" t="s">
        <v>75</v>
      </c>
      <c r="R1580" s="48">
        <f>HEX2DEC(RIGHT(Table1323212753586873[[#This Row],[h2]],8))</f>
        <v>0</v>
      </c>
    </row>
    <row r="1581" spans="1:18">
      <c r="A1581" s="15" t="str">
        <f t="shared" si="29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8" t="s">
        <v>75</v>
      </c>
      <c r="P1581" s="48">
        <f>HEX2DEC(RIGHT(Table1323212753586873[[#This Row],[h1]],8))</f>
        <v>0</v>
      </c>
      <c r="Q1581" s="48" t="s">
        <v>75</v>
      </c>
      <c r="R1581" s="48">
        <f>HEX2DEC(RIGHT(Table1323212753586873[[#This Row],[h2]],8))</f>
        <v>0</v>
      </c>
    </row>
    <row r="1582" spans="1:18">
      <c r="A1582" s="15" t="str">
        <f t="shared" si="29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8" t="s">
        <v>75</v>
      </c>
      <c r="P1582" s="48">
        <f>HEX2DEC(RIGHT(Table1323212753586873[[#This Row],[h1]],8))</f>
        <v>0</v>
      </c>
      <c r="Q1582" s="48" t="s">
        <v>75</v>
      </c>
      <c r="R1582" s="48">
        <f>HEX2DEC(RIGHT(Table1323212753586873[[#This Row],[h2]],8))</f>
        <v>0</v>
      </c>
    </row>
    <row r="1583" spans="1:18">
      <c r="A1583" s="15" t="str">
        <f t="shared" si="29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8" t="s">
        <v>75</v>
      </c>
      <c r="P1583" s="48">
        <f>HEX2DEC(RIGHT(Table1323212753586873[[#This Row],[h1]],8))</f>
        <v>0</v>
      </c>
      <c r="Q1583" s="48" t="s">
        <v>75</v>
      </c>
      <c r="R1583" s="48">
        <f>HEX2DEC(RIGHT(Table1323212753586873[[#This Row],[h2]],8))</f>
        <v>0</v>
      </c>
    </row>
    <row r="1584" spans="1:18">
      <c r="A1584" s="15" t="str">
        <f t="shared" si="29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8" t="s">
        <v>75</v>
      </c>
      <c r="P1584" s="48">
        <f>HEX2DEC(RIGHT(Table1323212753586873[[#This Row],[h1]],8))</f>
        <v>0</v>
      </c>
      <c r="Q1584" s="48" t="s">
        <v>75</v>
      </c>
      <c r="R1584" s="48">
        <f>HEX2DEC(RIGHT(Table1323212753586873[[#This Row],[h2]],8))</f>
        <v>0</v>
      </c>
    </row>
    <row r="1585" spans="1:18">
      <c r="A1585" s="15" t="str">
        <f t="shared" si="29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8" t="s">
        <v>75</v>
      </c>
      <c r="P1585" s="48">
        <f>HEX2DEC(RIGHT(Table1323212753586873[[#This Row],[h1]],8))</f>
        <v>0</v>
      </c>
      <c r="Q1585" s="48" t="s">
        <v>75</v>
      </c>
      <c r="R1585" s="48">
        <f>HEX2DEC(RIGHT(Table1323212753586873[[#This Row],[h2]],8))</f>
        <v>0</v>
      </c>
    </row>
    <row r="1586" spans="1:18">
      <c r="A1586" s="15" t="str">
        <f t="shared" si="29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8" t="s">
        <v>75</v>
      </c>
      <c r="P1586" s="48">
        <f>HEX2DEC(RIGHT(Table1323212753586873[[#This Row],[h1]],8))</f>
        <v>0</v>
      </c>
      <c r="Q1586" s="48" t="s">
        <v>75</v>
      </c>
      <c r="R1586" s="48">
        <f>HEX2DEC(RIGHT(Table1323212753586873[[#This Row],[h2]],8))</f>
        <v>0</v>
      </c>
    </row>
    <row r="1587" spans="1:18">
      <c r="A1587" s="15" t="str">
        <f t="shared" si="29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8" t="s">
        <v>75</v>
      </c>
      <c r="P1587" s="48">
        <f>HEX2DEC(RIGHT(Table1323212753586873[[#This Row],[h1]],8))</f>
        <v>0</v>
      </c>
      <c r="Q1587" s="48" t="s">
        <v>75</v>
      </c>
      <c r="R1587" s="48">
        <f>HEX2DEC(RIGHT(Table1323212753586873[[#This Row],[h2]],8))</f>
        <v>0</v>
      </c>
    </row>
    <row r="1588" spans="1:18">
      <c r="A1588" s="15" t="str">
        <f t="shared" si="29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8" t="s">
        <v>75</v>
      </c>
      <c r="P1588" s="48">
        <f>HEX2DEC(RIGHT(Table1323212753586873[[#This Row],[h1]],8))</f>
        <v>0</v>
      </c>
      <c r="Q1588" s="48" t="s">
        <v>75</v>
      </c>
      <c r="R1588" s="48">
        <f>HEX2DEC(RIGHT(Table1323212753586873[[#This Row],[h2]],8))</f>
        <v>0</v>
      </c>
    </row>
    <row r="1589" spans="1:18">
      <c r="A1589" s="15" t="str">
        <f t="shared" si="29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8" t="s">
        <v>75</v>
      </c>
      <c r="P1589" s="48">
        <f>HEX2DEC(RIGHT(Table1323212753586873[[#This Row],[h1]],8))</f>
        <v>0</v>
      </c>
      <c r="Q1589" s="48" t="s">
        <v>75</v>
      </c>
      <c r="R1589" s="48">
        <f>HEX2DEC(RIGHT(Table1323212753586873[[#This Row],[h2]],8))</f>
        <v>0</v>
      </c>
    </row>
    <row r="1590" spans="1:18">
      <c r="A1590" s="15" t="str">
        <f t="shared" si="29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8" t="s">
        <v>75</v>
      </c>
      <c r="P1590" s="48">
        <f>HEX2DEC(RIGHT(Table1323212753586873[[#This Row],[h1]],8))</f>
        <v>0</v>
      </c>
      <c r="Q1590" s="48" t="s">
        <v>75</v>
      </c>
      <c r="R1590" s="48">
        <f>HEX2DEC(RIGHT(Table1323212753586873[[#This Row],[h2]],8))</f>
        <v>0</v>
      </c>
    </row>
    <row r="1591" spans="1:18">
      <c r="A1591" s="15" t="str">
        <f t="shared" si="29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8" t="s">
        <v>75</v>
      </c>
      <c r="P1591" s="48">
        <f>HEX2DEC(RIGHT(Table1323212753586873[[#This Row],[h1]],8))</f>
        <v>0</v>
      </c>
      <c r="Q1591" s="48" t="s">
        <v>75</v>
      </c>
      <c r="R1591" s="48">
        <f>HEX2DEC(RIGHT(Table1323212753586873[[#This Row],[h2]],8))</f>
        <v>0</v>
      </c>
    </row>
    <row r="1592" spans="1:18">
      <c r="A1592" s="15" t="str">
        <f t="shared" si="29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8" t="s">
        <v>75</v>
      </c>
      <c r="P1592" s="48">
        <f>HEX2DEC(RIGHT(Table1323212753586873[[#This Row],[h1]],8))</f>
        <v>0</v>
      </c>
      <c r="Q1592" s="48" t="s">
        <v>75</v>
      </c>
      <c r="R1592" s="48">
        <f>HEX2DEC(RIGHT(Table1323212753586873[[#This Row],[h2]],8))</f>
        <v>0</v>
      </c>
    </row>
    <row r="1593" spans="1:18">
      <c r="A1593" s="15" t="str">
        <f t="shared" si="29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8" t="s">
        <v>75</v>
      </c>
      <c r="P1593" s="48">
        <f>HEX2DEC(RIGHT(Table1323212753586873[[#This Row],[h1]],8))</f>
        <v>0</v>
      </c>
      <c r="Q1593" s="48" t="s">
        <v>75</v>
      </c>
      <c r="R1593" s="48">
        <f>HEX2DEC(RIGHT(Table1323212753586873[[#This Row],[h2]],8))</f>
        <v>0</v>
      </c>
    </row>
    <row r="1594" spans="1:18">
      <c r="A1594" s="15" t="str">
        <f t="shared" si="29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8" t="s">
        <v>75</v>
      </c>
      <c r="P1594" s="48">
        <f>HEX2DEC(RIGHT(Table1323212753586873[[#This Row],[h1]],8))</f>
        <v>0</v>
      </c>
      <c r="Q1594" s="48" t="s">
        <v>75</v>
      </c>
      <c r="R1594" s="48">
        <f>HEX2DEC(RIGHT(Table1323212753586873[[#This Row],[h2]],8))</f>
        <v>0</v>
      </c>
    </row>
    <row r="1595" spans="1:18">
      <c r="A1595" s="15" t="str">
        <f t="shared" si="29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8" t="s">
        <v>75</v>
      </c>
      <c r="P1595" s="48">
        <f>HEX2DEC(RIGHT(Table1323212753586873[[#This Row],[h1]],8))</f>
        <v>0</v>
      </c>
      <c r="Q1595" s="48" t="s">
        <v>75</v>
      </c>
      <c r="R1595" s="48">
        <f>HEX2DEC(RIGHT(Table1323212753586873[[#This Row],[h2]],8))</f>
        <v>0</v>
      </c>
    </row>
    <row r="1596" spans="1:18">
      <c r="A1596" s="15" t="str">
        <f t="shared" si="29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8" t="s">
        <v>75</v>
      </c>
      <c r="P1596" s="48">
        <f>HEX2DEC(RIGHT(Table1323212753586873[[#This Row],[h1]],8))</f>
        <v>0</v>
      </c>
      <c r="Q1596" s="48" t="s">
        <v>75</v>
      </c>
      <c r="R1596" s="48">
        <f>HEX2DEC(RIGHT(Table1323212753586873[[#This Row],[h2]],8))</f>
        <v>0</v>
      </c>
    </row>
    <row r="1597" spans="1:18">
      <c r="A1597" s="15" t="str">
        <f t="shared" si="29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8" t="s">
        <v>75</v>
      </c>
      <c r="P1597" s="48">
        <f>HEX2DEC(RIGHT(Table1323212753586873[[#This Row],[h1]],8))</f>
        <v>0</v>
      </c>
      <c r="Q1597" s="48" t="s">
        <v>75</v>
      </c>
      <c r="R1597" s="48">
        <f>HEX2DEC(RIGHT(Table1323212753586873[[#This Row],[h2]],8))</f>
        <v>0</v>
      </c>
    </row>
    <row r="1598" spans="1:18">
      <c r="A1598" s="15" t="str">
        <f t="shared" si="29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8" t="s">
        <v>75</v>
      </c>
      <c r="P1598" s="48">
        <f>HEX2DEC(RIGHT(Table1323212753586873[[#This Row],[h1]],8))</f>
        <v>0</v>
      </c>
      <c r="Q1598" s="48" t="s">
        <v>75</v>
      </c>
      <c r="R1598" s="48">
        <f>HEX2DEC(RIGHT(Table1323212753586873[[#This Row],[h2]],8))</f>
        <v>0</v>
      </c>
    </row>
    <row r="1599" spans="1:18">
      <c r="A1599" s="15" t="str">
        <f t="shared" si="29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8" t="s">
        <v>75</v>
      </c>
      <c r="P1599" s="48">
        <f>HEX2DEC(RIGHT(Table1323212753586873[[#This Row],[h1]],8))</f>
        <v>0</v>
      </c>
      <c r="Q1599" s="48" t="s">
        <v>75</v>
      </c>
      <c r="R1599" s="48">
        <f>HEX2DEC(RIGHT(Table1323212753586873[[#This Row],[h2]],8))</f>
        <v>0</v>
      </c>
    </row>
    <row r="1600" spans="1:18">
      <c r="A1600" s="15" t="str">
        <f t="shared" si="29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8" t="s">
        <v>75</v>
      </c>
      <c r="P1600" s="48">
        <f>HEX2DEC(RIGHT(Table1323212753586873[[#This Row],[h1]],8))</f>
        <v>0</v>
      </c>
      <c r="Q1600" s="48" t="s">
        <v>75</v>
      </c>
      <c r="R1600" s="48">
        <f>HEX2DEC(RIGHT(Table1323212753586873[[#This Row],[h2]],8))</f>
        <v>0</v>
      </c>
    </row>
    <row r="1601" spans="1:18">
      <c r="A1601" s="15" t="str">
        <f t="shared" si="29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8" t="s">
        <v>75</v>
      </c>
      <c r="P1601" s="48">
        <f>HEX2DEC(RIGHT(Table1323212753586873[[#This Row],[h1]],8))</f>
        <v>0</v>
      </c>
      <c r="Q1601" s="48" t="s">
        <v>75</v>
      </c>
      <c r="R1601" s="48">
        <f>HEX2DEC(RIGHT(Table1323212753586873[[#This Row],[h2]],8))</f>
        <v>0</v>
      </c>
    </row>
    <row r="1602" spans="1:18">
      <c r="A1602" s="15" t="str">
        <f t="shared" si="29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8" t="s">
        <v>75</v>
      </c>
      <c r="P1602" s="48">
        <f>HEX2DEC(RIGHT(Table1323212753586873[[#This Row],[h1]],8))</f>
        <v>0</v>
      </c>
      <c r="Q1602" s="48" t="s">
        <v>75</v>
      </c>
      <c r="R1602" s="48">
        <f>HEX2DEC(RIGHT(Table1323212753586873[[#This Row],[h2]],8))</f>
        <v>0</v>
      </c>
    </row>
    <row r="1603" spans="1:18">
      <c r="A1603" s="15" t="str">
        <f t="shared" si="29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8" t="s">
        <v>75</v>
      </c>
      <c r="P1603" s="48">
        <f>HEX2DEC(RIGHT(Table1323212753586873[[#This Row],[h1]],8))</f>
        <v>0</v>
      </c>
      <c r="Q1603" s="48" t="s">
        <v>75</v>
      </c>
      <c r="R1603" s="48">
        <f>HEX2DEC(RIGHT(Table1323212753586873[[#This Row],[h2]],8))</f>
        <v>0</v>
      </c>
    </row>
    <row r="1604" spans="1:18">
      <c r="A1604" s="15" t="str">
        <f t="shared" si="29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8" t="s">
        <v>75</v>
      </c>
      <c r="P1604" s="48">
        <f>HEX2DEC(RIGHT(Table1323212753586873[[#This Row],[h1]],8))</f>
        <v>0</v>
      </c>
      <c r="Q1604" s="48" t="s">
        <v>75</v>
      </c>
      <c r="R1604" s="48">
        <f>HEX2DEC(RIGHT(Table1323212753586873[[#This Row],[h2]],8))</f>
        <v>0</v>
      </c>
    </row>
    <row r="1605" spans="1:18">
      <c r="A1605" s="15" t="str">
        <f t="shared" si="29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8" t="s">
        <v>75</v>
      </c>
      <c r="P1605" s="48">
        <f>HEX2DEC(RIGHT(Table1323212753586873[[#This Row],[h1]],8))</f>
        <v>0</v>
      </c>
      <c r="Q1605" s="48" t="s">
        <v>75</v>
      </c>
      <c r="R1605" s="48">
        <f>HEX2DEC(RIGHT(Table1323212753586873[[#This Row],[h2]],8))</f>
        <v>0</v>
      </c>
    </row>
    <row r="1606" spans="1:18">
      <c r="A1606" s="15" t="str">
        <f t="shared" si="29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8" t="s">
        <v>75</v>
      </c>
      <c r="P1606" s="48">
        <f>HEX2DEC(RIGHT(Table1323212753586873[[#This Row],[h1]],8))</f>
        <v>0</v>
      </c>
      <c r="Q1606" s="48" t="s">
        <v>75</v>
      </c>
      <c r="R1606" s="48">
        <f>HEX2DEC(RIGHT(Table1323212753586873[[#This Row],[h2]],8))</f>
        <v>0</v>
      </c>
    </row>
    <row r="1607" spans="1:18">
      <c r="A1607" s="15" t="str">
        <f t="shared" si="29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8" t="s">
        <v>75</v>
      </c>
      <c r="P1607" s="48">
        <f>HEX2DEC(RIGHT(Table1323212753586873[[#This Row],[h1]],8))</f>
        <v>0</v>
      </c>
      <c r="Q1607" s="48" t="s">
        <v>75</v>
      </c>
      <c r="R1607" s="48">
        <f>HEX2DEC(RIGHT(Table1323212753586873[[#This Row],[h2]],8))</f>
        <v>0</v>
      </c>
    </row>
    <row r="1608" spans="1:18">
      <c r="A1608" s="15" t="str">
        <f t="shared" si="29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8" t="s">
        <v>75</v>
      </c>
      <c r="P1608" s="48">
        <f>HEX2DEC(RIGHT(Table1323212753586873[[#This Row],[h1]],8))</f>
        <v>0</v>
      </c>
      <c r="Q1608" s="48" t="s">
        <v>75</v>
      </c>
      <c r="R1608" s="48">
        <f>HEX2DEC(RIGHT(Table1323212753586873[[#This Row],[h2]],8))</f>
        <v>0</v>
      </c>
    </row>
    <row r="1609" spans="1:18">
      <c r="A1609" s="15" t="str">
        <f t="shared" si="29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8" t="s">
        <v>75</v>
      </c>
      <c r="P1609" s="48">
        <f>HEX2DEC(RIGHT(Table1323212753586873[[#This Row],[h1]],8))</f>
        <v>0</v>
      </c>
      <c r="Q1609" s="48" t="s">
        <v>75</v>
      </c>
      <c r="R1609" s="48">
        <f>HEX2DEC(RIGHT(Table1323212753586873[[#This Row],[h2]],8))</f>
        <v>0</v>
      </c>
    </row>
    <row r="1610" spans="1:18">
      <c r="A1610" s="15" t="str">
        <f t="shared" si="29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8" t="s">
        <v>75</v>
      </c>
      <c r="P1610" s="48">
        <f>HEX2DEC(RIGHT(Table1323212753586873[[#This Row],[h1]],8))</f>
        <v>0</v>
      </c>
      <c r="Q1610" s="48" t="s">
        <v>75</v>
      </c>
      <c r="R1610" s="48">
        <f>HEX2DEC(RIGHT(Table1323212753586873[[#This Row],[h2]],8))</f>
        <v>0</v>
      </c>
    </row>
    <row r="1611" spans="1:18">
      <c r="A1611" s="15" t="str">
        <f t="shared" ref="A1611:A1674" si="30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8" t="s">
        <v>75</v>
      </c>
      <c r="P1611" s="48">
        <f>HEX2DEC(RIGHT(Table1323212753586873[[#This Row],[h1]],8))</f>
        <v>0</v>
      </c>
      <c r="Q1611" s="48" t="s">
        <v>75</v>
      </c>
      <c r="R1611" s="48">
        <f>HEX2DEC(RIGHT(Table1323212753586873[[#This Row],[h2]],8))</f>
        <v>0</v>
      </c>
    </row>
    <row r="1612" spans="1:18">
      <c r="A1612" s="15" t="str">
        <f t="shared" si="30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8" t="s">
        <v>75</v>
      </c>
      <c r="P1612" s="48">
        <f>HEX2DEC(RIGHT(Table1323212753586873[[#This Row],[h1]],8))</f>
        <v>0</v>
      </c>
      <c r="Q1612" s="48" t="s">
        <v>75</v>
      </c>
      <c r="R1612" s="48">
        <f>HEX2DEC(RIGHT(Table1323212753586873[[#This Row],[h2]],8))</f>
        <v>0</v>
      </c>
    </row>
    <row r="1613" spans="1:18">
      <c r="A1613" s="15" t="str">
        <f t="shared" si="30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8" t="s">
        <v>75</v>
      </c>
      <c r="P1613" s="48">
        <f>HEX2DEC(RIGHT(Table1323212753586873[[#This Row],[h1]],8))</f>
        <v>0</v>
      </c>
      <c r="Q1613" s="48" t="s">
        <v>75</v>
      </c>
      <c r="R1613" s="48">
        <f>HEX2DEC(RIGHT(Table1323212753586873[[#This Row],[h2]],8))</f>
        <v>0</v>
      </c>
    </row>
    <row r="1614" spans="1:18">
      <c r="A1614" s="15" t="str">
        <f t="shared" si="30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8" t="s">
        <v>75</v>
      </c>
      <c r="P1614" s="48">
        <f>HEX2DEC(RIGHT(Table1323212753586873[[#This Row],[h1]],8))</f>
        <v>0</v>
      </c>
      <c r="Q1614" s="48" t="s">
        <v>75</v>
      </c>
      <c r="R1614" s="48">
        <f>HEX2DEC(RIGHT(Table1323212753586873[[#This Row],[h2]],8))</f>
        <v>0</v>
      </c>
    </row>
    <row r="1615" spans="1:18">
      <c r="A1615" s="15" t="str">
        <f t="shared" si="30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8" t="s">
        <v>75</v>
      </c>
      <c r="P1615" s="48">
        <f>HEX2DEC(RIGHT(Table1323212753586873[[#This Row],[h1]],8))</f>
        <v>0</v>
      </c>
      <c r="Q1615" s="48" t="s">
        <v>75</v>
      </c>
      <c r="R1615" s="48">
        <f>HEX2DEC(RIGHT(Table1323212753586873[[#This Row],[h2]],8))</f>
        <v>0</v>
      </c>
    </row>
    <row r="1616" spans="1:18">
      <c r="A1616" s="15" t="str">
        <f t="shared" si="30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8" t="s">
        <v>75</v>
      </c>
      <c r="P1616" s="48">
        <f>HEX2DEC(RIGHT(Table1323212753586873[[#This Row],[h1]],8))</f>
        <v>0</v>
      </c>
      <c r="Q1616" s="48" t="s">
        <v>75</v>
      </c>
      <c r="R1616" s="48">
        <f>HEX2DEC(RIGHT(Table1323212753586873[[#This Row],[h2]],8))</f>
        <v>0</v>
      </c>
    </row>
    <row r="1617" spans="1:18">
      <c r="A1617" s="15" t="str">
        <f t="shared" si="30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8" t="s">
        <v>75</v>
      </c>
      <c r="P1617" s="48">
        <f>HEX2DEC(RIGHT(Table1323212753586873[[#This Row],[h1]],8))</f>
        <v>0</v>
      </c>
      <c r="Q1617" s="48" t="s">
        <v>75</v>
      </c>
      <c r="R1617" s="48">
        <f>HEX2DEC(RIGHT(Table1323212753586873[[#This Row],[h2]],8))</f>
        <v>0</v>
      </c>
    </row>
    <row r="1618" spans="1:18">
      <c r="A1618" s="15" t="str">
        <f t="shared" si="30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8" t="s">
        <v>75</v>
      </c>
      <c r="P1618" s="48">
        <f>HEX2DEC(RIGHT(Table1323212753586873[[#This Row],[h1]],8))</f>
        <v>0</v>
      </c>
      <c r="Q1618" s="48" t="s">
        <v>75</v>
      </c>
      <c r="R1618" s="48">
        <f>HEX2DEC(RIGHT(Table1323212753586873[[#This Row],[h2]],8))</f>
        <v>0</v>
      </c>
    </row>
    <row r="1619" spans="1:18">
      <c r="A1619" s="15" t="str">
        <f t="shared" si="30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8" t="s">
        <v>75</v>
      </c>
      <c r="P1619" s="48">
        <f>HEX2DEC(RIGHT(Table1323212753586873[[#This Row],[h1]],8))</f>
        <v>0</v>
      </c>
      <c r="Q1619" s="48" t="s">
        <v>75</v>
      </c>
      <c r="R1619" s="48">
        <f>HEX2DEC(RIGHT(Table1323212753586873[[#This Row],[h2]],8))</f>
        <v>0</v>
      </c>
    </row>
    <row r="1620" spans="1:18">
      <c r="A1620" s="15" t="str">
        <f t="shared" si="30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8" t="s">
        <v>75</v>
      </c>
      <c r="P1620" s="48">
        <f>HEX2DEC(RIGHT(Table1323212753586873[[#This Row],[h1]],8))</f>
        <v>0</v>
      </c>
      <c r="Q1620" s="48" t="s">
        <v>75</v>
      </c>
      <c r="R1620" s="48">
        <f>HEX2DEC(RIGHT(Table1323212753586873[[#This Row],[h2]],8))</f>
        <v>0</v>
      </c>
    </row>
    <row r="1621" spans="1:18">
      <c r="A1621" s="15" t="str">
        <f t="shared" si="30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8" t="s">
        <v>75</v>
      </c>
      <c r="P1621" s="48">
        <f>HEX2DEC(RIGHT(Table1323212753586873[[#This Row],[h1]],8))</f>
        <v>0</v>
      </c>
      <c r="Q1621" s="48" t="s">
        <v>75</v>
      </c>
      <c r="R1621" s="48">
        <f>HEX2DEC(RIGHT(Table1323212753586873[[#This Row],[h2]],8))</f>
        <v>0</v>
      </c>
    </row>
    <row r="1622" spans="1:18">
      <c r="A1622" s="15" t="str">
        <f t="shared" si="30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8" t="s">
        <v>75</v>
      </c>
      <c r="P1622" s="48">
        <f>HEX2DEC(RIGHT(Table1323212753586873[[#This Row],[h1]],8))</f>
        <v>0</v>
      </c>
      <c r="Q1622" s="48" t="s">
        <v>75</v>
      </c>
      <c r="R1622" s="48">
        <f>HEX2DEC(RIGHT(Table1323212753586873[[#This Row],[h2]],8))</f>
        <v>0</v>
      </c>
    </row>
    <row r="1623" spans="1:18">
      <c r="A1623" s="15" t="str">
        <f t="shared" si="30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8" t="s">
        <v>75</v>
      </c>
      <c r="P1623" s="48">
        <f>HEX2DEC(RIGHT(Table1323212753586873[[#This Row],[h1]],8))</f>
        <v>0</v>
      </c>
      <c r="Q1623" s="48" t="s">
        <v>75</v>
      </c>
      <c r="R1623" s="48">
        <f>HEX2DEC(RIGHT(Table1323212753586873[[#This Row],[h2]],8))</f>
        <v>0</v>
      </c>
    </row>
    <row r="1624" spans="1:18">
      <c r="A1624" s="15" t="str">
        <f t="shared" si="30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8" t="s">
        <v>75</v>
      </c>
      <c r="P1624" s="48">
        <f>HEX2DEC(RIGHT(Table1323212753586873[[#This Row],[h1]],8))</f>
        <v>0</v>
      </c>
      <c r="Q1624" s="48" t="s">
        <v>75</v>
      </c>
      <c r="R1624" s="48">
        <f>HEX2DEC(RIGHT(Table1323212753586873[[#This Row],[h2]],8))</f>
        <v>0</v>
      </c>
    </row>
    <row r="1625" spans="1:18">
      <c r="A1625" s="15" t="str">
        <f t="shared" si="30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8" t="s">
        <v>75</v>
      </c>
      <c r="P1625" s="48">
        <f>HEX2DEC(RIGHT(Table1323212753586873[[#This Row],[h1]],8))</f>
        <v>0</v>
      </c>
      <c r="Q1625" s="48" t="s">
        <v>75</v>
      </c>
      <c r="R1625" s="48">
        <f>HEX2DEC(RIGHT(Table1323212753586873[[#This Row],[h2]],8))</f>
        <v>0</v>
      </c>
    </row>
    <row r="1626" spans="1:18">
      <c r="A1626" s="15" t="str">
        <f t="shared" si="30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8" t="s">
        <v>75</v>
      </c>
      <c r="P1626" s="48">
        <f>HEX2DEC(RIGHT(Table1323212753586873[[#This Row],[h1]],8))</f>
        <v>0</v>
      </c>
      <c r="Q1626" s="48" t="s">
        <v>75</v>
      </c>
      <c r="R1626" s="48">
        <f>HEX2DEC(RIGHT(Table1323212753586873[[#This Row],[h2]],8))</f>
        <v>0</v>
      </c>
    </row>
    <row r="1627" spans="1:18">
      <c r="A1627" s="15" t="str">
        <f t="shared" si="30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8" t="s">
        <v>75</v>
      </c>
      <c r="P1627" s="48">
        <f>HEX2DEC(RIGHT(Table1323212753586873[[#This Row],[h1]],8))</f>
        <v>0</v>
      </c>
      <c r="Q1627" s="48" t="s">
        <v>75</v>
      </c>
      <c r="R1627" s="48">
        <f>HEX2DEC(RIGHT(Table1323212753586873[[#This Row],[h2]],8))</f>
        <v>0</v>
      </c>
    </row>
    <row r="1628" spans="1:18">
      <c r="A1628" s="15" t="str">
        <f t="shared" si="30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8" t="s">
        <v>75</v>
      </c>
      <c r="P1628" s="48">
        <f>HEX2DEC(RIGHT(Table1323212753586873[[#This Row],[h1]],8))</f>
        <v>0</v>
      </c>
      <c r="Q1628" s="48" t="s">
        <v>75</v>
      </c>
      <c r="R1628" s="48">
        <f>HEX2DEC(RIGHT(Table1323212753586873[[#This Row],[h2]],8))</f>
        <v>0</v>
      </c>
    </row>
    <row r="1629" spans="1:18">
      <c r="A1629" s="15" t="str">
        <f t="shared" si="30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8" t="s">
        <v>75</v>
      </c>
      <c r="P1629" s="48">
        <f>HEX2DEC(RIGHT(Table1323212753586873[[#This Row],[h1]],8))</f>
        <v>0</v>
      </c>
      <c r="Q1629" s="48" t="s">
        <v>75</v>
      </c>
      <c r="R1629" s="48">
        <f>HEX2DEC(RIGHT(Table1323212753586873[[#This Row],[h2]],8))</f>
        <v>0</v>
      </c>
    </row>
    <row r="1630" spans="1:18">
      <c r="A1630" s="15" t="str">
        <f t="shared" si="30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8" t="s">
        <v>75</v>
      </c>
      <c r="P1630" s="48">
        <f>HEX2DEC(RIGHT(Table1323212753586873[[#This Row],[h1]],8))</f>
        <v>0</v>
      </c>
      <c r="Q1630" s="48" t="s">
        <v>75</v>
      </c>
      <c r="R1630" s="48">
        <f>HEX2DEC(RIGHT(Table1323212753586873[[#This Row],[h2]],8))</f>
        <v>0</v>
      </c>
    </row>
    <row r="1631" spans="1:18">
      <c r="A1631" s="15" t="str">
        <f t="shared" si="30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8" t="s">
        <v>75</v>
      </c>
      <c r="P1631" s="48">
        <f>HEX2DEC(RIGHT(Table1323212753586873[[#This Row],[h1]],8))</f>
        <v>0</v>
      </c>
      <c r="Q1631" s="48" t="s">
        <v>75</v>
      </c>
      <c r="R1631" s="48">
        <f>HEX2DEC(RIGHT(Table1323212753586873[[#This Row],[h2]],8))</f>
        <v>0</v>
      </c>
    </row>
    <row r="1632" spans="1:18">
      <c r="A1632" s="15" t="str">
        <f t="shared" si="30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8" t="s">
        <v>75</v>
      </c>
      <c r="P1632" s="48">
        <f>HEX2DEC(RIGHT(Table1323212753586873[[#This Row],[h1]],8))</f>
        <v>0</v>
      </c>
      <c r="Q1632" s="48" t="s">
        <v>75</v>
      </c>
      <c r="R1632" s="48">
        <f>HEX2DEC(RIGHT(Table1323212753586873[[#This Row],[h2]],8))</f>
        <v>0</v>
      </c>
    </row>
    <row r="1633" spans="1:18">
      <c r="A1633" s="15" t="str">
        <f t="shared" si="30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8" t="s">
        <v>75</v>
      </c>
      <c r="P1633" s="48">
        <f>HEX2DEC(RIGHT(Table1323212753586873[[#This Row],[h1]],8))</f>
        <v>0</v>
      </c>
      <c r="Q1633" s="48" t="s">
        <v>75</v>
      </c>
      <c r="R1633" s="48">
        <f>HEX2DEC(RIGHT(Table1323212753586873[[#This Row],[h2]],8))</f>
        <v>0</v>
      </c>
    </row>
    <row r="1634" spans="1:18">
      <c r="A1634" s="15" t="str">
        <f t="shared" si="30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8" t="s">
        <v>75</v>
      </c>
      <c r="P1634" s="48">
        <f>HEX2DEC(RIGHT(Table1323212753586873[[#This Row],[h1]],8))</f>
        <v>0</v>
      </c>
      <c r="Q1634" s="48" t="s">
        <v>75</v>
      </c>
      <c r="R1634" s="48">
        <f>HEX2DEC(RIGHT(Table1323212753586873[[#This Row],[h2]],8))</f>
        <v>0</v>
      </c>
    </row>
    <row r="1635" spans="1:18">
      <c r="A1635" s="15" t="str">
        <f t="shared" si="30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8" t="s">
        <v>75</v>
      </c>
      <c r="P1635" s="48">
        <f>HEX2DEC(RIGHT(Table1323212753586873[[#This Row],[h1]],8))</f>
        <v>0</v>
      </c>
      <c r="Q1635" s="48" t="s">
        <v>75</v>
      </c>
      <c r="R1635" s="48">
        <f>HEX2DEC(RIGHT(Table1323212753586873[[#This Row],[h2]],8))</f>
        <v>0</v>
      </c>
    </row>
    <row r="1636" spans="1:18">
      <c r="A1636" s="15" t="str">
        <f t="shared" si="30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8" t="s">
        <v>75</v>
      </c>
      <c r="P1636" s="48">
        <f>HEX2DEC(RIGHT(Table1323212753586873[[#This Row],[h1]],8))</f>
        <v>0</v>
      </c>
      <c r="Q1636" s="48" t="s">
        <v>75</v>
      </c>
      <c r="R1636" s="48">
        <f>HEX2DEC(RIGHT(Table1323212753586873[[#This Row],[h2]],8))</f>
        <v>0</v>
      </c>
    </row>
    <row r="1637" spans="1:18">
      <c r="A1637" s="15" t="str">
        <f t="shared" si="30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8" t="s">
        <v>75</v>
      </c>
      <c r="P1637" s="48">
        <f>HEX2DEC(RIGHT(Table1323212753586873[[#This Row],[h1]],8))</f>
        <v>0</v>
      </c>
      <c r="Q1637" s="48" t="s">
        <v>75</v>
      </c>
      <c r="R1637" s="48">
        <f>HEX2DEC(RIGHT(Table1323212753586873[[#This Row],[h2]],8))</f>
        <v>0</v>
      </c>
    </row>
    <row r="1638" spans="1:18">
      <c r="A1638" s="15" t="str">
        <f t="shared" si="30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8" t="s">
        <v>75</v>
      </c>
      <c r="P1638" s="48">
        <f>HEX2DEC(RIGHT(Table1323212753586873[[#This Row],[h1]],8))</f>
        <v>0</v>
      </c>
      <c r="Q1638" s="48" t="s">
        <v>75</v>
      </c>
      <c r="R1638" s="48">
        <f>HEX2DEC(RIGHT(Table1323212753586873[[#This Row],[h2]],8))</f>
        <v>0</v>
      </c>
    </row>
    <row r="1639" spans="1:18">
      <c r="A1639" s="15" t="str">
        <f t="shared" si="30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8" t="s">
        <v>75</v>
      </c>
      <c r="P1639" s="48">
        <f>HEX2DEC(RIGHT(Table1323212753586873[[#This Row],[h1]],8))</f>
        <v>0</v>
      </c>
      <c r="Q1639" s="48" t="s">
        <v>75</v>
      </c>
      <c r="R1639" s="48">
        <f>HEX2DEC(RIGHT(Table1323212753586873[[#This Row],[h2]],8))</f>
        <v>0</v>
      </c>
    </row>
    <row r="1640" spans="1:18">
      <c r="A1640" s="15" t="str">
        <f t="shared" si="30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8" t="s">
        <v>75</v>
      </c>
      <c r="P1640" s="48">
        <f>HEX2DEC(RIGHT(Table1323212753586873[[#This Row],[h1]],8))</f>
        <v>0</v>
      </c>
      <c r="Q1640" s="48" t="s">
        <v>75</v>
      </c>
      <c r="R1640" s="48">
        <f>HEX2DEC(RIGHT(Table1323212753586873[[#This Row],[h2]],8))</f>
        <v>0</v>
      </c>
    </row>
    <row r="1641" spans="1:18">
      <c r="A1641" s="15" t="str">
        <f t="shared" si="30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8" t="s">
        <v>75</v>
      </c>
      <c r="P1641" s="48">
        <f>HEX2DEC(RIGHT(Table1323212753586873[[#This Row],[h1]],8))</f>
        <v>0</v>
      </c>
      <c r="Q1641" s="48" t="s">
        <v>75</v>
      </c>
      <c r="R1641" s="48">
        <f>HEX2DEC(RIGHT(Table1323212753586873[[#This Row],[h2]],8))</f>
        <v>0</v>
      </c>
    </row>
    <row r="1642" spans="1:18">
      <c r="A1642" s="15" t="str">
        <f t="shared" si="30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8" t="s">
        <v>75</v>
      </c>
      <c r="P1642" s="48">
        <f>HEX2DEC(RIGHT(Table1323212753586873[[#This Row],[h1]],8))</f>
        <v>0</v>
      </c>
      <c r="Q1642" s="48" t="s">
        <v>75</v>
      </c>
      <c r="R1642" s="48">
        <f>HEX2DEC(RIGHT(Table1323212753586873[[#This Row],[h2]],8))</f>
        <v>0</v>
      </c>
    </row>
    <row r="1643" spans="1:18">
      <c r="A1643" s="15" t="str">
        <f t="shared" si="30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8" t="s">
        <v>75</v>
      </c>
      <c r="P1643" s="48">
        <f>HEX2DEC(RIGHT(Table1323212753586873[[#This Row],[h1]],8))</f>
        <v>0</v>
      </c>
      <c r="Q1643" s="48" t="s">
        <v>75</v>
      </c>
      <c r="R1643" s="48">
        <f>HEX2DEC(RIGHT(Table1323212753586873[[#This Row],[h2]],8))</f>
        <v>0</v>
      </c>
    </row>
    <row r="1644" spans="1:18">
      <c r="A1644" s="15" t="str">
        <f t="shared" si="30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8" t="s">
        <v>75</v>
      </c>
      <c r="P1644" s="48">
        <f>HEX2DEC(RIGHT(Table1323212753586873[[#This Row],[h1]],8))</f>
        <v>0</v>
      </c>
      <c r="Q1644" s="48" t="s">
        <v>75</v>
      </c>
      <c r="R1644" s="48">
        <f>HEX2DEC(RIGHT(Table1323212753586873[[#This Row],[h2]],8))</f>
        <v>0</v>
      </c>
    </row>
    <row r="1645" spans="1:18">
      <c r="A1645" s="15" t="str">
        <f t="shared" si="30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8" t="s">
        <v>75</v>
      </c>
      <c r="P1645" s="48">
        <f>HEX2DEC(RIGHT(Table1323212753586873[[#This Row],[h1]],8))</f>
        <v>0</v>
      </c>
      <c r="Q1645" s="48" t="s">
        <v>75</v>
      </c>
      <c r="R1645" s="48">
        <f>HEX2DEC(RIGHT(Table1323212753586873[[#This Row],[h2]],8))</f>
        <v>0</v>
      </c>
    </row>
    <row r="1646" spans="1:18">
      <c r="A1646" s="15" t="str">
        <f t="shared" si="30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8" t="s">
        <v>75</v>
      </c>
      <c r="P1646" s="48">
        <f>HEX2DEC(RIGHT(Table1323212753586873[[#This Row],[h1]],8))</f>
        <v>0</v>
      </c>
      <c r="Q1646" s="48" t="s">
        <v>75</v>
      </c>
      <c r="R1646" s="48">
        <f>HEX2DEC(RIGHT(Table1323212753586873[[#This Row],[h2]],8))</f>
        <v>0</v>
      </c>
    </row>
    <row r="1647" spans="1:18">
      <c r="A1647" s="15" t="str">
        <f t="shared" si="30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8" t="s">
        <v>75</v>
      </c>
      <c r="P1647" s="48">
        <f>HEX2DEC(RIGHT(Table1323212753586873[[#This Row],[h1]],8))</f>
        <v>0</v>
      </c>
      <c r="Q1647" s="48" t="s">
        <v>75</v>
      </c>
      <c r="R1647" s="48">
        <f>HEX2DEC(RIGHT(Table1323212753586873[[#This Row],[h2]],8))</f>
        <v>0</v>
      </c>
    </row>
    <row r="1648" spans="1:18">
      <c r="A1648" s="15" t="str">
        <f t="shared" si="30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8" t="s">
        <v>75</v>
      </c>
      <c r="P1648" s="48">
        <f>HEX2DEC(RIGHT(Table1323212753586873[[#This Row],[h1]],8))</f>
        <v>0</v>
      </c>
      <c r="Q1648" s="48" t="s">
        <v>75</v>
      </c>
      <c r="R1648" s="48">
        <f>HEX2DEC(RIGHT(Table1323212753586873[[#This Row],[h2]],8))</f>
        <v>0</v>
      </c>
    </row>
    <row r="1649" spans="1:18">
      <c r="A1649" s="15" t="str">
        <f t="shared" si="30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8" t="s">
        <v>75</v>
      </c>
      <c r="P1649" s="48">
        <f>HEX2DEC(RIGHT(Table1323212753586873[[#This Row],[h1]],8))</f>
        <v>0</v>
      </c>
      <c r="Q1649" s="48" t="s">
        <v>75</v>
      </c>
      <c r="R1649" s="48">
        <f>HEX2DEC(RIGHT(Table1323212753586873[[#This Row],[h2]],8))</f>
        <v>0</v>
      </c>
    </row>
    <row r="1650" spans="1:18">
      <c r="A1650" s="15" t="str">
        <f t="shared" si="30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8" t="s">
        <v>75</v>
      </c>
      <c r="P1650" s="48">
        <f>HEX2DEC(RIGHT(Table1323212753586873[[#This Row],[h1]],8))</f>
        <v>0</v>
      </c>
      <c r="Q1650" s="48" t="s">
        <v>75</v>
      </c>
      <c r="R1650" s="48">
        <f>HEX2DEC(RIGHT(Table1323212753586873[[#This Row],[h2]],8))</f>
        <v>0</v>
      </c>
    </row>
    <row r="1651" spans="1:18">
      <c r="A1651" s="15" t="str">
        <f t="shared" si="30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8" t="s">
        <v>75</v>
      </c>
      <c r="P1651" s="48">
        <f>HEX2DEC(RIGHT(Table1323212753586873[[#This Row],[h1]],8))</f>
        <v>0</v>
      </c>
      <c r="Q1651" s="48" t="s">
        <v>75</v>
      </c>
      <c r="R1651" s="48">
        <f>HEX2DEC(RIGHT(Table1323212753586873[[#This Row],[h2]],8))</f>
        <v>0</v>
      </c>
    </row>
    <row r="1652" spans="1:18">
      <c r="A1652" s="15" t="str">
        <f t="shared" si="30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8" t="s">
        <v>75</v>
      </c>
      <c r="P1652" s="48">
        <f>HEX2DEC(RIGHT(Table1323212753586873[[#This Row],[h1]],8))</f>
        <v>0</v>
      </c>
      <c r="Q1652" s="48" t="s">
        <v>75</v>
      </c>
      <c r="R1652" s="48">
        <f>HEX2DEC(RIGHT(Table1323212753586873[[#This Row],[h2]],8))</f>
        <v>0</v>
      </c>
    </row>
    <row r="1653" spans="1:18">
      <c r="A1653" s="15" t="str">
        <f t="shared" si="30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8" t="s">
        <v>75</v>
      </c>
      <c r="P1653" s="48">
        <f>HEX2DEC(RIGHT(Table1323212753586873[[#This Row],[h1]],8))</f>
        <v>0</v>
      </c>
      <c r="Q1653" s="48" t="s">
        <v>75</v>
      </c>
      <c r="R1653" s="48">
        <f>HEX2DEC(RIGHT(Table1323212753586873[[#This Row],[h2]],8))</f>
        <v>0</v>
      </c>
    </row>
    <row r="1654" spans="1:18">
      <c r="A1654" s="15" t="str">
        <f t="shared" si="30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8" t="s">
        <v>75</v>
      </c>
      <c r="P1654" s="48">
        <f>HEX2DEC(RIGHT(Table1323212753586873[[#This Row],[h1]],8))</f>
        <v>0</v>
      </c>
      <c r="Q1654" s="48" t="s">
        <v>75</v>
      </c>
      <c r="R1654" s="48">
        <f>HEX2DEC(RIGHT(Table1323212753586873[[#This Row],[h2]],8))</f>
        <v>0</v>
      </c>
    </row>
    <row r="1655" spans="1:18">
      <c r="A1655" s="15" t="str">
        <f t="shared" si="30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8" t="s">
        <v>75</v>
      </c>
      <c r="P1655" s="48">
        <f>HEX2DEC(RIGHT(Table1323212753586873[[#This Row],[h1]],8))</f>
        <v>0</v>
      </c>
      <c r="Q1655" s="48" t="s">
        <v>75</v>
      </c>
      <c r="R1655" s="48">
        <f>HEX2DEC(RIGHT(Table1323212753586873[[#This Row],[h2]],8))</f>
        <v>0</v>
      </c>
    </row>
    <row r="1656" spans="1:18">
      <c r="A1656" s="15" t="str">
        <f t="shared" si="30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8" t="s">
        <v>75</v>
      </c>
      <c r="P1656" s="48">
        <f>HEX2DEC(RIGHT(Table1323212753586873[[#This Row],[h1]],8))</f>
        <v>0</v>
      </c>
      <c r="Q1656" s="48" t="s">
        <v>75</v>
      </c>
      <c r="R1656" s="48">
        <f>HEX2DEC(RIGHT(Table1323212753586873[[#This Row],[h2]],8))</f>
        <v>0</v>
      </c>
    </row>
    <row r="1657" spans="1:18">
      <c r="A1657" s="15" t="str">
        <f t="shared" si="30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8" t="s">
        <v>75</v>
      </c>
      <c r="P1657" s="48">
        <f>HEX2DEC(RIGHT(Table1323212753586873[[#This Row],[h1]],8))</f>
        <v>0</v>
      </c>
      <c r="Q1657" s="48" t="s">
        <v>75</v>
      </c>
      <c r="R1657" s="48">
        <f>HEX2DEC(RIGHT(Table1323212753586873[[#This Row],[h2]],8))</f>
        <v>0</v>
      </c>
    </row>
    <row r="1658" spans="1:18">
      <c r="A1658" s="15" t="str">
        <f t="shared" si="30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8" t="s">
        <v>75</v>
      </c>
      <c r="P1658" s="48">
        <f>HEX2DEC(RIGHT(Table1323212753586873[[#This Row],[h1]],8))</f>
        <v>0</v>
      </c>
      <c r="Q1658" s="48" t="s">
        <v>75</v>
      </c>
      <c r="R1658" s="48">
        <f>HEX2DEC(RIGHT(Table1323212753586873[[#This Row],[h2]],8))</f>
        <v>0</v>
      </c>
    </row>
    <row r="1659" spans="1:18">
      <c r="A1659" s="15" t="str">
        <f t="shared" si="30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8" t="s">
        <v>75</v>
      </c>
      <c r="P1659" s="48">
        <f>HEX2DEC(RIGHT(Table1323212753586873[[#This Row],[h1]],8))</f>
        <v>0</v>
      </c>
      <c r="Q1659" s="48" t="s">
        <v>75</v>
      </c>
      <c r="R1659" s="48">
        <f>HEX2DEC(RIGHT(Table1323212753586873[[#This Row],[h2]],8))</f>
        <v>0</v>
      </c>
    </row>
    <row r="1660" spans="1:18">
      <c r="A1660" s="15" t="str">
        <f t="shared" si="30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8" t="s">
        <v>75</v>
      </c>
      <c r="P1660" s="48">
        <f>HEX2DEC(RIGHT(Table1323212753586873[[#This Row],[h1]],8))</f>
        <v>0</v>
      </c>
      <c r="Q1660" s="48" t="s">
        <v>75</v>
      </c>
      <c r="R1660" s="48">
        <f>HEX2DEC(RIGHT(Table1323212753586873[[#This Row],[h2]],8))</f>
        <v>0</v>
      </c>
    </row>
    <row r="1661" spans="1:18">
      <c r="A1661" s="15" t="str">
        <f t="shared" si="30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8" t="s">
        <v>75</v>
      </c>
      <c r="P1661" s="48">
        <f>HEX2DEC(RIGHT(Table1323212753586873[[#This Row],[h1]],8))</f>
        <v>0</v>
      </c>
      <c r="Q1661" s="48" t="s">
        <v>75</v>
      </c>
      <c r="R1661" s="48">
        <f>HEX2DEC(RIGHT(Table1323212753586873[[#This Row],[h2]],8))</f>
        <v>0</v>
      </c>
    </row>
    <row r="1662" spans="1:18">
      <c r="A1662" s="15" t="str">
        <f t="shared" si="30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8" t="s">
        <v>75</v>
      </c>
      <c r="P1662" s="48">
        <f>HEX2DEC(RIGHT(Table1323212753586873[[#This Row],[h1]],8))</f>
        <v>0</v>
      </c>
      <c r="Q1662" s="48" t="s">
        <v>75</v>
      </c>
      <c r="R1662" s="48">
        <f>HEX2DEC(RIGHT(Table1323212753586873[[#This Row],[h2]],8))</f>
        <v>0</v>
      </c>
    </row>
    <row r="1663" spans="1:18">
      <c r="A1663" s="15" t="str">
        <f t="shared" si="30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8" t="s">
        <v>75</v>
      </c>
      <c r="P1663" s="48">
        <f>HEX2DEC(RIGHT(Table1323212753586873[[#This Row],[h1]],8))</f>
        <v>0</v>
      </c>
      <c r="Q1663" s="48" t="s">
        <v>75</v>
      </c>
      <c r="R1663" s="48">
        <f>HEX2DEC(RIGHT(Table1323212753586873[[#This Row],[h2]],8))</f>
        <v>0</v>
      </c>
    </row>
    <row r="1664" spans="1:18">
      <c r="A1664" s="15" t="str">
        <f t="shared" si="30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8" t="s">
        <v>75</v>
      </c>
      <c r="P1664" s="48">
        <f>HEX2DEC(RIGHT(Table1323212753586873[[#This Row],[h1]],8))</f>
        <v>0</v>
      </c>
      <c r="Q1664" s="48" t="s">
        <v>75</v>
      </c>
      <c r="R1664" s="48">
        <f>HEX2DEC(RIGHT(Table1323212753586873[[#This Row],[h2]],8))</f>
        <v>0</v>
      </c>
    </row>
    <row r="1665" spans="1:18">
      <c r="A1665" s="15" t="str">
        <f t="shared" si="30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8" t="s">
        <v>75</v>
      </c>
      <c r="P1665" s="48">
        <f>HEX2DEC(RIGHT(Table1323212753586873[[#This Row],[h1]],8))</f>
        <v>0</v>
      </c>
      <c r="Q1665" s="48" t="s">
        <v>75</v>
      </c>
      <c r="R1665" s="48">
        <f>HEX2DEC(RIGHT(Table1323212753586873[[#This Row],[h2]],8))</f>
        <v>0</v>
      </c>
    </row>
    <row r="1666" spans="1:18">
      <c r="A1666" s="15" t="str">
        <f t="shared" si="30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8" t="s">
        <v>75</v>
      </c>
      <c r="P1666" s="48">
        <f>HEX2DEC(RIGHT(Table1323212753586873[[#This Row],[h1]],8))</f>
        <v>0</v>
      </c>
      <c r="Q1666" s="48" t="s">
        <v>75</v>
      </c>
      <c r="R1666" s="48">
        <f>HEX2DEC(RIGHT(Table1323212753586873[[#This Row],[h2]],8))</f>
        <v>0</v>
      </c>
    </row>
    <row r="1667" spans="1:18">
      <c r="A1667" s="15" t="str">
        <f t="shared" si="30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8" t="s">
        <v>75</v>
      </c>
      <c r="P1667" s="48">
        <f>HEX2DEC(RIGHT(Table1323212753586873[[#This Row],[h1]],8))</f>
        <v>0</v>
      </c>
      <c r="Q1667" s="48" t="s">
        <v>75</v>
      </c>
      <c r="R1667" s="48">
        <f>HEX2DEC(RIGHT(Table1323212753586873[[#This Row],[h2]],8))</f>
        <v>0</v>
      </c>
    </row>
    <row r="1668" spans="1:18">
      <c r="A1668" s="15" t="str">
        <f t="shared" si="30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8" t="s">
        <v>75</v>
      </c>
      <c r="P1668" s="48">
        <f>HEX2DEC(RIGHT(Table1323212753586873[[#This Row],[h1]],8))</f>
        <v>0</v>
      </c>
      <c r="Q1668" s="48" t="s">
        <v>75</v>
      </c>
      <c r="R1668" s="48">
        <f>HEX2DEC(RIGHT(Table1323212753586873[[#This Row],[h2]],8))</f>
        <v>0</v>
      </c>
    </row>
    <row r="1669" spans="1:18">
      <c r="A1669" s="15" t="str">
        <f t="shared" si="30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8" t="s">
        <v>75</v>
      </c>
      <c r="P1669" s="48">
        <f>HEX2DEC(RIGHT(Table1323212753586873[[#This Row],[h1]],8))</f>
        <v>0</v>
      </c>
      <c r="Q1669" s="48" t="s">
        <v>75</v>
      </c>
      <c r="R1669" s="48">
        <f>HEX2DEC(RIGHT(Table1323212753586873[[#This Row],[h2]],8))</f>
        <v>0</v>
      </c>
    </row>
    <row r="1670" spans="1:18">
      <c r="A1670" s="15" t="str">
        <f t="shared" si="30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8" t="s">
        <v>75</v>
      </c>
      <c r="P1670" s="48">
        <f>HEX2DEC(RIGHT(Table1323212753586873[[#This Row],[h1]],8))</f>
        <v>0</v>
      </c>
      <c r="Q1670" s="48" t="s">
        <v>75</v>
      </c>
      <c r="R1670" s="48">
        <f>HEX2DEC(RIGHT(Table1323212753586873[[#This Row],[h2]],8))</f>
        <v>0</v>
      </c>
    </row>
    <row r="1671" spans="1:18">
      <c r="A1671" s="15" t="str">
        <f t="shared" si="30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8" t="s">
        <v>75</v>
      </c>
      <c r="P1671" s="48">
        <f>HEX2DEC(RIGHT(Table1323212753586873[[#This Row],[h1]],8))</f>
        <v>0</v>
      </c>
      <c r="Q1671" s="48" t="s">
        <v>75</v>
      </c>
      <c r="R1671" s="48">
        <f>HEX2DEC(RIGHT(Table1323212753586873[[#This Row],[h2]],8))</f>
        <v>0</v>
      </c>
    </row>
    <row r="1672" spans="1:18">
      <c r="A1672" s="15" t="str">
        <f t="shared" si="30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8" t="s">
        <v>75</v>
      </c>
      <c r="P1672" s="48">
        <f>HEX2DEC(RIGHT(Table1323212753586873[[#This Row],[h1]],8))</f>
        <v>0</v>
      </c>
      <c r="Q1672" s="48" t="s">
        <v>75</v>
      </c>
      <c r="R1672" s="48">
        <f>HEX2DEC(RIGHT(Table1323212753586873[[#This Row],[h2]],8))</f>
        <v>0</v>
      </c>
    </row>
    <row r="1673" spans="1:18">
      <c r="A1673" s="15" t="str">
        <f t="shared" si="30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8" t="s">
        <v>75</v>
      </c>
      <c r="P1673" s="48">
        <f>HEX2DEC(RIGHT(Table1323212753586873[[#This Row],[h1]],8))</f>
        <v>0</v>
      </c>
      <c r="Q1673" s="48" t="s">
        <v>75</v>
      </c>
      <c r="R1673" s="48">
        <f>HEX2DEC(RIGHT(Table1323212753586873[[#This Row],[h2]],8))</f>
        <v>0</v>
      </c>
    </row>
    <row r="1674" spans="1:18">
      <c r="A1674" s="15" t="str">
        <f t="shared" si="30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8" t="s">
        <v>75</v>
      </c>
      <c r="P1674" s="48">
        <f>HEX2DEC(RIGHT(Table1323212753586873[[#This Row],[h1]],8))</f>
        <v>0</v>
      </c>
      <c r="Q1674" s="48" t="s">
        <v>75</v>
      </c>
      <c r="R1674" s="48">
        <f>HEX2DEC(RIGHT(Table1323212753586873[[#This Row],[h2]],8))</f>
        <v>0</v>
      </c>
    </row>
    <row r="1675" spans="1:18">
      <c r="A1675" s="15" t="str">
        <f t="shared" ref="A1675:A1738" si="31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8" t="s">
        <v>75</v>
      </c>
      <c r="P1675" s="48">
        <f>HEX2DEC(RIGHT(Table1323212753586873[[#This Row],[h1]],8))</f>
        <v>0</v>
      </c>
      <c r="Q1675" s="48" t="s">
        <v>75</v>
      </c>
      <c r="R1675" s="48">
        <f>HEX2DEC(RIGHT(Table1323212753586873[[#This Row],[h2]],8))</f>
        <v>0</v>
      </c>
    </row>
    <row r="1676" spans="1:18">
      <c r="A1676" s="15" t="str">
        <f t="shared" si="31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8" t="s">
        <v>75</v>
      </c>
      <c r="P1676" s="48">
        <f>HEX2DEC(RIGHT(Table1323212753586873[[#This Row],[h1]],8))</f>
        <v>0</v>
      </c>
      <c r="Q1676" s="48" t="s">
        <v>75</v>
      </c>
      <c r="R1676" s="48">
        <f>HEX2DEC(RIGHT(Table1323212753586873[[#This Row],[h2]],8))</f>
        <v>0</v>
      </c>
    </row>
    <row r="1677" spans="1:18">
      <c r="A1677" s="15" t="str">
        <f t="shared" si="31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8" t="s">
        <v>75</v>
      </c>
      <c r="P1677" s="48">
        <f>HEX2DEC(RIGHT(Table1323212753586873[[#This Row],[h1]],8))</f>
        <v>0</v>
      </c>
      <c r="Q1677" s="48" t="s">
        <v>75</v>
      </c>
      <c r="R1677" s="48">
        <f>HEX2DEC(RIGHT(Table1323212753586873[[#This Row],[h2]],8))</f>
        <v>0</v>
      </c>
    </row>
    <row r="1678" spans="1:18">
      <c r="A1678" s="15" t="str">
        <f t="shared" si="31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8" t="s">
        <v>75</v>
      </c>
      <c r="P1678" s="48">
        <f>HEX2DEC(RIGHT(Table1323212753586873[[#This Row],[h1]],8))</f>
        <v>0</v>
      </c>
      <c r="Q1678" s="48" t="s">
        <v>75</v>
      </c>
      <c r="R1678" s="48">
        <f>HEX2DEC(RIGHT(Table1323212753586873[[#This Row],[h2]],8))</f>
        <v>0</v>
      </c>
    </row>
    <row r="1679" spans="1:18">
      <c r="A1679" s="15" t="str">
        <f t="shared" si="31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8" t="s">
        <v>75</v>
      </c>
      <c r="P1679" s="48">
        <f>HEX2DEC(RIGHT(Table1323212753586873[[#This Row],[h1]],8))</f>
        <v>0</v>
      </c>
      <c r="Q1679" s="48" t="s">
        <v>75</v>
      </c>
      <c r="R1679" s="48">
        <f>HEX2DEC(RIGHT(Table1323212753586873[[#This Row],[h2]],8))</f>
        <v>0</v>
      </c>
    </row>
    <row r="1680" spans="1:18">
      <c r="A1680" s="15" t="str">
        <f t="shared" si="31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8" t="s">
        <v>75</v>
      </c>
      <c r="P1680" s="48">
        <f>HEX2DEC(RIGHT(Table1323212753586873[[#This Row],[h1]],8))</f>
        <v>0</v>
      </c>
      <c r="Q1680" s="48" t="s">
        <v>75</v>
      </c>
      <c r="R1680" s="48">
        <f>HEX2DEC(RIGHT(Table1323212753586873[[#This Row],[h2]],8))</f>
        <v>0</v>
      </c>
    </row>
    <row r="1681" spans="1:18">
      <c r="A1681" s="15" t="str">
        <f t="shared" si="31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8" t="s">
        <v>75</v>
      </c>
      <c r="P1681" s="48">
        <f>HEX2DEC(RIGHT(Table1323212753586873[[#This Row],[h1]],8))</f>
        <v>0</v>
      </c>
      <c r="Q1681" s="48" t="s">
        <v>75</v>
      </c>
      <c r="R1681" s="48">
        <f>HEX2DEC(RIGHT(Table1323212753586873[[#This Row],[h2]],8))</f>
        <v>0</v>
      </c>
    </row>
    <row r="1682" spans="1:18">
      <c r="A1682" s="15" t="str">
        <f t="shared" si="31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8" t="s">
        <v>75</v>
      </c>
      <c r="P1682" s="48">
        <f>HEX2DEC(RIGHT(Table1323212753586873[[#This Row],[h1]],8))</f>
        <v>0</v>
      </c>
      <c r="Q1682" s="48" t="s">
        <v>75</v>
      </c>
      <c r="R1682" s="48">
        <f>HEX2DEC(RIGHT(Table1323212753586873[[#This Row],[h2]],8))</f>
        <v>0</v>
      </c>
    </row>
    <row r="1683" spans="1:18">
      <c r="A1683" s="15" t="str">
        <f t="shared" si="31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8" t="s">
        <v>75</v>
      </c>
      <c r="P1683" s="48">
        <f>HEX2DEC(RIGHT(Table1323212753586873[[#This Row],[h1]],8))</f>
        <v>0</v>
      </c>
      <c r="Q1683" s="48" t="s">
        <v>75</v>
      </c>
      <c r="R1683" s="48">
        <f>HEX2DEC(RIGHT(Table1323212753586873[[#This Row],[h2]],8))</f>
        <v>0</v>
      </c>
    </row>
    <row r="1684" spans="1:18">
      <c r="A1684" s="15" t="str">
        <f t="shared" si="31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8" t="s">
        <v>75</v>
      </c>
      <c r="P1684" s="48">
        <f>HEX2DEC(RIGHT(Table1323212753586873[[#This Row],[h1]],8))</f>
        <v>0</v>
      </c>
      <c r="Q1684" s="48" t="s">
        <v>75</v>
      </c>
      <c r="R1684" s="48">
        <f>HEX2DEC(RIGHT(Table1323212753586873[[#This Row],[h2]],8))</f>
        <v>0</v>
      </c>
    </row>
    <row r="1685" spans="1:18">
      <c r="A1685" s="15" t="str">
        <f t="shared" si="31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8" t="s">
        <v>75</v>
      </c>
      <c r="P1685" s="48">
        <f>HEX2DEC(RIGHT(Table1323212753586873[[#This Row],[h1]],8))</f>
        <v>0</v>
      </c>
      <c r="Q1685" s="48" t="s">
        <v>75</v>
      </c>
      <c r="R1685" s="48">
        <f>HEX2DEC(RIGHT(Table1323212753586873[[#This Row],[h2]],8))</f>
        <v>0</v>
      </c>
    </row>
    <row r="1686" spans="1:18">
      <c r="A1686" s="15" t="str">
        <f t="shared" si="31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8" t="s">
        <v>75</v>
      </c>
      <c r="P1686" s="48">
        <f>HEX2DEC(RIGHT(Table1323212753586873[[#This Row],[h1]],8))</f>
        <v>0</v>
      </c>
      <c r="Q1686" s="48" t="s">
        <v>75</v>
      </c>
      <c r="R1686" s="48">
        <f>HEX2DEC(RIGHT(Table1323212753586873[[#This Row],[h2]],8))</f>
        <v>0</v>
      </c>
    </row>
    <row r="1687" spans="1:18">
      <c r="A1687" s="15" t="str">
        <f t="shared" si="31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8" t="s">
        <v>75</v>
      </c>
      <c r="P1687" s="48">
        <f>HEX2DEC(RIGHT(Table1323212753586873[[#This Row],[h1]],8))</f>
        <v>0</v>
      </c>
      <c r="Q1687" s="48" t="s">
        <v>75</v>
      </c>
      <c r="R1687" s="48">
        <f>HEX2DEC(RIGHT(Table1323212753586873[[#This Row],[h2]],8))</f>
        <v>0</v>
      </c>
    </row>
    <row r="1688" spans="1:18">
      <c r="A1688" s="15" t="str">
        <f t="shared" si="31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8" t="s">
        <v>75</v>
      </c>
      <c r="P1688" s="48">
        <f>HEX2DEC(RIGHT(Table1323212753586873[[#This Row],[h1]],8))</f>
        <v>0</v>
      </c>
      <c r="Q1688" s="48" t="s">
        <v>75</v>
      </c>
      <c r="R1688" s="48">
        <f>HEX2DEC(RIGHT(Table1323212753586873[[#This Row],[h2]],8))</f>
        <v>0</v>
      </c>
    </row>
    <row r="1689" spans="1:18">
      <c r="A1689" s="15" t="str">
        <f t="shared" si="31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8" t="s">
        <v>75</v>
      </c>
      <c r="P1689" s="48">
        <f>HEX2DEC(RIGHT(Table1323212753586873[[#This Row],[h1]],8))</f>
        <v>0</v>
      </c>
      <c r="Q1689" s="48" t="s">
        <v>75</v>
      </c>
      <c r="R1689" s="48">
        <f>HEX2DEC(RIGHT(Table1323212753586873[[#This Row],[h2]],8))</f>
        <v>0</v>
      </c>
    </row>
    <row r="1690" spans="1:18">
      <c r="A1690" s="15" t="str">
        <f t="shared" si="31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8" t="s">
        <v>75</v>
      </c>
      <c r="P1690" s="48">
        <f>HEX2DEC(RIGHT(Table1323212753586873[[#This Row],[h1]],8))</f>
        <v>0</v>
      </c>
      <c r="Q1690" s="48" t="s">
        <v>75</v>
      </c>
      <c r="R1690" s="48">
        <f>HEX2DEC(RIGHT(Table1323212753586873[[#This Row],[h2]],8))</f>
        <v>0</v>
      </c>
    </row>
    <row r="1691" spans="1:18">
      <c r="A1691" s="15" t="str">
        <f t="shared" si="31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8" t="s">
        <v>75</v>
      </c>
      <c r="P1691" s="48">
        <f>HEX2DEC(RIGHT(Table1323212753586873[[#This Row],[h1]],8))</f>
        <v>0</v>
      </c>
      <c r="Q1691" s="48" t="s">
        <v>75</v>
      </c>
      <c r="R1691" s="48">
        <f>HEX2DEC(RIGHT(Table1323212753586873[[#This Row],[h2]],8))</f>
        <v>0</v>
      </c>
    </row>
    <row r="1692" spans="1:18">
      <c r="A1692" s="15" t="str">
        <f t="shared" si="31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8" t="s">
        <v>75</v>
      </c>
      <c r="P1692" s="48">
        <f>HEX2DEC(RIGHT(Table1323212753586873[[#This Row],[h1]],8))</f>
        <v>0</v>
      </c>
      <c r="Q1692" s="48" t="s">
        <v>75</v>
      </c>
      <c r="R1692" s="48">
        <f>HEX2DEC(RIGHT(Table1323212753586873[[#This Row],[h2]],8))</f>
        <v>0</v>
      </c>
    </row>
    <row r="1693" spans="1:18">
      <c r="A1693" s="15" t="str">
        <f t="shared" si="31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8" t="s">
        <v>75</v>
      </c>
      <c r="P1693" s="48">
        <f>HEX2DEC(RIGHT(Table1323212753586873[[#This Row],[h1]],8))</f>
        <v>0</v>
      </c>
      <c r="Q1693" s="48" t="s">
        <v>75</v>
      </c>
      <c r="R1693" s="48">
        <f>HEX2DEC(RIGHT(Table1323212753586873[[#This Row],[h2]],8))</f>
        <v>0</v>
      </c>
    </row>
    <row r="1694" spans="1:18">
      <c r="A1694" s="15" t="str">
        <f t="shared" si="31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8" t="s">
        <v>75</v>
      </c>
      <c r="P1694" s="48">
        <f>HEX2DEC(RIGHT(Table1323212753586873[[#This Row],[h1]],8))</f>
        <v>0</v>
      </c>
      <c r="Q1694" s="48" t="s">
        <v>75</v>
      </c>
      <c r="R1694" s="48">
        <f>HEX2DEC(RIGHT(Table1323212753586873[[#This Row],[h2]],8))</f>
        <v>0</v>
      </c>
    </row>
    <row r="1695" spans="1:18">
      <c r="A1695" s="15" t="str">
        <f t="shared" si="31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8" t="s">
        <v>75</v>
      </c>
      <c r="P1695" s="48">
        <f>HEX2DEC(RIGHT(Table1323212753586873[[#This Row],[h1]],8))</f>
        <v>0</v>
      </c>
      <c r="Q1695" s="48" t="s">
        <v>75</v>
      </c>
      <c r="R1695" s="48">
        <f>HEX2DEC(RIGHT(Table1323212753586873[[#This Row],[h2]],8))</f>
        <v>0</v>
      </c>
    </row>
    <row r="1696" spans="1:18">
      <c r="A1696" s="15" t="str">
        <f t="shared" si="31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8" t="s">
        <v>75</v>
      </c>
      <c r="P1696" s="48">
        <f>HEX2DEC(RIGHT(Table1323212753586873[[#This Row],[h1]],8))</f>
        <v>0</v>
      </c>
      <c r="Q1696" s="48" t="s">
        <v>75</v>
      </c>
      <c r="R1696" s="48">
        <f>HEX2DEC(RIGHT(Table1323212753586873[[#This Row],[h2]],8))</f>
        <v>0</v>
      </c>
    </row>
    <row r="1697" spans="1:18">
      <c r="A1697" s="15" t="str">
        <f t="shared" si="31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8" t="s">
        <v>75</v>
      </c>
      <c r="P1697" s="48">
        <f>HEX2DEC(RIGHT(Table1323212753586873[[#This Row],[h1]],8))</f>
        <v>0</v>
      </c>
      <c r="Q1697" s="48" t="s">
        <v>75</v>
      </c>
      <c r="R1697" s="48">
        <f>HEX2DEC(RIGHT(Table1323212753586873[[#This Row],[h2]],8))</f>
        <v>0</v>
      </c>
    </row>
    <row r="1698" spans="1:18">
      <c r="A1698" s="15" t="str">
        <f t="shared" si="31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8" t="s">
        <v>75</v>
      </c>
      <c r="P1698" s="48">
        <f>HEX2DEC(RIGHT(Table1323212753586873[[#This Row],[h1]],8))</f>
        <v>0</v>
      </c>
      <c r="Q1698" s="48" t="s">
        <v>75</v>
      </c>
      <c r="R1698" s="48">
        <f>HEX2DEC(RIGHT(Table1323212753586873[[#This Row],[h2]],8))</f>
        <v>0</v>
      </c>
    </row>
    <row r="1699" spans="1:18">
      <c r="A1699" s="15" t="str">
        <f t="shared" si="31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8" t="s">
        <v>75</v>
      </c>
      <c r="P1699" s="48">
        <f>HEX2DEC(RIGHT(Table1323212753586873[[#This Row],[h1]],8))</f>
        <v>0</v>
      </c>
      <c r="Q1699" s="48" t="s">
        <v>75</v>
      </c>
      <c r="R1699" s="48">
        <f>HEX2DEC(RIGHT(Table1323212753586873[[#This Row],[h2]],8))</f>
        <v>0</v>
      </c>
    </row>
    <row r="1700" spans="1:18">
      <c r="A1700" s="15" t="str">
        <f t="shared" si="31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8" t="s">
        <v>75</v>
      </c>
      <c r="P1700" s="48">
        <f>HEX2DEC(RIGHT(Table1323212753586873[[#This Row],[h1]],8))</f>
        <v>0</v>
      </c>
      <c r="Q1700" s="48" t="s">
        <v>75</v>
      </c>
      <c r="R1700" s="48">
        <f>HEX2DEC(RIGHT(Table1323212753586873[[#This Row],[h2]],8))</f>
        <v>0</v>
      </c>
    </row>
    <row r="1701" spans="1:18">
      <c r="A1701" s="15" t="str">
        <f t="shared" si="31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8" t="s">
        <v>75</v>
      </c>
      <c r="P1701" s="48">
        <f>HEX2DEC(RIGHT(Table1323212753586873[[#This Row],[h1]],8))</f>
        <v>0</v>
      </c>
      <c r="Q1701" s="48" t="s">
        <v>75</v>
      </c>
      <c r="R1701" s="48">
        <f>HEX2DEC(RIGHT(Table1323212753586873[[#This Row],[h2]],8))</f>
        <v>0</v>
      </c>
    </row>
    <row r="1702" spans="1:18">
      <c r="A1702" s="15" t="str">
        <f t="shared" si="31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8" t="s">
        <v>75</v>
      </c>
      <c r="P1702" s="48">
        <f>HEX2DEC(RIGHT(Table1323212753586873[[#This Row],[h1]],8))</f>
        <v>0</v>
      </c>
      <c r="Q1702" s="48" t="s">
        <v>75</v>
      </c>
      <c r="R1702" s="48">
        <f>HEX2DEC(RIGHT(Table1323212753586873[[#This Row],[h2]],8))</f>
        <v>0</v>
      </c>
    </row>
    <row r="1703" spans="1:18">
      <c r="A1703" s="15" t="str">
        <f t="shared" si="31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8" t="s">
        <v>75</v>
      </c>
      <c r="P1703" s="48">
        <f>HEX2DEC(RIGHT(Table1323212753586873[[#This Row],[h1]],8))</f>
        <v>0</v>
      </c>
      <c r="Q1703" s="48" t="s">
        <v>75</v>
      </c>
      <c r="R1703" s="48">
        <f>HEX2DEC(RIGHT(Table1323212753586873[[#This Row],[h2]],8))</f>
        <v>0</v>
      </c>
    </row>
    <row r="1704" spans="1:18">
      <c r="A1704" s="15" t="str">
        <f t="shared" si="31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8" t="s">
        <v>75</v>
      </c>
      <c r="P1704" s="48">
        <f>HEX2DEC(RIGHT(Table1323212753586873[[#This Row],[h1]],8))</f>
        <v>0</v>
      </c>
      <c r="Q1704" s="48" t="s">
        <v>75</v>
      </c>
      <c r="R1704" s="48">
        <f>HEX2DEC(RIGHT(Table1323212753586873[[#This Row],[h2]],8))</f>
        <v>0</v>
      </c>
    </row>
    <row r="1705" spans="1:18">
      <c r="A1705" s="15" t="str">
        <f t="shared" si="31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8" t="s">
        <v>75</v>
      </c>
      <c r="P1705" s="48">
        <f>HEX2DEC(RIGHT(Table1323212753586873[[#This Row],[h1]],8))</f>
        <v>0</v>
      </c>
      <c r="Q1705" s="48" t="s">
        <v>75</v>
      </c>
      <c r="R1705" s="48">
        <f>HEX2DEC(RIGHT(Table1323212753586873[[#This Row],[h2]],8))</f>
        <v>0</v>
      </c>
    </row>
    <row r="1706" spans="1:18">
      <c r="A1706" s="15" t="str">
        <f t="shared" si="31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8" t="s">
        <v>75</v>
      </c>
      <c r="P1706" s="48">
        <f>HEX2DEC(RIGHT(Table1323212753586873[[#This Row],[h1]],8))</f>
        <v>0</v>
      </c>
      <c r="Q1706" s="48" t="s">
        <v>75</v>
      </c>
      <c r="R1706" s="48">
        <f>HEX2DEC(RIGHT(Table1323212753586873[[#This Row],[h2]],8))</f>
        <v>0</v>
      </c>
    </row>
    <row r="1707" spans="1:18">
      <c r="A1707" s="15" t="str">
        <f t="shared" si="31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8" t="s">
        <v>75</v>
      </c>
      <c r="P1707" s="48">
        <f>HEX2DEC(RIGHT(Table1323212753586873[[#This Row],[h1]],8))</f>
        <v>0</v>
      </c>
      <c r="Q1707" s="48" t="s">
        <v>75</v>
      </c>
      <c r="R1707" s="48">
        <f>HEX2DEC(RIGHT(Table1323212753586873[[#This Row],[h2]],8))</f>
        <v>0</v>
      </c>
    </row>
    <row r="1708" spans="1:18">
      <c r="A1708" s="15" t="str">
        <f t="shared" si="31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8" t="s">
        <v>75</v>
      </c>
      <c r="P1708" s="48">
        <f>HEX2DEC(RIGHT(Table1323212753586873[[#This Row],[h1]],8))</f>
        <v>0</v>
      </c>
      <c r="Q1708" s="48" t="s">
        <v>75</v>
      </c>
      <c r="R1708" s="48">
        <f>HEX2DEC(RIGHT(Table1323212753586873[[#This Row],[h2]],8))</f>
        <v>0</v>
      </c>
    </row>
    <row r="1709" spans="1:18">
      <c r="A1709" s="15" t="str">
        <f t="shared" si="31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8" t="s">
        <v>75</v>
      </c>
      <c r="P1709" s="48">
        <f>HEX2DEC(RIGHT(Table1323212753586873[[#This Row],[h1]],8))</f>
        <v>0</v>
      </c>
      <c r="Q1709" s="48" t="s">
        <v>75</v>
      </c>
      <c r="R1709" s="48">
        <f>HEX2DEC(RIGHT(Table1323212753586873[[#This Row],[h2]],8))</f>
        <v>0</v>
      </c>
    </row>
    <row r="1710" spans="1:18">
      <c r="A1710" s="15" t="str">
        <f t="shared" si="31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8" t="s">
        <v>75</v>
      </c>
      <c r="P1710" s="48">
        <f>HEX2DEC(RIGHT(Table1323212753586873[[#This Row],[h1]],8))</f>
        <v>0</v>
      </c>
      <c r="Q1710" s="48" t="s">
        <v>75</v>
      </c>
      <c r="R1710" s="48">
        <f>HEX2DEC(RIGHT(Table1323212753586873[[#This Row],[h2]],8))</f>
        <v>0</v>
      </c>
    </row>
    <row r="1711" spans="1:18">
      <c r="A1711" s="15" t="str">
        <f t="shared" si="31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8" t="s">
        <v>75</v>
      </c>
      <c r="P1711" s="48">
        <f>HEX2DEC(RIGHT(Table1323212753586873[[#This Row],[h1]],8))</f>
        <v>0</v>
      </c>
      <c r="Q1711" s="48" t="s">
        <v>75</v>
      </c>
      <c r="R1711" s="48">
        <f>HEX2DEC(RIGHT(Table1323212753586873[[#This Row],[h2]],8))</f>
        <v>0</v>
      </c>
    </row>
    <row r="1712" spans="1:18">
      <c r="A1712" s="15" t="str">
        <f t="shared" si="31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8" t="s">
        <v>75</v>
      </c>
      <c r="P1712" s="48">
        <f>HEX2DEC(RIGHT(Table1323212753586873[[#This Row],[h1]],8))</f>
        <v>0</v>
      </c>
      <c r="Q1712" s="48" t="s">
        <v>75</v>
      </c>
      <c r="R1712" s="48">
        <f>HEX2DEC(RIGHT(Table1323212753586873[[#This Row],[h2]],8))</f>
        <v>0</v>
      </c>
    </row>
    <row r="1713" spans="1:18">
      <c r="A1713" s="15" t="str">
        <f t="shared" si="31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8" t="s">
        <v>75</v>
      </c>
      <c r="P1713" s="48">
        <f>HEX2DEC(RIGHT(Table1323212753586873[[#This Row],[h1]],8))</f>
        <v>0</v>
      </c>
      <c r="Q1713" s="48" t="s">
        <v>75</v>
      </c>
      <c r="R1713" s="48">
        <f>HEX2DEC(RIGHT(Table1323212753586873[[#This Row],[h2]],8))</f>
        <v>0</v>
      </c>
    </row>
    <row r="1714" spans="1:18">
      <c r="A1714" s="15" t="str">
        <f t="shared" si="31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8" t="s">
        <v>75</v>
      </c>
      <c r="P1714" s="48">
        <f>HEX2DEC(RIGHT(Table1323212753586873[[#This Row],[h1]],8))</f>
        <v>0</v>
      </c>
      <c r="Q1714" s="48" t="s">
        <v>75</v>
      </c>
      <c r="R1714" s="48">
        <f>HEX2DEC(RIGHT(Table1323212753586873[[#This Row],[h2]],8))</f>
        <v>0</v>
      </c>
    </row>
    <row r="1715" spans="1:18">
      <c r="A1715" s="15" t="str">
        <f t="shared" si="31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8" t="s">
        <v>75</v>
      </c>
      <c r="P1715" s="48">
        <f>HEX2DEC(RIGHT(Table1323212753586873[[#This Row],[h1]],8))</f>
        <v>0</v>
      </c>
      <c r="Q1715" s="48" t="s">
        <v>75</v>
      </c>
      <c r="R1715" s="48">
        <f>HEX2DEC(RIGHT(Table1323212753586873[[#This Row],[h2]],8))</f>
        <v>0</v>
      </c>
    </row>
    <row r="1716" spans="1:18">
      <c r="A1716" s="15" t="str">
        <f t="shared" si="31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8" t="s">
        <v>75</v>
      </c>
      <c r="P1716" s="48">
        <f>HEX2DEC(RIGHT(Table1323212753586873[[#This Row],[h1]],8))</f>
        <v>0</v>
      </c>
      <c r="Q1716" s="48" t="s">
        <v>75</v>
      </c>
      <c r="R1716" s="48">
        <f>HEX2DEC(RIGHT(Table1323212753586873[[#This Row],[h2]],8))</f>
        <v>0</v>
      </c>
    </row>
    <row r="1717" spans="1:18">
      <c r="A1717" s="15" t="str">
        <f t="shared" si="31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8" t="s">
        <v>75</v>
      </c>
      <c r="P1717" s="48">
        <f>HEX2DEC(RIGHT(Table1323212753586873[[#This Row],[h1]],8))</f>
        <v>0</v>
      </c>
      <c r="Q1717" s="48" t="s">
        <v>75</v>
      </c>
      <c r="R1717" s="48">
        <f>HEX2DEC(RIGHT(Table1323212753586873[[#This Row],[h2]],8))</f>
        <v>0</v>
      </c>
    </row>
    <row r="1718" spans="1:18">
      <c r="A1718" s="15" t="str">
        <f t="shared" si="31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8" t="s">
        <v>75</v>
      </c>
      <c r="P1718" s="48">
        <f>HEX2DEC(RIGHT(Table1323212753586873[[#This Row],[h1]],8))</f>
        <v>0</v>
      </c>
      <c r="Q1718" s="48" t="s">
        <v>75</v>
      </c>
      <c r="R1718" s="48">
        <f>HEX2DEC(RIGHT(Table1323212753586873[[#This Row],[h2]],8))</f>
        <v>0</v>
      </c>
    </row>
    <row r="1719" spans="1:18">
      <c r="A1719" s="15" t="str">
        <f t="shared" si="31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8" t="s">
        <v>75</v>
      </c>
      <c r="P1719" s="48">
        <f>HEX2DEC(RIGHT(Table1323212753586873[[#This Row],[h1]],8))</f>
        <v>0</v>
      </c>
      <c r="Q1719" s="48" t="s">
        <v>75</v>
      </c>
      <c r="R1719" s="48">
        <f>HEX2DEC(RIGHT(Table1323212753586873[[#This Row],[h2]],8))</f>
        <v>0</v>
      </c>
    </row>
    <row r="1720" spans="1:18">
      <c r="A1720" s="15" t="str">
        <f t="shared" si="31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8" t="s">
        <v>75</v>
      </c>
      <c r="P1720" s="48">
        <f>HEX2DEC(RIGHT(Table1323212753586873[[#This Row],[h1]],8))</f>
        <v>0</v>
      </c>
      <c r="Q1720" s="48" t="s">
        <v>75</v>
      </c>
      <c r="R1720" s="48">
        <f>HEX2DEC(RIGHT(Table1323212753586873[[#This Row],[h2]],8))</f>
        <v>0</v>
      </c>
    </row>
    <row r="1721" spans="1:18">
      <c r="A1721" s="15" t="str">
        <f t="shared" si="31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8" t="s">
        <v>75</v>
      </c>
      <c r="P1721" s="48">
        <f>HEX2DEC(RIGHT(Table1323212753586873[[#This Row],[h1]],8))</f>
        <v>0</v>
      </c>
      <c r="Q1721" s="48" t="s">
        <v>75</v>
      </c>
      <c r="R1721" s="48">
        <f>HEX2DEC(RIGHT(Table1323212753586873[[#This Row],[h2]],8))</f>
        <v>0</v>
      </c>
    </row>
    <row r="1722" spans="1:18">
      <c r="A1722" s="15" t="str">
        <f t="shared" si="31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8" t="s">
        <v>75</v>
      </c>
      <c r="P1722" s="48">
        <f>HEX2DEC(RIGHT(Table1323212753586873[[#This Row],[h1]],8))</f>
        <v>0</v>
      </c>
      <c r="Q1722" s="48" t="s">
        <v>75</v>
      </c>
      <c r="R1722" s="48">
        <f>HEX2DEC(RIGHT(Table1323212753586873[[#This Row],[h2]],8))</f>
        <v>0</v>
      </c>
    </row>
    <row r="1723" spans="1:18">
      <c r="A1723" s="15" t="str">
        <f t="shared" si="31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8" t="s">
        <v>75</v>
      </c>
      <c r="P1723" s="48">
        <f>HEX2DEC(RIGHT(Table1323212753586873[[#This Row],[h1]],8))</f>
        <v>0</v>
      </c>
      <c r="Q1723" s="48" t="s">
        <v>75</v>
      </c>
      <c r="R1723" s="48">
        <f>HEX2DEC(RIGHT(Table1323212753586873[[#This Row],[h2]],8))</f>
        <v>0</v>
      </c>
    </row>
    <row r="1724" spans="1:18">
      <c r="A1724" s="15" t="str">
        <f t="shared" si="31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8" t="s">
        <v>75</v>
      </c>
      <c r="P1724" s="48">
        <f>HEX2DEC(RIGHT(Table1323212753586873[[#This Row],[h1]],8))</f>
        <v>0</v>
      </c>
      <c r="Q1724" s="48" t="s">
        <v>75</v>
      </c>
      <c r="R1724" s="48">
        <f>HEX2DEC(RIGHT(Table1323212753586873[[#This Row],[h2]],8))</f>
        <v>0</v>
      </c>
    </row>
    <row r="1725" spans="1:18">
      <c r="A1725" s="15" t="str">
        <f t="shared" si="31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8" t="s">
        <v>75</v>
      </c>
      <c r="P1725" s="48">
        <f>HEX2DEC(RIGHT(Table1323212753586873[[#This Row],[h1]],8))</f>
        <v>0</v>
      </c>
      <c r="Q1725" s="48" t="s">
        <v>75</v>
      </c>
      <c r="R1725" s="48">
        <f>HEX2DEC(RIGHT(Table1323212753586873[[#This Row],[h2]],8))</f>
        <v>0</v>
      </c>
    </row>
    <row r="1726" spans="1:18">
      <c r="A1726" s="15" t="str">
        <f t="shared" si="31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8" t="s">
        <v>75</v>
      </c>
      <c r="P1726" s="48">
        <f>HEX2DEC(RIGHT(Table1323212753586873[[#This Row],[h1]],8))</f>
        <v>0</v>
      </c>
      <c r="Q1726" s="48" t="s">
        <v>75</v>
      </c>
      <c r="R1726" s="48">
        <f>HEX2DEC(RIGHT(Table1323212753586873[[#This Row],[h2]],8))</f>
        <v>0</v>
      </c>
    </row>
    <row r="1727" spans="1:18">
      <c r="A1727" s="15" t="str">
        <f t="shared" si="31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8" t="s">
        <v>75</v>
      </c>
      <c r="P1727" s="48">
        <f>HEX2DEC(RIGHT(Table1323212753586873[[#This Row],[h1]],8))</f>
        <v>0</v>
      </c>
      <c r="Q1727" s="48" t="s">
        <v>75</v>
      </c>
      <c r="R1727" s="48">
        <f>HEX2DEC(RIGHT(Table1323212753586873[[#This Row],[h2]],8))</f>
        <v>0</v>
      </c>
    </row>
    <row r="1728" spans="1:18">
      <c r="A1728" s="15" t="str">
        <f t="shared" si="31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8" t="s">
        <v>75</v>
      </c>
      <c r="P1728" s="48">
        <f>HEX2DEC(RIGHT(Table1323212753586873[[#This Row],[h1]],8))</f>
        <v>0</v>
      </c>
      <c r="Q1728" s="48" t="s">
        <v>75</v>
      </c>
      <c r="R1728" s="48">
        <f>HEX2DEC(RIGHT(Table1323212753586873[[#This Row],[h2]],8))</f>
        <v>0</v>
      </c>
    </row>
    <row r="1729" spans="1:18">
      <c r="A1729" s="15" t="str">
        <f t="shared" si="31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8" t="s">
        <v>75</v>
      </c>
      <c r="P1729" s="48">
        <f>HEX2DEC(RIGHT(Table1323212753586873[[#This Row],[h1]],8))</f>
        <v>0</v>
      </c>
      <c r="Q1729" s="48" t="s">
        <v>75</v>
      </c>
      <c r="R1729" s="48">
        <f>HEX2DEC(RIGHT(Table1323212753586873[[#This Row],[h2]],8))</f>
        <v>0</v>
      </c>
    </row>
    <row r="1730" spans="1:18">
      <c r="A1730" s="15" t="str">
        <f t="shared" si="31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8" t="s">
        <v>75</v>
      </c>
      <c r="P1730" s="48">
        <f>HEX2DEC(RIGHT(Table1323212753586873[[#This Row],[h1]],8))</f>
        <v>0</v>
      </c>
      <c r="Q1730" s="48" t="s">
        <v>75</v>
      </c>
      <c r="R1730" s="48">
        <f>HEX2DEC(RIGHT(Table1323212753586873[[#This Row],[h2]],8))</f>
        <v>0</v>
      </c>
    </row>
    <row r="1731" spans="1:18">
      <c r="A1731" s="15" t="str">
        <f t="shared" si="31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8" t="s">
        <v>75</v>
      </c>
      <c r="P1731" s="48">
        <f>HEX2DEC(RIGHT(Table1323212753586873[[#This Row],[h1]],8))</f>
        <v>0</v>
      </c>
      <c r="Q1731" s="48" t="s">
        <v>75</v>
      </c>
      <c r="R1731" s="48">
        <f>HEX2DEC(RIGHT(Table1323212753586873[[#This Row],[h2]],8))</f>
        <v>0</v>
      </c>
    </row>
    <row r="1732" spans="1:18">
      <c r="A1732" s="15" t="str">
        <f t="shared" si="31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8" t="s">
        <v>75</v>
      </c>
      <c r="P1732" s="48">
        <f>HEX2DEC(RIGHT(Table1323212753586873[[#This Row],[h1]],8))</f>
        <v>0</v>
      </c>
      <c r="Q1732" s="48" t="s">
        <v>75</v>
      </c>
      <c r="R1732" s="48">
        <f>HEX2DEC(RIGHT(Table1323212753586873[[#This Row],[h2]],8))</f>
        <v>0</v>
      </c>
    </row>
    <row r="1733" spans="1:18">
      <c r="A1733" s="15" t="str">
        <f t="shared" si="31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8" t="s">
        <v>75</v>
      </c>
      <c r="P1733" s="48">
        <f>HEX2DEC(RIGHT(Table1323212753586873[[#This Row],[h1]],8))</f>
        <v>0</v>
      </c>
      <c r="Q1733" s="48" t="s">
        <v>75</v>
      </c>
      <c r="R1733" s="48">
        <f>HEX2DEC(RIGHT(Table1323212753586873[[#This Row],[h2]],8))</f>
        <v>0</v>
      </c>
    </row>
    <row r="1734" spans="1:18">
      <c r="A1734" s="15" t="str">
        <f t="shared" si="31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8" t="s">
        <v>75</v>
      </c>
      <c r="P1734" s="48">
        <f>HEX2DEC(RIGHT(Table1323212753586873[[#This Row],[h1]],8))</f>
        <v>0</v>
      </c>
      <c r="Q1734" s="48" t="s">
        <v>75</v>
      </c>
      <c r="R1734" s="48">
        <f>HEX2DEC(RIGHT(Table1323212753586873[[#This Row],[h2]],8))</f>
        <v>0</v>
      </c>
    </row>
    <row r="1735" spans="1:18">
      <c r="A1735" s="15" t="str">
        <f t="shared" si="31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8" t="s">
        <v>75</v>
      </c>
      <c r="P1735" s="48">
        <f>HEX2DEC(RIGHT(Table1323212753586873[[#This Row],[h1]],8))</f>
        <v>0</v>
      </c>
      <c r="Q1735" s="48" t="s">
        <v>75</v>
      </c>
      <c r="R1735" s="48">
        <f>HEX2DEC(RIGHT(Table1323212753586873[[#This Row],[h2]],8))</f>
        <v>0</v>
      </c>
    </row>
    <row r="1736" spans="1:18">
      <c r="A1736" s="15" t="str">
        <f t="shared" si="31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8" t="s">
        <v>75</v>
      </c>
      <c r="P1736" s="48">
        <f>HEX2DEC(RIGHT(Table1323212753586873[[#This Row],[h1]],8))</f>
        <v>0</v>
      </c>
      <c r="Q1736" s="48" t="s">
        <v>75</v>
      </c>
      <c r="R1736" s="48">
        <f>HEX2DEC(RIGHT(Table1323212753586873[[#This Row],[h2]],8))</f>
        <v>0</v>
      </c>
    </row>
    <row r="1737" spans="1:18">
      <c r="A1737" s="15" t="str">
        <f t="shared" si="31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8" t="s">
        <v>75</v>
      </c>
      <c r="P1737" s="48">
        <f>HEX2DEC(RIGHT(Table1323212753586873[[#This Row],[h1]],8))</f>
        <v>0</v>
      </c>
      <c r="Q1737" s="48" t="s">
        <v>75</v>
      </c>
      <c r="R1737" s="48">
        <f>HEX2DEC(RIGHT(Table1323212753586873[[#This Row],[h2]],8))</f>
        <v>0</v>
      </c>
    </row>
    <row r="1738" spans="1:18">
      <c r="A1738" s="15" t="str">
        <f t="shared" si="31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8" t="s">
        <v>75</v>
      </c>
      <c r="P1738" s="48">
        <f>HEX2DEC(RIGHT(Table1323212753586873[[#This Row],[h1]],8))</f>
        <v>0</v>
      </c>
      <c r="Q1738" s="48" t="s">
        <v>75</v>
      </c>
      <c r="R1738" s="48">
        <f>HEX2DEC(RIGHT(Table1323212753586873[[#This Row],[h2]],8))</f>
        <v>0</v>
      </c>
    </row>
    <row r="1739" spans="1:18">
      <c r="A1739" s="15" t="str">
        <f t="shared" ref="A1739:A1802" si="32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8" t="s">
        <v>75</v>
      </c>
      <c r="P1739" s="48">
        <f>HEX2DEC(RIGHT(Table1323212753586873[[#This Row],[h1]],8))</f>
        <v>0</v>
      </c>
      <c r="Q1739" s="48" t="s">
        <v>75</v>
      </c>
      <c r="R1739" s="48">
        <f>HEX2DEC(RIGHT(Table1323212753586873[[#This Row],[h2]],8))</f>
        <v>0</v>
      </c>
    </row>
    <row r="1740" spans="1:18">
      <c r="A1740" s="15" t="str">
        <f t="shared" si="32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8" t="s">
        <v>75</v>
      </c>
      <c r="P1740" s="48">
        <f>HEX2DEC(RIGHT(Table1323212753586873[[#This Row],[h1]],8))</f>
        <v>0</v>
      </c>
      <c r="Q1740" s="48" t="s">
        <v>75</v>
      </c>
      <c r="R1740" s="48">
        <f>HEX2DEC(RIGHT(Table1323212753586873[[#This Row],[h2]],8))</f>
        <v>0</v>
      </c>
    </row>
    <row r="1741" spans="1:18">
      <c r="A1741" s="15" t="str">
        <f t="shared" si="32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8" t="s">
        <v>75</v>
      </c>
      <c r="P1741" s="48">
        <f>HEX2DEC(RIGHT(Table1323212753586873[[#This Row],[h1]],8))</f>
        <v>0</v>
      </c>
      <c r="Q1741" s="48" t="s">
        <v>75</v>
      </c>
      <c r="R1741" s="48">
        <f>HEX2DEC(RIGHT(Table1323212753586873[[#This Row],[h2]],8))</f>
        <v>0</v>
      </c>
    </row>
    <row r="1742" spans="1:18">
      <c r="A1742" s="15" t="str">
        <f t="shared" si="32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8" t="s">
        <v>75</v>
      </c>
      <c r="P1742" s="48">
        <f>HEX2DEC(RIGHT(Table1323212753586873[[#This Row],[h1]],8))</f>
        <v>0</v>
      </c>
      <c r="Q1742" s="48" t="s">
        <v>75</v>
      </c>
      <c r="R1742" s="48">
        <f>HEX2DEC(RIGHT(Table1323212753586873[[#This Row],[h2]],8))</f>
        <v>0</v>
      </c>
    </row>
    <row r="1743" spans="1:18">
      <c r="A1743" s="15" t="str">
        <f t="shared" si="32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8" t="s">
        <v>75</v>
      </c>
      <c r="P1743" s="48">
        <f>HEX2DEC(RIGHT(Table1323212753586873[[#This Row],[h1]],8))</f>
        <v>0</v>
      </c>
      <c r="Q1743" s="48" t="s">
        <v>75</v>
      </c>
      <c r="R1743" s="48">
        <f>HEX2DEC(RIGHT(Table1323212753586873[[#This Row],[h2]],8))</f>
        <v>0</v>
      </c>
    </row>
    <row r="1744" spans="1:18">
      <c r="A1744" s="15" t="str">
        <f t="shared" si="32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8" t="s">
        <v>75</v>
      </c>
      <c r="P1744" s="48">
        <f>HEX2DEC(RIGHT(Table1323212753586873[[#This Row],[h1]],8))</f>
        <v>0</v>
      </c>
      <c r="Q1744" s="48" t="s">
        <v>75</v>
      </c>
      <c r="R1744" s="48">
        <f>HEX2DEC(RIGHT(Table1323212753586873[[#This Row],[h2]],8))</f>
        <v>0</v>
      </c>
    </row>
    <row r="1745" spans="1:18">
      <c r="A1745" s="15" t="str">
        <f t="shared" si="32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8" t="s">
        <v>75</v>
      </c>
      <c r="P1745" s="48">
        <f>HEX2DEC(RIGHT(Table1323212753586873[[#This Row],[h1]],8))</f>
        <v>0</v>
      </c>
      <c r="Q1745" s="48" t="s">
        <v>75</v>
      </c>
      <c r="R1745" s="48">
        <f>HEX2DEC(RIGHT(Table1323212753586873[[#This Row],[h2]],8))</f>
        <v>0</v>
      </c>
    </row>
    <row r="1746" spans="1:18">
      <c r="A1746" s="15" t="str">
        <f t="shared" si="32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8" t="s">
        <v>75</v>
      </c>
      <c r="P1746" s="48">
        <f>HEX2DEC(RIGHT(Table1323212753586873[[#This Row],[h1]],8))</f>
        <v>0</v>
      </c>
      <c r="Q1746" s="48" t="s">
        <v>75</v>
      </c>
      <c r="R1746" s="48">
        <f>HEX2DEC(RIGHT(Table1323212753586873[[#This Row],[h2]],8))</f>
        <v>0</v>
      </c>
    </row>
    <row r="1747" spans="1:18">
      <c r="A1747" s="15" t="str">
        <f t="shared" si="32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8" t="s">
        <v>75</v>
      </c>
      <c r="P1747" s="48">
        <f>HEX2DEC(RIGHT(Table1323212753586873[[#This Row],[h1]],8))</f>
        <v>0</v>
      </c>
      <c r="Q1747" s="48" t="s">
        <v>75</v>
      </c>
      <c r="R1747" s="48">
        <f>HEX2DEC(RIGHT(Table1323212753586873[[#This Row],[h2]],8))</f>
        <v>0</v>
      </c>
    </row>
    <row r="1748" spans="1:18">
      <c r="A1748" s="15" t="str">
        <f t="shared" si="32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8" t="s">
        <v>75</v>
      </c>
      <c r="P1748" s="48">
        <f>HEX2DEC(RIGHT(Table1323212753586873[[#This Row],[h1]],8))</f>
        <v>0</v>
      </c>
      <c r="Q1748" s="48" t="s">
        <v>75</v>
      </c>
      <c r="R1748" s="48">
        <f>HEX2DEC(RIGHT(Table1323212753586873[[#This Row],[h2]],8))</f>
        <v>0</v>
      </c>
    </row>
    <row r="1749" spans="1:18">
      <c r="A1749" s="15" t="str">
        <f t="shared" si="32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8" t="s">
        <v>75</v>
      </c>
      <c r="P1749" s="48">
        <f>HEX2DEC(RIGHT(Table1323212753586873[[#This Row],[h1]],8))</f>
        <v>0</v>
      </c>
      <c r="Q1749" s="48" t="s">
        <v>75</v>
      </c>
      <c r="R1749" s="48">
        <f>HEX2DEC(RIGHT(Table1323212753586873[[#This Row],[h2]],8))</f>
        <v>0</v>
      </c>
    </row>
    <row r="1750" spans="1:18">
      <c r="A1750" s="15" t="str">
        <f t="shared" si="32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8" t="s">
        <v>75</v>
      </c>
      <c r="P1750" s="48">
        <f>HEX2DEC(RIGHT(Table1323212753586873[[#This Row],[h1]],8))</f>
        <v>0</v>
      </c>
      <c r="Q1750" s="48" t="s">
        <v>75</v>
      </c>
      <c r="R1750" s="48">
        <f>HEX2DEC(RIGHT(Table1323212753586873[[#This Row],[h2]],8))</f>
        <v>0</v>
      </c>
    </row>
    <row r="1751" spans="1:18">
      <c r="A1751" s="15" t="str">
        <f t="shared" si="32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8" t="s">
        <v>75</v>
      </c>
      <c r="P1751" s="48">
        <f>HEX2DEC(RIGHT(Table1323212753586873[[#This Row],[h1]],8))</f>
        <v>0</v>
      </c>
      <c r="Q1751" s="48" t="s">
        <v>75</v>
      </c>
      <c r="R1751" s="48">
        <f>HEX2DEC(RIGHT(Table1323212753586873[[#This Row],[h2]],8))</f>
        <v>0</v>
      </c>
    </row>
    <row r="1752" spans="1:18">
      <c r="A1752" s="15" t="str">
        <f t="shared" si="32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8" t="s">
        <v>75</v>
      </c>
      <c r="P1752" s="48">
        <f>HEX2DEC(RIGHT(Table1323212753586873[[#This Row],[h1]],8))</f>
        <v>0</v>
      </c>
      <c r="Q1752" s="48" t="s">
        <v>75</v>
      </c>
      <c r="R1752" s="48">
        <f>HEX2DEC(RIGHT(Table1323212753586873[[#This Row],[h2]],8))</f>
        <v>0</v>
      </c>
    </row>
    <row r="1753" spans="1:18">
      <c r="A1753" s="15" t="str">
        <f t="shared" si="32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8" t="s">
        <v>75</v>
      </c>
      <c r="P1753" s="48">
        <f>HEX2DEC(RIGHT(Table1323212753586873[[#This Row],[h1]],8))</f>
        <v>0</v>
      </c>
      <c r="Q1753" s="48" t="s">
        <v>75</v>
      </c>
      <c r="R1753" s="48">
        <f>HEX2DEC(RIGHT(Table1323212753586873[[#This Row],[h2]],8))</f>
        <v>0</v>
      </c>
    </row>
    <row r="1754" spans="1:18">
      <c r="A1754" s="15" t="str">
        <f t="shared" si="32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8" t="s">
        <v>75</v>
      </c>
      <c r="P1754" s="48">
        <f>HEX2DEC(RIGHT(Table1323212753586873[[#This Row],[h1]],8))</f>
        <v>0</v>
      </c>
      <c r="Q1754" s="48" t="s">
        <v>75</v>
      </c>
      <c r="R1754" s="48">
        <f>HEX2DEC(RIGHT(Table1323212753586873[[#This Row],[h2]],8))</f>
        <v>0</v>
      </c>
    </row>
    <row r="1755" spans="1:18">
      <c r="A1755" s="15" t="str">
        <f t="shared" si="32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8" t="s">
        <v>75</v>
      </c>
      <c r="P1755" s="48">
        <f>HEX2DEC(RIGHT(Table1323212753586873[[#This Row],[h1]],8))</f>
        <v>0</v>
      </c>
      <c r="Q1755" s="48" t="s">
        <v>75</v>
      </c>
      <c r="R1755" s="48">
        <f>HEX2DEC(RIGHT(Table1323212753586873[[#This Row],[h2]],8))</f>
        <v>0</v>
      </c>
    </row>
    <row r="1756" spans="1:18">
      <c r="A1756" s="15" t="str">
        <f t="shared" si="32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8" t="s">
        <v>75</v>
      </c>
      <c r="P1756" s="48">
        <f>HEX2DEC(RIGHT(Table1323212753586873[[#This Row],[h1]],8))</f>
        <v>0</v>
      </c>
      <c r="Q1756" s="48" t="s">
        <v>75</v>
      </c>
      <c r="R1756" s="48">
        <f>HEX2DEC(RIGHT(Table1323212753586873[[#This Row],[h2]],8))</f>
        <v>0</v>
      </c>
    </row>
    <row r="1757" spans="1:18">
      <c r="A1757" s="15" t="str">
        <f t="shared" si="32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8" t="s">
        <v>75</v>
      </c>
      <c r="P1757" s="48">
        <f>HEX2DEC(RIGHT(Table1323212753586873[[#This Row],[h1]],8))</f>
        <v>0</v>
      </c>
      <c r="Q1757" s="48" t="s">
        <v>75</v>
      </c>
      <c r="R1757" s="48">
        <f>HEX2DEC(RIGHT(Table1323212753586873[[#This Row],[h2]],8))</f>
        <v>0</v>
      </c>
    </row>
    <row r="1758" spans="1:18">
      <c r="A1758" s="15" t="str">
        <f t="shared" si="32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8" t="s">
        <v>75</v>
      </c>
      <c r="P1758" s="48">
        <f>HEX2DEC(RIGHT(Table1323212753586873[[#This Row],[h1]],8))</f>
        <v>0</v>
      </c>
      <c r="Q1758" s="48" t="s">
        <v>75</v>
      </c>
      <c r="R1758" s="48">
        <f>HEX2DEC(RIGHT(Table1323212753586873[[#This Row],[h2]],8))</f>
        <v>0</v>
      </c>
    </row>
    <row r="1759" spans="1:18">
      <c r="A1759" s="15" t="str">
        <f t="shared" si="32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8" t="s">
        <v>75</v>
      </c>
      <c r="P1759" s="48">
        <f>HEX2DEC(RIGHT(Table1323212753586873[[#This Row],[h1]],8))</f>
        <v>0</v>
      </c>
      <c r="Q1759" s="48" t="s">
        <v>75</v>
      </c>
      <c r="R1759" s="48">
        <f>HEX2DEC(RIGHT(Table1323212753586873[[#This Row],[h2]],8))</f>
        <v>0</v>
      </c>
    </row>
    <row r="1760" spans="1:18">
      <c r="A1760" s="15" t="str">
        <f t="shared" si="32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8" t="s">
        <v>75</v>
      </c>
      <c r="P1760" s="48">
        <f>HEX2DEC(RIGHT(Table1323212753586873[[#This Row],[h1]],8))</f>
        <v>0</v>
      </c>
      <c r="Q1760" s="48" t="s">
        <v>75</v>
      </c>
      <c r="R1760" s="48">
        <f>HEX2DEC(RIGHT(Table1323212753586873[[#This Row],[h2]],8))</f>
        <v>0</v>
      </c>
    </row>
    <row r="1761" spans="1:18">
      <c r="A1761" s="15" t="str">
        <f t="shared" si="32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8" t="s">
        <v>75</v>
      </c>
      <c r="P1761" s="48">
        <f>HEX2DEC(RIGHT(Table1323212753586873[[#This Row],[h1]],8))</f>
        <v>0</v>
      </c>
      <c r="Q1761" s="48" t="s">
        <v>75</v>
      </c>
      <c r="R1761" s="48">
        <f>HEX2DEC(RIGHT(Table1323212753586873[[#This Row],[h2]],8))</f>
        <v>0</v>
      </c>
    </row>
    <row r="1762" spans="1:18">
      <c r="A1762" s="15" t="str">
        <f t="shared" si="32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8" t="s">
        <v>75</v>
      </c>
      <c r="P1762" s="48">
        <f>HEX2DEC(RIGHT(Table1323212753586873[[#This Row],[h1]],8))</f>
        <v>0</v>
      </c>
      <c r="Q1762" s="48" t="s">
        <v>75</v>
      </c>
      <c r="R1762" s="48">
        <f>HEX2DEC(RIGHT(Table1323212753586873[[#This Row],[h2]],8))</f>
        <v>0</v>
      </c>
    </row>
    <row r="1763" spans="1:18">
      <c r="A1763" s="15" t="str">
        <f t="shared" si="32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8" t="s">
        <v>75</v>
      </c>
      <c r="P1763" s="48">
        <f>HEX2DEC(RIGHT(Table1323212753586873[[#This Row],[h1]],8))</f>
        <v>0</v>
      </c>
      <c r="Q1763" s="48" t="s">
        <v>75</v>
      </c>
      <c r="R1763" s="48">
        <f>HEX2DEC(RIGHT(Table1323212753586873[[#This Row],[h2]],8))</f>
        <v>0</v>
      </c>
    </row>
    <row r="1764" spans="1:18">
      <c r="A1764" s="15" t="str">
        <f t="shared" si="32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8" t="s">
        <v>75</v>
      </c>
      <c r="P1764" s="48">
        <f>HEX2DEC(RIGHT(Table1323212753586873[[#This Row],[h1]],8))</f>
        <v>0</v>
      </c>
      <c r="Q1764" s="48" t="s">
        <v>75</v>
      </c>
      <c r="R1764" s="48">
        <f>HEX2DEC(RIGHT(Table1323212753586873[[#This Row],[h2]],8))</f>
        <v>0</v>
      </c>
    </row>
    <row r="1765" spans="1:18">
      <c r="A1765" s="15" t="str">
        <f t="shared" si="32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8" t="s">
        <v>75</v>
      </c>
      <c r="P1765" s="48">
        <f>HEX2DEC(RIGHT(Table1323212753586873[[#This Row],[h1]],8))</f>
        <v>0</v>
      </c>
      <c r="Q1765" s="48" t="s">
        <v>75</v>
      </c>
      <c r="R1765" s="48">
        <f>HEX2DEC(RIGHT(Table1323212753586873[[#This Row],[h2]],8))</f>
        <v>0</v>
      </c>
    </row>
    <row r="1766" spans="1:18">
      <c r="A1766" s="15" t="str">
        <f t="shared" si="32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8" t="s">
        <v>75</v>
      </c>
      <c r="P1766" s="48">
        <f>HEX2DEC(RIGHT(Table1323212753586873[[#This Row],[h1]],8))</f>
        <v>0</v>
      </c>
      <c r="Q1766" s="48" t="s">
        <v>75</v>
      </c>
      <c r="R1766" s="48">
        <f>HEX2DEC(RIGHT(Table1323212753586873[[#This Row],[h2]],8))</f>
        <v>0</v>
      </c>
    </row>
    <row r="1767" spans="1:18">
      <c r="A1767" s="15" t="str">
        <f t="shared" si="32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8" t="s">
        <v>75</v>
      </c>
      <c r="P1767" s="48">
        <f>HEX2DEC(RIGHT(Table1323212753586873[[#This Row],[h1]],8))</f>
        <v>0</v>
      </c>
      <c r="Q1767" s="48" t="s">
        <v>75</v>
      </c>
      <c r="R1767" s="48">
        <f>HEX2DEC(RIGHT(Table1323212753586873[[#This Row],[h2]],8))</f>
        <v>0</v>
      </c>
    </row>
    <row r="1768" spans="1:18">
      <c r="A1768" s="15" t="str">
        <f t="shared" si="32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8" t="s">
        <v>75</v>
      </c>
      <c r="P1768" s="48">
        <f>HEX2DEC(RIGHT(Table1323212753586873[[#This Row],[h1]],8))</f>
        <v>0</v>
      </c>
      <c r="Q1768" s="48" t="s">
        <v>75</v>
      </c>
      <c r="R1768" s="48">
        <f>HEX2DEC(RIGHT(Table1323212753586873[[#This Row],[h2]],8))</f>
        <v>0</v>
      </c>
    </row>
    <row r="1769" spans="1:18">
      <c r="A1769" s="15" t="str">
        <f t="shared" si="32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8" t="s">
        <v>75</v>
      </c>
      <c r="P1769" s="48">
        <f>HEX2DEC(RIGHT(Table1323212753586873[[#This Row],[h1]],8))</f>
        <v>0</v>
      </c>
      <c r="Q1769" s="48" t="s">
        <v>75</v>
      </c>
      <c r="R1769" s="48">
        <f>HEX2DEC(RIGHT(Table1323212753586873[[#This Row],[h2]],8))</f>
        <v>0</v>
      </c>
    </row>
    <row r="1770" spans="1:18">
      <c r="A1770" s="15" t="str">
        <f t="shared" si="32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8" t="s">
        <v>75</v>
      </c>
      <c r="P1770" s="48">
        <f>HEX2DEC(RIGHT(Table1323212753586873[[#This Row],[h1]],8))</f>
        <v>0</v>
      </c>
      <c r="Q1770" s="48" t="s">
        <v>75</v>
      </c>
      <c r="R1770" s="48">
        <f>HEX2DEC(RIGHT(Table1323212753586873[[#This Row],[h2]],8))</f>
        <v>0</v>
      </c>
    </row>
    <row r="1771" spans="1:18">
      <c r="A1771" s="15" t="str">
        <f t="shared" si="32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8" t="s">
        <v>75</v>
      </c>
      <c r="P1771" s="48">
        <f>HEX2DEC(RIGHT(Table1323212753586873[[#This Row],[h1]],8))</f>
        <v>0</v>
      </c>
      <c r="Q1771" s="48" t="s">
        <v>75</v>
      </c>
      <c r="R1771" s="48">
        <f>HEX2DEC(RIGHT(Table1323212753586873[[#This Row],[h2]],8))</f>
        <v>0</v>
      </c>
    </row>
    <row r="1772" spans="1:18">
      <c r="A1772" s="15" t="str">
        <f t="shared" si="32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8" t="s">
        <v>75</v>
      </c>
      <c r="P1772" s="48">
        <f>HEX2DEC(RIGHT(Table1323212753586873[[#This Row],[h1]],8))</f>
        <v>0</v>
      </c>
      <c r="Q1772" s="48" t="s">
        <v>75</v>
      </c>
      <c r="R1772" s="48">
        <f>HEX2DEC(RIGHT(Table1323212753586873[[#This Row],[h2]],8))</f>
        <v>0</v>
      </c>
    </row>
    <row r="1773" spans="1:18">
      <c r="A1773" s="15" t="str">
        <f t="shared" si="32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8" t="s">
        <v>75</v>
      </c>
      <c r="P1773" s="48">
        <f>HEX2DEC(RIGHT(Table1323212753586873[[#This Row],[h1]],8))</f>
        <v>0</v>
      </c>
      <c r="Q1773" s="48" t="s">
        <v>75</v>
      </c>
      <c r="R1773" s="48">
        <f>HEX2DEC(RIGHT(Table1323212753586873[[#This Row],[h2]],8))</f>
        <v>0</v>
      </c>
    </row>
    <row r="1774" spans="1:18">
      <c r="A1774" s="15" t="str">
        <f t="shared" si="32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8" t="s">
        <v>75</v>
      </c>
      <c r="P1774" s="48">
        <f>HEX2DEC(RIGHT(Table1323212753586873[[#This Row],[h1]],8))</f>
        <v>0</v>
      </c>
      <c r="Q1774" s="48" t="s">
        <v>75</v>
      </c>
      <c r="R1774" s="48">
        <f>HEX2DEC(RIGHT(Table1323212753586873[[#This Row],[h2]],8))</f>
        <v>0</v>
      </c>
    </row>
    <row r="1775" spans="1:18">
      <c r="A1775" s="15" t="str">
        <f t="shared" si="32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8" t="s">
        <v>75</v>
      </c>
      <c r="P1775" s="48">
        <f>HEX2DEC(RIGHT(Table1323212753586873[[#This Row],[h1]],8))</f>
        <v>0</v>
      </c>
      <c r="Q1775" s="48" t="s">
        <v>75</v>
      </c>
      <c r="R1775" s="48">
        <f>HEX2DEC(RIGHT(Table1323212753586873[[#This Row],[h2]],8))</f>
        <v>0</v>
      </c>
    </row>
    <row r="1776" spans="1:18">
      <c r="A1776" s="15" t="str">
        <f t="shared" si="32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8" t="s">
        <v>75</v>
      </c>
      <c r="P1776" s="48">
        <f>HEX2DEC(RIGHT(Table1323212753586873[[#This Row],[h1]],8))</f>
        <v>0</v>
      </c>
      <c r="Q1776" s="48" t="s">
        <v>75</v>
      </c>
      <c r="R1776" s="48">
        <f>HEX2DEC(RIGHT(Table1323212753586873[[#This Row],[h2]],8))</f>
        <v>0</v>
      </c>
    </row>
    <row r="1777" spans="1:18">
      <c r="A1777" s="15" t="str">
        <f t="shared" si="32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8" t="s">
        <v>75</v>
      </c>
      <c r="P1777" s="48">
        <f>HEX2DEC(RIGHT(Table1323212753586873[[#This Row],[h1]],8))</f>
        <v>0</v>
      </c>
      <c r="Q1777" s="48" t="s">
        <v>75</v>
      </c>
      <c r="R1777" s="48">
        <f>HEX2DEC(RIGHT(Table1323212753586873[[#This Row],[h2]],8))</f>
        <v>0</v>
      </c>
    </row>
    <row r="1778" spans="1:18">
      <c r="A1778" s="15" t="str">
        <f t="shared" si="32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8" t="s">
        <v>75</v>
      </c>
      <c r="P1778" s="48">
        <f>HEX2DEC(RIGHT(Table1323212753586873[[#This Row],[h1]],8))</f>
        <v>0</v>
      </c>
      <c r="Q1778" s="48" t="s">
        <v>75</v>
      </c>
      <c r="R1778" s="48">
        <f>HEX2DEC(RIGHT(Table1323212753586873[[#This Row],[h2]],8))</f>
        <v>0</v>
      </c>
    </row>
    <row r="1779" spans="1:18">
      <c r="A1779" s="15" t="str">
        <f t="shared" si="32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8" t="s">
        <v>75</v>
      </c>
      <c r="P1779" s="48">
        <f>HEX2DEC(RIGHT(Table1323212753586873[[#This Row],[h1]],8))</f>
        <v>0</v>
      </c>
      <c r="Q1779" s="48" t="s">
        <v>75</v>
      </c>
      <c r="R1779" s="48">
        <f>HEX2DEC(RIGHT(Table1323212753586873[[#This Row],[h2]],8))</f>
        <v>0</v>
      </c>
    </row>
    <row r="1780" spans="1:18">
      <c r="A1780" s="15" t="str">
        <f t="shared" si="32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8" t="s">
        <v>75</v>
      </c>
      <c r="P1780" s="48">
        <f>HEX2DEC(RIGHT(Table1323212753586873[[#This Row],[h1]],8))</f>
        <v>0</v>
      </c>
      <c r="Q1780" s="48" t="s">
        <v>75</v>
      </c>
      <c r="R1780" s="48">
        <f>HEX2DEC(RIGHT(Table1323212753586873[[#This Row],[h2]],8))</f>
        <v>0</v>
      </c>
    </row>
    <row r="1781" spans="1:18">
      <c r="A1781" s="15" t="str">
        <f t="shared" si="32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8" t="s">
        <v>75</v>
      </c>
      <c r="P1781" s="48">
        <f>HEX2DEC(RIGHT(Table1323212753586873[[#This Row],[h1]],8))</f>
        <v>0</v>
      </c>
      <c r="Q1781" s="48" t="s">
        <v>75</v>
      </c>
      <c r="R1781" s="48">
        <f>HEX2DEC(RIGHT(Table1323212753586873[[#This Row],[h2]],8))</f>
        <v>0</v>
      </c>
    </row>
    <row r="1782" spans="1:18">
      <c r="A1782" s="15" t="str">
        <f t="shared" si="32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8" t="s">
        <v>75</v>
      </c>
      <c r="P1782" s="48">
        <f>HEX2DEC(RIGHT(Table1323212753586873[[#This Row],[h1]],8))</f>
        <v>0</v>
      </c>
      <c r="Q1782" s="48" t="s">
        <v>75</v>
      </c>
      <c r="R1782" s="48">
        <f>HEX2DEC(RIGHT(Table1323212753586873[[#This Row],[h2]],8))</f>
        <v>0</v>
      </c>
    </row>
    <row r="1783" spans="1:18">
      <c r="A1783" s="15" t="str">
        <f t="shared" si="32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8" t="s">
        <v>75</v>
      </c>
      <c r="P1783" s="48">
        <f>HEX2DEC(RIGHT(Table1323212753586873[[#This Row],[h1]],8))</f>
        <v>0</v>
      </c>
      <c r="Q1783" s="48" t="s">
        <v>75</v>
      </c>
      <c r="R1783" s="48">
        <f>HEX2DEC(RIGHT(Table1323212753586873[[#This Row],[h2]],8))</f>
        <v>0</v>
      </c>
    </row>
    <row r="1784" spans="1:18">
      <c r="A1784" s="15" t="str">
        <f t="shared" si="32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8" t="s">
        <v>75</v>
      </c>
      <c r="P1784" s="48">
        <f>HEX2DEC(RIGHT(Table1323212753586873[[#This Row],[h1]],8))</f>
        <v>0</v>
      </c>
      <c r="Q1784" s="48" t="s">
        <v>75</v>
      </c>
      <c r="R1784" s="48">
        <f>HEX2DEC(RIGHT(Table1323212753586873[[#This Row],[h2]],8))</f>
        <v>0</v>
      </c>
    </row>
    <row r="1785" spans="1:18">
      <c r="A1785" s="15" t="str">
        <f t="shared" si="32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8" t="s">
        <v>75</v>
      </c>
      <c r="P1785" s="48">
        <f>HEX2DEC(RIGHT(Table1323212753586873[[#This Row],[h1]],8))</f>
        <v>0</v>
      </c>
      <c r="Q1785" s="48" t="s">
        <v>75</v>
      </c>
      <c r="R1785" s="48">
        <f>HEX2DEC(RIGHT(Table1323212753586873[[#This Row],[h2]],8))</f>
        <v>0</v>
      </c>
    </row>
    <row r="1786" spans="1:18">
      <c r="A1786" s="15" t="str">
        <f t="shared" si="32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8" t="s">
        <v>75</v>
      </c>
      <c r="P1786" s="48">
        <f>HEX2DEC(RIGHT(Table1323212753586873[[#This Row],[h1]],8))</f>
        <v>0</v>
      </c>
      <c r="Q1786" s="48" t="s">
        <v>75</v>
      </c>
      <c r="R1786" s="48">
        <f>HEX2DEC(RIGHT(Table1323212753586873[[#This Row],[h2]],8))</f>
        <v>0</v>
      </c>
    </row>
    <row r="1787" spans="1:18">
      <c r="A1787" s="15" t="str">
        <f t="shared" si="32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8" t="s">
        <v>75</v>
      </c>
      <c r="P1787" s="48">
        <f>HEX2DEC(RIGHT(Table1323212753586873[[#This Row],[h1]],8))</f>
        <v>0</v>
      </c>
      <c r="Q1787" s="48" t="s">
        <v>75</v>
      </c>
      <c r="R1787" s="48">
        <f>HEX2DEC(RIGHT(Table1323212753586873[[#This Row],[h2]],8))</f>
        <v>0</v>
      </c>
    </row>
    <row r="1788" spans="1:18">
      <c r="A1788" s="15" t="str">
        <f t="shared" si="32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8" t="s">
        <v>75</v>
      </c>
      <c r="P1788" s="48">
        <f>HEX2DEC(RIGHT(Table1323212753586873[[#This Row],[h1]],8))</f>
        <v>0</v>
      </c>
      <c r="Q1788" s="48" t="s">
        <v>75</v>
      </c>
      <c r="R1788" s="48">
        <f>HEX2DEC(RIGHT(Table1323212753586873[[#This Row],[h2]],8))</f>
        <v>0</v>
      </c>
    </row>
    <row r="1789" spans="1:18">
      <c r="A1789" s="15" t="str">
        <f t="shared" si="32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8" t="s">
        <v>75</v>
      </c>
      <c r="P1789" s="48">
        <f>HEX2DEC(RIGHT(Table1323212753586873[[#This Row],[h1]],8))</f>
        <v>0</v>
      </c>
      <c r="Q1789" s="48" t="s">
        <v>75</v>
      </c>
      <c r="R1789" s="48">
        <f>HEX2DEC(RIGHT(Table1323212753586873[[#This Row],[h2]],8))</f>
        <v>0</v>
      </c>
    </row>
    <row r="1790" spans="1:18">
      <c r="A1790" s="15" t="str">
        <f t="shared" si="32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8" t="s">
        <v>75</v>
      </c>
      <c r="P1790" s="48">
        <f>HEX2DEC(RIGHT(Table1323212753586873[[#This Row],[h1]],8))</f>
        <v>0</v>
      </c>
      <c r="Q1790" s="48" t="s">
        <v>75</v>
      </c>
      <c r="R1790" s="48">
        <f>HEX2DEC(RIGHT(Table1323212753586873[[#This Row],[h2]],8))</f>
        <v>0</v>
      </c>
    </row>
    <row r="1791" spans="1:18">
      <c r="A1791" s="15" t="str">
        <f t="shared" si="32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8" t="s">
        <v>75</v>
      </c>
      <c r="P1791" s="48">
        <f>HEX2DEC(RIGHT(Table1323212753586873[[#This Row],[h1]],8))</f>
        <v>0</v>
      </c>
      <c r="Q1791" s="48" t="s">
        <v>75</v>
      </c>
      <c r="R1791" s="48">
        <f>HEX2DEC(RIGHT(Table1323212753586873[[#This Row],[h2]],8))</f>
        <v>0</v>
      </c>
    </row>
    <row r="1792" spans="1:18">
      <c r="A1792" s="15" t="str">
        <f t="shared" si="32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8" t="s">
        <v>75</v>
      </c>
      <c r="P1792" s="48">
        <f>HEX2DEC(RIGHT(Table1323212753586873[[#This Row],[h1]],8))</f>
        <v>0</v>
      </c>
      <c r="Q1792" s="48" t="s">
        <v>75</v>
      </c>
      <c r="R1792" s="48">
        <f>HEX2DEC(RIGHT(Table1323212753586873[[#This Row],[h2]],8))</f>
        <v>0</v>
      </c>
    </row>
    <row r="1793" spans="1:18">
      <c r="A1793" s="15" t="str">
        <f t="shared" si="32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8" t="s">
        <v>75</v>
      </c>
      <c r="P1793" s="48">
        <f>HEX2DEC(RIGHT(Table1323212753586873[[#This Row],[h1]],8))</f>
        <v>0</v>
      </c>
      <c r="Q1793" s="48" t="s">
        <v>75</v>
      </c>
      <c r="R1793" s="48">
        <f>HEX2DEC(RIGHT(Table1323212753586873[[#This Row],[h2]],8))</f>
        <v>0</v>
      </c>
    </row>
    <row r="1794" spans="1:18">
      <c r="A1794" s="15" t="str">
        <f t="shared" si="32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8" t="s">
        <v>75</v>
      </c>
      <c r="P1794" s="48">
        <f>HEX2DEC(RIGHT(Table1323212753586873[[#This Row],[h1]],8))</f>
        <v>0</v>
      </c>
      <c r="Q1794" s="48" t="s">
        <v>75</v>
      </c>
      <c r="R1794" s="48">
        <f>HEX2DEC(RIGHT(Table1323212753586873[[#This Row],[h2]],8))</f>
        <v>0</v>
      </c>
    </row>
    <row r="1795" spans="1:18">
      <c r="A1795" s="15" t="str">
        <f t="shared" si="32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8" t="s">
        <v>75</v>
      </c>
      <c r="P1795" s="48">
        <f>HEX2DEC(RIGHT(Table1323212753586873[[#This Row],[h1]],8))</f>
        <v>0</v>
      </c>
      <c r="Q1795" s="48" t="s">
        <v>75</v>
      </c>
      <c r="R1795" s="48">
        <f>HEX2DEC(RIGHT(Table1323212753586873[[#This Row],[h2]],8))</f>
        <v>0</v>
      </c>
    </row>
    <row r="1796" spans="1:18">
      <c r="A1796" s="15" t="str">
        <f t="shared" si="32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8" t="s">
        <v>75</v>
      </c>
      <c r="P1796" s="48">
        <f>HEX2DEC(RIGHT(Table1323212753586873[[#This Row],[h1]],8))</f>
        <v>0</v>
      </c>
      <c r="Q1796" s="48" t="s">
        <v>75</v>
      </c>
      <c r="R1796" s="48">
        <f>HEX2DEC(RIGHT(Table1323212753586873[[#This Row],[h2]],8))</f>
        <v>0</v>
      </c>
    </row>
    <row r="1797" spans="1:18">
      <c r="A1797" s="15" t="str">
        <f t="shared" si="32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8" t="s">
        <v>75</v>
      </c>
      <c r="P1797" s="48">
        <f>HEX2DEC(RIGHT(Table1323212753586873[[#This Row],[h1]],8))</f>
        <v>0</v>
      </c>
      <c r="Q1797" s="48" t="s">
        <v>75</v>
      </c>
      <c r="R1797" s="48">
        <f>HEX2DEC(RIGHT(Table1323212753586873[[#This Row],[h2]],8))</f>
        <v>0</v>
      </c>
    </row>
    <row r="1798" spans="1:18">
      <c r="A1798" s="15" t="str">
        <f t="shared" si="32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8" t="s">
        <v>75</v>
      </c>
      <c r="P1798" s="48">
        <f>HEX2DEC(RIGHT(Table1323212753586873[[#This Row],[h1]],8))</f>
        <v>0</v>
      </c>
      <c r="Q1798" s="48" t="s">
        <v>75</v>
      </c>
      <c r="R1798" s="48">
        <f>HEX2DEC(RIGHT(Table1323212753586873[[#This Row],[h2]],8))</f>
        <v>0</v>
      </c>
    </row>
    <row r="1799" spans="1:18">
      <c r="A1799" s="15" t="str">
        <f t="shared" si="32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8" t="s">
        <v>75</v>
      </c>
      <c r="P1799" s="48">
        <f>HEX2DEC(RIGHT(Table1323212753586873[[#This Row],[h1]],8))</f>
        <v>0</v>
      </c>
      <c r="Q1799" s="48" t="s">
        <v>75</v>
      </c>
      <c r="R1799" s="48">
        <f>HEX2DEC(RIGHT(Table1323212753586873[[#This Row],[h2]],8))</f>
        <v>0</v>
      </c>
    </row>
    <row r="1800" spans="1:18">
      <c r="A1800" s="15" t="str">
        <f t="shared" si="32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8" t="s">
        <v>75</v>
      </c>
      <c r="P1800" s="48">
        <f>HEX2DEC(RIGHT(Table1323212753586873[[#This Row],[h1]],8))</f>
        <v>0</v>
      </c>
      <c r="Q1800" s="48" t="s">
        <v>75</v>
      </c>
      <c r="R1800" s="48">
        <f>HEX2DEC(RIGHT(Table1323212753586873[[#This Row],[h2]],8))</f>
        <v>0</v>
      </c>
    </row>
    <row r="1801" spans="1:18">
      <c r="A1801" s="15" t="str">
        <f t="shared" si="32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8" t="s">
        <v>75</v>
      </c>
      <c r="P1801" s="48">
        <f>HEX2DEC(RIGHT(Table1323212753586873[[#This Row],[h1]],8))</f>
        <v>0</v>
      </c>
      <c r="Q1801" s="48" t="s">
        <v>75</v>
      </c>
      <c r="R1801" s="48">
        <f>HEX2DEC(RIGHT(Table1323212753586873[[#This Row],[h2]],8))</f>
        <v>0</v>
      </c>
    </row>
    <row r="1802" spans="1:18">
      <c r="A1802" s="15" t="str">
        <f t="shared" si="32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8" t="s">
        <v>75</v>
      </c>
      <c r="P1802" s="48">
        <f>HEX2DEC(RIGHT(Table1323212753586873[[#This Row],[h1]],8))</f>
        <v>0</v>
      </c>
      <c r="Q1802" s="48" t="s">
        <v>75</v>
      </c>
      <c r="R1802" s="48">
        <f>HEX2DEC(RIGHT(Table1323212753586873[[#This Row],[h2]],8))</f>
        <v>0</v>
      </c>
    </row>
    <row r="1803" spans="1:18">
      <c r="A1803" s="15" t="str">
        <f t="shared" ref="A1803:A1866" si="33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8" t="s">
        <v>75</v>
      </c>
      <c r="P1803" s="48">
        <f>HEX2DEC(RIGHT(Table1323212753586873[[#This Row],[h1]],8))</f>
        <v>0</v>
      </c>
      <c r="Q1803" s="48" t="s">
        <v>75</v>
      </c>
      <c r="R1803" s="48">
        <f>HEX2DEC(RIGHT(Table1323212753586873[[#This Row],[h2]],8))</f>
        <v>0</v>
      </c>
    </row>
    <row r="1804" spans="1:18">
      <c r="A1804" s="15" t="str">
        <f t="shared" si="33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8" t="s">
        <v>75</v>
      </c>
      <c r="P1804" s="48">
        <f>HEX2DEC(RIGHT(Table1323212753586873[[#This Row],[h1]],8))</f>
        <v>0</v>
      </c>
      <c r="Q1804" s="48" t="s">
        <v>75</v>
      </c>
      <c r="R1804" s="48">
        <f>HEX2DEC(RIGHT(Table1323212753586873[[#This Row],[h2]],8))</f>
        <v>0</v>
      </c>
    </row>
    <row r="1805" spans="1:18">
      <c r="A1805" s="15" t="str">
        <f t="shared" si="33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8" t="s">
        <v>75</v>
      </c>
      <c r="P1805" s="48">
        <f>HEX2DEC(RIGHT(Table1323212753586873[[#This Row],[h1]],8))</f>
        <v>0</v>
      </c>
      <c r="Q1805" s="48" t="s">
        <v>75</v>
      </c>
      <c r="R1805" s="48">
        <f>HEX2DEC(RIGHT(Table1323212753586873[[#This Row],[h2]],8))</f>
        <v>0</v>
      </c>
    </row>
    <row r="1806" spans="1:18">
      <c r="A1806" s="15" t="str">
        <f t="shared" si="33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8" t="s">
        <v>75</v>
      </c>
      <c r="P1806" s="48">
        <f>HEX2DEC(RIGHT(Table1323212753586873[[#This Row],[h1]],8))</f>
        <v>0</v>
      </c>
      <c r="Q1806" s="48" t="s">
        <v>75</v>
      </c>
      <c r="R1806" s="48">
        <f>HEX2DEC(RIGHT(Table1323212753586873[[#This Row],[h2]],8))</f>
        <v>0</v>
      </c>
    </row>
    <row r="1807" spans="1:18">
      <c r="A1807" s="15" t="str">
        <f t="shared" si="33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8" t="s">
        <v>75</v>
      </c>
      <c r="P1807" s="48">
        <f>HEX2DEC(RIGHT(Table1323212753586873[[#This Row],[h1]],8))</f>
        <v>0</v>
      </c>
      <c r="Q1807" s="48" t="s">
        <v>75</v>
      </c>
      <c r="R1807" s="48">
        <f>HEX2DEC(RIGHT(Table1323212753586873[[#This Row],[h2]],8))</f>
        <v>0</v>
      </c>
    </row>
    <row r="1808" spans="1:18">
      <c r="A1808" s="15" t="str">
        <f t="shared" si="33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8" t="s">
        <v>75</v>
      </c>
      <c r="P1808" s="48">
        <f>HEX2DEC(RIGHT(Table1323212753586873[[#This Row],[h1]],8))</f>
        <v>0</v>
      </c>
      <c r="Q1808" s="48" t="s">
        <v>75</v>
      </c>
      <c r="R1808" s="48">
        <f>HEX2DEC(RIGHT(Table1323212753586873[[#This Row],[h2]],8))</f>
        <v>0</v>
      </c>
    </row>
    <row r="1809" spans="1:18">
      <c r="A1809" s="15" t="str">
        <f t="shared" si="33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8" t="s">
        <v>75</v>
      </c>
      <c r="P1809" s="48">
        <f>HEX2DEC(RIGHT(Table1323212753586873[[#This Row],[h1]],8))</f>
        <v>0</v>
      </c>
      <c r="Q1809" s="48" t="s">
        <v>75</v>
      </c>
      <c r="R1809" s="48">
        <f>HEX2DEC(RIGHT(Table1323212753586873[[#This Row],[h2]],8))</f>
        <v>0</v>
      </c>
    </row>
    <row r="1810" spans="1:18">
      <c r="A1810" s="15" t="str">
        <f t="shared" si="33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8" t="s">
        <v>75</v>
      </c>
      <c r="P1810" s="48">
        <f>HEX2DEC(RIGHT(Table1323212753586873[[#This Row],[h1]],8))</f>
        <v>0</v>
      </c>
      <c r="Q1810" s="48" t="s">
        <v>75</v>
      </c>
      <c r="R1810" s="48">
        <f>HEX2DEC(RIGHT(Table1323212753586873[[#This Row],[h2]],8))</f>
        <v>0</v>
      </c>
    </row>
    <row r="1811" spans="1:18">
      <c r="A1811" s="15" t="str">
        <f t="shared" si="33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8" t="s">
        <v>75</v>
      </c>
      <c r="P1811" s="48">
        <f>HEX2DEC(RIGHT(Table1323212753586873[[#This Row],[h1]],8))</f>
        <v>0</v>
      </c>
      <c r="Q1811" s="48" t="s">
        <v>75</v>
      </c>
      <c r="R1811" s="48">
        <f>HEX2DEC(RIGHT(Table1323212753586873[[#This Row],[h2]],8))</f>
        <v>0</v>
      </c>
    </row>
    <row r="1812" spans="1:18">
      <c r="A1812" s="15" t="str">
        <f t="shared" si="33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8" t="s">
        <v>75</v>
      </c>
      <c r="P1812" s="48">
        <f>HEX2DEC(RIGHT(Table1323212753586873[[#This Row],[h1]],8))</f>
        <v>0</v>
      </c>
      <c r="Q1812" s="48" t="s">
        <v>75</v>
      </c>
      <c r="R1812" s="48">
        <f>HEX2DEC(RIGHT(Table1323212753586873[[#This Row],[h2]],8))</f>
        <v>0</v>
      </c>
    </row>
    <row r="1813" spans="1:18">
      <c r="A1813" s="15" t="str">
        <f t="shared" si="33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8" t="s">
        <v>75</v>
      </c>
      <c r="P1813" s="48">
        <f>HEX2DEC(RIGHT(Table1323212753586873[[#This Row],[h1]],8))</f>
        <v>0</v>
      </c>
      <c r="Q1813" s="48" t="s">
        <v>75</v>
      </c>
      <c r="R1813" s="48">
        <f>HEX2DEC(RIGHT(Table1323212753586873[[#This Row],[h2]],8))</f>
        <v>0</v>
      </c>
    </row>
    <row r="1814" spans="1:18">
      <c r="A1814" s="15" t="str">
        <f t="shared" si="33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8" t="s">
        <v>75</v>
      </c>
      <c r="P1814" s="48">
        <f>HEX2DEC(RIGHT(Table1323212753586873[[#This Row],[h1]],8))</f>
        <v>0</v>
      </c>
      <c r="Q1814" s="48" t="s">
        <v>75</v>
      </c>
      <c r="R1814" s="48">
        <f>HEX2DEC(RIGHT(Table1323212753586873[[#This Row],[h2]],8))</f>
        <v>0</v>
      </c>
    </row>
    <row r="1815" spans="1:18">
      <c r="A1815" s="15" t="str">
        <f t="shared" si="33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8" t="s">
        <v>75</v>
      </c>
      <c r="P1815" s="48">
        <f>HEX2DEC(RIGHT(Table1323212753586873[[#This Row],[h1]],8))</f>
        <v>0</v>
      </c>
      <c r="Q1815" s="48" t="s">
        <v>75</v>
      </c>
      <c r="R1815" s="48">
        <f>HEX2DEC(RIGHT(Table1323212753586873[[#This Row],[h2]],8))</f>
        <v>0</v>
      </c>
    </row>
    <row r="1816" spans="1:18">
      <c r="A1816" s="15" t="str">
        <f t="shared" si="33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8" t="s">
        <v>75</v>
      </c>
      <c r="P1816" s="48">
        <f>HEX2DEC(RIGHT(Table1323212753586873[[#This Row],[h1]],8))</f>
        <v>0</v>
      </c>
      <c r="Q1816" s="48" t="s">
        <v>75</v>
      </c>
      <c r="R1816" s="48">
        <f>HEX2DEC(RIGHT(Table1323212753586873[[#This Row],[h2]],8))</f>
        <v>0</v>
      </c>
    </row>
    <row r="1817" spans="1:18">
      <c r="A1817" s="15" t="str">
        <f t="shared" si="33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8" t="s">
        <v>75</v>
      </c>
      <c r="P1817" s="48">
        <f>HEX2DEC(RIGHT(Table1323212753586873[[#This Row],[h1]],8))</f>
        <v>0</v>
      </c>
      <c r="Q1817" s="48" t="s">
        <v>75</v>
      </c>
      <c r="R1817" s="48">
        <f>HEX2DEC(RIGHT(Table1323212753586873[[#This Row],[h2]],8))</f>
        <v>0</v>
      </c>
    </row>
    <row r="1818" spans="1:18">
      <c r="A1818" s="15" t="str">
        <f t="shared" si="33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8" t="s">
        <v>75</v>
      </c>
      <c r="P1818" s="48">
        <f>HEX2DEC(RIGHT(Table1323212753586873[[#This Row],[h1]],8))</f>
        <v>0</v>
      </c>
      <c r="Q1818" s="48" t="s">
        <v>75</v>
      </c>
      <c r="R1818" s="48">
        <f>HEX2DEC(RIGHT(Table1323212753586873[[#This Row],[h2]],8))</f>
        <v>0</v>
      </c>
    </row>
    <row r="1819" spans="1:18">
      <c r="A1819" s="15" t="str">
        <f t="shared" si="33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8" t="s">
        <v>75</v>
      </c>
      <c r="P1819" s="48">
        <f>HEX2DEC(RIGHT(Table1323212753586873[[#This Row],[h1]],8))</f>
        <v>0</v>
      </c>
      <c r="Q1819" s="48" t="s">
        <v>75</v>
      </c>
      <c r="R1819" s="48">
        <f>HEX2DEC(RIGHT(Table1323212753586873[[#This Row],[h2]],8))</f>
        <v>0</v>
      </c>
    </row>
    <row r="1820" spans="1:18">
      <c r="A1820" s="15" t="str">
        <f t="shared" si="33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8" t="s">
        <v>75</v>
      </c>
      <c r="P1820" s="48">
        <f>HEX2DEC(RIGHT(Table1323212753586873[[#This Row],[h1]],8))</f>
        <v>0</v>
      </c>
      <c r="Q1820" s="48" t="s">
        <v>75</v>
      </c>
      <c r="R1820" s="48">
        <f>HEX2DEC(RIGHT(Table1323212753586873[[#This Row],[h2]],8))</f>
        <v>0</v>
      </c>
    </row>
    <row r="1821" spans="1:18">
      <c r="A1821" s="15" t="str">
        <f t="shared" si="33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8" t="s">
        <v>75</v>
      </c>
      <c r="P1821" s="48">
        <f>HEX2DEC(RIGHT(Table1323212753586873[[#This Row],[h1]],8))</f>
        <v>0</v>
      </c>
      <c r="Q1821" s="48" t="s">
        <v>75</v>
      </c>
      <c r="R1821" s="48">
        <f>HEX2DEC(RIGHT(Table1323212753586873[[#This Row],[h2]],8))</f>
        <v>0</v>
      </c>
    </row>
    <row r="1822" spans="1:18">
      <c r="A1822" s="15" t="str">
        <f t="shared" si="33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8" t="s">
        <v>75</v>
      </c>
      <c r="P1822" s="48">
        <f>HEX2DEC(RIGHT(Table1323212753586873[[#This Row],[h1]],8))</f>
        <v>0</v>
      </c>
      <c r="Q1822" s="48" t="s">
        <v>75</v>
      </c>
      <c r="R1822" s="48">
        <f>HEX2DEC(RIGHT(Table1323212753586873[[#This Row],[h2]],8))</f>
        <v>0</v>
      </c>
    </row>
    <row r="1823" spans="1:18">
      <c r="A1823" s="15" t="str">
        <f t="shared" si="33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8" t="s">
        <v>75</v>
      </c>
      <c r="P1823" s="48">
        <f>HEX2DEC(RIGHT(Table1323212753586873[[#This Row],[h1]],8))</f>
        <v>0</v>
      </c>
      <c r="Q1823" s="48" t="s">
        <v>75</v>
      </c>
      <c r="R1823" s="48">
        <f>HEX2DEC(RIGHT(Table1323212753586873[[#This Row],[h2]],8))</f>
        <v>0</v>
      </c>
    </row>
    <row r="1824" spans="1:18">
      <c r="A1824" s="15" t="str">
        <f t="shared" si="33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8" t="s">
        <v>75</v>
      </c>
      <c r="P1824" s="48">
        <f>HEX2DEC(RIGHT(Table1323212753586873[[#This Row],[h1]],8))</f>
        <v>0</v>
      </c>
      <c r="Q1824" s="48" t="s">
        <v>75</v>
      </c>
      <c r="R1824" s="48">
        <f>HEX2DEC(RIGHT(Table1323212753586873[[#This Row],[h2]],8))</f>
        <v>0</v>
      </c>
    </row>
    <row r="1825" spans="1:18">
      <c r="A1825" s="15" t="str">
        <f t="shared" si="33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8" t="s">
        <v>75</v>
      </c>
      <c r="P1825" s="48">
        <f>HEX2DEC(RIGHT(Table1323212753586873[[#This Row],[h1]],8))</f>
        <v>0</v>
      </c>
      <c r="Q1825" s="48" t="s">
        <v>75</v>
      </c>
      <c r="R1825" s="48">
        <f>HEX2DEC(RIGHT(Table1323212753586873[[#This Row],[h2]],8))</f>
        <v>0</v>
      </c>
    </row>
    <row r="1826" spans="1:18">
      <c r="A1826" s="15" t="str">
        <f t="shared" si="33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8" t="s">
        <v>75</v>
      </c>
      <c r="P1826" s="48">
        <f>HEX2DEC(RIGHT(Table1323212753586873[[#This Row],[h1]],8))</f>
        <v>0</v>
      </c>
      <c r="Q1826" s="48" t="s">
        <v>75</v>
      </c>
      <c r="R1826" s="48">
        <f>HEX2DEC(RIGHT(Table1323212753586873[[#This Row],[h2]],8))</f>
        <v>0</v>
      </c>
    </row>
    <row r="1827" spans="1:18">
      <c r="A1827" s="15" t="str">
        <f t="shared" si="33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8" t="s">
        <v>75</v>
      </c>
      <c r="P1827" s="48">
        <f>HEX2DEC(RIGHT(Table1323212753586873[[#This Row],[h1]],8))</f>
        <v>0</v>
      </c>
      <c r="Q1827" s="48" t="s">
        <v>75</v>
      </c>
      <c r="R1827" s="48">
        <f>HEX2DEC(RIGHT(Table1323212753586873[[#This Row],[h2]],8))</f>
        <v>0</v>
      </c>
    </row>
    <row r="1828" spans="1:18">
      <c r="A1828" s="15" t="str">
        <f t="shared" si="33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8" t="s">
        <v>75</v>
      </c>
      <c r="P1828" s="48">
        <f>HEX2DEC(RIGHT(Table1323212753586873[[#This Row],[h1]],8))</f>
        <v>0</v>
      </c>
      <c r="Q1828" s="48" t="s">
        <v>75</v>
      </c>
      <c r="R1828" s="48">
        <f>HEX2DEC(RIGHT(Table1323212753586873[[#This Row],[h2]],8))</f>
        <v>0</v>
      </c>
    </row>
    <row r="1829" spans="1:18">
      <c r="A1829" s="15" t="str">
        <f t="shared" si="33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8" t="s">
        <v>75</v>
      </c>
      <c r="P1829" s="48">
        <f>HEX2DEC(RIGHT(Table1323212753586873[[#This Row],[h1]],8))</f>
        <v>0</v>
      </c>
      <c r="Q1829" s="48" t="s">
        <v>75</v>
      </c>
      <c r="R1829" s="48">
        <f>HEX2DEC(RIGHT(Table1323212753586873[[#This Row],[h2]],8))</f>
        <v>0</v>
      </c>
    </row>
    <row r="1830" spans="1:18">
      <c r="A1830" s="15" t="str">
        <f t="shared" si="33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8" t="s">
        <v>75</v>
      </c>
      <c r="P1830" s="48">
        <f>HEX2DEC(RIGHT(Table1323212753586873[[#This Row],[h1]],8))</f>
        <v>0</v>
      </c>
      <c r="Q1830" s="48" t="s">
        <v>75</v>
      </c>
      <c r="R1830" s="48">
        <f>HEX2DEC(RIGHT(Table1323212753586873[[#This Row],[h2]],8))</f>
        <v>0</v>
      </c>
    </row>
    <row r="1831" spans="1:18">
      <c r="A1831" s="15" t="str">
        <f t="shared" si="33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8" t="s">
        <v>75</v>
      </c>
      <c r="P1831" s="48">
        <f>HEX2DEC(RIGHT(Table1323212753586873[[#This Row],[h1]],8))</f>
        <v>0</v>
      </c>
      <c r="Q1831" s="48" t="s">
        <v>75</v>
      </c>
      <c r="R1831" s="48">
        <f>HEX2DEC(RIGHT(Table1323212753586873[[#This Row],[h2]],8))</f>
        <v>0</v>
      </c>
    </row>
    <row r="1832" spans="1:18">
      <c r="A1832" s="15" t="str">
        <f t="shared" si="33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8" t="s">
        <v>75</v>
      </c>
      <c r="P1832" s="48">
        <f>HEX2DEC(RIGHT(Table1323212753586873[[#This Row],[h1]],8))</f>
        <v>0</v>
      </c>
      <c r="Q1832" s="48" t="s">
        <v>75</v>
      </c>
      <c r="R1832" s="48">
        <f>HEX2DEC(RIGHT(Table1323212753586873[[#This Row],[h2]],8))</f>
        <v>0</v>
      </c>
    </row>
    <row r="1833" spans="1:18">
      <c r="A1833" s="15" t="str">
        <f t="shared" si="33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8" t="s">
        <v>75</v>
      </c>
      <c r="P1833" s="48">
        <f>HEX2DEC(RIGHT(Table1323212753586873[[#This Row],[h1]],8))</f>
        <v>0</v>
      </c>
      <c r="Q1833" s="48" t="s">
        <v>75</v>
      </c>
      <c r="R1833" s="48">
        <f>HEX2DEC(RIGHT(Table1323212753586873[[#This Row],[h2]],8))</f>
        <v>0</v>
      </c>
    </row>
    <row r="1834" spans="1:18">
      <c r="A1834" s="15" t="str">
        <f t="shared" si="33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8" t="s">
        <v>75</v>
      </c>
      <c r="P1834" s="48">
        <f>HEX2DEC(RIGHT(Table1323212753586873[[#This Row],[h1]],8))</f>
        <v>0</v>
      </c>
      <c r="Q1834" s="48" t="s">
        <v>75</v>
      </c>
      <c r="R1834" s="48">
        <f>HEX2DEC(RIGHT(Table1323212753586873[[#This Row],[h2]],8))</f>
        <v>0</v>
      </c>
    </row>
    <row r="1835" spans="1:18">
      <c r="A1835" s="15" t="str">
        <f t="shared" si="33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8" t="s">
        <v>75</v>
      </c>
      <c r="P1835" s="48">
        <f>HEX2DEC(RIGHT(Table1323212753586873[[#This Row],[h1]],8))</f>
        <v>0</v>
      </c>
      <c r="Q1835" s="48" t="s">
        <v>75</v>
      </c>
      <c r="R1835" s="48">
        <f>HEX2DEC(RIGHT(Table1323212753586873[[#This Row],[h2]],8))</f>
        <v>0</v>
      </c>
    </row>
    <row r="1836" spans="1:18">
      <c r="A1836" s="15" t="str">
        <f t="shared" si="33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8" t="s">
        <v>75</v>
      </c>
      <c r="P1836" s="48">
        <f>HEX2DEC(RIGHT(Table1323212753586873[[#This Row],[h1]],8))</f>
        <v>0</v>
      </c>
      <c r="Q1836" s="48" t="s">
        <v>75</v>
      </c>
      <c r="R1836" s="48">
        <f>HEX2DEC(RIGHT(Table1323212753586873[[#This Row],[h2]],8))</f>
        <v>0</v>
      </c>
    </row>
    <row r="1837" spans="1:18">
      <c r="A1837" s="15" t="str">
        <f t="shared" si="33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8" t="s">
        <v>75</v>
      </c>
      <c r="P1837" s="48">
        <f>HEX2DEC(RIGHT(Table1323212753586873[[#This Row],[h1]],8))</f>
        <v>0</v>
      </c>
      <c r="Q1837" s="48" t="s">
        <v>75</v>
      </c>
      <c r="R1837" s="48">
        <f>HEX2DEC(RIGHT(Table1323212753586873[[#This Row],[h2]],8))</f>
        <v>0</v>
      </c>
    </row>
    <row r="1838" spans="1:18">
      <c r="A1838" s="15" t="str">
        <f t="shared" si="33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8" t="s">
        <v>75</v>
      </c>
      <c r="P1838" s="48">
        <f>HEX2DEC(RIGHT(Table1323212753586873[[#This Row],[h1]],8))</f>
        <v>0</v>
      </c>
      <c r="Q1838" s="48" t="s">
        <v>75</v>
      </c>
      <c r="R1838" s="48">
        <f>HEX2DEC(RIGHT(Table1323212753586873[[#This Row],[h2]],8))</f>
        <v>0</v>
      </c>
    </row>
    <row r="1839" spans="1:18">
      <c r="A1839" s="15" t="str">
        <f t="shared" si="33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8" t="s">
        <v>75</v>
      </c>
      <c r="P1839" s="48">
        <f>HEX2DEC(RIGHT(Table1323212753586873[[#This Row],[h1]],8))</f>
        <v>0</v>
      </c>
      <c r="Q1839" s="48" t="s">
        <v>75</v>
      </c>
      <c r="R1839" s="48">
        <f>HEX2DEC(RIGHT(Table1323212753586873[[#This Row],[h2]],8))</f>
        <v>0</v>
      </c>
    </row>
    <row r="1840" spans="1:18">
      <c r="A1840" s="15" t="str">
        <f t="shared" si="33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8" t="s">
        <v>75</v>
      </c>
      <c r="P1840" s="48">
        <f>HEX2DEC(RIGHT(Table1323212753586873[[#This Row],[h1]],8))</f>
        <v>0</v>
      </c>
      <c r="Q1840" s="48" t="s">
        <v>75</v>
      </c>
      <c r="R1840" s="48">
        <f>HEX2DEC(RIGHT(Table1323212753586873[[#This Row],[h2]],8))</f>
        <v>0</v>
      </c>
    </row>
    <row r="1841" spans="1:18">
      <c r="A1841" s="15" t="str">
        <f t="shared" si="33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8" t="s">
        <v>75</v>
      </c>
      <c r="P1841" s="48">
        <f>HEX2DEC(RIGHT(Table1323212753586873[[#This Row],[h1]],8))</f>
        <v>0</v>
      </c>
      <c r="Q1841" s="48" t="s">
        <v>75</v>
      </c>
      <c r="R1841" s="48">
        <f>HEX2DEC(RIGHT(Table1323212753586873[[#This Row],[h2]],8))</f>
        <v>0</v>
      </c>
    </row>
    <row r="1842" spans="1:18">
      <c r="A1842" s="15" t="str">
        <f t="shared" si="33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8" t="s">
        <v>75</v>
      </c>
      <c r="P1842" s="48">
        <f>HEX2DEC(RIGHT(Table1323212753586873[[#This Row],[h1]],8))</f>
        <v>0</v>
      </c>
      <c r="Q1842" s="48" t="s">
        <v>75</v>
      </c>
      <c r="R1842" s="48">
        <f>HEX2DEC(RIGHT(Table1323212753586873[[#This Row],[h2]],8))</f>
        <v>0</v>
      </c>
    </row>
    <row r="1843" spans="1:18">
      <c r="A1843" s="15" t="str">
        <f t="shared" si="33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8" t="s">
        <v>75</v>
      </c>
      <c r="P1843" s="48">
        <f>HEX2DEC(RIGHT(Table1323212753586873[[#This Row],[h1]],8))</f>
        <v>0</v>
      </c>
      <c r="Q1843" s="48" t="s">
        <v>75</v>
      </c>
      <c r="R1843" s="48">
        <f>HEX2DEC(RIGHT(Table1323212753586873[[#This Row],[h2]],8))</f>
        <v>0</v>
      </c>
    </row>
    <row r="1844" spans="1:18">
      <c r="A1844" s="15" t="str">
        <f t="shared" si="33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8" t="s">
        <v>75</v>
      </c>
      <c r="P1844" s="48">
        <f>HEX2DEC(RIGHT(Table1323212753586873[[#This Row],[h1]],8))</f>
        <v>0</v>
      </c>
      <c r="Q1844" s="48" t="s">
        <v>75</v>
      </c>
      <c r="R1844" s="48">
        <f>HEX2DEC(RIGHT(Table1323212753586873[[#This Row],[h2]],8))</f>
        <v>0</v>
      </c>
    </row>
    <row r="1845" spans="1:18">
      <c r="A1845" s="15" t="str">
        <f t="shared" si="33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8" t="s">
        <v>75</v>
      </c>
      <c r="P1845" s="48">
        <f>HEX2DEC(RIGHT(Table1323212753586873[[#This Row],[h1]],8))</f>
        <v>0</v>
      </c>
      <c r="Q1845" s="48" t="s">
        <v>75</v>
      </c>
      <c r="R1845" s="48">
        <f>HEX2DEC(RIGHT(Table1323212753586873[[#This Row],[h2]],8))</f>
        <v>0</v>
      </c>
    </row>
    <row r="1846" spans="1:18">
      <c r="A1846" s="15" t="str">
        <f t="shared" si="33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8" t="s">
        <v>75</v>
      </c>
      <c r="P1846" s="48">
        <f>HEX2DEC(RIGHT(Table1323212753586873[[#This Row],[h1]],8))</f>
        <v>0</v>
      </c>
      <c r="Q1846" s="48" t="s">
        <v>75</v>
      </c>
      <c r="R1846" s="48">
        <f>HEX2DEC(RIGHT(Table1323212753586873[[#This Row],[h2]],8))</f>
        <v>0</v>
      </c>
    </row>
    <row r="1847" spans="1:18">
      <c r="A1847" s="15" t="str">
        <f t="shared" si="33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8" t="s">
        <v>75</v>
      </c>
      <c r="P1847" s="48">
        <f>HEX2DEC(RIGHT(Table1323212753586873[[#This Row],[h1]],8))</f>
        <v>0</v>
      </c>
      <c r="Q1847" s="48" t="s">
        <v>75</v>
      </c>
      <c r="R1847" s="48">
        <f>HEX2DEC(RIGHT(Table1323212753586873[[#This Row],[h2]],8))</f>
        <v>0</v>
      </c>
    </row>
    <row r="1848" spans="1:18">
      <c r="A1848" s="15" t="str">
        <f t="shared" si="33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8" t="s">
        <v>75</v>
      </c>
      <c r="P1848" s="48">
        <f>HEX2DEC(RIGHT(Table1323212753586873[[#This Row],[h1]],8))</f>
        <v>0</v>
      </c>
      <c r="Q1848" s="48" t="s">
        <v>75</v>
      </c>
      <c r="R1848" s="48">
        <f>HEX2DEC(RIGHT(Table1323212753586873[[#This Row],[h2]],8))</f>
        <v>0</v>
      </c>
    </row>
    <row r="1849" spans="1:18">
      <c r="A1849" s="15" t="str">
        <f t="shared" si="33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8" t="s">
        <v>75</v>
      </c>
      <c r="P1849" s="48">
        <f>HEX2DEC(RIGHT(Table1323212753586873[[#This Row],[h1]],8))</f>
        <v>0</v>
      </c>
      <c r="Q1849" s="48" t="s">
        <v>75</v>
      </c>
      <c r="R1849" s="48">
        <f>HEX2DEC(RIGHT(Table1323212753586873[[#This Row],[h2]],8))</f>
        <v>0</v>
      </c>
    </row>
    <row r="1850" spans="1:18">
      <c r="A1850" s="15" t="str">
        <f t="shared" si="33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8" t="s">
        <v>75</v>
      </c>
      <c r="P1850" s="48">
        <f>HEX2DEC(RIGHT(Table1323212753586873[[#This Row],[h1]],8))</f>
        <v>0</v>
      </c>
      <c r="Q1850" s="48" t="s">
        <v>75</v>
      </c>
      <c r="R1850" s="48">
        <f>HEX2DEC(RIGHT(Table1323212753586873[[#This Row],[h2]],8))</f>
        <v>0</v>
      </c>
    </row>
    <row r="1851" spans="1:18">
      <c r="A1851" s="15" t="str">
        <f t="shared" si="33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8" t="s">
        <v>75</v>
      </c>
      <c r="P1851" s="48">
        <f>HEX2DEC(RIGHT(Table1323212753586873[[#This Row],[h1]],8))</f>
        <v>0</v>
      </c>
      <c r="Q1851" s="48" t="s">
        <v>75</v>
      </c>
      <c r="R1851" s="48">
        <f>HEX2DEC(RIGHT(Table1323212753586873[[#This Row],[h2]],8))</f>
        <v>0</v>
      </c>
    </row>
    <row r="1852" spans="1:18">
      <c r="A1852" s="15" t="str">
        <f t="shared" si="33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8" t="s">
        <v>75</v>
      </c>
      <c r="P1852" s="48">
        <f>HEX2DEC(RIGHT(Table1323212753586873[[#This Row],[h1]],8))</f>
        <v>0</v>
      </c>
      <c r="Q1852" s="48" t="s">
        <v>75</v>
      </c>
      <c r="R1852" s="48">
        <f>HEX2DEC(RIGHT(Table1323212753586873[[#This Row],[h2]],8))</f>
        <v>0</v>
      </c>
    </row>
    <row r="1853" spans="1:18">
      <c r="A1853" s="15" t="str">
        <f t="shared" si="33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8" t="s">
        <v>75</v>
      </c>
      <c r="P1853" s="48">
        <f>HEX2DEC(RIGHT(Table1323212753586873[[#This Row],[h1]],8))</f>
        <v>0</v>
      </c>
      <c r="Q1853" s="48" t="s">
        <v>75</v>
      </c>
      <c r="R1853" s="48">
        <f>HEX2DEC(RIGHT(Table1323212753586873[[#This Row],[h2]],8))</f>
        <v>0</v>
      </c>
    </row>
    <row r="1854" spans="1:18">
      <c r="A1854" s="15" t="str">
        <f t="shared" si="33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8" t="s">
        <v>75</v>
      </c>
      <c r="P1854" s="48">
        <f>HEX2DEC(RIGHT(Table1323212753586873[[#This Row],[h1]],8))</f>
        <v>0</v>
      </c>
      <c r="Q1854" s="48" t="s">
        <v>75</v>
      </c>
      <c r="R1854" s="48">
        <f>HEX2DEC(RIGHT(Table1323212753586873[[#This Row],[h2]],8))</f>
        <v>0</v>
      </c>
    </row>
    <row r="1855" spans="1:18">
      <c r="A1855" s="15" t="str">
        <f t="shared" si="33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8" t="s">
        <v>75</v>
      </c>
      <c r="P1855" s="48">
        <f>HEX2DEC(RIGHT(Table1323212753586873[[#This Row],[h1]],8))</f>
        <v>0</v>
      </c>
      <c r="Q1855" s="48" t="s">
        <v>75</v>
      </c>
      <c r="R1855" s="48">
        <f>HEX2DEC(RIGHT(Table1323212753586873[[#This Row],[h2]],8))</f>
        <v>0</v>
      </c>
    </row>
    <row r="1856" spans="1:18">
      <c r="A1856" s="15" t="str">
        <f t="shared" si="33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8" t="s">
        <v>75</v>
      </c>
      <c r="P1856" s="48">
        <f>HEX2DEC(RIGHT(Table1323212753586873[[#This Row],[h1]],8))</f>
        <v>0</v>
      </c>
      <c r="Q1856" s="48" t="s">
        <v>75</v>
      </c>
      <c r="R1856" s="48">
        <f>HEX2DEC(RIGHT(Table1323212753586873[[#This Row],[h2]],8))</f>
        <v>0</v>
      </c>
    </row>
    <row r="1857" spans="1:18">
      <c r="A1857" s="15" t="str">
        <f t="shared" si="33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8" t="s">
        <v>75</v>
      </c>
      <c r="P1857" s="48">
        <f>HEX2DEC(RIGHT(Table1323212753586873[[#This Row],[h1]],8))</f>
        <v>0</v>
      </c>
      <c r="Q1857" s="48" t="s">
        <v>75</v>
      </c>
      <c r="R1857" s="48">
        <f>HEX2DEC(RIGHT(Table1323212753586873[[#This Row],[h2]],8))</f>
        <v>0</v>
      </c>
    </row>
    <row r="1858" spans="1:18">
      <c r="A1858" s="15" t="str">
        <f t="shared" si="33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8" t="s">
        <v>75</v>
      </c>
      <c r="P1858" s="48">
        <f>HEX2DEC(RIGHT(Table1323212753586873[[#This Row],[h1]],8))</f>
        <v>0</v>
      </c>
      <c r="Q1858" s="48" t="s">
        <v>75</v>
      </c>
      <c r="R1858" s="48">
        <f>HEX2DEC(RIGHT(Table1323212753586873[[#This Row],[h2]],8))</f>
        <v>0</v>
      </c>
    </row>
    <row r="1859" spans="1:18">
      <c r="A1859" s="15" t="str">
        <f t="shared" si="33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8" t="s">
        <v>75</v>
      </c>
      <c r="P1859" s="48">
        <f>HEX2DEC(RIGHT(Table1323212753586873[[#This Row],[h1]],8))</f>
        <v>0</v>
      </c>
      <c r="Q1859" s="48" t="s">
        <v>75</v>
      </c>
      <c r="R1859" s="48">
        <f>HEX2DEC(RIGHT(Table1323212753586873[[#This Row],[h2]],8))</f>
        <v>0</v>
      </c>
    </row>
    <row r="1860" spans="1:18">
      <c r="A1860" s="15" t="str">
        <f t="shared" si="33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8" t="s">
        <v>75</v>
      </c>
      <c r="P1860" s="48">
        <f>HEX2DEC(RIGHT(Table1323212753586873[[#This Row],[h1]],8))</f>
        <v>0</v>
      </c>
      <c r="Q1860" s="48" t="s">
        <v>75</v>
      </c>
      <c r="R1860" s="48">
        <f>HEX2DEC(RIGHT(Table1323212753586873[[#This Row],[h2]],8))</f>
        <v>0</v>
      </c>
    </row>
    <row r="1861" spans="1:18">
      <c r="A1861" s="15" t="str">
        <f t="shared" si="33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8" t="s">
        <v>75</v>
      </c>
      <c r="P1861" s="48">
        <f>HEX2DEC(RIGHT(Table1323212753586873[[#This Row],[h1]],8))</f>
        <v>0</v>
      </c>
      <c r="Q1861" s="48" t="s">
        <v>75</v>
      </c>
      <c r="R1861" s="48">
        <f>HEX2DEC(RIGHT(Table1323212753586873[[#This Row],[h2]],8))</f>
        <v>0</v>
      </c>
    </row>
    <row r="1862" spans="1:18">
      <c r="A1862" s="15" t="str">
        <f t="shared" si="33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8" t="s">
        <v>75</v>
      </c>
      <c r="P1862" s="48">
        <f>HEX2DEC(RIGHT(Table1323212753586873[[#This Row],[h1]],8))</f>
        <v>0</v>
      </c>
      <c r="Q1862" s="48" t="s">
        <v>75</v>
      </c>
      <c r="R1862" s="48">
        <f>HEX2DEC(RIGHT(Table1323212753586873[[#This Row],[h2]],8))</f>
        <v>0</v>
      </c>
    </row>
    <row r="1863" spans="1:18">
      <c r="A1863" s="15" t="str">
        <f t="shared" si="33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8" t="s">
        <v>75</v>
      </c>
      <c r="P1863" s="48">
        <f>HEX2DEC(RIGHT(Table1323212753586873[[#This Row],[h1]],8))</f>
        <v>0</v>
      </c>
      <c r="Q1863" s="48" t="s">
        <v>75</v>
      </c>
      <c r="R1863" s="48">
        <f>HEX2DEC(RIGHT(Table1323212753586873[[#This Row],[h2]],8))</f>
        <v>0</v>
      </c>
    </row>
    <row r="1864" spans="1:18">
      <c r="A1864" s="15" t="str">
        <f t="shared" si="33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8" t="s">
        <v>75</v>
      </c>
      <c r="P1864" s="48">
        <f>HEX2DEC(RIGHT(Table1323212753586873[[#This Row],[h1]],8))</f>
        <v>0</v>
      </c>
      <c r="Q1864" s="48" t="s">
        <v>75</v>
      </c>
      <c r="R1864" s="48">
        <f>HEX2DEC(RIGHT(Table1323212753586873[[#This Row],[h2]],8))</f>
        <v>0</v>
      </c>
    </row>
    <row r="1865" spans="1:18">
      <c r="A1865" s="15" t="str">
        <f t="shared" si="33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8" t="s">
        <v>75</v>
      </c>
      <c r="P1865" s="48">
        <f>HEX2DEC(RIGHT(Table1323212753586873[[#This Row],[h1]],8))</f>
        <v>0</v>
      </c>
      <c r="Q1865" s="48" t="s">
        <v>75</v>
      </c>
      <c r="R1865" s="48">
        <f>HEX2DEC(RIGHT(Table1323212753586873[[#This Row],[h2]],8))</f>
        <v>0</v>
      </c>
    </row>
    <row r="1866" spans="1:18">
      <c r="A1866" s="15" t="str">
        <f t="shared" si="33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8" t="s">
        <v>75</v>
      </c>
      <c r="P1866" s="48">
        <f>HEX2DEC(RIGHT(Table1323212753586873[[#This Row],[h1]],8))</f>
        <v>0</v>
      </c>
      <c r="Q1866" s="48" t="s">
        <v>75</v>
      </c>
      <c r="R1866" s="48">
        <f>HEX2DEC(RIGHT(Table1323212753586873[[#This Row],[h2]],8))</f>
        <v>0</v>
      </c>
    </row>
    <row r="1867" spans="1:18">
      <c r="A1867" s="15" t="str">
        <f t="shared" ref="A1867:A1930" si="34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8" t="s">
        <v>75</v>
      </c>
      <c r="P1867" s="48">
        <f>HEX2DEC(RIGHT(Table1323212753586873[[#This Row],[h1]],8))</f>
        <v>0</v>
      </c>
      <c r="Q1867" s="48" t="s">
        <v>75</v>
      </c>
      <c r="R1867" s="48">
        <f>HEX2DEC(RIGHT(Table1323212753586873[[#This Row],[h2]],8))</f>
        <v>0</v>
      </c>
    </row>
    <row r="1868" spans="1:18">
      <c r="A1868" s="15" t="str">
        <f t="shared" si="34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8" t="s">
        <v>75</v>
      </c>
      <c r="P1868" s="48">
        <f>HEX2DEC(RIGHT(Table1323212753586873[[#This Row],[h1]],8))</f>
        <v>0</v>
      </c>
      <c r="Q1868" s="48" t="s">
        <v>75</v>
      </c>
      <c r="R1868" s="48">
        <f>HEX2DEC(RIGHT(Table1323212753586873[[#This Row],[h2]],8))</f>
        <v>0</v>
      </c>
    </row>
    <row r="1869" spans="1:18">
      <c r="A1869" s="15" t="str">
        <f t="shared" si="34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8" t="s">
        <v>75</v>
      </c>
      <c r="P1869" s="48">
        <f>HEX2DEC(RIGHT(Table1323212753586873[[#This Row],[h1]],8))</f>
        <v>0</v>
      </c>
      <c r="Q1869" s="48" t="s">
        <v>75</v>
      </c>
      <c r="R1869" s="48">
        <f>HEX2DEC(RIGHT(Table1323212753586873[[#This Row],[h2]],8))</f>
        <v>0</v>
      </c>
    </row>
    <row r="1870" spans="1:18">
      <c r="A1870" s="15" t="str">
        <f t="shared" si="34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8" t="s">
        <v>75</v>
      </c>
      <c r="P1870" s="48">
        <f>HEX2DEC(RIGHT(Table1323212753586873[[#This Row],[h1]],8))</f>
        <v>0</v>
      </c>
      <c r="Q1870" s="48" t="s">
        <v>75</v>
      </c>
      <c r="R1870" s="48">
        <f>HEX2DEC(RIGHT(Table1323212753586873[[#This Row],[h2]],8))</f>
        <v>0</v>
      </c>
    </row>
    <row r="1871" spans="1:18">
      <c r="A1871" s="15" t="str">
        <f t="shared" si="34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8" t="s">
        <v>75</v>
      </c>
      <c r="P1871" s="48">
        <f>HEX2DEC(RIGHT(Table1323212753586873[[#This Row],[h1]],8))</f>
        <v>0</v>
      </c>
      <c r="Q1871" s="48" t="s">
        <v>75</v>
      </c>
      <c r="R1871" s="48">
        <f>HEX2DEC(RIGHT(Table1323212753586873[[#This Row],[h2]],8))</f>
        <v>0</v>
      </c>
    </row>
    <row r="1872" spans="1:18">
      <c r="A1872" s="15" t="str">
        <f t="shared" si="34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8" t="s">
        <v>75</v>
      </c>
      <c r="P1872" s="48">
        <f>HEX2DEC(RIGHT(Table1323212753586873[[#This Row],[h1]],8))</f>
        <v>0</v>
      </c>
      <c r="Q1872" s="48" t="s">
        <v>75</v>
      </c>
      <c r="R1872" s="48">
        <f>HEX2DEC(RIGHT(Table1323212753586873[[#This Row],[h2]],8))</f>
        <v>0</v>
      </c>
    </row>
    <row r="1873" spans="1:18">
      <c r="A1873" s="15" t="str">
        <f t="shared" si="34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8" t="s">
        <v>75</v>
      </c>
      <c r="P1873" s="48">
        <f>HEX2DEC(RIGHT(Table1323212753586873[[#This Row],[h1]],8))</f>
        <v>0</v>
      </c>
      <c r="Q1873" s="48" t="s">
        <v>75</v>
      </c>
      <c r="R1873" s="48">
        <f>HEX2DEC(RIGHT(Table1323212753586873[[#This Row],[h2]],8))</f>
        <v>0</v>
      </c>
    </row>
    <row r="1874" spans="1:18">
      <c r="A1874" s="15" t="str">
        <f t="shared" si="34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8" t="s">
        <v>75</v>
      </c>
      <c r="P1874" s="48">
        <f>HEX2DEC(RIGHT(Table1323212753586873[[#This Row],[h1]],8))</f>
        <v>0</v>
      </c>
      <c r="Q1874" s="48" t="s">
        <v>75</v>
      </c>
      <c r="R1874" s="48">
        <f>HEX2DEC(RIGHT(Table1323212753586873[[#This Row],[h2]],8))</f>
        <v>0</v>
      </c>
    </row>
    <row r="1875" spans="1:18">
      <c r="A1875" s="15" t="str">
        <f t="shared" si="34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8" t="s">
        <v>75</v>
      </c>
      <c r="P1875" s="48">
        <f>HEX2DEC(RIGHT(Table1323212753586873[[#This Row],[h1]],8))</f>
        <v>0</v>
      </c>
      <c r="Q1875" s="48" t="s">
        <v>75</v>
      </c>
      <c r="R1875" s="48">
        <f>HEX2DEC(RIGHT(Table1323212753586873[[#This Row],[h2]],8))</f>
        <v>0</v>
      </c>
    </row>
    <row r="1876" spans="1:18">
      <c r="A1876" s="15" t="str">
        <f t="shared" si="34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8" t="s">
        <v>75</v>
      </c>
      <c r="P1876" s="48">
        <f>HEX2DEC(RIGHT(Table1323212753586873[[#This Row],[h1]],8))</f>
        <v>0</v>
      </c>
      <c r="Q1876" s="48" t="s">
        <v>75</v>
      </c>
      <c r="R1876" s="48">
        <f>HEX2DEC(RIGHT(Table1323212753586873[[#This Row],[h2]],8))</f>
        <v>0</v>
      </c>
    </row>
    <row r="1877" spans="1:18">
      <c r="A1877" s="15" t="str">
        <f t="shared" si="34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8" t="s">
        <v>75</v>
      </c>
      <c r="P1877" s="48">
        <f>HEX2DEC(RIGHT(Table1323212753586873[[#This Row],[h1]],8))</f>
        <v>0</v>
      </c>
      <c r="Q1877" s="48" t="s">
        <v>75</v>
      </c>
      <c r="R1877" s="48">
        <f>HEX2DEC(RIGHT(Table1323212753586873[[#This Row],[h2]],8))</f>
        <v>0</v>
      </c>
    </row>
    <row r="1878" spans="1:18">
      <c r="A1878" s="15" t="str">
        <f t="shared" si="34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8" t="s">
        <v>75</v>
      </c>
      <c r="P1878" s="48">
        <f>HEX2DEC(RIGHT(Table1323212753586873[[#This Row],[h1]],8))</f>
        <v>0</v>
      </c>
      <c r="Q1878" s="48" t="s">
        <v>75</v>
      </c>
      <c r="R1878" s="48">
        <f>HEX2DEC(RIGHT(Table1323212753586873[[#This Row],[h2]],8))</f>
        <v>0</v>
      </c>
    </row>
    <row r="1879" spans="1:18">
      <c r="A1879" s="15" t="str">
        <f t="shared" si="34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8" t="s">
        <v>75</v>
      </c>
      <c r="P1879" s="48">
        <f>HEX2DEC(RIGHT(Table1323212753586873[[#This Row],[h1]],8))</f>
        <v>0</v>
      </c>
      <c r="Q1879" s="48" t="s">
        <v>75</v>
      </c>
      <c r="R1879" s="48">
        <f>HEX2DEC(RIGHT(Table1323212753586873[[#This Row],[h2]],8))</f>
        <v>0</v>
      </c>
    </row>
    <row r="1880" spans="1:18">
      <c r="A1880" s="15" t="str">
        <f t="shared" si="34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8" t="s">
        <v>75</v>
      </c>
      <c r="P1880" s="48">
        <f>HEX2DEC(RIGHT(Table1323212753586873[[#This Row],[h1]],8))</f>
        <v>0</v>
      </c>
      <c r="Q1880" s="48" t="s">
        <v>75</v>
      </c>
      <c r="R1880" s="48">
        <f>HEX2DEC(RIGHT(Table1323212753586873[[#This Row],[h2]],8))</f>
        <v>0</v>
      </c>
    </row>
    <row r="1881" spans="1:18">
      <c r="A1881" s="15" t="str">
        <f t="shared" si="34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8" t="s">
        <v>75</v>
      </c>
      <c r="P1881" s="48">
        <f>HEX2DEC(RIGHT(Table1323212753586873[[#This Row],[h1]],8))</f>
        <v>0</v>
      </c>
      <c r="Q1881" s="48" t="s">
        <v>75</v>
      </c>
      <c r="R1881" s="48">
        <f>HEX2DEC(RIGHT(Table1323212753586873[[#This Row],[h2]],8))</f>
        <v>0</v>
      </c>
    </row>
    <row r="1882" spans="1:18">
      <c r="A1882" s="15" t="str">
        <f t="shared" si="34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8" t="s">
        <v>75</v>
      </c>
      <c r="P1882" s="48">
        <f>HEX2DEC(RIGHT(Table1323212753586873[[#This Row],[h1]],8))</f>
        <v>0</v>
      </c>
      <c r="Q1882" s="48" t="s">
        <v>75</v>
      </c>
      <c r="R1882" s="48">
        <f>HEX2DEC(RIGHT(Table1323212753586873[[#This Row],[h2]],8))</f>
        <v>0</v>
      </c>
    </row>
    <row r="1883" spans="1:18">
      <c r="A1883" s="15" t="str">
        <f t="shared" si="34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8" t="s">
        <v>75</v>
      </c>
      <c r="P1883" s="48">
        <f>HEX2DEC(RIGHT(Table1323212753586873[[#This Row],[h1]],8))</f>
        <v>0</v>
      </c>
      <c r="Q1883" s="48" t="s">
        <v>75</v>
      </c>
      <c r="R1883" s="48">
        <f>HEX2DEC(RIGHT(Table1323212753586873[[#This Row],[h2]],8))</f>
        <v>0</v>
      </c>
    </row>
    <row r="1884" spans="1:18">
      <c r="A1884" s="15" t="str">
        <f t="shared" si="34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8" t="s">
        <v>75</v>
      </c>
      <c r="P1884" s="48">
        <f>HEX2DEC(RIGHT(Table1323212753586873[[#This Row],[h1]],8))</f>
        <v>0</v>
      </c>
      <c r="Q1884" s="48" t="s">
        <v>75</v>
      </c>
      <c r="R1884" s="48">
        <f>HEX2DEC(RIGHT(Table1323212753586873[[#This Row],[h2]],8))</f>
        <v>0</v>
      </c>
    </row>
    <row r="1885" spans="1:18">
      <c r="A1885" s="15" t="str">
        <f t="shared" si="34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8" t="s">
        <v>75</v>
      </c>
      <c r="P1885" s="48">
        <f>HEX2DEC(RIGHT(Table1323212753586873[[#This Row],[h1]],8))</f>
        <v>0</v>
      </c>
      <c r="Q1885" s="48" t="s">
        <v>75</v>
      </c>
      <c r="R1885" s="48">
        <f>HEX2DEC(RIGHT(Table1323212753586873[[#This Row],[h2]],8))</f>
        <v>0</v>
      </c>
    </row>
    <row r="1886" spans="1:18">
      <c r="A1886" s="15" t="str">
        <f t="shared" si="34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8" t="s">
        <v>75</v>
      </c>
      <c r="P1886" s="48">
        <f>HEX2DEC(RIGHT(Table1323212753586873[[#This Row],[h1]],8))</f>
        <v>0</v>
      </c>
      <c r="Q1886" s="48" t="s">
        <v>75</v>
      </c>
      <c r="R1886" s="48">
        <f>HEX2DEC(RIGHT(Table1323212753586873[[#This Row],[h2]],8))</f>
        <v>0</v>
      </c>
    </row>
    <row r="1887" spans="1:18">
      <c r="A1887" s="15" t="str">
        <f t="shared" si="34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8" t="s">
        <v>75</v>
      </c>
      <c r="P1887" s="48">
        <f>HEX2DEC(RIGHT(Table1323212753586873[[#This Row],[h1]],8))</f>
        <v>0</v>
      </c>
      <c r="Q1887" s="48" t="s">
        <v>75</v>
      </c>
      <c r="R1887" s="48">
        <f>HEX2DEC(RIGHT(Table1323212753586873[[#This Row],[h2]],8))</f>
        <v>0</v>
      </c>
    </row>
    <row r="1888" spans="1:18">
      <c r="A1888" s="15" t="str">
        <f t="shared" si="34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8" t="s">
        <v>75</v>
      </c>
      <c r="P1888" s="48">
        <f>HEX2DEC(RIGHT(Table1323212753586873[[#This Row],[h1]],8))</f>
        <v>0</v>
      </c>
      <c r="Q1888" s="48" t="s">
        <v>75</v>
      </c>
      <c r="R1888" s="48">
        <f>HEX2DEC(RIGHT(Table1323212753586873[[#This Row],[h2]],8))</f>
        <v>0</v>
      </c>
    </row>
    <row r="1889" spans="1:18">
      <c r="A1889" s="15" t="str">
        <f t="shared" si="34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8" t="s">
        <v>75</v>
      </c>
      <c r="P1889" s="48">
        <f>HEX2DEC(RIGHT(Table1323212753586873[[#This Row],[h1]],8))</f>
        <v>0</v>
      </c>
      <c r="Q1889" s="48" t="s">
        <v>75</v>
      </c>
      <c r="R1889" s="48">
        <f>HEX2DEC(RIGHT(Table1323212753586873[[#This Row],[h2]],8))</f>
        <v>0</v>
      </c>
    </row>
    <row r="1890" spans="1:18">
      <c r="A1890" s="15" t="str">
        <f t="shared" si="34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8" t="s">
        <v>75</v>
      </c>
      <c r="P1890" s="48">
        <f>HEX2DEC(RIGHT(Table1323212753586873[[#This Row],[h1]],8))</f>
        <v>0</v>
      </c>
      <c r="Q1890" s="48" t="s">
        <v>75</v>
      </c>
      <c r="R1890" s="48">
        <f>HEX2DEC(RIGHT(Table1323212753586873[[#This Row],[h2]],8))</f>
        <v>0</v>
      </c>
    </row>
    <row r="1891" spans="1:18">
      <c r="A1891" s="15" t="str">
        <f t="shared" si="34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8" t="s">
        <v>75</v>
      </c>
      <c r="P1891" s="48">
        <f>HEX2DEC(RIGHT(Table1323212753586873[[#This Row],[h1]],8))</f>
        <v>0</v>
      </c>
      <c r="Q1891" s="48" t="s">
        <v>75</v>
      </c>
      <c r="R1891" s="48">
        <f>HEX2DEC(RIGHT(Table1323212753586873[[#This Row],[h2]],8))</f>
        <v>0</v>
      </c>
    </row>
    <row r="1892" spans="1:18">
      <c r="A1892" s="15" t="str">
        <f t="shared" si="34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8" t="s">
        <v>75</v>
      </c>
      <c r="P1892" s="48">
        <f>HEX2DEC(RIGHT(Table1323212753586873[[#This Row],[h1]],8))</f>
        <v>0</v>
      </c>
      <c r="Q1892" s="48" t="s">
        <v>75</v>
      </c>
      <c r="R1892" s="48">
        <f>HEX2DEC(RIGHT(Table1323212753586873[[#This Row],[h2]],8))</f>
        <v>0</v>
      </c>
    </row>
    <row r="1893" spans="1:18">
      <c r="A1893" s="15" t="str">
        <f t="shared" si="34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8" t="s">
        <v>75</v>
      </c>
      <c r="P1893" s="48">
        <f>HEX2DEC(RIGHT(Table1323212753586873[[#This Row],[h1]],8))</f>
        <v>0</v>
      </c>
      <c r="Q1893" s="48" t="s">
        <v>75</v>
      </c>
      <c r="R1893" s="48">
        <f>HEX2DEC(RIGHT(Table1323212753586873[[#This Row],[h2]],8))</f>
        <v>0</v>
      </c>
    </row>
    <row r="1894" spans="1:18">
      <c r="A1894" s="15" t="str">
        <f t="shared" si="34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8" t="s">
        <v>75</v>
      </c>
      <c r="P1894" s="48">
        <f>HEX2DEC(RIGHT(Table1323212753586873[[#This Row],[h1]],8))</f>
        <v>0</v>
      </c>
      <c r="Q1894" s="48" t="s">
        <v>75</v>
      </c>
      <c r="R1894" s="48">
        <f>HEX2DEC(RIGHT(Table1323212753586873[[#This Row],[h2]],8))</f>
        <v>0</v>
      </c>
    </row>
    <row r="1895" spans="1:18">
      <c r="A1895" s="15" t="str">
        <f t="shared" si="34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8" t="s">
        <v>75</v>
      </c>
      <c r="P1895" s="48">
        <f>HEX2DEC(RIGHT(Table1323212753586873[[#This Row],[h1]],8))</f>
        <v>0</v>
      </c>
      <c r="Q1895" s="48" t="s">
        <v>75</v>
      </c>
      <c r="R1895" s="48">
        <f>HEX2DEC(RIGHT(Table1323212753586873[[#This Row],[h2]],8))</f>
        <v>0</v>
      </c>
    </row>
    <row r="1896" spans="1:18">
      <c r="A1896" s="15" t="str">
        <f t="shared" si="34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8" t="s">
        <v>75</v>
      </c>
      <c r="P1896" s="48">
        <f>HEX2DEC(RIGHT(Table1323212753586873[[#This Row],[h1]],8))</f>
        <v>0</v>
      </c>
      <c r="Q1896" s="48" t="s">
        <v>75</v>
      </c>
      <c r="R1896" s="48">
        <f>HEX2DEC(RIGHT(Table1323212753586873[[#This Row],[h2]],8))</f>
        <v>0</v>
      </c>
    </row>
    <row r="1897" spans="1:18">
      <c r="A1897" s="15" t="str">
        <f t="shared" si="34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8" t="s">
        <v>75</v>
      </c>
      <c r="P1897" s="48">
        <f>HEX2DEC(RIGHT(Table1323212753586873[[#This Row],[h1]],8))</f>
        <v>0</v>
      </c>
      <c r="Q1897" s="48" t="s">
        <v>75</v>
      </c>
      <c r="R1897" s="48">
        <f>HEX2DEC(RIGHT(Table1323212753586873[[#This Row],[h2]],8))</f>
        <v>0</v>
      </c>
    </row>
    <row r="1898" spans="1:18">
      <c r="A1898" s="15" t="str">
        <f t="shared" si="34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8" t="s">
        <v>75</v>
      </c>
      <c r="P1898" s="48">
        <f>HEX2DEC(RIGHT(Table1323212753586873[[#This Row],[h1]],8))</f>
        <v>0</v>
      </c>
      <c r="Q1898" s="48" t="s">
        <v>75</v>
      </c>
      <c r="R1898" s="48">
        <f>HEX2DEC(RIGHT(Table1323212753586873[[#This Row],[h2]],8))</f>
        <v>0</v>
      </c>
    </row>
    <row r="1899" spans="1:18">
      <c r="A1899" s="15" t="str">
        <f t="shared" si="34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8" t="s">
        <v>75</v>
      </c>
      <c r="P1899" s="48">
        <f>HEX2DEC(RIGHT(Table1323212753586873[[#This Row],[h1]],8))</f>
        <v>0</v>
      </c>
      <c r="Q1899" s="48" t="s">
        <v>75</v>
      </c>
      <c r="R1899" s="48">
        <f>HEX2DEC(RIGHT(Table1323212753586873[[#This Row],[h2]],8))</f>
        <v>0</v>
      </c>
    </row>
    <row r="1900" spans="1:18">
      <c r="A1900" s="15" t="str">
        <f t="shared" si="34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8" t="s">
        <v>75</v>
      </c>
      <c r="P1900" s="48">
        <f>HEX2DEC(RIGHT(Table1323212753586873[[#This Row],[h1]],8))</f>
        <v>0</v>
      </c>
      <c r="Q1900" s="48" t="s">
        <v>75</v>
      </c>
      <c r="R1900" s="48">
        <f>HEX2DEC(RIGHT(Table1323212753586873[[#This Row],[h2]],8))</f>
        <v>0</v>
      </c>
    </row>
    <row r="1901" spans="1:18">
      <c r="A1901" s="15" t="str">
        <f t="shared" si="34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8" t="s">
        <v>75</v>
      </c>
      <c r="P1901" s="48">
        <f>HEX2DEC(RIGHT(Table1323212753586873[[#This Row],[h1]],8))</f>
        <v>0</v>
      </c>
      <c r="Q1901" s="48" t="s">
        <v>75</v>
      </c>
      <c r="R1901" s="48">
        <f>HEX2DEC(RIGHT(Table1323212753586873[[#This Row],[h2]],8))</f>
        <v>0</v>
      </c>
    </row>
    <row r="1902" spans="1:18">
      <c r="A1902" s="15" t="str">
        <f t="shared" si="34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8" t="s">
        <v>75</v>
      </c>
      <c r="P1902" s="48">
        <f>HEX2DEC(RIGHT(Table1323212753586873[[#This Row],[h1]],8))</f>
        <v>0</v>
      </c>
      <c r="Q1902" s="48" t="s">
        <v>75</v>
      </c>
      <c r="R1902" s="48">
        <f>HEX2DEC(RIGHT(Table1323212753586873[[#This Row],[h2]],8))</f>
        <v>0</v>
      </c>
    </row>
    <row r="1903" spans="1:18">
      <c r="A1903" s="15" t="str">
        <f t="shared" si="34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8" t="s">
        <v>75</v>
      </c>
      <c r="P1903" s="48">
        <f>HEX2DEC(RIGHT(Table1323212753586873[[#This Row],[h1]],8))</f>
        <v>0</v>
      </c>
      <c r="Q1903" s="48" t="s">
        <v>75</v>
      </c>
      <c r="R1903" s="48">
        <f>HEX2DEC(RIGHT(Table1323212753586873[[#This Row],[h2]],8))</f>
        <v>0</v>
      </c>
    </row>
    <row r="1904" spans="1:18">
      <c r="A1904" s="15" t="str">
        <f t="shared" si="34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8" t="s">
        <v>75</v>
      </c>
      <c r="P1904" s="48">
        <f>HEX2DEC(RIGHT(Table1323212753586873[[#This Row],[h1]],8))</f>
        <v>0</v>
      </c>
      <c r="Q1904" s="48" t="s">
        <v>75</v>
      </c>
      <c r="R1904" s="48">
        <f>HEX2DEC(RIGHT(Table1323212753586873[[#This Row],[h2]],8))</f>
        <v>0</v>
      </c>
    </row>
    <row r="1905" spans="1:18">
      <c r="A1905" s="15" t="str">
        <f t="shared" si="34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8" t="s">
        <v>75</v>
      </c>
      <c r="P1905" s="48">
        <f>HEX2DEC(RIGHT(Table1323212753586873[[#This Row],[h1]],8))</f>
        <v>0</v>
      </c>
      <c r="Q1905" s="48" t="s">
        <v>75</v>
      </c>
      <c r="R1905" s="48">
        <f>HEX2DEC(RIGHT(Table1323212753586873[[#This Row],[h2]],8))</f>
        <v>0</v>
      </c>
    </row>
    <row r="1906" spans="1:18">
      <c r="A1906" s="15" t="str">
        <f t="shared" si="34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8" t="s">
        <v>75</v>
      </c>
      <c r="P1906" s="48">
        <f>HEX2DEC(RIGHT(Table1323212753586873[[#This Row],[h1]],8))</f>
        <v>0</v>
      </c>
      <c r="Q1906" s="48" t="s">
        <v>75</v>
      </c>
      <c r="R1906" s="48">
        <f>HEX2DEC(RIGHT(Table1323212753586873[[#This Row],[h2]],8))</f>
        <v>0</v>
      </c>
    </row>
    <row r="1907" spans="1:18">
      <c r="A1907" s="15" t="str">
        <f t="shared" si="34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8" t="s">
        <v>75</v>
      </c>
      <c r="P1907" s="48">
        <f>HEX2DEC(RIGHT(Table1323212753586873[[#This Row],[h1]],8))</f>
        <v>0</v>
      </c>
      <c r="Q1907" s="48" t="s">
        <v>75</v>
      </c>
      <c r="R1907" s="48">
        <f>HEX2DEC(RIGHT(Table1323212753586873[[#This Row],[h2]],8))</f>
        <v>0</v>
      </c>
    </row>
    <row r="1908" spans="1:18">
      <c r="A1908" s="15" t="str">
        <f t="shared" si="34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8" t="s">
        <v>75</v>
      </c>
      <c r="P1908" s="48">
        <f>HEX2DEC(RIGHT(Table1323212753586873[[#This Row],[h1]],8))</f>
        <v>0</v>
      </c>
      <c r="Q1908" s="48" t="s">
        <v>75</v>
      </c>
      <c r="R1908" s="48">
        <f>HEX2DEC(RIGHT(Table1323212753586873[[#This Row],[h2]],8))</f>
        <v>0</v>
      </c>
    </row>
    <row r="1909" spans="1:18">
      <c r="A1909" s="15" t="str">
        <f t="shared" si="34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8" t="s">
        <v>75</v>
      </c>
      <c r="P1909" s="48">
        <f>HEX2DEC(RIGHT(Table1323212753586873[[#This Row],[h1]],8))</f>
        <v>0</v>
      </c>
      <c r="Q1909" s="48" t="s">
        <v>75</v>
      </c>
      <c r="R1909" s="48">
        <f>HEX2DEC(RIGHT(Table1323212753586873[[#This Row],[h2]],8))</f>
        <v>0</v>
      </c>
    </row>
    <row r="1910" spans="1:18">
      <c r="A1910" s="15" t="str">
        <f t="shared" si="34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8" t="s">
        <v>75</v>
      </c>
      <c r="P1910" s="48">
        <f>HEX2DEC(RIGHT(Table1323212753586873[[#This Row],[h1]],8))</f>
        <v>0</v>
      </c>
      <c r="Q1910" s="48" t="s">
        <v>75</v>
      </c>
      <c r="R1910" s="48">
        <f>HEX2DEC(RIGHT(Table1323212753586873[[#This Row],[h2]],8))</f>
        <v>0</v>
      </c>
    </row>
    <row r="1911" spans="1:18">
      <c r="A1911" s="15" t="str">
        <f t="shared" si="34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8" t="s">
        <v>75</v>
      </c>
      <c r="P1911" s="48">
        <f>HEX2DEC(RIGHT(Table1323212753586873[[#This Row],[h1]],8))</f>
        <v>0</v>
      </c>
      <c r="Q1911" s="48" t="s">
        <v>75</v>
      </c>
      <c r="R1911" s="48">
        <f>HEX2DEC(RIGHT(Table1323212753586873[[#This Row],[h2]],8))</f>
        <v>0</v>
      </c>
    </row>
    <row r="1912" spans="1:18">
      <c r="A1912" s="15" t="str">
        <f t="shared" si="34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8" t="s">
        <v>75</v>
      </c>
      <c r="P1912" s="48">
        <f>HEX2DEC(RIGHT(Table1323212753586873[[#This Row],[h1]],8))</f>
        <v>0</v>
      </c>
      <c r="Q1912" s="48" t="s">
        <v>75</v>
      </c>
      <c r="R1912" s="48">
        <f>HEX2DEC(RIGHT(Table1323212753586873[[#This Row],[h2]],8))</f>
        <v>0</v>
      </c>
    </row>
    <row r="1913" spans="1:18">
      <c r="A1913" s="15" t="str">
        <f t="shared" si="34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8" t="s">
        <v>75</v>
      </c>
      <c r="P1913" s="48">
        <f>HEX2DEC(RIGHT(Table1323212753586873[[#This Row],[h1]],8))</f>
        <v>0</v>
      </c>
      <c r="Q1913" s="48" t="s">
        <v>75</v>
      </c>
      <c r="R1913" s="48">
        <f>HEX2DEC(RIGHT(Table1323212753586873[[#This Row],[h2]],8))</f>
        <v>0</v>
      </c>
    </row>
    <row r="1914" spans="1:18">
      <c r="A1914" s="15" t="str">
        <f t="shared" si="34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8" t="s">
        <v>75</v>
      </c>
      <c r="P1914" s="48">
        <f>HEX2DEC(RIGHT(Table1323212753586873[[#This Row],[h1]],8))</f>
        <v>0</v>
      </c>
      <c r="Q1914" s="48" t="s">
        <v>75</v>
      </c>
      <c r="R1914" s="48">
        <f>HEX2DEC(RIGHT(Table1323212753586873[[#This Row],[h2]],8))</f>
        <v>0</v>
      </c>
    </row>
    <row r="1915" spans="1:18">
      <c r="A1915" s="15" t="str">
        <f t="shared" si="34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8" t="s">
        <v>75</v>
      </c>
      <c r="P1915" s="48">
        <f>HEX2DEC(RIGHT(Table1323212753586873[[#This Row],[h1]],8))</f>
        <v>0</v>
      </c>
      <c r="Q1915" s="48" t="s">
        <v>75</v>
      </c>
      <c r="R1915" s="48">
        <f>HEX2DEC(RIGHT(Table1323212753586873[[#This Row],[h2]],8))</f>
        <v>0</v>
      </c>
    </row>
    <row r="1916" spans="1:18">
      <c r="A1916" s="15" t="str">
        <f t="shared" si="34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8" t="s">
        <v>75</v>
      </c>
      <c r="P1916" s="48">
        <f>HEX2DEC(RIGHT(Table1323212753586873[[#This Row],[h1]],8))</f>
        <v>0</v>
      </c>
      <c r="Q1916" s="48" t="s">
        <v>75</v>
      </c>
      <c r="R1916" s="48">
        <f>HEX2DEC(RIGHT(Table1323212753586873[[#This Row],[h2]],8))</f>
        <v>0</v>
      </c>
    </row>
    <row r="1917" spans="1:18">
      <c r="A1917" s="15" t="str">
        <f t="shared" si="34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8" t="s">
        <v>75</v>
      </c>
      <c r="P1917" s="48">
        <f>HEX2DEC(RIGHT(Table1323212753586873[[#This Row],[h1]],8))</f>
        <v>0</v>
      </c>
      <c r="Q1917" s="48" t="s">
        <v>75</v>
      </c>
      <c r="R1917" s="48">
        <f>HEX2DEC(RIGHT(Table1323212753586873[[#This Row],[h2]],8))</f>
        <v>0</v>
      </c>
    </row>
    <row r="1918" spans="1:18">
      <c r="A1918" s="15" t="str">
        <f t="shared" si="34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8" t="s">
        <v>75</v>
      </c>
      <c r="P1918" s="48">
        <f>HEX2DEC(RIGHT(Table1323212753586873[[#This Row],[h1]],8))</f>
        <v>0</v>
      </c>
      <c r="Q1918" s="48" t="s">
        <v>75</v>
      </c>
      <c r="R1918" s="48">
        <f>HEX2DEC(RIGHT(Table1323212753586873[[#This Row],[h2]],8))</f>
        <v>0</v>
      </c>
    </row>
    <row r="1919" spans="1:18">
      <c r="A1919" s="15" t="str">
        <f t="shared" si="34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8" t="s">
        <v>75</v>
      </c>
      <c r="P1919" s="48">
        <f>HEX2DEC(RIGHT(Table1323212753586873[[#This Row],[h1]],8))</f>
        <v>0</v>
      </c>
      <c r="Q1919" s="48" t="s">
        <v>75</v>
      </c>
      <c r="R1919" s="48">
        <f>HEX2DEC(RIGHT(Table1323212753586873[[#This Row],[h2]],8))</f>
        <v>0</v>
      </c>
    </row>
    <row r="1920" spans="1:18">
      <c r="A1920" s="15" t="str">
        <f t="shared" si="34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8" t="s">
        <v>75</v>
      </c>
      <c r="P1920" s="48">
        <f>HEX2DEC(RIGHT(Table1323212753586873[[#This Row],[h1]],8))</f>
        <v>0</v>
      </c>
      <c r="Q1920" s="48" t="s">
        <v>75</v>
      </c>
      <c r="R1920" s="48">
        <f>HEX2DEC(RIGHT(Table1323212753586873[[#This Row],[h2]],8))</f>
        <v>0</v>
      </c>
    </row>
    <row r="1921" spans="1:18">
      <c r="A1921" s="15" t="str">
        <f t="shared" si="34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8" t="s">
        <v>75</v>
      </c>
      <c r="P1921" s="48">
        <f>HEX2DEC(RIGHT(Table1323212753586873[[#This Row],[h1]],8))</f>
        <v>0</v>
      </c>
      <c r="Q1921" s="48" t="s">
        <v>75</v>
      </c>
      <c r="R1921" s="48">
        <f>HEX2DEC(RIGHT(Table1323212753586873[[#This Row],[h2]],8))</f>
        <v>0</v>
      </c>
    </row>
    <row r="1922" spans="1:18">
      <c r="A1922" s="15" t="str">
        <f t="shared" si="34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8" t="s">
        <v>75</v>
      </c>
      <c r="P1922" s="48">
        <f>HEX2DEC(RIGHT(Table1323212753586873[[#This Row],[h1]],8))</f>
        <v>0</v>
      </c>
      <c r="Q1922" s="48" t="s">
        <v>75</v>
      </c>
      <c r="R1922" s="48">
        <f>HEX2DEC(RIGHT(Table1323212753586873[[#This Row],[h2]],8))</f>
        <v>0</v>
      </c>
    </row>
    <row r="1923" spans="1:18">
      <c r="A1923" s="15" t="str">
        <f t="shared" si="34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8" t="s">
        <v>75</v>
      </c>
      <c r="P1923" s="48">
        <f>HEX2DEC(RIGHT(Table1323212753586873[[#This Row],[h1]],8))</f>
        <v>0</v>
      </c>
      <c r="Q1923" s="48" t="s">
        <v>75</v>
      </c>
      <c r="R1923" s="48">
        <f>HEX2DEC(RIGHT(Table1323212753586873[[#This Row],[h2]],8))</f>
        <v>0</v>
      </c>
    </row>
    <row r="1924" spans="1:18">
      <c r="A1924" s="15" t="str">
        <f t="shared" si="34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8" t="s">
        <v>75</v>
      </c>
      <c r="P1924" s="48">
        <f>HEX2DEC(RIGHT(Table1323212753586873[[#This Row],[h1]],8))</f>
        <v>0</v>
      </c>
      <c r="Q1924" s="48" t="s">
        <v>75</v>
      </c>
      <c r="R1924" s="48">
        <f>HEX2DEC(RIGHT(Table1323212753586873[[#This Row],[h2]],8))</f>
        <v>0</v>
      </c>
    </row>
    <row r="1925" spans="1:18">
      <c r="A1925" s="15" t="str">
        <f t="shared" si="34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8" t="s">
        <v>75</v>
      </c>
      <c r="P1925" s="48">
        <f>HEX2DEC(RIGHT(Table1323212753586873[[#This Row],[h1]],8))</f>
        <v>0</v>
      </c>
      <c r="Q1925" s="48" t="s">
        <v>75</v>
      </c>
      <c r="R1925" s="48">
        <f>HEX2DEC(RIGHT(Table1323212753586873[[#This Row],[h2]],8))</f>
        <v>0</v>
      </c>
    </row>
    <row r="1926" spans="1:18">
      <c r="A1926" s="15" t="str">
        <f t="shared" si="34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8" t="s">
        <v>75</v>
      </c>
      <c r="P1926" s="48">
        <f>HEX2DEC(RIGHT(Table1323212753586873[[#This Row],[h1]],8))</f>
        <v>0</v>
      </c>
      <c r="Q1926" s="48" t="s">
        <v>75</v>
      </c>
      <c r="R1926" s="48">
        <f>HEX2DEC(RIGHT(Table1323212753586873[[#This Row],[h2]],8))</f>
        <v>0</v>
      </c>
    </row>
    <row r="1927" spans="1:18">
      <c r="A1927" s="15" t="str">
        <f t="shared" si="34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8" t="s">
        <v>75</v>
      </c>
      <c r="P1927" s="48">
        <f>HEX2DEC(RIGHT(Table1323212753586873[[#This Row],[h1]],8))</f>
        <v>0</v>
      </c>
      <c r="Q1927" s="48" t="s">
        <v>75</v>
      </c>
      <c r="R1927" s="48">
        <f>HEX2DEC(RIGHT(Table1323212753586873[[#This Row],[h2]],8))</f>
        <v>0</v>
      </c>
    </row>
    <row r="1928" spans="1:18">
      <c r="A1928" s="15" t="str">
        <f t="shared" si="34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8" t="s">
        <v>75</v>
      </c>
      <c r="P1928" s="48">
        <f>HEX2DEC(RIGHT(Table1323212753586873[[#This Row],[h1]],8))</f>
        <v>0</v>
      </c>
      <c r="Q1928" s="48" t="s">
        <v>75</v>
      </c>
      <c r="R1928" s="48">
        <f>HEX2DEC(RIGHT(Table1323212753586873[[#This Row],[h2]],8))</f>
        <v>0</v>
      </c>
    </row>
    <row r="1929" spans="1:18">
      <c r="A1929" s="15" t="str">
        <f t="shared" si="34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8" t="s">
        <v>75</v>
      </c>
      <c r="P1929" s="48">
        <f>HEX2DEC(RIGHT(Table1323212753586873[[#This Row],[h1]],8))</f>
        <v>0</v>
      </c>
      <c r="Q1929" s="48" t="s">
        <v>75</v>
      </c>
      <c r="R1929" s="48">
        <f>HEX2DEC(RIGHT(Table1323212753586873[[#This Row],[h2]],8))</f>
        <v>0</v>
      </c>
    </row>
    <row r="1930" spans="1:18">
      <c r="A1930" s="15" t="str">
        <f t="shared" si="34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8" t="s">
        <v>75</v>
      </c>
      <c r="P1930" s="48">
        <f>HEX2DEC(RIGHT(Table1323212753586873[[#This Row],[h1]],8))</f>
        <v>0</v>
      </c>
      <c r="Q1930" s="48" t="s">
        <v>75</v>
      </c>
      <c r="R1930" s="48">
        <f>HEX2DEC(RIGHT(Table1323212753586873[[#This Row],[h2]],8))</f>
        <v>0</v>
      </c>
    </row>
    <row r="1931" spans="1:18">
      <c r="A1931" s="15" t="str">
        <f t="shared" ref="A1931:A1994" si="35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8" t="s">
        <v>75</v>
      </c>
      <c r="P1931" s="48">
        <f>HEX2DEC(RIGHT(Table1323212753586873[[#This Row],[h1]],8))</f>
        <v>0</v>
      </c>
      <c r="Q1931" s="48" t="s">
        <v>75</v>
      </c>
      <c r="R1931" s="48">
        <f>HEX2DEC(RIGHT(Table1323212753586873[[#This Row],[h2]],8))</f>
        <v>0</v>
      </c>
    </row>
    <row r="1932" spans="1:18">
      <c r="A1932" s="15" t="str">
        <f t="shared" si="35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8" t="s">
        <v>75</v>
      </c>
      <c r="P1932" s="48">
        <f>HEX2DEC(RIGHT(Table1323212753586873[[#This Row],[h1]],8))</f>
        <v>0</v>
      </c>
      <c r="Q1932" s="48" t="s">
        <v>75</v>
      </c>
      <c r="R1932" s="48">
        <f>HEX2DEC(RIGHT(Table1323212753586873[[#This Row],[h2]],8))</f>
        <v>0</v>
      </c>
    </row>
    <row r="1933" spans="1:18">
      <c r="A1933" s="15" t="str">
        <f t="shared" si="35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8" t="s">
        <v>75</v>
      </c>
      <c r="P1933" s="48">
        <f>HEX2DEC(RIGHT(Table1323212753586873[[#This Row],[h1]],8))</f>
        <v>0</v>
      </c>
      <c r="Q1933" s="48" t="s">
        <v>75</v>
      </c>
      <c r="R1933" s="48">
        <f>HEX2DEC(RIGHT(Table1323212753586873[[#This Row],[h2]],8))</f>
        <v>0</v>
      </c>
    </row>
    <row r="1934" spans="1:18">
      <c r="A1934" s="15" t="str">
        <f t="shared" si="35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8" t="s">
        <v>75</v>
      </c>
      <c r="P1934" s="48">
        <f>HEX2DEC(RIGHT(Table1323212753586873[[#This Row],[h1]],8))</f>
        <v>0</v>
      </c>
      <c r="Q1934" s="48" t="s">
        <v>75</v>
      </c>
      <c r="R1934" s="48">
        <f>HEX2DEC(RIGHT(Table1323212753586873[[#This Row],[h2]],8))</f>
        <v>0</v>
      </c>
    </row>
    <row r="1935" spans="1:18">
      <c r="A1935" s="15" t="str">
        <f t="shared" si="35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8" t="s">
        <v>75</v>
      </c>
      <c r="P1935" s="48">
        <f>HEX2DEC(RIGHT(Table1323212753586873[[#This Row],[h1]],8))</f>
        <v>0</v>
      </c>
      <c r="Q1935" s="48" t="s">
        <v>75</v>
      </c>
      <c r="R1935" s="48">
        <f>HEX2DEC(RIGHT(Table1323212753586873[[#This Row],[h2]],8))</f>
        <v>0</v>
      </c>
    </row>
    <row r="1936" spans="1:18">
      <c r="A1936" s="15" t="str">
        <f t="shared" si="35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8" t="s">
        <v>75</v>
      </c>
      <c r="P1936" s="48">
        <f>HEX2DEC(RIGHT(Table1323212753586873[[#This Row],[h1]],8))</f>
        <v>0</v>
      </c>
      <c r="Q1936" s="48" t="s">
        <v>75</v>
      </c>
      <c r="R1936" s="48">
        <f>HEX2DEC(RIGHT(Table1323212753586873[[#This Row],[h2]],8))</f>
        <v>0</v>
      </c>
    </row>
    <row r="1937" spans="1:18">
      <c r="A1937" s="15" t="str">
        <f t="shared" si="35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8" t="s">
        <v>75</v>
      </c>
      <c r="P1937" s="48">
        <f>HEX2DEC(RIGHT(Table1323212753586873[[#This Row],[h1]],8))</f>
        <v>0</v>
      </c>
      <c r="Q1937" s="48" t="s">
        <v>75</v>
      </c>
      <c r="R1937" s="48">
        <f>HEX2DEC(RIGHT(Table1323212753586873[[#This Row],[h2]],8))</f>
        <v>0</v>
      </c>
    </row>
    <row r="1938" spans="1:18">
      <c r="A1938" s="15" t="str">
        <f t="shared" si="35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8" t="s">
        <v>75</v>
      </c>
      <c r="P1938" s="48">
        <f>HEX2DEC(RIGHT(Table1323212753586873[[#This Row],[h1]],8))</f>
        <v>0</v>
      </c>
      <c r="Q1938" s="48" t="s">
        <v>75</v>
      </c>
      <c r="R1938" s="48">
        <f>HEX2DEC(RIGHT(Table1323212753586873[[#This Row],[h2]],8))</f>
        <v>0</v>
      </c>
    </row>
    <row r="1939" spans="1:18">
      <c r="A1939" s="15" t="str">
        <f t="shared" si="35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8" t="s">
        <v>75</v>
      </c>
      <c r="P1939" s="48">
        <f>HEX2DEC(RIGHT(Table1323212753586873[[#This Row],[h1]],8))</f>
        <v>0</v>
      </c>
      <c r="Q1939" s="48" t="s">
        <v>75</v>
      </c>
      <c r="R1939" s="48">
        <f>HEX2DEC(RIGHT(Table1323212753586873[[#This Row],[h2]],8))</f>
        <v>0</v>
      </c>
    </row>
    <row r="1940" spans="1:18">
      <c r="A1940" s="15" t="str">
        <f t="shared" si="35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8" t="s">
        <v>75</v>
      </c>
      <c r="P1940" s="48">
        <f>HEX2DEC(RIGHT(Table1323212753586873[[#This Row],[h1]],8))</f>
        <v>0</v>
      </c>
      <c r="Q1940" s="48" t="s">
        <v>75</v>
      </c>
      <c r="R1940" s="48">
        <f>HEX2DEC(RIGHT(Table1323212753586873[[#This Row],[h2]],8))</f>
        <v>0</v>
      </c>
    </row>
    <row r="1941" spans="1:18">
      <c r="A1941" s="15" t="str">
        <f t="shared" si="35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8" t="s">
        <v>75</v>
      </c>
      <c r="P1941" s="48">
        <f>HEX2DEC(RIGHT(Table1323212753586873[[#This Row],[h1]],8))</f>
        <v>0</v>
      </c>
      <c r="Q1941" s="48" t="s">
        <v>75</v>
      </c>
      <c r="R1941" s="48">
        <f>HEX2DEC(RIGHT(Table1323212753586873[[#This Row],[h2]],8))</f>
        <v>0</v>
      </c>
    </row>
    <row r="1942" spans="1:18">
      <c r="A1942" s="15" t="str">
        <f t="shared" si="35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8" t="s">
        <v>75</v>
      </c>
      <c r="P1942" s="48">
        <f>HEX2DEC(RIGHT(Table1323212753586873[[#This Row],[h1]],8))</f>
        <v>0</v>
      </c>
      <c r="Q1942" s="48" t="s">
        <v>75</v>
      </c>
      <c r="R1942" s="48">
        <f>HEX2DEC(RIGHT(Table1323212753586873[[#This Row],[h2]],8))</f>
        <v>0</v>
      </c>
    </row>
    <row r="1943" spans="1:18">
      <c r="A1943" s="15" t="str">
        <f t="shared" si="35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8" t="s">
        <v>75</v>
      </c>
      <c r="P1943" s="48">
        <f>HEX2DEC(RIGHT(Table1323212753586873[[#This Row],[h1]],8))</f>
        <v>0</v>
      </c>
      <c r="Q1943" s="48" t="s">
        <v>75</v>
      </c>
      <c r="R1943" s="48">
        <f>HEX2DEC(RIGHT(Table1323212753586873[[#This Row],[h2]],8))</f>
        <v>0</v>
      </c>
    </row>
    <row r="1944" spans="1:18">
      <c r="A1944" s="15" t="str">
        <f t="shared" si="35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8" t="s">
        <v>75</v>
      </c>
      <c r="P1944" s="48">
        <f>HEX2DEC(RIGHT(Table1323212753586873[[#This Row],[h1]],8))</f>
        <v>0</v>
      </c>
      <c r="Q1944" s="48" t="s">
        <v>75</v>
      </c>
      <c r="R1944" s="48">
        <f>HEX2DEC(RIGHT(Table1323212753586873[[#This Row],[h2]],8))</f>
        <v>0</v>
      </c>
    </row>
    <row r="1945" spans="1:18">
      <c r="A1945" s="15" t="str">
        <f t="shared" si="35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8" t="s">
        <v>75</v>
      </c>
      <c r="P1945" s="48">
        <f>HEX2DEC(RIGHT(Table1323212753586873[[#This Row],[h1]],8))</f>
        <v>0</v>
      </c>
      <c r="Q1945" s="48" t="s">
        <v>75</v>
      </c>
      <c r="R1945" s="48">
        <f>HEX2DEC(RIGHT(Table1323212753586873[[#This Row],[h2]],8))</f>
        <v>0</v>
      </c>
    </row>
    <row r="1946" spans="1:18">
      <c r="A1946" s="15" t="str">
        <f t="shared" si="35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8" t="s">
        <v>75</v>
      </c>
      <c r="P1946" s="48">
        <f>HEX2DEC(RIGHT(Table1323212753586873[[#This Row],[h1]],8))</f>
        <v>0</v>
      </c>
      <c r="Q1946" s="48" t="s">
        <v>75</v>
      </c>
      <c r="R1946" s="48">
        <f>HEX2DEC(RIGHT(Table1323212753586873[[#This Row],[h2]],8))</f>
        <v>0</v>
      </c>
    </row>
    <row r="1947" spans="1:18">
      <c r="A1947" s="15" t="str">
        <f t="shared" si="35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8" t="s">
        <v>75</v>
      </c>
      <c r="P1947" s="48">
        <f>HEX2DEC(RIGHT(Table1323212753586873[[#This Row],[h1]],8))</f>
        <v>0</v>
      </c>
      <c r="Q1947" s="48" t="s">
        <v>75</v>
      </c>
      <c r="R1947" s="48">
        <f>HEX2DEC(RIGHT(Table1323212753586873[[#This Row],[h2]],8))</f>
        <v>0</v>
      </c>
    </row>
    <row r="1948" spans="1:18">
      <c r="A1948" s="15" t="str">
        <f t="shared" si="35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8" t="s">
        <v>75</v>
      </c>
      <c r="P1948" s="48">
        <f>HEX2DEC(RIGHT(Table1323212753586873[[#This Row],[h1]],8))</f>
        <v>0</v>
      </c>
      <c r="Q1948" s="48" t="s">
        <v>75</v>
      </c>
      <c r="R1948" s="48">
        <f>HEX2DEC(RIGHT(Table1323212753586873[[#This Row],[h2]],8))</f>
        <v>0</v>
      </c>
    </row>
    <row r="1949" spans="1:18">
      <c r="A1949" s="15" t="str">
        <f t="shared" si="35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8" t="s">
        <v>75</v>
      </c>
      <c r="P1949" s="48">
        <f>HEX2DEC(RIGHT(Table1323212753586873[[#This Row],[h1]],8))</f>
        <v>0</v>
      </c>
      <c r="Q1949" s="48" t="s">
        <v>75</v>
      </c>
      <c r="R1949" s="48">
        <f>HEX2DEC(RIGHT(Table1323212753586873[[#This Row],[h2]],8))</f>
        <v>0</v>
      </c>
    </row>
    <row r="1950" spans="1:18">
      <c r="A1950" s="15" t="str">
        <f t="shared" si="35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8" t="s">
        <v>75</v>
      </c>
      <c r="P1950" s="48">
        <f>HEX2DEC(RIGHT(Table1323212753586873[[#This Row],[h1]],8))</f>
        <v>0</v>
      </c>
      <c r="Q1950" s="48" t="s">
        <v>75</v>
      </c>
      <c r="R1950" s="48">
        <f>HEX2DEC(RIGHT(Table1323212753586873[[#This Row],[h2]],8))</f>
        <v>0</v>
      </c>
    </row>
    <row r="1951" spans="1:18">
      <c r="A1951" s="15" t="str">
        <f t="shared" si="35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8" t="s">
        <v>75</v>
      </c>
      <c r="P1951" s="48">
        <f>HEX2DEC(RIGHT(Table1323212753586873[[#This Row],[h1]],8))</f>
        <v>0</v>
      </c>
      <c r="Q1951" s="48" t="s">
        <v>75</v>
      </c>
      <c r="R1951" s="48">
        <f>HEX2DEC(RIGHT(Table1323212753586873[[#This Row],[h2]],8))</f>
        <v>0</v>
      </c>
    </row>
    <row r="1952" spans="1:18">
      <c r="A1952" s="15" t="str">
        <f t="shared" si="35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8" t="s">
        <v>75</v>
      </c>
      <c r="P1952" s="48">
        <f>HEX2DEC(RIGHT(Table1323212753586873[[#This Row],[h1]],8))</f>
        <v>0</v>
      </c>
      <c r="Q1952" s="48" t="s">
        <v>75</v>
      </c>
      <c r="R1952" s="48">
        <f>HEX2DEC(RIGHT(Table1323212753586873[[#This Row],[h2]],8))</f>
        <v>0</v>
      </c>
    </row>
    <row r="1953" spans="1:18">
      <c r="A1953" s="15" t="str">
        <f t="shared" si="35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8" t="s">
        <v>75</v>
      </c>
      <c r="P1953" s="48">
        <f>HEX2DEC(RIGHT(Table1323212753586873[[#This Row],[h1]],8))</f>
        <v>0</v>
      </c>
      <c r="Q1953" s="48" t="s">
        <v>75</v>
      </c>
      <c r="R1953" s="48">
        <f>HEX2DEC(RIGHT(Table1323212753586873[[#This Row],[h2]],8))</f>
        <v>0</v>
      </c>
    </row>
    <row r="1954" spans="1:18">
      <c r="A1954" s="15" t="str">
        <f t="shared" si="35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8" t="s">
        <v>75</v>
      </c>
      <c r="P1954" s="48">
        <f>HEX2DEC(RIGHT(Table1323212753586873[[#This Row],[h1]],8))</f>
        <v>0</v>
      </c>
      <c r="Q1954" s="48" t="s">
        <v>75</v>
      </c>
      <c r="R1954" s="48">
        <f>HEX2DEC(RIGHT(Table1323212753586873[[#This Row],[h2]],8))</f>
        <v>0</v>
      </c>
    </row>
    <row r="1955" spans="1:18">
      <c r="A1955" s="15" t="str">
        <f t="shared" si="35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8" t="s">
        <v>75</v>
      </c>
      <c r="P1955" s="48">
        <f>HEX2DEC(RIGHT(Table1323212753586873[[#This Row],[h1]],8))</f>
        <v>0</v>
      </c>
      <c r="Q1955" s="48" t="s">
        <v>75</v>
      </c>
      <c r="R1955" s="48">
        <f>HEX2DEC(RIGHT(Table1323212753586873[[#This Row],[h2]],8))</f>
        <v>0</v>
      </c>
    </row>
    <row r="1956" spans="1:18">
      <c r="A1956" s="15" t="str">
        <f t="shared" si="35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8" t="s">
        <v>75</v>
      </c>
      <c r="P1956" s="48">
        <f>HEX2DEC(RIGHT(Table1323212753586873[[#This Row],[h1]],8))</f>
        <v>0</v>
      </c>
      <c r="Q1956" s="48" t="s">
        <v>75</v>
      </c>
      <c r="R1956" s="48">
        <f>HEX2DEC(RIGHT(Table1323212753586873[[#This Row],[h2]],8))</f>
        <v>0</v>
      </c>
    </row>
    <row r="1957" spans="1:18">
      <c r="A1957" s="15" t="str">
        <f t="shared" si="35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8" t="s">
        <v>75</v>
      </c>
      <c r="P1957" s="48">
        <f>HEX2DEC(RIGHT(Table1323212753586873[[#This Row],[h1]],8))</f>
        <v>0</v>
      </c>
      <c r="Q1957" s="48" t="s">
        <v>75</v>
      </c>
      <c r="R1957" s="48">
        <f>HEX2DEC(RIGHT(Table1323212753586873[[#This Row],[h2]],8))</f>
        <v>0</v>
      </c>
    </row>
    <row r="1958" spans="1:18">
      <c r="A1958" s="15" t="str">
        <f t="shared" si="35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8" t="s">
        <v>75</v>
      </c>
      <c r="P1958" s="48">
        <f>HEX2DEC(RIGHT(Table1323212753586873[[#This Row],[h1]],8))</f>
        <v>0</v>
      </c>
      <c r="Q1958" s="48" t="s">
        <v>75</v>
      </c>
      <c r="R1958" s="48">
        <f>HEX2DEC(RIGHT(Table1323212753586873[[#This Row],[h2]],8))</f>
        <v>0</v>
      </c>
    </row>
    <row r="1959" spans="1:18">
      <c r="A1959" s="15" t="str">
        <f t="shared" si="35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8" t="s">
        <v>75</v>
      </c>
      <c r="P1959" s="48">
        <f>HEX2DEC(RIGHT(Table1323212753586873[[#This Row],[h1]],8))</f>
        <v>0</v>
      </c>
      <c r="Q1959" s="48" t="s">
        <v>75</v>
      </c>
      <c r="R1959" s="48">
        <f>HEX2DEC(RIGHT(Table1323212753586873[[#This Row],[h2]],8))</f>
        <v>0</v>
      </c>
    </row>
    <row r="1960" spans="1:18">
      <c r="A1960" s="15" t="str">
        <f t="shared" si="35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8" t="s">
        <v>75</v>
      </c>
      <c r="P1960" s="48">
        <f>HEX2DEC(RIGHT(Table1323212753586873[[#This Row],[h1]],8))</f>
        <v>0</v>
      </c>
      <c r="Q1960" s="48" t="s">
        <v>75</v>
      </c>
      <c r="R1960" s="48">
        <f>HEX2DEC(RIGHT(Table1323212753586873[[#This Row],[h2]],8))</f>
        <v>0</v>
      </c>
    </row>
    <row r="1961" spans="1:18">
      <c r="A1961" s="15" t="str">
        <f t="shared" si="35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8" t="s">
        <v>75</v>
      </c>
      <c r="P1961" s="48">
        <f>HEX2DEC(RIGHT(Table1323212753586873[[#This Row],[h1]],8))</f>
        <v>0</v>
      </c>
      <c r="Q1961" s="48" t="s">
        <v>75</v>
      </c>
      <c r="R1961" s="48">
        <f>HEX2DEC(RIGHT(Table1323212753586873[[#This Row],[h2]],8))</f>
        <v>0</v>
      </c>
    </row>
    <row r="1962" spans="1:18">
      <c r="A1962" s="15" t="str">
        <f t="shared" si="35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8" t="s">
        <v>75</v>
      </c>
      <c r="P1962" s="48">
        <f>HEX2DEC(RIGHT(Table1323212753586873[[#This Row],[h1]],8))</f>
        <v>0</v>
      </c>
      <c r="Q1962" s="48" t="s">
        <v>75</v>
      </c>
      <c r="R1962" s="48">
        <f>HEX2DEC(RIGHT(Table1323212753586873[[#This Row],[h2]],8))</f>
        <v>0</v>
      </c>
    </row>
    <row r="1963" spans="1:18">
      <c r="A1963" s="15" t="str">
        <f t="shared" si="35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8" t="s">
        <v>75</v>
      </c>
      <c r="P1963" s="48">
        <f>HEX2DEC(RIGHT(Table1323212753586873[[#This Row],[h1]],8))</f>
        <v>0</v>
      </c>
      <c r="Q1963" s="48" t="s">
        <v>75</v>
      </c>
      <c r="R1963" s="48">
        <f>HEX2DEC(RIGHT(Table1323212753586873[[#This Row],[h2]],8))</f>
        <v>0</v>
      </c>
    </row>
    <row r="1964" spans="1:18">
      <c r="A1964" s="15" t="str">
        <f t="shared" si="35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8" t="s">
        <v>75</v>
      </c>
      <c r="P1964" s="48">
        <f>HEX2DEC(RIGHT(Table1323212753586873[[#This Row],[h1]],8))</f>
        <v>0</v>
      </c>
      <c r="Q1964" s="48" t="s">
        <v>75</v>
      </c>
      <c r="R1964" s="48">
        <f>HEX2DEC(RIGHT(Table1323212753586873[[#This Row],[h2]],8))</f>
        <v>0</v>
      </c>
    </row>
    <row r="1965" spans="1:18">
      <c r="A1965" s="15" t="str">
        <f t="shared" si="35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8" t="s">
        <v>75</v>
      </c>
      <c r="P1965" s="48">
        <f>HEX2DEC(RIGHT(Table1323212753586873[[#This Row],[h1]],8))</f>
        <v>0</v>
      </c>
      <c r="Q1965" s="48" t="s">
        <v>75</v>
      </c>
      <c r="R1965" s="48">
        <f>HEX2DEC(RIGHT(Table1323212753586873[[#This Row],[h2]],8))</f>
        <v>0</v>
      </c>
    </row>
    <row r="1966" spans="1:18">
      <c r="A1966" s="15" t="str">
        <f t="shared" si="35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8" t="s">
        <v>75</v>
      </c>
      <c r="P1966" s="48">
        <f>HEX2DEC(RIGHT(Table1323212753586873[[#This Row],[h1]],8))</f>
        <v>0</v>
      </c>
      <c r="Q1966" s="48" t="s">
        <v>75</v>
      </c>
      <c r="R1966" s="48">
        <f>HEX2DEC(RIGHT(Table1323212753586873[[#This Row],[h2]],8))</f>
        <v>0</v>
      </c>
    </row>
    <row r="1967" spans="1:18">
      <c r="A1967" s="15" t="str">
        <f t="shared" si="35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8" t="s">
        <v>75</v>
      </c>
      <c r="P1967" s="48">
        <f>HEX2DEC(RIGHT(Table1323212753586873[[#This Row],[h1]],8))</f>
        <v>0</v>
      </c>
      <c r="Q1967" s="48" t="s">
        <v>75</v>
      </c>
      <c r="R1967" s="48">
        <f>HEX2DEC(RIGHT(Table1323212753586873[[#This Row],[h2]],8))</f>
        <v>0</v>
      </c>
    </row>
    <row r="1968" spans="1:18">
      <c r="A1968" s="15" t="str">
        <f t="shared" si="35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8" t="s">
        <v>75</v>
      </c>
      <c r="P1968" s="48">
        <f>HEX2DEC(RIGHT(Table1323212753586873[[#This Row],[h1]],8))</f>
        <v>0</v>
      </c>
      <c r="Q1968" s="48" t="s">
        <v>75</v>
      </c>
      <c r="R1968" s="48">
        <f>HEX2DEC(RIGHT(Table1323212753586873[[#This Row],[h2]],8))</f>
        <v>0</v>
      </c>
    </row>
    <row r="1969" spans="1:18">
      <c r="A1969" s="15" t="str">
        <f t="shared" si="35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8" t="s">
        <v>75</v>
      </c>
      <c r="P1969" s="48">
        <f>HEX2DEC(RIGHT(Table1323212753586873[[#This Row],[h1]],8))</f>
        <v>0</v>
      </c>
      <c r="Q1969" s="48" t="s">
        <v>75</v>
      </c>
      <c r="R1969" s="48">
        <f>HEX2DEC(RIGHT(Table1323212753586873[[#This Row],[h2]],8))</f>
        <v>0</v>
      </c>
    </row>
    <row r="1970" spans="1:18">
      <c r="A1970" s="15" t="str">
        <f t="shared" si="35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8" t="s">
        <v>75</v>
      </c>
      <c r="P1970" s="48">
        <f>HEX2DEC(RIGHT(Table1323212753586873[[#This Row],[h1]],8))</f>
        <v>0</v>
      </c>
      <c r="Q1970" s="48" t="s">
        <v>75</v>
      </c>
      <c r="R1970" s="48">
        <f>HEX2DEC(RIGHT(Table1323212753586873[[#This Row],[h2]],8))</f>
        <v>0</v>
      </c>
    </row>
    <row r="1971" spans="1:18">
      <c r="A1971" s="15" t="str">
        <f t="shared" si="35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8" t="s">
        <v>75</v>
      </c>
      <c r="P1971" s="48">
        <f>HEX2DEC(RIGHT(Table1323212753586873[[#This Row],[h1]],8))</f>
        <v>0</v>
      </c>
      <c r="Q1971" s="48" t="s">
        <v>75</v>
      </c>
      <c r="R1971" s="48">
        <f>HEX2DEC(RIGHT(Table1323212753586873[[#This Row],[h2]],8))</f>
        <v>0</v>
      </c>
    </row>
    <row r="1972" spans="1:18">
      <c r="A1972" s="15" t="str">
        <f t="shared" si="35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8" t="s">
        <v>75</v>
      </c>
      <c r="P1972" s="48">
        <f>HEX2DEC(RIGHT(Table1323212753586873[[#This Row],[h1]],8))</f>
        <v>0</v>
      </c>
      <c r="Q1972" s="48" t="s">
        <v>75</v>
      </c>
      <c r="R1972" s="48">
        <f>HEX2DEC(RIGHT(Table1323212753586873[[#This Row],[h2]],8))</f>
        <v>0</v>
      </c>
    </row>
    <row r="1973" spans="1:18">
      <c r="A1973" s="15" t="str">
        <f t="shared" si="35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8" t="s">
        <v>75</v>
      </c>
      <c r="P1973" s="48">
        <f>HEX2DEC(RIGHT(Table1323212753586873[[#This Row],[h1]],8))</f>
        <v>0</v>
      </c>
      <c r="Q1973" s="48" t="s">
        <v>75</v>
      </c>
      <c r="R1973" s="48">
        <f>HEX2DEC(RIGHT(Table1323212753586873[[#This Row],[h2]],8))</f>
        <v>0</v>
      </c>
    </row>
    <row r="1974" spans="1:18">
      <c r="A1974" s="15" t="str">
        <f t="shared" si="35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8" t="s">
        <v>75</v>
      </c>
      <c r="P1974" s="48">
        <f>HEX2DEC(RIGHT(Table1323212753586873[[#This Row],[h1]],8))</f>
        <v>0</v>
      </c>
      <c r="Q1974" s="48" t="s">
        <v>75</v>
      </c>
      <c r="R1974" s="48">
        <f>HEX2DEC(RIGHT(Table1323212753586873[[#This Row],[h2]],8))</f>
        <v>0</v>
      </c>
    </row>
    <row r="1975" spans="1:18">
      <c r="A1975" s="15" t="str">
        <f t="shared" si="35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8" t="s">
        <v>75</v>
      </c>
      <c r="P1975" s="48">
        <f>HEX2DEC(RIGHT(Table1323212753586873[[#This Row],[h1]],8))</f>
        <v>0</v>
      </c>
      <c r="Q1975" s="48" t="s">
        <v>75</v>
      </c>
      <c r="R1975" s="48">
        <f>HEX2DEC(RIGHT(Table1323212753586873[[#This Row],[h2]],8))</f>
        <v>0</v>
      </c>
    </row>
    <row r="1976" spans="1:18">
      <c r="A1976" s="15" t="str">
        <f t="shared" si="35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8" t="s">
        <v>75</v>
      </c>
      <c r="P1976" s="48">
        <f>HEX2DEC(RIGHT(Table1323212753586873[[#This Row],[h1]],8))</f>
        <v>0</v>
      </c>
      <c r="Q1976" s="48" t="s">
        <v>75</v>
      </c>
      <c r="R1976" s="48">
        <f>HEX2DEC(RIGHT(Table1323212753586873[[#This Row],[h2]],8))</f>
        <v>0</v>
      </c>
    </row>
    <row r="1977" spans="1:18">
      <c r="A1977" s="15" t="str">
        <f t="shared" si="35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8" t="s">
        <v>75</v>
      </c>
      <c r="P1977" s="48">
        <f>HEX2DEC(RIGHT(Table1323212753586873[[#This Row],[h1]],8))</f>
        <v>0</v>
      </c>
      <c r="Q1977" s="48" t="s">
        <v>75</v>
      </c>
      <c r="R1977" s="48">
        <f>HEX2DEC(RIGHT(Table1323212753586873[[#This Row],[h2]],8))</f>
        <v>0</v>
      </c>
    </row>
    <row r="1978" spans="1:18">
      <c r="A1978" s="15" t="str">
        <f t="shared" si="35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8" t="s">
        <v>75</v>
      </c>
      <c r="P1978" s="48">
        <f>HEX2DEC(RIGHT(Table1323212753586873[[#This Row],[h1]],8))</f>
        <v>0</v>
      </c>
      <c r="Q1978" s="48" t="s">
        <v>75</v>
      </c>
      <c r="R1978" s="48">
        <f>HEX2DEC(RIGHT(Table1323212753586873[[#This Row],[h2]],8))</f>
        <v>0</v>
      </c>
    </row>
    <row r="1979" spans="1:18">
      <c r="A1979" s="15" t="str">
        <f t="shared" si="35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8" t="s">
        <v>75</v>
      </c>
      <c r="P1979" s="48">
        <f>HEX2DEC(RIGHT(Table1323212753586873[[#This Row],[h1]],8))</f>
        <v>0</v>
      </c>
      <c r="Q1979" s="48" t="s">
        <v>75</v>
      </c>
      <c r="R1979" s="48">
        <f>HEX2DEC(RIGHT(Table1323212753586873[[#This Row],[h2]],8))</f>
        <v>0</v>
      </c>
    </row>
    <row r="1980" spans="1:18">
      <c r="A1980" s="15" t="str">
        <f t="shared" si="35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8" t="s">
        <v>75</v>
      </c>
      <c r="P1980" s="48">
        <f>HEX2DEC(RIGHT(Table1323212753586873[[#This Row],[h1]],8))</f>
        <v>0</v>
      </c>
      <c r="Q1980" s="48" t="s">
        <v>75</v>
      </c>
      <c r="R1980" s="48">
        <f>HEX2DEC(RIGHT(Table1323212753586873[[#This Row],[h2]],8))</f>
        <v>0</v>
      </c>
    </row>
    <row r="1981" spans="1:18">
      <c r="A1981" s="15" t="str">
        <f t="shared" si="35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8" t="s">
        <v>75</v>
      </c>
      <c r="P1981" s="48">
        <f>HEX2DEC(RIGHT(Table1323212753586873[[#This Row],[h1]],8))</f>
        <v>0</v>
      </c>
      <c r="Q1981" s="48" t="s">
        <v>75</v>
      </c>
      <c r="R1981" s="48">
        <f>HEX2DEC(RIGHT(Table1323212753586873[[#This Row],[h2]],8))</f>
        <v>0</v>
      </c>
    </row>
    <row r="1982" spans="1:18">
      <c r="A1982" s="15" t="str">
        <f t="shared" si="35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8" t="s">
        <v>75</v>
      </c>
      <c r="P1982" s="48">
        <f>HEX2DEC(RIGHT(Table1323212753586873[[#This Row],[h1]],8))</f>
        <v>0</v>
      </c>
      <c r="Q1982" s="48" t="s">
        <v>75</v>
      </c>
      <c r="R1982" s="48">
        <f>HEX2DEC(RIGHT(Table1323212753586873[[#This Row],[h2]],8))</f>
        <v>0</v>
      </c>
    </row>
    <row r="1983" spans="1:18">
      <c r="A1983" s="15" t="str">
        <f t="shared" si="35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8" t="s">
        <v>75</v>
      </c>
      <c r="P1983" s="48">
        <f>HEX2DEC(RIGHT(Table1323212753586873[[#This Row],[h1]],8))</f>
        <v>0</v>
      </c>
      <c r="Q1983" s="48" t="s">
        <v>75</v>
      </c>
      <c r="R1983" s="48">
        <f>HEX2DEC(RIGHT(Table1323212753586873[[#This Row],[h2]],8))</f>
        <v>0</v>
      </c>
    </row>
    <row r="1984" spans="1:18">
      <c r="A1984" s="15" t="str">
        <f t="shared" si="35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8" t="s">
        <v>75</v>
      </c>
      <c r="P1984" s="48">
        <f>HEX2DEC(RIGHT(Table1323212753586873[[#This Row],[h1]],8))</f>
        <v>0</v>
      </c>
      <c r="Q1984" s="48" t="s">
        <v>75</v>
      </c>
      <c r="R1984" s="48">
        <f>HEX2DEC(RIGHT(Table1323212753586873[[#This Row],[h2]],8))</f>
        <v>0</v>
      </c>
    </row>
    <row r="1985" spans="1:18">
      <c r="A1985" s="15" t="str">
        <f t="shared" si="35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8" t="s">
        <v>75</v>
      </c>
      <c r="P1985" s="48">
        <f>HEX2DEC(RIGHT(Table1323212753586873[[#This Row],[h1]],8))</f>
        <v>0</v>
      </c>
      <c r="Q1985" s="48" t="s">
        <v>75</v>
      </c>
      <c r="R1985" s="48">
        <f>HEX2DEC(RIGHT(Table1323212753586873[[#This Row],[h2]],8))</f>
        <v>0</v>
      </c>
    </row>
    <row r="1986" spans="1:18">
      <c r="A1986" s="15" t="str">
        <f t="shared" si="35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8" t="s">
        <v>75</v>
      </c>
      <c r="P1986" s="48">
        <f>HEX2DEC(RIGHT(Table1323212753586873[[#This Row],[h1]],8))</f>
        <v>0</v>
      </c>
      <c r="Q1986" s="48" t="s">
        <v>75</v>
      </c>
      <c r="R1986" s="48">
        <f>HEX2DEC(RIGHT(Table1323212753586873[[#This Row],[h2]],8))</f>
        <v>0</v>
      </c>
    </row>
    <row r="1987" spans="1:18">
      <c r="A1987" s="15" t="str">
        <f t="shared" si="35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8" t="s">
        <v>75</v>
      </c>
      <c r="P1987" s="48">
        <f>HEX2DEC(RIGHT(Table1323212753586873[[#This Row],[h1]],8))</f>
        <v>0</v>
      </c>
      <c r="Q1987" s="48" t="s">
        <v>75</v>
      </c>
      <c r="R1987" s="48">
        <f>HEX2DEC(RIGHT(Table1323212753586873[[#This Row],[h2]],8))</f>
        <v>0</v>
      </c>
    </row>
    <row r="1988" spans="1:18">
      <c r="A1988" s="15" t="str">
        <f t="shared" si="35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8" t="s">
        <v>75</v>
      </c>
      <c r="P1988" s="48">
        <f>HEX2DEC(RIGHT(Table1323212753586873[[#This Row],[h1]],8))</f>
        <v>0</v>
      </c>
      <c r="Q1988" s="48" t="s">
        <v>75</v>
      </c>
      <c r="R1988" s="48">
        <f>HEX2DEC(RIGHT(Table1323212753586873[[#This Row],[h2]],8))</f>
        <v>0</v>
      </c>
    </row>
    <row r="1989" spans="1:18">
      <c r="A1989" s="15" t="str">
        <f t="shared" si="35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8" t="s">
        <v>75</v>
      </c>
      <c r="P1989" s="48">
        <f>HEX2DEC(RIGHT(Table1323212753586873[[#This Row],[h1]],8))</f>
        <v>0</v>
      </c>
      <c r="Q1989" s="48" t="s">
        <v>75</v>
      </c>
      <c r="R1989" s="48">
        <f>HEX2DEC(RIGHT(Table1323212753586873[[#This Row],[h2]],8))</f>
        <v>0</v>
      </c>
    </row>
    <row r="1990" spans="1:18">
      <c r="A1990" s="15" t="str">
        <f t="shared" si="35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8" t="s">
        <v>75</v>
      </c>
      <c r="P1990" s="48">
        <f>HEX2DEC(RIGHT(Table1323212753586873[[#This Row],[h1]],8))</f>
        <v>0</v>
      </c>
      <c r="Q1990" s="48" t="s">
        <v>75</v>
      </c>
      <c r="R1990" s="48">
        <f>HEX2DEC(RIGHT(Table1323212753586873[[#This Row],[h2]],8))</f>
        <v>0</v>
      </c>
    </row>
    <row r="1991" spans="1:18">
      <c r="A1991" s="15" t="str">
        <f t="shared" si="35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8" t="s">
        <v>75</v>
      </c>
      <c r="P1991" s="48">
        <f>HEX2DEC(RIGHT(Table1323212753586873[[#This Row],[h1]],8))</f>
        <v>0</v>
      </c>
      <c r="Q1991" s="48" t="s">
        <v>75</v>
      </c>
      <c r="R1991" s="48">
        <f>HEX2DEC(RIGHT(Table1323212753586873[[#This Row],[h2]],8))</f>
        <v>0</v>
      </c>
    </row>
    <row r="1992" spans="1:18">
      <c r="A1992" s="15" t="str">
        <f t="shared" si="35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8" t="s">
        <v>75</v>
      </c>
      <c r="P1992" s="48">
        <f>HEX2DEC(RIGHT(Table1323212753586873[[#This Row],[h1]],8))</f>
        <v>0</v>
      </c>
      <c r="Q1992" s="48" t="s">
        <v>75</v>
      </c>
      <c r="R1992" s="48">
        <f>HEX2DEC(RIGHT(Table1323212753586873[[#This Row],[h2]],8))</f>
        <v>0</v>
      </c>
    </row>
    <row r="1993" spans="1:18">
      <c r="A1993" s="15" t="str">
        <f t="shared" si="35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8" t="s">
        <v>75</v>
      </c>
      <c r="P1993" s="48">
        <f>HEX2DEC(RIGHT(Table1323212753586873[[#This Row],[h1]],8))</f>
        <v>0</v>
      </c>
      <c r="Q1993" s="48" t="s">
        <v>75</v>
      </c>
      <c r="R1993" s="48">
        <f>HEX2DEC(RIGHT(Table1323212753586873[[#This Row],[h2]],8))</f>
        <v>0</v>
      </c>
    </row>
    <row r="1994" spans="1:18">
      <c r="A1994" s="15" t="str">
        <f t="shared" si="35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8" t="s">
        <v>75</v>
      </c>
      <c r="P1994" s="48">
        <f>HEX2DEC(RIGHT(Table1323212753586873[[#This Row],[h1]],8))</f>
        <v>0</v>
      </c>
      <c r="Q1994" s="48" t="s">
        <v>75</v>
      </c>
      <c r="R1994" s="48">
        <f>HEX2DEC(RIGHT(Table1323212753586873[[#This Row],[h2]],8))</f>
        <v>0</v>
      </c>
    </row>
    <row r="1995" spans="1:18">
      <c r="A1995" s="15" t="str">
        <f t="shared" ref="A1995:A2057" si="36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8" t="s">
        <v>75</v>
      </c>
      <c r="P1995" s="48">
        <f>HEX2DEC(RIGHT(Table1323212753586873[[#This Row],[h1]],8))</f>
        <v>0</v>
      </c>
      <c r="Q1995" s="48" t="s">
        <v>75</v>
      </c>
      <c r="R1995" s="48">
        <f>HEX2DEC(RIGHT(Table1323212753586873[[#This Row],[h2]],8))</f>
        <v>0</v>
      </c>
    </row>
    <row r="1996" spans="1:18">
      <c r="A1996" s="15" t="str">
        <f t="shared" si="36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8" t="s">
        <v>75</v>
      </c>
      <c r="P1996" s="48">
        <f>HEX2DEC(RIGHT(Table1323212753586873[[#This Row],[h1]],8))</f>
        <v>0</v>
      </c>
      <c r="Q1996" s="48" t="s">
        <v>75</v>
      </c>
      <c r="R1996" s="48">
        <f>HEX2DEC(RIGHT(Table1323212753586873[[#This Row],[h2]],8))</f>
        <v>0</v>
      </c>
    </row>
    <row r="1997" spans="1:18">
      <c r="A1997" s="15" t="str">
        <f t="shared" si="36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8" t="s">
        <v>75</v>
      </c>
      <c r="P1997" s="48">
        <f>HEX2DEC(RIGHT(Table1323212753586873[[#This Row],[h1]],8))</f>
        <v>0</v>
      </c>
      <c r="Q1997" s="48" t="s">
        <v>75</v>
      </c>
      <c r="R1997" s="48">
        <f>HEX2DEC(RIGHT(Table1323212753586873[[#This Row],[h2]],8))</f>
        <v>0</v>
      </c>
    </row>
    <row r="1998" spans="1:18">
      <c r="A1998" s="15" t="str">
        <f t="shared" si="36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8" t="s">
        <v>75</v>
      </c>
      <c r="P1998" s="48">
        <f>HEX2DEC(RIGHT(Table1323212753586873[[#This Row],[h1]],8))</f>
        <v>0</v>
      </c>
      <c r="Q1998" s="48" t="s">
        <v>75</v>
      </c>
      <c r="R1998" s="48">
        <f>HEX2DEC(RIGHT(Table1323212753586873[[#This Row],[h2]],8))</f>
        <v>0</v>
      </c>
    </row>
    <row r="1999" spans="1:18">
      <c r="A1999" s="15" t="str">
        <f t="shared" si="36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8" t="s">
        <v>75</v>
      </c>
      <c r="P1999" s="48">
        <f>HEX2DEC(RIGHT(Table1323212753586873[[#This Row],[h1]],8))</f>
        <v>0</v>
      </c>
      <c r="Q1999" s="48" t="s">
        <v>75</v>
      </c>
      <c r="R1999" s="48">
        <f>HEX2DEC(RIGHT(Table1323212753586873[[#This Row],[h2]],8))</f>
        <v>0</v>
      </c>
    </row>
    <row r="2000" spans="1:18">
      <c r="A2000" s="15" t="str">
        <f t="shared" si="36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8" t="s">
        <v>75</v>
      </c>
      <c r="P2000" s="48">
        <f>HEX2DEC(RIGHT(Table1323212753586873[[#This Row],[h1]],8))</f>
        <v>0</v>
      </c>
      <c r="Q2000" s="48" t="s">
        <v>75</v>
      </c>
      <c r="R2000" s="48">
        <f>HEX2DEC(RIGHT(Table1323212753586873[[#This Row],[h2]],8))</f>
        <v>0</v>
      </c>
    </row>
    <row r="2001" spans="1:18">
      <c r="A2001" s="15" t="str">
        <f t="shared" si="36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8" t="s">
        <v>75</v>
      </c>
      <c r="P2001" s="48">
        <f>HEX2DEC(RIGHT(Table1323212753586873[[#This Row],[h1]],8))</f>
        <v>0</v>
      </c>
      <c r="Q2001" s="48" t="s">
        <v>75</v>
      </c>
      <c r="R2001" s="48">
        <f>HEX2DEC(RIGHT(Table1323212753586873[[#This Row],[h2]],8))</f>
        <v>0</v>
      </c>
    </row>
    <row r="2002" spans="1:18">
      <c r="A2002" s="15" t="str">
        <f t="shared" si="36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8" t="s">
        <v>75</v>
      </c>
      <c r="P2002" s="48">
        <f>HEX2DEC(RIGHT(Table1323212753586873[[#This Row],[h1]],8))</f>
        <v>0</v>
      </c>
      <c r="Q2002" s="48" t="s">
        <v>75</v>
      </c>
      <c r="R2002" s="48">
        <f>HEX2DEC(RIGHT(Table1323212753586873[[#This Row],[h2]],8))</f>
        <v>0</v>
      </c>
    </row>
    <row r="2003" spans="1:18">
      <c r="A2003" s="15" t="str">
        <f t="shared" si="36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8" t="s">
        <v>75</v>
      </c>
      <c r="P2003" s="48">
        <f>HEX2DEC(RIGHT(Table1323212753586873[[#This Row],[h1]],8))</f>
        <v>0</v>
      </c>
      <c r="Q2003" s="48" t="s">
        <v>75</v>
      </c>
      <c r="R2003" s="48">
        <f>HEX2DEC(RIGHT(Table1323212753586873[[#This Row],[h2]],8))</f>
        <v>0</v>
      </c>
    </row>
    <row r="2004" spans="1:18">
      <c r="A2004" s="15" t="str">
        <f t="shared" si="36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8" t="s">
        <v>75</v>
      </c>
      <c r="P2004" s="48">
        <f>HEX2DEC(RIGHT(Table1323212753586873[[#This Row],[h1]],8))</f>
        <v>0</v>
      </c>
      <c r="Q2004" s="48" t="s">
        <v>75</v>
      </c>
      <c r="R2004" s="48">
        <f>HEX2DEC(RIGHT(Table1323212753586873[[#This Row],[h2]],8))</f>
        <v>0</v>
      </c>
    </row>
    <row r="2005" spans="1:18">
      <c r="A2005" s="15" t="str">
        <f t="shared" si="36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8" t="s">
        <v>75</v>
      </c>
      <c r="P2005" s="48">
        <f>HEX2DEC(RIGHT(Table1323212753586873[[#This Row],[h1]],8))</f>
        <v>0</v>
      </c>
      <c r="Q2005" s="48" t="s">
        <v>75</v>
      </c>
      <c r="R2005" s="48">
        <f>HEX2DEC(RIGHT(Table1323212753586873[[#This Row],[h2]],8))</f>
        <v>0</v>
      </c>
    </row>
    <row r="2006" spans="1:18">
      <c r="A2006" s="15" t="str">
        <f t="shared" si="36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8" t="s">
        <v>75</v>
      </c>
      <c r="P2006" s="48">
        <f>HEX2DEC(RIGHT(Table1323212753586873[[#This Row],[h1]],8))</f>
        <v>0</v>
      </c>
      <c r="Q2006" s="48" t="s">
        <v>75</v>
      </c>
      <c r="R2006" s="48">
        <f>HEX2DEC(RIGHT(Table1323212753586873[[#This Row],[h2]],8))</f>
        <v>0</v>
      </c>
    </row>
    <row r="2007" spans="1:18">
      <c r="A2007" s="15" t="str">
        <f t="shared" si="36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8" t="s">
        <v>75</v>
      </c>
      <c r="P2007" s="48">
        <f>HEX2DEC(RIGHT(Table1323212753586873[[#This Row],[h1]],8))</f>
        <v>0</v>
      </c>
      <c r="Q2007" s="48" t="s">
        <v>75</v>
      </c>
      <c r="R2007" s="48">
        <f>HEX2DEC(RIGHT(Table1323212753586873[[#This Row],[h2]],8))</f>
        <v>0</v>
      </c>
    </row>
    <row r="2008" spans="1:18">
      <c r="A2008" s="15" t="str">
        <f t="shared" si="36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8" t="s">
        <v>75</v>
      </c>
      <c r="P2008" s="48">
        <f>HEX2DEC(RIGHT(Table1323212753586873[[#This Row],[h1]],8))</f>
        <v>0</v>
      </c>
      <c r="Q2008" s="48" t="s">
        <v>75</v>
      </c>
      <c r="R2008" s="48">
        <f>HEX2DEC(RIGHT(Table1323212753586873[[#This Row],[h2]],8))</f>
        <v>0</v>
      </c>
    </row>
    <row r="2009" spans="1:18">
      <c r="A2009" s="15" t="str">
        <f t="shared" si="36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8" t="s">
        <v>75</v>
      </c>
      <c r="P2009" s="48">
        <f>HEX2DEC(RIGHT(Table1323212753586873[[#This Row],[h1]],8))</f>
        <v>0</v>
      </c>
      <c r="Q2009" s="48" t="s">
        <v>75</v>
      </c>
      <c r="R2009" s="48">
        <f>HEX2DEC(RIGHT(Table1323212753586873[[#This Row],[h2]],8))</f>
        <v>0</v>
      </c>
    </row>
    <row r="2010" spans="1:18">
      <c r="A2010" s="15" t="str">
        <f t="shared" si="36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8" t="s">
        <v>75</v>
      </c>
      <c r="P2010" s="48">
        <f>HEX2DEC(RIGHT(Table1323212753586873[[#This Row],[h1]],8))</f>
        <v>0</v>
      </c>
      <c r="Q2010" s="48" t="s">
        <v>75</v>
      </c>
      <c r="R2010" s="48">
        <f>HEX2DEC(RIGHT(Table1323212753586873[[#This Row],[h2]],8))</f>
        <v>0</v>
      </c>
    </row>
    <row r="2011" spans="1:18">
      <c r="A2011" s="15" t="str">
        <f t="shared" si="36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8" t="s">
        <v>75</v>
      </c>
      <c r="P2011" s="48">
        <f>HEX2DEC(RIGHT(Table1323212753586873[[#This Row],[h1]],8))</f>
        <v>0</v>
      </c>
      <c r="Q2011" s="48" t="s">
        <v>75</v>
      </c>
      <c r="R2011" s="48">
        <f>HEX2DEC(RIGHT(Table1323212753586873[[#This Row],[h2]],8))</f>
        <v>0</v>
      </c>
    </row>
    <row r="2012" spans="1:18">
      <c r="A2012" s="15" t="str">
        <f t="shared" si="36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8" t="s">
        <v>75</v>
      </c>
      <c r="P2012" s="48">
        <f>HEX2DEC(RIGHT(Table1323212753586873[[#This Row],[h1]],8))</f>
        <v>0</v>
      </c>
      <c r="Q2012" s="48" t="s">
        <v>75</v>
      </c>
      <c r="R2012" s="48">
        <f>HEX2DEC(RIGHT(Table1323212753586873[[#This Row],[h2]],8))</f>
        <v>0</v>
      </c>
    </row>
    <row r="2013" spans="1:18">
      <c r="A2013" s="15" t="str">
        <f t="shared" si="36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8" t="s">
        <v>75</v>
      </c>
      <c r="P2013" s="48">
        <f>HEX2DEC(RIGHT(Table1323212753586873[[#This Row],[h1]],8))</f>
        <v>0</v>
      </c>
      <c r="Q2013" s="48" t="s">
        <v>75</v>
      </c>
      <c r="R2013" s="48">
        <f>HEX2DEC(RIGHT(Table1323212753586873[[#This Row],[h2]],8))</f>
        <v>0</v>
      </c>
    </row>
    <row r="2014" spans="1:18">
      <c r="A2014" s="15" t="str">
        <f t="shared" si="36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8" t="s">
        <v>75</v>
      </c>
      <c r="P2014" s="48">
        <f>HEX2DEC(RIGHT(Table1323212753586873[[#This Row],[h1]],8))</f>
        <v>0</v>
      </c>
      <c r="Q2014" s="48" t="s">
        <v>75</v>
      </c>
      <c r="R2014" s="48">
        <f>HEX2DEC(RIGHT(Table1323212753586873[[#This Row],[h2]],8))</f>
        <v>0</v>
      </c>
    </row>
    <row r="2015" spans="1:18">
      <c r="A2015" s="15" t="str">
        <f t="shared" si="36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8" t="s">
        <v>75</v>
      </c>
      <c r="P2015" s="48">
        <f>HEX2DEC(RIGHT(Table1323212753586873[[#This Row],[h1]],8))</f>
        <v>0</v>
      </c>
      <c r="Q2015" s="48" t="s">
        <v>75</v>
      </c>
      <c r="R2015" s="48">
        <f>HEX2DEC(RIGHT(Table1323212753586873[[#This Row],[h2]],8))</f>
        <v>0</v>
      </c>
    </row>
    <row r="2016" spans="1:18">
      <c r="A2016" s="15" t="str">
        <f t="shared" si="36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8" t="s">
        <v>75</v>
      </c>
      <c r="P2016" s="48">
        <f>HEX2DEC(RIGHT(Table1323212753586873[[#This Row],[h1]],8))</f>
        <v>0</v>
      </c>
      <c r="Q2016" s="48" t="s">
        <v>75</v>
      </c>
      <c r="R2016" s="48">
        <f>HEX2DEC(RIGHT(Table1323212753586873[[#This Row],[h2]],8))</f>
        <v>0</v>
      </c>
    </row>
    <row r="2017" spans="1:18">
      <c r="A2017" s="15" t="str">
        <f t="shared" si="36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8" t="s">
        <v>75</v>
      </c>
      <c r="P2017" s="48">
        <f>HEX2DEC(RIGHT(Table1323212753586873[[#This Row],[h1]],8))</f>
        <v>0</v>
      </c>
      <c r="Q2017" s="48" t="s">
        <v>75</v>
      </c>
      <c r="R2017" s="48">
        <f>HEX2DEC(RIGHT(Table1323212753586873[[#This Row],[h2]],8))</f>
        <v>0</v>
      </c>
    </row>
    <row r="2018" spans="1:18">
      <c r="A2018" s="15" t="str">
        <f t="shared" si="36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8" t="s">
        <v>75</v>
      </c>
      <c r="P2018" s="48">
        <f>HEX2DEC(RIGHT(Table1323212753586873[[#This Row],[h1]],8))</f>
        <v>0</v>
      </c>
      <c r="Q2018" s="48" t="s">
        <v>75</v>
      </c>
      <c r="R2018" s="48">
        <f>HEX2DEC(RIGHT(Table1323212753586873[[#This Row],[h2]],8))</f>
        <v>0</v>
      </c>
    </row>
    <row r="2019" spans="1:18">
      <c r="A2019" s="15" t="str">
        <f t="shared" si="36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8" t="s">
        <v>75</v>
      </c>
      <c r="P2019" s="48">
        <f>HEX2DEC(RIGHT(Table1323212753586873[[#This Row],[h1]],8))</f>
        <v>0</v>
      </c>
      <c r="Q2019" s="48" t="s">
        <v>75</v>
      </c>
      <c r="R2019" s="48">
        <f>HEX2DEC(RIGHT(Table1323212753586873[[#This Row],[h2]],8))</f>
        <v>0</v>
      </c>
    </row>
    <row r="2020" spans="1:18">
      <c r="A2020" s="15" t="str">
        <f t="shared" si="36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8" t="s">
        <v>75</v>
      </c>
      <c r="P2020" s="48">
        <f>HEX2DEC(RIGHT(Table1323212753586873[[#This Row],[h1]],8))</f>
        <v>0</v>
      </c>
      <c r="Q2020" s="48" t="s">
        <v>75</v>
      </c>
      <c r="R2020" s="48">
        <f>HEX2DEC(RIGHT(Table1323212753586873[[#This Row],[h2]],8))</f>
        <v>0</v>
      </c>
    </row>
    <row r="2021" spans="1:18">
      <c r="A2021" s="15" t="str">
        <f t="shared" si="36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8" t="s">
        <v>75</v>
      </c>
      <c r="P2021" s="48">
        <f>HEX2DEC(RIGHT(Table1323212753586873[[#This Row],[h1]],8))</f>
        <v>0</v>
      </c>
      <c r="Q2021" s="48" t="s">
        <v>75</v>
      </c>
      <c r="R2021" s="48">
        <f>HEX2DEC(RIGHT(Table1323212753586873[[#This Row],[h2]],8))</f>
        <v>0</v>
      </c>
    </row>
    <row r="2022" spans="1:18">
      <c r="A2022" s="15" t="str">
        <f t="shared" si="36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8" t="s">
        <v>75</v>
      </c>
      <c r="P2022" s="48">
        <f>HEX2DEC(RIGHT(Table1323212753586873[[#This Row],[h1]],8))</f>
        <v>0</v>
      </c>
      <c r="Q2022" s="48" t="s">
        <v>75</v>
      </c>
      <c r="R2022" s="48">
        <f>HEX2DEC(RIGHT(Table1323212753586873[[#This Row],[h2]],8))</f>
        <v>0</v>
      </c>
    </row>
    <row r="2023" spans="1:18">
      <c r="A2023" s="15" t="str">
        <f t="shared" si="36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8" t="s">
        <v>75</v>
      </c>
      <c r="P2023" s="48">
        <f>HEX2DEC(RIGHT(Table1323212753586873[[#This Row],[h1]],8))</f>
        <v>0</v>
      </c>
      <c r="Q2023" s="48" t="s">
        <v>75</v>
      </c>
      <c r="R2023" s="48">
        <f>HEX2DEC(RIGHT(Table1323212753586873[[#This Row],[h2]],8))</f>
        <v>0</v>
      </c>
    </row>
    <row r="2024" spans="1:18">
      <c r="A2024" s="15" t="str">
        <f t="shared" si="36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8" t="s">
        <v>75</v>
      </c>
      <c r="P2024" s="48">
        <f>HEX2DEC(RIGHT(Table1323212753586873[[#This Row],[h1]],8))</f>
        <v>0</v>
      </c>
      <c r="Q2024" s="48" t="s">
        <v>75</v>
      </c>
      <c r="R2024" s="48">
        <f>HEX2DEC(RIGHT(Table1323212753586873[[#This Row],[h2]],8))</f>
        <v>0</v>
      </c>
    </row>
    <row r="2025" spans="1:18">
      <c r="A2025" s="15" t="str">
        <f t="shared" si="36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8" t="s">
        <v>75</v>
      </c>
      <c r="P2025" s="48">
        <f>HEX2DEC(RIGHT(Table1323212753586873[[#This Row],[h1]],8))</f>
        <v>0</v>
      </c>
      <c r="Q2025" s="48" t="s">
        <v>75</v>
      </c>
      <c r="R2025" s="48">
        <f>HEX2DEC(RIGHT(Table1323212753586873[[#This Row],[h2]],8))</f>
        <v>0</v>
      </c>
    </row>
    <row r="2026" spans="1:18">
      <c r="A2026" s="15" t="str">
        <f t="shared" si="36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8" t="s">
        <v>75</v>
      </c>
      <c r="P2026" s="48">
        <f>HEX2DEC(RIGHT(Table1323212753586873[[#This Row],[h1]],8))</f>
        <v>0</v>
      </c>
      <c r="Q2026" s="48" t="s">
        <v>75</v>
      </c>
      <c r="R2026" s="48">
        <f>HEX2DEC(RIGHT(Table1323212753586873[[#This Row],[h2]],8))</f>
        <v>0</v>
      </c>
    </row>
    <row r="2027" spans="1:18">
      <c r="A2027" s="15" t="str">
        <f t="shared" si="36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8" t="s">
        <v>75</v>
      </c>
      <c r="P2027" s="48">
        <f>HEX2DEC(RIGHT(Table1323212753586873[[#This Row],[h1]],8))</f>
        <v>0</v>
      </c>
      <c r="Q2027" s="48" t="s">
        <v>75</v>
      </c>
      <c r="R2027" s="48">
        <f>HEX2DEC(RIGHT(Table1323212753586873[[#This Row],[h2]],8))</f>
        <v>0</v>
      </c>
    </row>
    <row r="2028" spans="1:18">
      <c r="A2028" s="15" t="str">
        <f t="shared" si="36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8" t="s">
        <v>75</v>
      </c>
      <c r="P2028" s="48">
        <f>HEX2DEC(RIGHT(Table1323212753586873[[#This Row],[h1]],8))</f>
        <v>0</v>
      </c>
      <c r="Q2028" s="48" t="s">
        <v>75</v>
      </c>
      <c r="R2028" s="48">
        <f>HEX2DEC(RIGHT(Table1323212753586873[[#This Row],[h2]],8))</f>
        <v>0</v>
      </c>
    </row>
    <row r="2029" spans="1:18">
      <c r="A2029" s="15" t="str">
        <f t="shared" si="36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8" t="s">
        <v>75</v>
      </c>
      <c r="P2029" s="48">
        <f>HEX2DEC(RIGHT(Table1323212753586873[[#This Row],[h1]],8))</f>
        <v>0</v>
      </c>
      <c r="Q2029" s="48" t="s">
        <v>75</v>
      </c>
      <c r="R2029" s="48">
        <f>HEX2DEC(RIGHT(Table1323212753586873[[#This Row],[h2]],8))</f>
        <v>0</v>
      </c>
    </row>
    <row r="2030" spans="1:18">
      <c r="A2030" s="15" t="str">
        <f t="shared" si="36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8" t="s">
        <v>75</v>
      </c>
      <c r="P2030" s="48">
        <f>HEX2DEC(RIGHT(Table1323212753586873[[#This Row],[h1]],8))</f>
        <v>0</v>
      </c>
      <c r="Q2030" s="48" t="s">
        <v>75</v>
      </c>
      <c r="R2030" s="48">
        <f>HEX2DEC(RIGHT(Table1323212753586873[[#This Row],[h2]],8))</f>
        <v>0</v>
      </c>
    </row>
    <row r="2031" spans="1:18">
      <c r="A2031" s="15" t="str">
        <f t="shared" si="36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8" t="s">
        <v>75</v>
      </c>
      <c r="P2031" s="48">
        <f>HEX2DEC(RIGHT(Table1323212753586873[[#This Row],[h1]],8))</f>
        <v>0</v>
      </c>
      <c r="Q2031" s="48" t="s">
        <v>75</v>
      </c>
      <c r="R2031" s="48">
        <f>HEX2DEC(RIGHT(Table1323212753586873[[#This Row],[h2]],8))</f>
        <v>0</v>
      </c>
    </row>
    <row r="2032" spans="1:18">
      <c r="A2032" s="15" t="str">
        <f t="shared" si="36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8" t="s">
        <v>75</v>
      </c>
      <c r="P2032" s="48">
        <f>HEX2DEC(RIGHT(Table1323212753586873[[#This Row],[h1]],8))</f>
        <v>0</v>
      </c>
      <c r="Q2032" s="48" t="s">
        <v>75</v>
      </c>
      <c r="R2032" s="48">
        <f>HEX2DEC(RIGHT(Table1323212753586873[[#This Row],[h2]],8))</f>
        <v>0</v>
      </c>
    </row>
    <row r="2033" spans="1:18">
      <c r="A2033" s="15" t="str">
        <f t="shared" si="36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8" t="s">
        <v>75</v>
      </c>
      <c r="P2033" s="48">
        <f>HEX2DEC(RIGHT(Table1323212753586873[[#This Row],[h1]],8))</f>
        <v>0</v>
      </c>
      <c r="Q2033" s="48" t="s">
        <v>75</v>
      </c>
      <c r="R2033" s="48">
        <f>HEX2DEC(RIGHT(Table1323212753586873[[#This Row],[h2]],8))</f>
        <v>0</v>
      </c>
    </row>
    <row r="2034" spans="1:18">
      <c r="A2034" s="15" t="str">
        <f t="shared" si="36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8" t="s">
        <v>75</v>
      </c>
      <c r="P2034" s="48">
        <f>HEX2DEC(RIGHT(Table1323212753586873[[#This Row],[h1]],8))</f>
        <v>0</v>
      </c>
      <c r="Q2034" s="48" t="s">
        <v>75</v>
      </c>
      <c r="R2034" s="48">
        <f>HEX2DEC(RIGHT(Table1323212753586873[[#This Row],[h2]],8))</f>
        <v>0</v>
      </c>
    </row>
    <row r="2035" spans="1:18">
      <c r="A2035" s="15" t="str">
        <f t="shared" si="36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8" t="s">
        <v>75</v>
      </c>
      <c r="P2035" s="48">
        <f>HEX2DEC(RIGHT(Table1323212753586873[[#This Row],[h1]],8))</f>
        <v>0</v>
      </c>
      <c r="Q2035" s="48" t="s">
        <v>75</v>
      </c>
      <c r="R2035" s="48">
        <f>HEX2DEC(RIGHT(Table1323212753586873[[#This Row],[h2]],8))</f>
        <v>0</v>
      </c>
    </row>
    <row r="2036" spans="1:18">
      <c r="A2036" s="15" t="str">
        <f t="shared" si="36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8" t="s">
        <v>75</v>
      </c>
      <c r="P2036" s="48">
        <f>HEX2DEC(RIGHT(Table1323212753586873[[#This Row],[h1]],8))</f>
        <v>0</v>
      </c>
      <c r="Q2036" s="48" t="s">
        <v>75</v>
      </c>
      <c r="R2036" s="48">
        <f>HEX2DEC(RIGHT(Table1323212753586873[[#This Row],[h2]],8))</f>
        <v>0</v>
      </c>
    </row>
    <row r="2037" spans="1:18">
      <c r="A2037" s="15" t="str">
        <f t="shared" si="36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8" t="s">
        <v>75</v>
      </c>
      <c r="P2037" s="48">
        <f>HEX2DEC(RIGHT(Table1323212753586873[[#This Row],[h1]],8))</f>
        <v>0</v>
      </c>
      <c r="Q2037" s="48" t="s">
        <v>75</v>
      </c>
      <c r="R2037" s="48">
        <f>HEX2DEC(RIGHT(Table1323212753586873[[#This Row],[h2]],8))</f>
        <v>0</v>
      </c>
    </row>
    <row r="2038" spans="1:18">
      <c r="A2038" s="15" t="str">
        <f t="shared" si="36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8" t="s">
        <v>75</v>
      </c>
      <c r="P2038" s="48">
        <f>HEX2DEC(RIGHT(Table1323212753586873[[#This Row],[h1]],8))</f>
        <v>0</v>
      </c>
      <c r="Q2038" s="48" t="s">
        <v>75</v>
      </c>
      <c r="R2038" s="48">
        <f>HEX2DEC(RIGHT(Table1323212753586873[[#This Row],[h2]],8))</f>
        <v>0</v>
      </c>
    </row>
    <row r="2039" spans="1:18">
      <c r="A2039" s="15" t="str">
        <f t="shared" si="36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8" t="s">
        <v>75</v>
      </c>
      <c r="P2039" s="48">
        <f>HEX2DEC(RIGHT(Table1323212753586873[[#This Row],[h1]],8))</f>
        <v>0</v>
      </c>
      <c r="Q2039" s="48" t="s">
        <v>75</v>
      </c>
      <c r="R2039" s="48">
        <f>HEX2DEC(RIGHT(Table1323212753586873[[#This Row],[h2]],8))</f>
        <v>0</v>
      </c>
    </row>
    <row r="2040" spans="1:18">
      <c r="A2040" s="15" t="str">
        <f t="shared" si="36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8" t="s">
        <v>75</v>
      </c>
      <c r="P2040" s="48">
        <f>HEX2DEC(RIGHT(Table1323212753586873[[#This Row],[h1]],8))</f>
        <v>0</v>
      </c>
      <c r="Q2040" s="48" t="s">
        <v>75</v>
      </c>
      <c r="R2040" s="48">
        <f>HEX2DEC(RIGHT(Table1323212753586873[[#This Row],[h2]],8))</f>
        <v>0</v>
      </c>
    </row>
    <row r="2041" spans="1:18">
      <c r="A2041" s="15" t="str">
        <f t="shared" si="36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8" t="s">
        <v>75</v>
      </c>
      <c r="P2041" s="48">
        <f>HEX2DEC(RIGHT(Table1323212753586873[[#This Row],[h1]],8))</f>
        <v>0</v>
      </c>
      <c r="Q2041" s="48" t="s">
        <v>75</v>
      </c>
      <c r="R2041" s="48">
        <f>HEX2DEC(RIGHT(Table1323212753586873[[#This Row],[h2]],8))</f>
        <v>0</v>
      </c>
    </row>
    <row r="2042" spans="1:18">
      <c r="A2042" s="15" t="str">
        <f t="shared" si="36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8" t="s">
        <v>26</v>
      </c>
      <c r="Q2042" s="48" t="s">
        <v>26</v>
      </c>
    </row>
    <row r="2043" spans="1:18">
      <c r="A2043" s="15" t="str">
        <f t="shared" si="36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6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6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6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6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6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6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6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6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6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6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6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6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6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6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48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67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>
          <x14:formula1>
            <xm:f>org!$B$48:$B$56</xm:f>
          </x14:formula1>
          <xm:sqref>G114:G145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W2115"/>
  <sheetViews>
    <sheetView zoomScaleNormal="100" workbookViewId="0">
      <pane xSplit="3" ySplit="6" topLeftCell="D7" activePane="bottomRight" state="frozen"/>
      <selection pane="topRight" activeCell="C1" sqref="C1"/>
      <selection pane="bottomLeft" activeCell="A7" sqref="A7"/>
      <selection pane="bottomRight" activeCell="AE30" sqref="AE30"/>
    </sheetView>
  </sheetViews>
  <sheetFormatPr defaultColWidth="11.5" defaultRowHeight="12"/>
  <cols>
    <col min="1" max="1" width="8.5" style="15" bestFit="1" customWidth="1"/>
    <col min="2" max="2" width="16.09765625" style="15" bestFit="1" customWidth="1"/>
    <col min="3" max="3" width="5" style="48" bestFit="1" customWidth="1"/>
    <col min="4" max="4" width="25.69921875" style="15" bestFit="1" customWidth="1"/>
    <col min="5" max="5" width="11.19921875" style="15" bestFit="1" customWidth="1"/>
    <col min="6" max="6" width="11.59765625" style="15" bestFit="1" customWidth="1"/>
    <col min="7" max="7" width="24.8984375" style="15" bestFit="1" customWidth="1"/>
    <col min="8" max="8" width="1.5" style="15" bestFit="1" customWidth="1"/>
    <col min="9" max="9" width="13.09765625" style="23" bestFit="1" customWidth="1"/>
    <col min="10" max="10" width="16.09765625" style="23" bestFit="1" customWidth="1"/>
    <col min="11" max="11" width="1.69921875" style="15" bestFit="1" customWidth="1"/>
    <col min="12" max="12" width="13.09765625" style="23" bestFit="1" customWidth="1"/>
    <col min="13" max="13" width="16.09765625" style="23" bestFit="1" customWidth="1"/>
    <col min="14" max="14" width="3.19921875" style="48" hidden="1" customWidth="1"/>
    <col min="15" max="16" width="12.19921875" style="48" hidden="1" customWidth="1"/>
    <col min="17" max="18" width="14.09765625" style="48" hidden="1" customWidth="1"/>
    <col min="19" max="19" width="1.69921875" style="48" hidden="1" customWidth="1"/>
    <col min="20" max="20" width="11.59765625" style="15" hidden="1" customWidth="1"/>
    <col min="21" max="21" width="10.69921875" style="15" hidden="1" customWidth="1"/>
    <col min="22" max="22" width="9" style="15" hidden="1" customWidth="1"/>
    <col min="23" max="23" width="13.3984375" style="15" hidden="1" customWidth="1"/>
    <col min="24" max="24" width="13.69921875" style="15" customWidth="1"/>
    <col min="25" max="16384" width="11.5" style="15"/>
  </cols>
  <sheetData>
    <row r="1" spans="1:23" s="48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8" customFormat="1">
      <c r="A2" s="9" t="s">
        <v>30</v>
      </c>
      <c r="B2" s="10" t="s">
        <v>33</v>
      </c>
      <c r="D2" s="60" t="s">
        <v>28</v>
      </c>
      <c r="E2" s="60"/>
      <c r="F2" s="60"/>
      <c r="G2" s="60"/>
      <c r="I2" s="60" t="s">
        <v>68</v>
      </c>
      <c r="J2" s="60"/>
      <c r="K2" s="11"/>
      <c r="L2" s="60" t="s">
        <v>69</v>
      </c>
      <c r="M2" s="60"/>
      <c r="O2" s="60" t="s">
        <v>135</v>
      </c>
      <c r="P2" s="60"/>
      <c r="Q2" s="60"/>
      <c r="R2" s="60"/>
      <c r="T2" s="60" t="s">
        <v>29</v>
      </c>
      <c r="U2" s="60"/>
      <c r="V2" s="60"/>
      <c r="W2" s="60"/>
    </row>
    <row r="3" spans="1:23" s="48" customFormat="1">
      <c r="A3" s="12" t="s">
        <v>31</v>
      </c>
      <c r="C3" s="48" t="s">
        <v>22</v>
      </c>
      <c r="D3" s="48" t="s">
        <v>9</v>
      </c>
      <c r="E3" s="48" t="s">
        <v>10</v>
      </c>
      <c r="F3" s="48" t="s">
        <v>11</v>
      </c>
      <c r="G3" s="48" t="s">
        <v>83</v>
      </c>
      <c r="I3" s="48" t="s">
        <v>6</v>
      </c>
      <c r="J3" s="48" t="s">
        <v>7</v>
      </c>
      <c r="L3" s="48" t="s">
        <v>6</v>
      </c>
      <c r="M3" s="48" t="s">
        <v>7</v>
      </c>
      <c r="O3" s="48" t="s">
        <v>76</v>
      </c>
      <c r="P3" s="32" t="s">
        <v>77</v>
      </c>
      <c r="Q3" s="48" t="s">
        <v>78</v>
      </c>
      <c r="R3" s="48" t="s">
        <v>79</v>
      </c>
      <c r="T3" s="48" t="s">
        <v>5</v>
      </c>
      <c r="U3" s="48" t="s">
        <v>6</v>
      </c>
      <c r="V3" s="48" t="s">
        <v>8</v>
      </c>
      <c r="W3" s="48" t="s">
        <v>7</v>
      </c>
    </row>
    <row r="4" spans="1:23" s="48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8" customFormat="1">
      <c r="A5" s="12" t="s">
        <v>90</v>
      </c>
      <c r="B5" s="48" t="str">
        <f>A3&amp;"."&amp;A4&amp;"."&amp;A5&amp;A6&amp;"."</f>
        <v>SCL3.TS.EVF001.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8" customFormat="1">
      <c r="A6" s="12" t="s">
        <v>40</v>
      </c>
      <c r="B6" s="48" t="str">
        <f>A3&amp;":"&amp;A4&amp;":"&amp;A5&amp;A6&amp;":"</f>
        <v>SCL3:TS:EVF001: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48"/>
      <c r="I7" s="27" t="s">
        <v>250</v>
      </c>
      <c r="J7" s="28" t="s">
        <v>251</v>
      </c>
      <c r="K7" s="29"/>
      <c r="L7" s="27" t="s">
        <v>252</v>
      </c>
      <c r="M7" s="28" t="s">
        <v>253</v>
      </c>
      <c r="O7" s="18" t="s">
        <v>136</v>
      </c>
      <c r="P7" s="18"/>
      <c r="Q7" s="18" t="s">
        <v>137</v>
      </c>
    </row>
    <row r="8" spans="1:23">
      <c r="C8" s="38"/>
      <c r="G8" s="19"/>
      <c r="H8" s="48"/>
      <c r="I8" s="58">
        <v>32768</v>
      </c>
      <c r="J8" s="59">
        <v>10</v>
      </c>
      <c r="K8" s="14"/>
      <c r="L8" s="58">
        <v>32768</v>
      </c>
      <c r="M8" s="59">
        <v>10</v>
      </c>
      <c r="O8" s="18"/>
      <c r="P8" s="18"/>
      <c r="Q8" s="18"/>
      <c r="R8" s="18"/>
    </row>
    <row r="9" spans="1:23">
      <c r="C9" s="38"/>
      <c r="G9" s="19"/>
      <c r="H9" s="48"/>
      <c r="I9" s="58">
        <v>0</v>
      </c>
      <c r="J9" s="59">
        <v>10</v>
      </c>
      <c r="K9" s="14"/>
      <c r="L9" s="58">
        <v>0</v>
      </c>
      <c r="M9" s="59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8"/>
      <c r="I10" s="58">
        <v>0</v>
      </c>
      <c r="J10" s="58">
        <v>10</v>
      </c>
      <c r="K10" s="14"/>
      <c r="L10" s="58">
        <v>0</v>
      </c>
      <c r="M10" s="58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138</v>
      </c>
      <c r="G11" s="31">
        <v>500</v>
      </c>
      <c r="H11" s="48"/>
      <c r="I11" s="27">
        <v>5</v>
      </c>
      <c r="J11" s="27">
        <v>50000</v>
      </c>
      <c r="K11" s="48"/>
      <c r="L11" s="27">
        <v>31</v>
      </c>
      <c r="M11" s="27">
        <v>249999</v>
      </c>
      <c r="N11" s="48">
        <v>1</v>
      </c>
      <c r="O11" s="48" t="s">
        <v>332</v>
      </c>
      <c r="P11" s="48">
        <f>HEX2DEC(RIGHT(Table13232127535863[[#This Row],[h1]],8))</f>
        <v>65536</v>
      </c>
      <c r="Q11" s="48" t="s">
        <v>75</v>
      </c>
      <c r="R11" s="48">
        <f>HEX2DEC(RIGHT(Table13232127535863[[#This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48"/>
      <c r="I12" s="27">
        <v>1</v>
      </c>
      <c r="J12" s="27">
        <v>50000</v>
      </c>
      <c r="K12" s="48"/>
      <c r="L12" s="27">
        <v>32</v>
      </c>
      <c r="M12" s="27">
        <v>249999</v>
      </c>
      <c r="N12" s="48">
        <v>2</v>
      </c>
      <c r="O12" s="48" t="s">
        <v>333</v>
      </c>
      <c r="P12" s="48">
        <f>HEX2DEC(RIGHT(Table13232127535863[[#This Row],[h1]],8))</f>
        <v>196608</v>
      </c>
      <c r="Q12" s="48" t="s">
        <v>75</v>
      </c>
      <c r="R12" s="48">
        <f>HEX2DEC(RIGHT(Table13232127535863[[#This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48"/>
      <c r="I13" s="27">
        <v>2</v>
      </c>
      <c r="J13" s="27">
        <v>50000</v>
      </c>
      <c r="K13" s="48"/>
      <c r="L13" s="27">
        <v>33</v>
      </c>
      <c r="M13" s="27">
        <v>249999</v>
      </c>
      <c r="N13" s="48">
        <v>3</v>
      </c>
      <c r="O13" s="48" t="s">
        <v>334</v>
      </c>
      <c r="P13" s="48">
        <f>HEX2DEC(RIGHT(Table13232127535863[[#This Row],[h1]],8))</f>
        <v>458752</v>
      </c>
      <c r="Q13" s="48" t="s">
        <v>75</v>
      </c>
      <c r="R13" s="48">
        <f>HEX2DEC(RIGHT(Table13232127535863[[#This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9"/>
      <c r="H14" s="48"/>
      <c r="I14" s="27">
        <v>1</v>
      </c>
      <c r="J14" s="27">
        <v>50000</v>
      </c>
      <c r="K14" s="48"/>
      <c r="L14" s="27">
        <v>34</v>
      </c>
      <c r="M14" s="27">
        <v>249999</v>
      </c>
      <c r="N14" s="48">
        <v>4</v>
      </c>
      <c r="O14" s="48" t="s">
        <v>335</v>
      </c>
      <c r="P14" s="48">
        <f>HEX2DEC(RIGHT(Table13232127535863[[#This Row],[h1]],8))</f>
        <v>983040</v>
      </c>
      <c r="Q14" s="48" t="s">
        <v>75</v>
      </c>
      <c r="R14" s="48">
        <f>HEX2DEC(RIGHT(Table13232127535863[[#This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147</v>
      </c>
      <c r="G15" s="49">
        <v>0</v>
      </c>
      <c r="H15" s="48"/>
      <c r="I15" s="27">
        <v>3</v>
      </c>
      <c r="J15" s="27">
        <v>50000</v>
      </c>
      <c r="K15" s="48"/>
      <c r="L15" s="57" t="s">
        <v>67</v>
      </c>
      <c r="M15" s="57">
        <v>249999</v>
      </c>
      <c r="N15" s="48">
        <v>5</v>
      </c>
      <c r="O15" s="48" t="s">
        <v>407</v>
      </c>
      <c r="P15" s="48">
        <f>HEX2DEC(RIGHT(Table13232127535863[[#This Row],[h1]],8))</f>
        <v>2031616</v>
      </c>
      <c r="Q15" s="48" t="s">
        <v>75</v>
      </c>
      <c r="R15" s="48">
        <f>HEX2DEC(RIGHT(Table13232127535863[[#This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148</v>
      </c>
      <c r="G16" s="49">
        <v>0</v>
      </c>
      <c r="H16" s="48"/>
      <c r="I16" s="27">
        <v>1</v>
      </c>
      <c r="J16" s="27">
        <v>50000</v>
      </c>
      <c r="K16" s="48"/>
      <c r="L16" s="27"/>
      <c r="M16" s="27">
        <v>50000</v>
      </c>
      <c r="N16" s="48">
        <v>6</v>
      </c>
      <c r="O16" s="48" t="s">
        <v>75</v>
      </c>
      <c r="P16" s="48">
        <f>HEX2DEC(RIGHT(Table13232127535863[[#This Row],[h1]],8))</f>
        <v>0</v>
      </c>
      <c r="Q16" s="48" t="s">
        <v>75</v>
      </c>
      <c r="R16" s="48">
        <f>HEX2DEC(RIGHT(Table13232127535863[[#This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149</v>
      </c>
      <c r="G17" s="49">
        <v>0</v>
      </c>
      <c r="H17" s="48"/>
      <c r="I17" s="27">
        <v>2</v>
      </c>
      <c r="J17" s="27">
        <v>50000</v>
      </c>
      <c r="K17" s="48"/>
      <c r="L17" s="27"/>
      <c r="M17" s="27">
        <v>50000</v>
      </c>
      <c r="N17" s="48">
        <v>7</v>
      </c>
      <c r="O17" s="48" t="s">
        <v>75</v>
      </c>
      <c r="P17" s="48">
        <f>HEX2DEC(RIGHT(Table13232127535863[[#This Row],[h1]],8))</f>
        <v>0</v>
      </c>
      <c r="Q17" s="48" t="s">
        <v>75</v>
      </c>
      <c r="R17" s="48">
        <f>HEX2DEC(RIGHT(Table13232127535863[[#This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150</v>
      </c>
      <c r="G18" s="49">
        <v>0</v>
      </c>
      <c r="H18" s="48"/>
      <c r="I18" s="27">
        <v>1</v>
      </c>
      <c r="J18" s="27">
        <v>50000</v>
      </c>
      <c r="K18" s="48"/>
      <c r="L18" s="27"/>
      <c r="M18" s="27">
        <v>50000</v>
      </c>
      <c r="N18" s="48">
        <v>8</v>
      </c>
      <c r="O18" s="48" t="s">
        <v>75</v>
      </c>
      <c r="P18" s="48">
        <f>HEX2DEC(RIGHT(Table13232127535863[[#This Row],[h1]],8))</f>
        <v>0</v>
      </c>
      <c r="Q18" s="48" t="s">
        <v>75</v>
      </c>
      <c r="R18" s="48">
        <f>HEX2DEC(RIGHT(Table13232127535863[[#This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151</v>
      </c>
      <c r="G19" s="49">
        <v>0</v>
      </c>
      <c r="H19" s="48"/>
      <c r="I19" s="27">
        <v>3</v>
      </c>
      <c r="J19" s="27">
        <v>50000</v>
      </c>
      <c r="K19" s="48"/>
      <c r="L19" s="27"/>
      <c r="M19" s="27">
        <v>50000</v>
      </c>
      <c r="N19" s="48">
        <v>9</v>
      </c>
      <c r="O19" s="48" t="s">
        <v>75</v>
      </c>
      <c r="P19" s="48">
        <f>HEX2DEC(RIGHT(Table13232127535863[[#This Row],[h1]],8))</f>
        <v>0</v>
      </c>
      <c r="Q19" s="48" t="s">
        <v>75</v>
      </c>
      <c r="R19" s="48">
        <f>HEX2DEC(RIGHT(Table13232127535863[[#This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152</v>
      </c>
      <c r="G20" s="49">
        <v>0</v>
      </c>
      <c r="H20" s="48"/>
      <c r="I20" s="27">
        <v>1</v>
      </c>
      <c r="J20" s="27">
        <v>50000</v>
      </c>
      <c r="K20" s="48"/>
      <c r="L20" s="27"/>
      <c r="M20" s="27">
        <v>50000</v>
      </c>
      <c r="N20" s="48">
        <v>10</v>
      </c>
      <c r="O20" s="48" t="s">
        <v>75</v>
      </c>
      <c r="P20" s="48">
        <f>HEX2DEC(RIGHT(Table13232127535863[[#This Row],[h1]],8))</f>
        <v>0</v>
      </c>
      <c r="Q20" s="48" t="s">
        <v>75</v>
      </c>
      <c r="R20" s="48">
        <f>HEX2DEC(RIGHT(Table13232127535863[[#This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153</v>
      </c>
      <c r="G21" s="49">
        <v>0</v>
      </c>
      <c r="H21" s="48"/>
      <c r="I21" s="27">
        <v>2</v>
      </c>
      <c r="J21" s="27">
        <v>50000</v>
      </c>
      <c r="K21" s="48"/>
      <c r="L21" s="27"/>
      <c r="M21" s="27">
        <v>50000</v>
      </c>
      <c r="N21" s="48">
        <v>11</v>
      </c>
      <c r="O21" s="48" t="s">
        <v>75</v>
      </c>
      <c r="P21" s="48">
        <f>HEX2DEC(RIGHT(Table13232127535863[[#This Row],[h1]],8))</f>
        <v>0</v>
      </c>
      <c r="Q21" s="48" t="s">
        <v>75</v>
      </c>
      <c r="R21" s="48">
        <f>HEX2DEC(RIGHT(Table13232127535863[[#This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154</v>
      </c>
      <c r="G22" s="49">
        <v>0</v>
      </c>
      <c r="H22" s="48"/>
      <c r="I22" s="27">
        <v>1</v>
      </c>
      <c r="J22" s="27">
        <v>50000</v>
      </c>
      <c r="K22" s="48"/>
      <c r="L22" s="27"/>
      <c r="M22" s="27">
        <v>50000</v>
      </c>
      <c r="N22" s="48">
        <v>12</v>
      </c>
      <c r="O22" s="48" t="s">
        <v>75</v>
      </c>
      <c r="P22" s="48">
        <f>HEX2DEC(RIGHT(Table13232127535863[[#This Row],[h1]],8))</f>
        <v>0</v>
      </c>
      <c r="Q22" s="48" t="s">
        <v>75</v>
      </c>
      <c r="R22" s="48">
        <f>HEX2DEC(RIGHT(Table13232127535863[[#This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155</v>
      </c>
      <c r="G23" s="49">
        <v>0</v>
      </c>
      <c r="H23" s="48"/>
      <c r="I23" s="27">
        <v>4</v>
      </c>
      <c r="J23" s="27">
        <v>50000</v>
      </c>
      <c r="K23" s="48"/>
      <c r="L23" s="27"/>
      <c r="M23" s="27">
        <v>50000</v>
      </c>
      <c r="N23" s="48">
        <v>13</v>
      </c>
      <c r="O23" s="48" t="s">
        <v>75</v>
      </c>
      <c r="P23" s="48">
        <f>HEX2DEC(RIGHT(Table13232127535863[[#This Row],[h1]],8))</f>
        <v>0</v>
      </c>
      <c r="Q23" s="48" t="s">
        <v>75</v>
      </c>
      <c r="R23" s="48">
        <f>HEX2DEC(RIGHT(Table13232127535863[[#This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156</v>
      </c>
      <c r="G24" s="49">
        <v>0</v>
      </c>
      <c r="H24" s="48"/>
      <c r="I24" s="27">
        <v>1</v>
      </c>
      <c r="J24" s="27">
        <v>50000</v>
      </c>
      <c r="K24" s="48"/>
      <c r="L24" s="27"/>
      <c r="M24" s="27">
        <v>50000</v>
      </c>
      <c r="N24" s="48">
        <v>14</v>
      </c>
      <c r="O24" s="48" t="s">
        <v>75</v>
      </c>
      <c r="P24" s="48">
        <f>HEX2DEC(RIGHT(Table13232127535863[[#This Row],[h1]],8))</f>
        <v>0</v>
      </c>
      <c r="Q24" s="48" t="s">
        <v>75</v>
      </c>
      <c r="R24" s="48">
        <f>HEX2DEC(RIGHT(Table13232127535863[[#This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157</v>
      </c>
      <c r="G25" s="49">
        <v>0</v>
      </c>
      <c r="H25" s="48"/>
      <c r="I25" s="27">
        <v>2</v>
      </c>
      <c r="J25" s="27">
        <v>50000</v>
      </c>
      <c r="K25" s="48"/>
      <c r="L25" s="27"/>
      <c r="M25" s="27">
        <v>50000</v>
      </c>
      <c r="N25" s="48">
        <v>15</v>
      </c>
      <c r="O25" s="48" t="s">
        <v>75</v>
      </c>
      <c r="P25" s="48">
        <f>HEX2DEC(RIGHT(Table13232127535863[[#This Row],[h1]],8))</f>
        <v>0</v>
      </c>
      <c r="Q25" s="48" t="s">
        <v>75</v>
      </c>
      <c r="R25" s="48">
        <f>HEX2DEC(RIGHT(Table13232127535863[[#This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158</v>
      </c>
      <c r="G26" s="49">
        <v>0</v>
      </c>
      <c r="H26" s="48"/>
      <c r="I26" s="27">
        <v>1</v>
      </c>
      <c r="J26" s="27">
        <v>50000</v>
      </c>
      <c r="K26" s="48"/>
      <c r="L26" s="27"/>
      <c r="M26" s="27">
        <v>50000</v>
      </c>
      <c r="N26" s="48">
        <v>16</v>
      </c>
      <c r="O26" s="48" t="s">
        <v>75</v>
      </c>
      <c r="P26" s="48">
        <f>HEX2DEC(RIGHT(Table13232127535863[[#This Row],[h1]],8))</f>
        <v>0</v>
      </c>
      <c r="Q26" s="48" t="s">
        <v>75</v>
      </c>
      <c r="R26" s="48">
        <f>HEX2DEC(RIGHT(Table13232127535863[[#This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159</v>
      </c>
      <c r="G27" s="49">
        <v>0</v>
      </c>
      <c r="H27" s="48"/>
      <c r="I27" s="27">
        <v>3</v>
      </c>
      <c r="J27" s="27">
        <v>50000</v>
      </c>
      <c r="K27" s="48"/>
      <c r="L27" s="27"/>
      <c r="M27" s="27">
        <v>50000</v>
      </c>
      <c r="N27" s="48">
        <v>17</v>
      </c>
      <c r="O27" s="48" t="s">
        <v>75</v>
      </c>
      <c r="P27" s="48">
        <f>HEX2DEC(RIGHT(Table13232127535863[[#This Row],[h1]],8))</f>
        <v>0</v>
      </c>
      <c r="Q27" s="48" t="s">
        <v>75</v>
      </c>
      <c r="R27" s="48">
        <f>HEX2DEC(RIGHT(Table13232127535863[[#This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160</v>
      </c>
      <c r="G28" s="49">
        <v>0</v>
      </c>
      <c r="H28" s="48"/>
      <c r="I28" s="27">
        <v>1</v>
      </c>
      <c r="J28" s="27">
        <v>50000</v>
      </c>
      <c r="K28" s="48"/>
      <c r="L28" s="27"/>
      <c r="M28" s="27">
        <v>50000</v>
      </c>
      <c r="N28" s="48">
        <v>18</v>
      </c>
      <c r="O28" s="48" t="s">
        <v>75</v>
      </c>
      <c r="P28" s="48">
        <f>HEX2DEC(RIGHT(Table13232127535863[[#This Row],[h1]],8))</f>
        <v>0</v>
      </c>
      <c r="Q28" s="48" t="s">
        <v>75</v>
      </c>
      <c r="R28" s="48">
        <f>HEX2DEC(RIGHT(Table13232127535863[[#This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161</v>
      </c>
      <c r="G29" s="49">
        <v>0</v>
      </c>
      <c r="H29" s="48"/>
      <c r="I29" s="27">
        <v>2</v>
      </c>
      <c r="J29" s="27">
        <v>50000</v>
      </c>
      <c r="K29" s="48"/>
      <c r="L29" s="27"/>
      <c r="M29" s="27">
        <v>50000</v>
      </c>
      <c r="N29" s="48">
        <v>19</v>
      </c>
      <c r="O29" s="48" t="s">
        <v>75</v>
      </c>
      <c r="P29" s="48">
        <f>HEX2DEC(RIGHT(Table13232127535863[[#This Row],[h1]],8))</f>
        <v>0</v>
      </c>
      <c r="Q29" s="48" t="s">
        <v>75</v>
      </c>
      <c r="R29" s="48">
        <f>HEX2DEC(RIGHT(Table13232127535863[[#This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162</v>
      </c>
      <c r="G30" s="49">
        <v>0</v>
      </c>
      <c r="H30" s="48"/>
      <c r="I30" s="27">
        <v>1</v>
      </c>
      <c r="J30" s="27">
        <v>50000</v>
      </c>
      <c r="K30" s="48"/>
      <c r="L30" s="27"/>
      <c r="M30" s="27">
        <v>50000</v>
      </c>
      <c r="N30" s="48">
        <v>20</v>
      </c>
      <c r="O30" s="48" t="s">
        <v>75</v>
      </c>
      <c r="P30" s="48">
        <f>HEX2DEC(RIGHT(Table13232127535863[[#This Row],[h1]],8))</f>
        <v>0</v>
      </c>
      <c r="Q30" s="48" t="s">
        <v>75</v>
      </c>
      <c r="R30" s="48">
        <f>HEX2DEC(RIGHT(Table13232127535863[[#This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163</v>
      </c>
      <c r="G31" s="49">
        <v>0</v>
      </c>
      <c r="H31" s="48"/>
      <c r="I31" s="27">
        <v>3</v>
      </c>
      <c r="J31" s="27">
        <v>50000</v>
      </c>
      <c r="K31" s="48"/>
      <c r="L31" s="27"/>
      <c r="M31" s="27">
        <v>50000</v>
      </c>
      <c r="N31" s="48">
        <v>21</v>
      </c>
      <c r="O31" s="48" t="s">
        <v>75</v>
      </c>
      <c r="P31" s="48">
        <f>HEX2DEC(RIGHT(Table13232127535863[[#This Row],[h1]],8))</f>
        <v>0</v>
      </c>
      <c r="Q31" s="48" t="s">
        <v>75</v>
      </c>
      <c r="R31" s="48">
        <f>HEX2DEC(RIGHT(Table13232127535863[[#This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164</v>
      </c>
      <c r="G32" s="49">
        <v>0</v>
      </c>
      <c r="H32" s="48"/>
      <c r="I32" s="27">
        <v>1</v>
      </c>
      <c r="J32" s="27">
        <v>50000</v>
      </c>
      <c r="K32" s="48"/>
      <c r="L32" s="27"/>
      <c r="M32" s="27">
        <v>50000</v>
      </c>
      <c r="N32" s="48">
        <v>22</v>
      </c>
      <c r="O32" s="48" t="s">
        <v>75</v>
      </c>
      <c r="P32" s="48">
        <f>HEX2DEC(RIGHT(Table13232127535863[[#This Row],[h1]],8))</f>
        <v>0</v>
      </c>
      <c r="Q32" s="48" t="s">
        <v>75</v>
      </c>
      <c r="R32" s="48">
        <f>HEX2DEC(RIGHT(Table13232127535863[[#This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165</v>
      </c>
      <c r="G33" s="49">
        <v>0</v>
      </c>
      <c r="H33" s="48"/>
      <c r="I33" s="27">
        <v>2</v>
      </c>
      <c r="J33" s="27">
        <v>50000</v>
      </c>
      <c r="K33" s="48"/>
      <c r="L33" s="27"/>
      <c r="M33" s="27">
        <v>50000</v>
      </c>
      <c r="N33" s="48">
        <v>23</v>
      </c>
      <c r="O33" s="48" t="s">
        <v>75</v>
      </c>
      <c r="P33" s="48">
        <f>HEX2DEC(RIGHT(Table13232127535863[[#This Row],[h1]],8))</f>
        <v>0</v>
      </c>
      <c r="Q33" s="48" t="s">
        <v>75</v>
      </c>
      <c r="R33" s="48">
        <f>HEX2DEC(RIGHT(Table13232127535863[[#This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166</v>
      </c>
      <c r="G34" s="49">
        <v>0</v>
      </c>
      <c r="H34" s="48"/>
      <c r="I34" s="27">
        <v>1</v>
      </c>
      <c r="J34" s="27">
        <v>50000</v>
      </c>
      <c r="K34" s="48"/>
      <c r="L34" s="27"/>
      <c r="M34" s="27">
        <v>50000</v>
      </c>
      <c r="N34" s="48">
        <v>24</v>
      </c>
      <c r="O34" s="48" t="s">
        <v>75</v>
      </c>
      <c r="P34" s="48">
        <f>HEX2DEC(RIGHT(Table13232127535863[[#This Row],[h1]],8))</f>
        <v>0</v>
      </c>
      <c r="Q34" s="48" t="s">
        <v>75</v>
      </c>
      <c r="R34" s="48">
        <f>HEX2DEC(RIGHT(Table13232127535863[[#This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167</v>
      </c>
      <c r="G35" s="49">
        <v>0</v>
      </c>
      <c r="H35" s="48"/>
      <c r="I35" s="27">
        <v>4</v>
      </c>
      <c r="J35" s="27">
        <v>50000</v>
      </c>
      <c r="K35" s="48"/>
      <c r="L35" s="27"/>
      <c r="M35" s="27">
        <v>50000</v>
      </c>
      <c r="N35" s="48">
        <v>25</v>
      </c>
      <c r="O35" s="48" t="s">
        <v>75</v>
      </c>
      <c r="P35" s="48">
        <f>HEX2DEC(RIGHT(Table13232127535863[[#This Row],[h1]],8))</f>
        <v>0</v>
      </c>
      <c r="Q35" s="48" t="s">
        <v>75</v>
      </c>
      <c r="R35" s="48">
        <f>HEX2DEC(RIGHT(Table13232127535863[[#This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168</v>
      </c>
      <c r="G36" s="49">
        <v>0</v>
      </c>
      <c r="H36" s="48"/>
      <c r="I36" s="27">
        <v>1</v>
      </c>
      <c r="J36" s="27">
        <v>50000</v>
      </c>
      <c r="K36" s="48"/>
      <c r="L36" s="27"/>
      <c r="M36" s="27">
        <v>50000</v>
      </c>
      <c r="N36" s="48">
        <v>26</v>
      </c>
      <c r="O36" s="48" t="s">
        <v>75</v>
      </c>
      <c r="P36" s="48">
        <f>HEX2DEC(RIGHT(Table13232127535863[[#This Row],[h1]],8))</f>
        <v>0</v>
      </c>
      <c r="Q36" s="48" t="s">
        <v>75</v>
      </c>
      <c r="R36" s="48">
        <f>HEX2DEC(RIGHT(Table13232127535863[[#This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169</v>
      </c>
      <c r="G37" s="49">
        <v>0</v>
      </c>
      <c r="H37" s="48"/>
      <c r="I37" s="27">
        <v>2</v>
      </c>
      <c r="J37" s="27">
        <v>50000</v>
      </c>
      <c r="K37" s="48"/>
      <c r="L37" s="27"/>
      <c r="M37" s="27">
        <v>50000</v>
      </c>
      <c r="N37" s="48">
        <v>27</v>
      </c>
      <c r="O37" s="48" t="s">
        <v>75</v>
      </c>
      <c r="P37" s="48">
        <f>HEX2DEC(RIGHT(Table13232127535863[[#This Row],[h1]],8))</f>
        <v>0</v>
      </c>
      <c r="Q37" s="48" t="s">
        <v>75</v>
      </c>
      <c r="R37" s="48">
        <f>HEX2DEC(RIGHT(Table13232127535863[[#This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170</v>
      </c>
      <c r="G38" s="49">
        <v>0</v>
      </c>
      <c r="H38" s="48"/>
      <c r="I38" s="27">
        <v>1</v>
      </c>
      <c r="J38" s="27">
        <v>50000</v>
      </c>
      <c r="K38" s="48"/>
      <c r="L38" s="27"/>
      <c r="M38" s="27">
        <v>50000</v>
      </c>
      <c r="N38" s="48">
        <v>28</v>
      </c>
      <c r="O38" s="48" t="s">
        <v>75</v>
      </c>
      <c r="P38" s="48">
        <f>HEX2DEC(RIGHT(Table13232127535863[[#This Row],[h1]],8))</f>
        <v>0</v>
      </c>
      <c r="Q38" s="48" t="s">
        <v>75</v>
      </c>
      <c r="R38" s="48">
        <f>HEX2DEC(RIGHT(Table13232127535863[[#This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171</v>
      </c>
      <c r="G39" s="49">
        <v>0</v>
      </c>
      <c r="H39" s="48"/>
      <c r="I39" s="27">
        <v>3</v>
      </c>
      <c r="J39" s="27">
        <v>50000</v>
      </c>
      <c r="K39" s="48"/>
      <c r="L39" s="27"/>
      <c r="M39" s="27">
        <v>50000</v>
      </c>
      <c r="N39" s="48">
        <v>29</v>
      </c>
      <c r="O39" s="48" t="s">
        <v>75</v>
      </c>
      <c r="P39" s="48">
        <f>HEX2DEC(RIGHT(Table13232127535863[[#This Row],[h1]],8))</f>
        <v>0</v>
      </c>
      <c r="Q39" s="48" t="s">
        <v>75</v>
      </c>
      <c r="R39" s="48">
        <f>HEX2DEC(RIGHT(Table13232127535863[[#This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172</v>
      </c>
      <c r="G40" s="49">
        <v>0</v>
      </c>
      <c r="H40" s="48"/>
      <c r="I40" s="27">
        <v>1</v>
      </c>
      <c r="J40" s="27">
        <v>50000</v>
      </c>
      <c r="K40" s="48"/>
      <c r="L40" s="27"/>
      <c r="M40" s="27">
        <v>50000</v>
      </c>
      <c r="N40" s="48">
        <v>30</v>
      </c>
      <c r="O40" s="48" t="s">
        <v>75</v>
      </c>
      <c r="P40" s="48">
        <f>HEX2DEC(RIGHT(Table13232127535863[[#This Row],[h1]],8))</f>
        <v>0</v>
      </c>
      <c r="Q40" s="48" t="s">
        <v>75</v>
      </c>
      <c r="R40" s="48">
        <f>HEX2DEC(RIGHT(Table13232127535863[[#This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173</v>
      </c>
      <c r="G41" s="49">
        <v>0</v>
      </c>
      <c r="H41" s="48"/>
      <c r="I41" s="27">
        <v>2</v>
      </c>
      <c r="J41" s="27">
        <v>50000</v>
      </c>
      <c r="K41" s="48"/>
      <c r="L41" s="27"/>
      <c r="M41" s="27">
        <v>50000</v>
      </c>
      <c r="N41" s="48">
        <v>31</v>
      </c>
      <c r="O41" s="48" t="s">
        <v>75</v>
      </c>
      <c r="P41" s="48">
        <f>HEX2DEC(RIGHT(Table13232127535863[[#This Row],[h1]],8))</f>
        <v>0</v>
      </c>
      <c r="Q41" s="48" t="s">
        <v>75</v>
      </c>
      <c r="R41" s="48">
        <f>HEX2DEC(RIGHT(Table13232127535863[[#This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174</v>
      </c>
      <c r="G42" s="49">
        <v>0</v>
      </c>
      <c r="H42" s="48"/>
      <c r="I42" s="27">
        <v>1</v>
      </c>
      <c r="J42" s="27">
        <v>50000</v>
      </c>
      <c r="K42" s="48"/>
      <c r="L42" s="27"/>
      <c r="M42" s="27">
        <v>50000</v>
      </c>
      <c r="N42" s="48">
        <v>32</v>
      </c>
      <c r="O42" s="48" t="s">
        <v>75</v>
      </c>
      <c r="P42" s="48">
        <f>HEX2DEC(RIGHT(Table13232127535863[[#This Row],[h1]],8))</f>
        <v>0</v>
      </c>
      <c r="Q42" s="48" t="s">
        <v>75</v>
      </c>
      <c r="R42" s="48">
        <f>HEX2DEC(RIGHT(Table13232127535863[[#This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175</v>
      </c>
      <c r="G43" s="49">
        <v>0</v>
      </c>
      <c r="H43" s="48"/>
      <c r="I43" s="27">
        <v>3</v>
      </c>
      <c r="J43" s="27">
        <v>50000</v>
      </c>
      <c r="K43" s="48"/>
      <c r="L43" s="27"/>
      <c r="M43" s="27">
        <v>50000</v>
      </c>
      <c r="N43" s="48">
        <v>33</v>
      </c>
      <c r="O43" s="48" t="s">
        <v>75</v>
      </c>
      <c r="P43" s="48">
        <f>HEX2DEC(RIGHT(Table13232127535863[[#This Row],[h1]],8))</f>
        <v>0</v>
      </c>
      <c r="Q43" s="48" t="s">
        <v>75</v>
      </c>
      <c r="R43" s="48">
        <f>HEX2DEC(RIGHT(Table13232127535863[[#This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176</v>
      </c>
      <c r="G44" s="49">
        <v>0</v>
      </c>
      <c r="H44" s="48"/>
      <c r="I44" s="27">
        <v>1</v>
      </c>
      <c r="J44" s="27">
        <v>50000</v>
      </c>
      <c r="K44" s="48"/>
      <c r="L44" s="27"/>
      <c r="M44" s="27">
        <v>50000</v>
      </c>
      <c r="N44" s="48">
        <v>34</v>
      </c>
      <c r="O44" s="48" t="s">
        <v>75</v>
      </c>
      <c r="P44" s="48">
        <f>HEX2DEC(RIGHT(Table13232127535863[[#This Row],[h1]],8))</f>
        <v>0</v>
      </c>
      <c r="Q44" s="48" t="s">
        <v>75</v>
      </c>
      <c r="R44" s="48">
        <f>HEX2DEC(RIGHT(Table13232127535863[[#This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177</v>
      </c>
      <c r="G45" s="49">
        <v>0</v>
      </c>
      <c r="H45" s="48"/>
      <c r="I45" s="27">
        <v>2</v>
      </c>
      <c r="J45" s="27">
        <v>50000</v>
      </c>
      <c r="K45" s="48"/>
      <c r="L45" s="27"/>
      <c r="M45" s="27">
        <v>50000</v>
      </c>
      <c r="N45" s="48">
        <v>35</v>
      </c>
      <c r="O45" s="48" t="s">
        <v>75</v>
      </c>
      <c r="P45" s="48">
        <f>HEX2DEC(RIGHT(Table13232127535863[[#This Row],[h1]],8))</f>
        <v>0</v>
      </c>
      <c r="Q45" s="48" t="s">
        <v>75</v>
      </c>
      <c r="R45" s="48">
        <f>HEX2DEC(RIGHT(Table13232127535863[[#This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178</v>
      </c>
      <c r="G46" s="49">
        <v>0</v>
      </c>
      <c r="H46" s="48"/>
      <c r="I46" s="27">
        <v>1</v>
      </c>
      <c r="J46" s="27">
        <v>50000</v>
      </c>
      <c r="K46" s="48"/>
      <c r="L46" s="27"/>
      <c r="M46" s="27">
        <v>50000</v>
      </c>
      <c r="N46" s="48">
        <v>36</v>
      </c>
      <c r="O46" s="48" t="s">
        <v>75</v>
      </c>
      <c r="P46" s="48">
        <f>HEX2DEC(RIGHT(Table13232127535863[[#This Row],[h1]],8))</f>
        <v>0</v>
      </c>
      <c r="Q46" s="48" t="s">
        <v>75</v>
      </c>
      <c r="R46" s="48">
        <f>HEX2DEC(RIGHT(Table13232127535863[[#This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9"/>
      <c r="H47" s="48"/>
      <c r="I47" s="27">
        <v>4</v>
      </c>
      <c r="J47" s="27">
        <v>50000</v>
      </c>
      <c r="K47" s="48"/>
      <c r="L47" s="27"/>
      <c r="M47" s="27">
        <v>50000</v>
      </c>
      <c r="N47" s="48">
        <v>37</v>
      </c>
      <c r="O47" s="48" t="s">
        <v>75</v>
      </c>
      <c r="P47" s="48">
        <f>HEX2DEC(RIGHT(Table13232127535863[[#This Row],[h1]],8))</f>
        <v>0</v>
      </c>
      <c r="Q47" s="48" t="s">
        <v>75</v>
      </c>
      <c r="R47" s="48">
        <f>HEX2DEC(RIGHT(Table13232127535863[[#This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179</v>
      </c>
      <c r="G48" s="49">
        <v>0</v>
      </c>
      <c r="H48" s="48"/>
      <c r="I48" s="27">
        <v>1</v>
      </c>
      <c r="J48" s="27">
        <v>50000</v>
      </c>
      <c r="K48" s="48"/>
      <c r="L48" s="27"/>
      <c r="M48" s="27">
        <v>50000</v>
      </c>
      <c r="N48" s="48">
        <v>38</v>
      </c>
      <c r="O48" s="48" t="s">
        <v>75</v>
      </c>
      <c r="P48" s="48">
        <f>HEX2DEC(RIGHT(Table13232127535863[[#This Row],[h1]],8))</f>
        <v>0</v>
      </c>
      <c r="Q48" s="48" t="s">
        <v>75</v>
      </c>
      <c r="R48" s="48">
        <f>HEX2DEC(RIGHT(Table13232127535863[[#This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180</v>
      </c>
      <c r="G49" s="49">
        <v>0</v>
      </c>
      <c r="H49" s="48"/>
      <c r="I49" s="27">
        <v>2</v>
      </c>
      <c r="J49" s="27">
        <v>50000</v>
      </c>
      <c r="K49" s="48"/>
      <c r="L49" s="27"/>
      <c r="M49" s="27">
        <v>50000</v>
      </c>
      <c r="N49" s="48">
        <v>39</v>
      </c>
      <c r="O49" s="48" t="s">
        <v>75</v>
      </c>
      <c r="P49" s="48">
        <f>HEX2DEC(RIGHT(Table13232127535863[[#This Row],[h1]],8))</f>
        <v>0</v>
      </c>
      <c r="Q49" s="48" t="s">
        <v>75</v>
      </c>
      <c r="R49" s="48">
        <f>HEX2DEC(RIGHT(Table13232127535863[[#This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181</v>
      </c>
      <c r="G50" s="49">
        <v>0</v>
      </c>
      <c r="H50" s="48"/>
      <c r="I50" s="27">
        <v>1</v>
      </c>
      <c r="J50" s="27">
        <v>50000</v>
      </c>
      <c r="K50" s="48"/>
      <c r="L50" s="27"/>
      <c r="M50" s="27">
        <v>50000</v>
      </c>
      <c r="N50" s="48">
        <v>40</v>
      </c>
      <c r="O50" s="48" t="s">
        <v>75</v>
      </c>
      <c r="P50" s="48">
        <f>HEX2DEC(RIGHT(Table13232127535863[[#This Row],[h1]],8))</f>
        <v>0</v>
      </c>
      <c r="Q50" s="48" t="s">
        <v>75</v>
      </c>
      <c r="R50" s="48">
        <f>HEX2DEC(RIGHT(Table13232127535863[[#This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182</v>
      </c>
      <c r="G51" s="49">
        <v>0</v>
      </c>
      <c r="H51" s="48"/>
      <c r="I51" s="27">
        <v>3</v>
      </c>
      <c r="J51" s="27">
        <v>50000</v>
      </c>
      <c r="K51" s="48"/>
      <c r="L51" s="27"/>
      <c r="M51" s="27">
        <v>50000</v>
      </c>
      <c r="N51" s="48">
        <v>41</v>
      </c>
      <c r="O51" s="48" t="s">
        <v>75</v>
      </c>
      <c r="P51" s="48">
        <f>HEX2DEC(RIGHT(Table13232127535863[[#This Row],[h1]],8))</f>
        <v>0</v>
      </c>
      <c r="Q51" s="48" t="s">
        <v>75</v>
      </c>
      <c r="R51" s="48">
        <f>HEX2DEC(RIGHT(Table13232127535863[[#This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183</v>
      </c>
      <c r="G52" s="49">
        <v>0</v>
      </c>
      <c r="H52" s="48"/>
      <c r="I52" s="27">
        <v>1</v>
      </c>
      <c r="J52" s="27">
        <v>50000</v>
      </c>
      <c r="K52" s="48"/>
      <c r="L52" s="27"/>
      <c r="M52" s="27">
        <v>50000</v>
      </c>
      <c r="N52" s="48">
        <v>42</v>
      </c>
      <c r="O52" s="48" t="s">
        <v>75</v>
      </c>
      <c r="P52" s="48">
        <f>HEX2DEC(RIGHT(Table13232127535863[[#This Row],[h1]],8))</f>
        <v>0</v>
      </c>
      <c r="Q52" s="48" t="s">
        <v>75</v>
      </c>
      <c r="R52" s="48">
        <f>HEX2DEC(RIGHT(Table13232127535863[[#This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184</v>
      </c>
      <c r="G53" s="49">
        <v>0</v>
      </c>
      <c r="H53" s="48"/>
      <c r="I53" s="27">
        <v>2</v>
      </c>
      <c r="J53" s="27">
        <v>50000</v>
      </c>
      <c r="K53" s="48"/>
      <c r="L53" s="27"/>
      <c r="M53" s="27">
        <v>50000</v>
      </c>
      <c r="N53" s="48">
        <v>43</v>
      </c>
      <c r="O53" s="48" t="s">
        <v>75</v>
      </c>
      <c r="P53" s="48">
        <f>HEX2DEC(RIGHT(Table13232127535863[[#This Row],[h1]],8))</f>
        <v>0</v>
      </c>
      <c r="Q53" s="48" t="s">
        <v>75</v>
      </c>
      <c r="R53" s="48">
        <f>HEX2DEC(RIGHT(Table13232127535863[[#This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185</v>
      </c>
      <c r="G54" s="49">
        <v>0</v>
      </c>
      <c r="H54" s="48"/>
      <c r="I54" s="27">
        <v>1</v>
      </c>
      <c r="J54" s="27">
        <v>50000</v>
      </c>
      <c r="K54" s="48"/>
      <c r="L54" s="27"/>
      <c r="M54" s="27">
        <v>50000</v>
      </c>
      <c r="N54" s="48">
        <v>44</v>
      </c>
      <c r="O54" s="48" t="s">
        <v>75</v>
      </c>
      <c r="P54" s="48">
        <f>HEX2DEC(RIGHT(Table13232127535863[[#This Row],[h1]],8))</f>
        <v>0</v>
      </c>
      <c r="Q54" s="48" t="s">
        <v>75</v>
      </c>
      <c r="R54" s="48">
        <f>HEX2DEC(RIGHT(Table13232127535863[[#This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186</v>
      </c>
      <c r="G55" s="49">
        <v>0</v>
      </c>
      <c r="H55" s="48"/>
      <c r="I55" s="27">
        <v>3</v>
      </c>
      <c r="J55" s="27">
        <v>50000</v>
      </c>
      <c r="K55" s="48"/>
      <c r="L55" s="27"/>
      <c r="M55" s="27">
        <v>50000</v>
      </c>
      <c r="N55" s="48">
        <v>45</v>
      </c>
      <c r="O55" s="48" t="s">
        <v>75</v>
      </c>
      <c r="P55" s="48">
        <f>HEX2DEC(RIGHT(Table13232127535863[[#This Row],[h1]],8))</f>
        <v>0</v>
      </c>
      <c r="Q55" s="48" t="s">
        <v>75</v>
      </c>
      <c r="R55" s="48">
        <f>HEX2DEC(RIGHT(Table13232127535863[[#This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187</v>
      </c>
      <c r="G56" s="49">
        <v>0</v>
      </c>
      <c r="H56" s="48"/>
      <c r="I56" s="27">
        <v>1</v>
      </c>
      <c r="J56" s="27">
        <v>50000</v>
      </c>
      <c r="K56" s="48"/>
      <c r="L56" s="27"/>
      <c r="M56" s="27">
        <v>50000</v>
      </c>
      <c r="N56" s="48">
        <v>46</v>
      </c>
      <c r="O56" s="48" t="s">
        <v>75</v>
      </c>
      <c r="P56" s="48">
        <f>HEX2DEC(RIGHT(Table13232127535863[[#This Row],[h1]],8))</f>
        <v>0</v>
      </c>
      <c r="Q56" s="48" t="s">
        <v>75</v>
      </c>
      <c r="R56" s="48">
        <f>HEX2DEC(RIGHT(Table13232127535863[[#This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188</v>
      </c>
      <c r="G57" s="49">
        <v>0</v>
      </c>
      <c r="H57" s="48"/>
      <c r="I57" s="27">
        <v>2</v>
      </c>
      <c r="J57" s="27">
        <v>50000</v>
      </c>
      <c r="K57" s="48"/>
      <c r="L57" s="27"/>
      <c r="M57" s="27">
        <v>50000</v>
      </c>
      <c r="N57" s="48">
        <v>47</v>
      </c>
      <c r="O57" s="48" t="s">
        <v>75</v>
      </c>
      <c r="P57" s="48">
        <f>HEX2DEC(RIGHT(Table13232127535863[[#This Row],[h1]],8))</f>
        <v>0</v>
      </c>
      <c r="Q57" s="48" t="s">
        <v>75</v>
      </c>
      <c r="R57" s="48">
        <f>HEX2DEC(RIGHT(Table13232127535863[[#This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189</v>
      </c>
      <c r="G58" s="49">
        <v>0</v>
      </c>
      <c r="H58" s="48"/>
      <c r="I58" s="27">
        <v>1</v>
      </c>
      <c r="J58" s="27">
        <v>50000</v>
      </c>
      <c r="K58" s="48"/>
      <c r="L58" s="27"/>
      <c r="M58" s="27">
        <v>50000</v>
      </c>
      <c r="N58" s="48">
        <v>48</v>
      </c>
      <c r="O58" s="48" t="s">
        <v>75</v>
      </c>
      <c r="P58" s="48">
        <f>HEX2DEC(RIGHT(Table13232127535863[[#This Row],[h1]],8))</f>
        <v>0</v>
      </c>
      <c r="Q58" s="48" t="s">
        <v>75</v>
      </c>
      <c r="R58" s="48">
        <f>HEX2DEC(RIGHT(Table13232127535863[[#This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190</v>
      </c>
      <c r="G59" s="49">
        <v>0</v>
      </c>
      <c r="H59" s="48"/>
      <c r="I59" s="27">
        <v>4</v>
      </c>
      <c r="J59" s="27">
        <v>50000</v>
      </c>
      <c r="K59" s="48"/>
      <c r="L59" s="27"/>
      <c r="M59" s="27">
        <v>50000</v>
      </c>
      <c r="N59" s="48">
        <v>49</v>
      </c>
      <c r="O59" s="48" t="s">
        <v>75</v>
      </c>
      <c r="P59" s="48">
        <f>HEX2DEC(RIGHT(Table13232127535863[[#This Row],[h1]],8))</f>
        <v>0</v>
      </c>
      <c r="Q59" s="48" t="s">
        <v>75</v>
      </c>
      <c r="R59" s="48">
        <f>HEX2DEC(RIGHT(Table13232127535863[[#This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191</v>
      </c>
      <c r="G60" s="49">
        <v>0</v>
      </c>
      <c r="H60" s="48"/>
      <c r="I60" s="27">
        <v>1</v>
      </c>
      <c r="J60" s="27">
        <v>50000</v>
      </c>
      <c r="K60" s="48"/>
      <c r="L60" s="27"/>
      <c r="M60" s="27">
        <v>50000</v>
      </c>
      <c r="N60" s="48">
        <v>50</v>
      </c>
      <c r="O60" s="48" t="s">
        <v>75</v>
      </c>
      <c r="P60" s="48">
        <f>HEX2DEC(RIGHT(Table13232127535863[[#This Row],[h1]],8))</f>
        <v>0</v>
      </c>
      <c r="Q60" s="48" t="s">
        <v>75</v>
      </c>
      <c r="R60" s="48">
        <f>HEX2DEC(RIGHT(Table13232127535863[[#This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192</v>
      </c>
      <c r="G61" s="49">
        <v>0</v>
      </c>
      <c r="H61" s="48"/>
      <c r="I61" s="27">
        <v>2</v>
      </c>
      <c r="J61" s="27">
        <v>50000</v>
      </c>
      <c r="K61" s="48"/>
      <c r="L61" s="27"/>
      <c r="M61" s="27">
        <v>50000</v>
      </c>
      <c r="O61" s="48" t="s">
        <v>75</v>
      </c>
      <c r="P61" s="48">
        <f>HEX2DEC(RIGHT(Table13232127535863[[#This Row],[h1]],8))</f>
        <v>0</v>
      </c>
      <c r="Q61" s="48" t="s">
        <v>75</v>
      </c>
      <c r="R61" s="48">
        <f>HEX2DEC(RIGHT(Table13232127535863[[#This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193</v>
      </c>
      <c r="G62" s="49">
        <v>0</v>
      </c>
      <c r="I62" s="27">
        <v>1</v>
      </c>
      <c r="J62" s="27">
        <v>50000</v>
      </c>
      <c r="L62" s="27"/>
      <c r="M62" s="27">
        <v>50000</v>
      </c>
      <c r="O62" s="48" t="s">
        <v>75</v>
      </c>
      <c r="P62" s="48">
        <f>HEX2DEC(RIGHT(Table13232127535863[[#This Row],[h1]],8))</f>
        <v>0</v>
      </c>
      <c r="Q62" s="48" t="s">
        <v>75</v>
      </c>
      <c r="R62" s="48">
        <f>HEX2DEC(RIGHT(Table13232127535863[[#This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194</v>
      </c>
      <c r="G63" s="49">
        <v>0</v>
      </c>
      <c r="I63" s="27">
        <v>3</v>
      </c>
      <c r="J63" s="27">
        <v>50000</v>
      </c>
      <c r="L63" s="27"/>
      <c r="M63" s="27">
        <v>50000</v>
      </c>
      <c r="O63" s="48" t="s">
        <v>75</v>
      </c>
      <c r="P63" s="48">
        <f>HEX2DEC(RIGHT(Table13232127535863[[#This Row],[h1]],8))</f>
        <v>0</v>
      </c>
      <c r="Q63" s="48" t="s">
        <v>75</v>
      </c>
      <c r="R63" s="48">
        <f>HEX2DEC(RIGHT(Table13232127535863[[#This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195</v>
      </c>
      <c r="F64" s="24" t="s">
        <v>427</v>
      </c>
      <c r="G64" s="49">
        <v>1</v>
      </c>
      <c r="I64" s="27">
        <v>1</v>
      </c>
      <c r="J64" s="27">
        <v>50000</v>
      </c>
      <c r="L64" s="27"/>
      <c r="M64" s="27">
        <v>50000</v>
      </c>
      <c r="O64" s="48" t="s">
        <v>75</v>
      </c>
      <c r="P64" s="48">
        <f>HEX2DEC(RIGHT(Table13232127535863[[#This Row],[h1]],8))</f>
        <v>0</v>
      </c>
      <c r="Q64" s="48" t="s">
        <v>75</v>
      </c>
      <c r="R64" s="48">
        <f>HEX2DEC(RIGHT(Table13232127535863[[#This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196</v>
      </c>
      <c r="F65" s="24" t="s">
        <v>427</v>
      </c>
      <c r="G65" s="49">
        <v>1</v>
      </c>
      <c r="I65" s="27">
        <v>2</v>
      </c>
      <c r="J65" s="27">
        <v>50000</v>
      </c>
      <c r="L65" s="27"/>
      <c r="M65" s="27">
        <v>50000</v>
      </c>
      <c r="O65" s="48" t="s">
        <v>75</v>
      </c>
      <c r="P65" s="48">
        <f>HEX2DEC(RIGHT(Table13232127535863[[#This Row],[h1]],8))</f>
        <v>0</v>
      </c>
      <c r="Q65" s="48" t="s">
        <v>75</v>
      </c>
      <c r="R65" s="48">
        <f>HEX2DEC(RIGHT(Table13232127535863[[#This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197</v>
      </c>
      <c r="F66" s="24" t="s">
        <v>427</v>
      </c>
      <c r="G66" s="49">
        <v>1</v>
      </c>
      <c r="I66" s="27">
        <v>1</v>
      </c>
      <c r="J66" s="27">
        <v>50000</v>
      </c>
      <c r="L66" s="27"/>
      <c r="M66" s="27">
        <v>50000</v>
      </c>
      <c r="O66" s="48" t="s">
        <v>75</v>
      </c>
      <c r="P66" s="48">
        <f>HEX2DEC(RIGHT(Table13232127535863[[#This Row],[h1]],8))</f>
        <v>0</v>
      </c>
      <c r="Q66" s="48" t="s">
        <v>75</v>
      </c>
      <c r="R66" s="48">
        <f>HEX2DEC(RIGHT(Table13232127535863[[#This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198</v>
      </c>
      <c r="F67" s="24" t="s">
        <v>427</v>
      </c>
      <c r="G67" s="49">
        <v>1</v>
      </c>
      <c r="I67" s="27">
        <v>3</v>
      </c>
      <c r="J67" s="27">
        <v>50000</v>
      </c>
      <c r="L67" s="27"/>
      <c r="M67" s="27">
        <v>50000</v>
      </c>
      <c r="O67" s="48" t="s">
        <v>75</v>
      </c>
      <c r="P67" s="48">
        <f>HEX2DEC(RIGHT(Table13232127535863[[#This Row],[h1]],8))</f>
        <v>0</v>
      </c>
      <c r="Q67" s="48" t="s">
        <v>75</v>
      </c>
      <c r="R67" s="48">
        <f>HEX2DEC(RIGHT(Table13232127535863[[#This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199</v>
      </c>
      <c r="F68" s="24" t="s">
        <v>427</v>
      </c>
      <c r="G68" s="49">
        <v>1</v>
      </c>
      <c r="I68" s="27">
        <v>1</v>
      </c>
      <c r="J68" s="27">
        <v>50000</v>
      </c>
      <c r="L68" s="27"/>
      <c r="M68" s="27">
        <v>50000</v>
      </c>
      <c r="O68" s="48" t="s">
        <v>75</v>
      </c>
      <c r="P68" s="48">
        <f>HEX2DEC(RIGHT(Table13232127535863[[#This Row],[h1]],8))</f>
        <v>0</v>
      </c>
      <c r="Q68" s="48" t="s">
        <v>75</v>
      </c>
      <c r="R68" s="48">
        <f>HEX2DEC(RIGHT(Table13232127535863[[#This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200</v>
      </c>
      <c r="F69" s="24" t="s">
        <v>427</v>
      </c>
      <c r="G69" s="49">
        <v>1</v>
      </c>
      <c r="I69" s="27">
        <v>2</v>
      </c>
      <c r="J69" s="27">
        <v>50000</v>
      </c>
      <c r="L69" s="27"/>
      <c r="M69" s="27">
        <v>50000</v>
      </c>
      <c r="O69" s="48" t="s">
        <v>75</v>
      </c>
      <c r="P69" s="48">
        <f>HEX2DEC(RIGHT(Table13232127535863[[#This Row],[h1]],8))</f>
        <v>0</v>
      </c>
      <c r="Q69" s="48" t="s">
        <v>75</v>
      </c>
      <c r="R69" s="48">
        <f>HEX2DEC(RIGHT(Table13232127535863[[#This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201</v>
      </c>
      <c r="F70" s="24" t="s">
        <v>427</v>
      </c>
      <c r="G70" s="49">
        <v>1</v>
      </c>
      <c r="I70" s="27">
        <v>1</v>
      </c>
      <c r="J70" s="27">
        <v>50000</v>
      </c>
      <c r="L70" s="27"/>
      <c r="M70" s="27">
        <v>50000</v>
      </c>
      <c r="O70" s="48" t="s">
        <v>75</v>
      </c>
      <c r="P70" s="48">
        <f>HEX2DEC(RIGHT(Table13232127535863[[#This Row],[h1]],8))</f>
        <v>0</v>
      </c>
      <c r="Q70" s="48" t="s">
        <v>75</v>
      </c>
      <c r="R70" s="48">
        <f>HEX2DEC(RIGHT(Table13232127535863[[#This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202</v>
      </c>
      <c r="F71" s="24" t="s">
        <v>427</v>
      </c>
      <c r="G71" s="49">
        <v>1</v>
      </c>
      <c r="I71" s="27">
        <v>4</v>
      </c>
      <c r="J71" s="27">
        <v>50000</v>
      </c>
      <c r="L71" s="27"/>
      <c r="M71" s="27">
        <v>50000</v>
      </c>
      <c r="O71" s="48" t="s">
        <v>75</v>
      </c>
      <c r="P71" s="48">
        <f>HEX2DEC(RIGHT(Table13232127535863[[#This Row],[h1]],8))</f>
        <v>0</v>
      </c>
      <c r="Q71" s="48" t="s">
        <v>75</v>
      </c>
      <c r="R71" s="48">
        <f>HEX2DEC(RIGHT(Table13232127535863[[#This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203</v>
      </c>
      <c r="F72" s="24" t="s">
        <v>427</v>
      </c>
      <c r="G72" s="49">
        <v>1</v>
      </c>
      <c r="I72" s="27">
        <v>1</v>
      </c>
      <c r="J72" s="27">
        <v>50000</v>
      </c>
      <c r="L72" s="27"/>
      <c r="M72" s="27">
        <v>50000</v>
      </c>
      <c r="O72" s="48" t="s">
        <v>75</v>
      </c>
      <c r="P72" s="48">
        <f>HEX2DEC(RIGHT(Table13232127535863[[#This Row],[h1]],8))</f>
        <v>0</v>
      </c>
      <c r="Q72" s="48" t="s">
        <v>75</v>
      </c>
      <c r="R72" s="48">
        <f>HEX2DEC(RIGHT(Table13232127535863[[#This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204</v>
      </c>
      <c r="F73" s="24" t="s">
        <v>427</v>
      </c>
      <c r="G73" s="49">
        <v>1</v>
      </c>
      <c r="I73" s="27">
        <v>2</v>
      </c>
      <c r="J73" s="27">
        <v>50000</v>
      </c>
      <c r="L73" s="27"/>
      <c r="M73" s="27">
        <v>50000</v>
      </c>
      <c r="O73" s="48" t="s">
        <v>75</v>
      </c>
      <c r="P73" s="48">
        <f>HEX2DEC(RIGHT(Table13232127535863[[#This Row],[h1]],8))</f>
        <v>0</v>
      </c>
      <c r="Q73" s="48" t="s">
        <v>75</v>
      </c>
      <c r="R73" s="48">
        <f>HEX2DEC(RIGHT(Table13232127535863[[#This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205</v>
      </c>
      <c r="F74" s="24" t="s">
        <v>427</v>
      </c>
      <c r="G74" s="49">
        <v>1</v>
      </c>
      <c r="I74" s="27">
        <v>1</v>
      </c>
      <c r="J74" s="27">
        <v>50000</v>
      </c>
      <c r="L74" s="27"/>
      <c r="M74" s="27">
        <v>50000</v>
      </c>
      <c r="O74" s="48" t="s">
        <v>75</v>
      </c>
      <c r="P74" s="48">
        <f>HEX2DEC(RIGHT(Table13232127535863[[#This Row],[h1]],8))</f>
        <v>0</v>
      </c>
      <c r="Q74" s="48" t="s">
        <v>75</v>
      </c>
      <c r="R74" s="48">
        <f>HEX2DEC(RIGHT(Table13232127535863[[#This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206</v>
      </c>
      <c r="F75" s="24" t="s">
        <v>427</v>
      </c>
      <c r="G75" s="49">
        <v>1</v>
      </c>
      <c r="I75" s="27">
        <v>3</v>
      </c>
      <c r="J75" s="27">
        <v>50000</v>
      </c>
      <c r="L75" s="27"/>
      <c r="M75" s="27">
        <v>50000</v>
      </c>
      <c r="O75" s="48" t="s">
        <v>75</v>
      </c>
      <c r="P75" s="48">
        <f>HEX2DEC(RIGHT(Table13232127535863[[#This Row],[h1]],8))</f>
        <v>0</v>
      </c>
      <c r="Q75" s="48" t="s">
        <v>75</v>
      </c>
      <c r="R75" s="48">
        <f>HEX2DEC(RIGHT(Table13232127535863[[#This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207</v>
      </c>
      <c r="F76" s="24" t="s">
        <v>427</v>
      </c>
      <c r="G76" s="49">
        <v>1</v>
      </c>
      <c r="I76" s="27">
        <v>1</v>
      </c>
      <c r="J76" s="27">
        <v>50000</v>
      </c>
      <c r="L76" s="27"/>
      <c r="M76" s="27">
        <v>50000</v>
      </c>
      <c r="O76" s="48" t="s">
        <v>75</v>
      </c>
      <c r="P76" s="48">
        <f>HEX2DEC(RIGHT(Table13232127535863[[#This Row],[h1]],8))</f>
        <v>0</v>
      </c>
      <c r="Q76" s="48" t="s">
        <v>75</v>
      </c>
      <c r="R76" s="48">
        <f>HEX2DEC(RIGHT(Table13232127535863[[#This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208</v>
      </c>
      <c r="F77" s="24" t="s">
        <v>427</v>
      </c>
      <c r="G77" s="49">
        <v>1</v>
      </c>
      <c r="I77" s="27">
        <v>2</v>
      </c>
      <c r="J77" s="27">
        <v>50000</v>
      </c>
      <c r="L77" s="27"/>
      <c r="M77" s="27">
        <v>50000</v>
      </c>
      <c r="O77" s="48" t="s">
        <v>75</v>
      </c>
      <c r="P77" s="48">
        <f>HEX2DEC(RIGHT(Table13232127535863[[#This Row],[h1]],8))</f>
        <v>0</v>
      </c>
      <c r="Q77" s="48" t="s">
        <v>75</v>
      </c>
      <c r="R77" s="48">
        <f>HEX2DEC(RIGHT(Table13232127535863[[#This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209</v>
      </c>
      <c r="F78" s="24" t="s">
        <v>427</v>
      </c>
      <c r="G78" s="49">
        <v>1</v>
      </c>
      <c r="I78" s="27">
        <v>1</v>
      </c>
      <c r="J78" s="27">
        <v>50000</v>
      </c>
      <c r="L78" s="27"/>
      <c r="M78" s="27">
        <v>50000</v>
      </c>
      <c r="O78" s="48" t="s">
        <v>75</v>
      </c>
      <c r="P78" s="48">
        <f>HEX2DEC(RIGHT(Table13232127535863[[#This Row],[h1]],8))</f>
        <v>0</v>
      </c>
      <c r="Q78" s="48" t="s">
        <v>75</v>
      </c>
      <c r="R78" s="48">
        <f>HEX2DEC(RIGHT(Table13232127535863[[#This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210</v>
      </c>
      <c r="F79" s="24" t="s">
        <v>427</v>
      </c>
      <c r="G79" s="49">
        <v>1</v>
      </c>
      <c r="I79" s="27">
        <v>3</v>
      </c>
      <c r="J79" s="27">
        <v>50000</v>
      </c>
      <c r="L79" s="27"/>
      <c r="M79" s="27">
        <v>50000</v>
      </c>
      <c r="O79" s="48" t="s">
        <v>75</v>
      </c>
      <c r="P79" s="48">
        <f>HEX2DEC(RIGHT(Table13232127535863[[#This Row],[h1]],8))</f>
        <v>0</v>
      </c>
      <c r="Q79" s="48" t="s">
        <v>75</v>
      </c>
      <c r="R79" s="48">
        <f>HEX2DEC(RIGHT(Table13232127535863[[#This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9"/>
      <c r="I80" s="27">
        <v>1</v>
      </c>
      <c r="J80" s="27">
        <v>50000</v>
      </c>
      <c r="L80" s="27"/>
      <c r="M80" s="27">
        <v>50000</v>
      </c>
      <c r="O80" s="48" t="s">
        <v>75</v>
      </c>
      <c r="P80" s="48">
        <f>HEX2DEC(RIGHT(Table13232127535863[[#This Row],[h1]],8))</f>
        <v>0</v>
      </c>
      <c r="Q80" s="48" t="s">
        <v>75</v>
      </c>
      <c r="R80" s="48">
        <f>HEX2DEC(RIGHT(Table13232127535863[[#This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211</v>
      </c>
      <c r="G81" s="49">
        <v>5000</v>
      </c>
      <c r="I81" s="27">
        <v>2</v>
      </c>
      <c r="J81" s="27">
        <v>50000</v>
      </c>
      <c r="L81" s="27"/>
      <c r="M81" s="27">
        <v>50000</v>
      </c>
      <c r="O81" s="48" t="s">
        <v>75</v>
      </c>
      <c r="P81" s="48">
        <f>HEX2DEC(RIGHT(Table13232127535863[[#This Row],[h1]],8))</f>
        <v>0</v>
      </c>
      <c r="Q81" s="48" t="s">
        <v>75</v>
      </c>
      <c r="R81" s="48">
        <f>HEX2DEC(RIGHT(Table13232127535863[[#This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212</v>
      </c>
      <c r="G82" s="49">
        <v>5000</v>
      </c>
      <c r="I82" s="27">
        <v>1</v>
      </c>
      <c r="J82" s="27">
        <v>50000</v>
      </c>
      <c r="L82" s="27"/>
      <c r="M82" s="27">
        <v>50000</v>
      </c>
      <c r="O82" s="48" t="s">
        <v>75</v>
      </c>
      <c r="P82" s="48">
        <f>HEX2DEC(RIGHT(Table13232127535863[[#This Row],[h1]],8))</f>
        <v>0</v>
      </c>
      <c r="Q82" s="48" t="s">
        <v>75</v>
      </c>
      <c r="R82" s="48">
        <f>HEX2DEC(RIGHT(Table13232127535863[[#This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213</v>
      </c>
      <c r="G83" s="49">
        <v>8</v>
      </c>
      <c r="I83" s="27">
        <v>4</v>
      </c>
      <c r="J83" s="27">
        <v>50000</v>
      </c>
      <c r="L83" s="27"/>
      <c r="M83" s="27">
        <v>50000</v>
      </c>
      <c r="O83" s="48" t="s">
        <v>75</v>
      </c>
      <c r="P83" s="48">
        <f>HEX2DEC(RIGHT(Table13232127535863[[#This Row],[h1]],8))</f>
        <v>0</v>
      </c>
      <c r="Q83" s="48" t="s">
        <v>75</v>
      </c>
      <c r="R83" s="48">
        <f>HEX2DEC(RIGHT(Table13232127535863[[#This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214</v>
      </c>
      <c r="G84" s="49">
        <v>8</v>
      </c>
      <c r="I84" s="27">
        <v>1</v>
      </c>
      <c r="J84" s="27">
        <v>50000</v>
      </c>
      <c r="L84" s="27"/>
      <c r="M84" s="27">
        <v>50000</v>
      </c>
      <c r="O84" s="48" t="s">
        <v>75</v>
      </c>
      <c r="P84" s="48">
        <f>HEX2DEC(RIGHT(Table13232127535863[[#This Row],[h1]],8))</f>
        <v>0</v>
      </c>
      <c r="Q84" s="48" t="s">
        <v>75</v>
      </c>
      <c r="R84" s="48">
        <f>HEX2DEC(RIGHT(Table13232127535863[[#This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215</v>
      </c>
      <c r="G85" s="49">
        <v>8</v>
      </c>
      <c r="I85" s="27">
        <v>2</v>
      </c>
      <c r="J85" s="27">
        <v>50000</v>
      </c>
      <c r="L85" s="27"/>
      <c r="M85" s="27">
        <v>50000</v>
      </c>
      <c r="O85" s="48" t="s">
        <v>75</v>
      </c>
      <c r="P85" s="48">
        <f>HEX2DEC(RIGHT(Table13232127535863[[#This Row],[h1]],8))</f>
        <v>0</v>
      </c>
      <c r="Q85" s="48" t="s">
        <v>75</v>
      </c>
      <c r="R85" s="48">
        <f>HEX2DEC(RIGHT(Table13232127535863[[#This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216</v>
      </c>
      <c r="G86" s="49">
        <v>8</v>
      </c>
      <c r="I86" s="27">
        <v>1</v>
      </c>
      <c r="J86" s="27">
        <v>50000</v>
      </c>
      <c r="L86" s="27"/>
      <c r="M86" s="27">
        <v>50000</v>
      </c>
      <c r="O86" s="48" t="s">
        <v>75</v>
      </c>
      <c r="P86" s="48">
        <f>HEX2DEC(RIGHT(Table13232127535863[[#This Row],[h1]],8))</f>
        <v>0</v>
      </c>
      <c r="Q86" s="48" t="s">
        <v>75</v>
      </c>
      <c r="R86" s="48">
        <f>HEX2DEC(RIGHT(Table13232127535863[[#This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217</v>
      </c>
      <c r="G87" s="49">
        <v>8</v>
      </c>
      <c r="I87" s="27">
        <v>3</v>
      </c>
      <c r="J87" s="27">
        <v>50000</v>
      </c>
      <c r="L87" s="27"/>
      <c r="M87" s="27">
        <v>50000</v>
      </c>
      <c r="O87" s="48" t="s">
        <v>75</v>
      </c>
      <c r="P87" s="48">
        <f>HEX2DEC(RIGHT(Table13232127535863[[#This Row],[h1]],8))</f>
        <v>0</v>
      </c>
      <c r="Q87" s="48" t="s">
        <v>75</v>
      </c>
      <c r="R87" s="48">
        <f>HEX2DEC(RIGHT(Table13232127535863[[#This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218</v>
      </c>
      <c r="G88" s="49">
        <v>5000</v>
      </c>
      <c r="I88" s="27">
        <v>1</v>
      </c>
      <c r="J88" s="27">
        <v>50000</v>
      </c>
      <c r="L88" s="27"/>
      <c r="M88" s="27">
        <v>50000</v>
      </c>
      <c r="O88" s="48" t="s">
        <v>75</v>
      </c>
      <c r="P88" s="48">
        <f>HEX2DEC(RIGHT(Table13232127535863[[#This Row],[h1]],8))</f>
        <v>0</v>
      </c>
      <c r="Q88" s="48" t="s">
        <v>75</v>
      </c>
      <c r="R88" s="48">
        <f>HEX2DEC(RIGHT(Table13232127535863[[#This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219</v>
      </c>
      <c r="G89" s="49">
        <v>5000</v>
      </c>
      <c r="I89" s="27">
        <v>2</v>
      </c>
      <c r="J89" s="27">
        <v>50000</v>
      </c>
      <c r="L89" s="27"/>
      <c r="M89" s="27">
        <v>50000</v>
      </c>
      <c r="O89" s="48" t="s">
        <v>75</v>
      </c>
      <c r="P89" s="48">
        <f>HEX2DEC(RIGHT(Table13232127535863[[#This Row],[h1]],8))</f>
        <v>0</v>
      </c>
      <c r="Q89" s="48" t="s">
        <v>75</v>
      </c>
      <c r="R89" s="48">
        <f>HEX2DEC(RIGHT(Table13232127535863[[#This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220</v>
      </c>
      <c r="G90" s="49">
        <v>5000</v>
      </c>
      <c r="I90" s="27">
        <v>1</v>
      </c>
      <c r="J90" s="27">
        <v>50000</v>
      </c>
      <c r="L90" s="27"/>
      <c r="M90" s="27">
        <v>50000</v>
      </c>
      <c r="O90" s="48" t="s">
        <v>75</v>
      </c>
      <c r="P90" s="48">
        <f>HEX2DEC(RIGHT(Table13232127535863[[#This Row],[h1]],8))</f>
        <v>0</v>
      </c>
      <c r="Q90" s="48" t="s">
        <v>75</v>
      </c>
      <c r="R90" s="48">
        <f>HEX2DEC(RIGHT(Table13232127535863[[#This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221</v>
      </c>
      <c r="G91" s="49">
        <v>5000</v>
      </c>
      <c r="I91" s="27">
        <v>3</v>
      </c>
      <c r="J91" s="27">
        <v>50000</v>
      </c>
      <c r="L91" s="27"/>
      <c r="M91" s="27">
        <v>50000</v>
      </c>
      <c r="O91" s="48" t="s">
        <v>75</v>
      </c>
      <c r="P91" s="48">
        <f>HEX2DEC(RIGHT(Table13232127535863[[#This Row],[h1]],8))</f>
        <v>0</v>
      </c>
      <c r="Q91" s="48" t="s">
        <v>75</v>
      </c>
      <c r="R91" s="48">
        <f>HEX2DEC(RIGHT(Table13232127535863[[#This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222</v>
      </c>
      <c r="G92" s="49">
        <v>5000</v>
      </c>
      <c r="I92" s="27">
        <v>1</v>
      </c>
      <c r="J92" s="27">
        <v>50000</v>
      </c>
      <c r="L92" s="27"/>
      <c r="M92" s="27">
        <v>50000</v>
      </c>
      <c r="O92" s="48" t="s">
        <v>75</v>
      </c>
      <c r="P92" s="48">
        <f>HEX2DEC(RIGHT(Table13232127535863[[#This Row],[h1]],8))</f>
        <v>0</v>
      </c>
      <c r="Q92" s="48" t="s">
        <v>75</v>
      </c>
      <c r="R92" s="48">
        <f>HEX2DEC(RIGHT(Table13232127535863[[#This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223</v>
      </c>
      <c r="G93" s="49">
        <v>5000</v>
      </c>
      <c r="I93" s="27">
        <v>2</v>
      </c>
      <c r="J93" s="27">
        <v>50000</v>
      </c>
      <c r="L93" s="27"/>
      <c r="M93" s="27">
        <v>50000</v>
      </c>
      <c r="O93" s="48" t="s">
        <v>75</v>
      </c>
      <c r="P93" s="48">
        <f>HEX2DEC(RIGHT(Table13232127535863[[#This Row],[h1]],8))</f>
        <v>0</v>
      </c>
      <c r="Q93" s="48" t="s">
        <v>75</v>
      </c>
      <c r="R93" s="48">
        <f>HEX2DEC(RIGHT(Table13232127535863[[#This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224</v>
      </c>
      <c r="G94" s="49">
        <v>5000</v>
      </c>
      <c r="I94" s="27">
        <v>1</v>
      </c>
      <c r="J94" s="27">
        <v>50000</v>
      </c>
      <c r="L94" s="27"/>
      <c r="M94" s="27">
        <v>50000</v>
      </c>
      <c r="O94" s="48" t="s">
        <v>75</v>
      </c>
      <c r="P94" s="48">
        <f>HEX2DEC(RIGHT(Table13232127535863[[#This Row],[h1]],8))</f>
        <v>0</v>
      </c>
      <c r="Q94" s="48" t="s">
        <v>75</v>
      </c>
      <c r="R94" s="48">
        <f>HEX2DEC(RIGHT(Table13232127535863[[#This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225</v>
      </c>
      <c r="G95" s="49">
        <v>5000</v>
      </c>
      <c r="I95" s="27">
        <v>4</v>
      </c>
      <c r="J95" s="27">
        <v>50000</v>
      </c>
      <c r="L95" s="27"/>
      <c r="M95" s="27">
        <v>50000</v>
      </c>
      <c r="O95" s="48" t="s">
        <v>75</v>
      </c>
      <c r="P95" s="48">
        <f>HEX2DEC(RIGHT(Table13232127535863[[#This Row],[h1]],8))</f>
        <v>0</v>
      </c>
      <c r="Q95" s="48" t="s">
        <v>75</v>
      </c>
      <c r="R95" s="48">
        <f>HEX2DEC(RIGHT(Table13232127535863[[#This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226</v>
      </c>
      <c r="G96" s="49">
        <v>5000</v>
      </c>
      <c r="I96" s="27">
        <v>1</v>
      </c>
      <c r="J96" s="27">
        <v>50000</v>
      </c>
      <c r="L96" s="27"/>
      <c r="M96" s="27">
        <v>50000</v>
      </c>
      <c r="O96" s="48" t="s">
        <v>75</v>
      </c>
      <c r="P96" s="48">
        <f>HEX2DEC(RIGHT(Table13232127535863[[#This Row],[h1]],8))</f>
        <v>0</v>
      </c>
      <c r="Q96" s="48" t="s">
        <v>75</v>
      </c>
      <c r="R96" s="48">
        <f>HEX2DEC(RIGHT(Table13232127535863[[#This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227</v>
      </c>
      <c r="G97" s="49">
        <v>5000</v>
      </c>
      <c r="I97" s="27">
        <v>2</v>
      </c>
      <c r="J97" s="27">
        <v>50000</v>
      </c>
      <c r="L97" s="27"/>
      <c r="M97" s="27">
        <v>50000</v>
      </c>
      <c r="O97" s="48" t="s">
        <v>75</v>
      </c>
      <c r="P97" s="48">
        <f>HEX2DEC(RIGHT(Table13232127535863[[#This Row],[h1]],8))</f>
        <v>0</v>
      </c>
      <c r="Q97" s="48" t="s">
        <v>75</v>
      </c>
      <c r="R97" s="48">
        <f>HEX2DEC(RIGHT(Table13232127535863[[#This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228</v>
      </c>
      <c r="G98" s="49">
        <v>5000</v>
      </c>
      <c r="I98" s="27">
        <v>1</v>
      </c>
      <c r="J98" s="27">
        <v>50000</v>
      </c>
      <c r="L98" s="27"/>
      <c r="M98" s="27">
        <v>50000</v>
      </c>
      <c r="O98" s="48" t="s">
        <v>75</v>
      </c>
      <c r="P98" s="48">
        <f>HEX2DEC(RIGHT(Table13232127535863[[#This Row],[h1]],8))</f>
        <v>0</v>
      </c>
      <c r="Q98" s="48" t="s">
        <v>75</v>
      </c>
      <c r="R98" s="48">
        <f>HEX2DEC(RIGHT(Table13232127535863[[#This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229</v>
      </c>
      <c r="G99" s="49">
        <v>5000</v>
      </c>
      <c r="I99" s="27">
        <v>3</v>
      </c>
      <c r="J99" s="27">
        <v>50000</v>
      </c>
      <c r="L99" s="27"/>
      <c r="M99" s="27">
        <v>50000</v>
      </c>
      <c r="O99" s="48" t="s">
        <v>75</v>
      </c>
      <c r="P99" s="48">
        <f>HEX2DEC(RIGHT(Table13232127535863[[#This Row],[h1]],8))</f>
        <v>0</v>
      </c>
      <c r="Q99" s="48" t="s">
        <v>75</v>
      </c>
      <c r="R99" s="48">
        <f>HEX2DEC(RIGHT(Table13232127535863[[#This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230</v>
      </c>
      <c r="G100" s="49">
        <v>5000</v>
      </c>
      <c r="I100" s="27">
        <v>1</v>
      </c>
      <c r="J100" s="27">
        <v>50000</v>
      </c>
      <c r="L100" s="27"/>
      <c r="M100" s="27">
        <v>50000</v>
      </c>
      <c r="O100" s="48" t="s">
        <v>75</v>
      </c>
      <c r="P100" s="48">
        <f>HEX2DEC(RIGHT(Table13232127535863[[#This Row],[h1]],8))</f>
        <v>0</v>
      </c>
      <c r="Q100" s="48" t="s">
        <v>75</v>
      </c>
      <c r="R100" s="48">
        <f>HEX2DEC(RIGHT(Table13232127535863[[#This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231</v>
      </c>
      <c r="G101" s="49">
        <v>5000</v>
      </c>
      <c r="I101" s="27">
        <v>2</v>
      </c>
      <c r="J101" s="27">
        <v>50000</v>
      </c>
      <c r="L101" s="27"/>
      <c r="M101" s="27">
        <v>50000</v>
      </c>
      <c r="O101" s="48" t="s">
        <v>75</v>
      </c>
      <c r="P101" s="48">
        <f>HEX2DEC(RIGHT(Table13232127535863[[#This Row],[h1]],8))</f>
        <v>0</v>
      </c>
      <c r="Q101" s="48" t="s">
        <v>75</v>
      </c>
      <c r="R101" s="48">
        <f>HEX2DEC(RIGHT(Table13232127535863[[#This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232</v>
      </c>
      <c r="G102" s="49">
        <v>5000</v>
      </c>
      <c r="I102" s="27">
        <v>1</v>
      </c>
      <c r="J102" s="27">
        <v>50000</v>
      </c>
      <c r="L102" s="27"/>
      <c r="M102" s="27">
        <v>50000</v>
      </c>
      <c r="O102" s="48" t="s">
        <v>75</v>
      </c>
      <c r="P102" s="48">
        <f>HEX2DEC(RIGHT(Table13232127535863[[#This Row],[h1]],8))</f>
        <v>0</v>
      </c>
      <c r="Q102" s="48" t="s">
        <v>75</v>
      </c>
      <c r="R102" s="48">
        <f>HEX2DEC(RIGHT(Table13232127535863[[#This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233</v>
      </c>
      <c r="G103" s="49">
        <v>5000</v>
      </c>
      <c r="I103" s="27">
        <v>3</v>
      </c>
      <c r="J103" s="27">
        <v>50000</v>
      </c>
      <c r="L103" s="27"/>
      <c r="M103" s="27">
        <v>50000</v>
      </c>
      <c r="O103" s="48" t="s">
        <v>75</v>
      </c>
      <c r="P103" s="48">
        <f>HEX2DEC(RIGHT(Table13232127535863[[#This Row],[h1]],8))</f>
        <v>0</v>
      </c>
      <c r="Q103" s="48" t="s">
        <v>75</v>
      </c>
      <c r="R103" s="48">
        <f>HEX2DEC(RIGHT(Table13232127535863[[#This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234</v>
      </c>
      <c r="G104" s="49">
        <v>5000</v>
      </c>
      <c r="I104" s="27">
        <v>1</v>
      </c>
      <c r="J104" s="27">
        <v>50000</v>
      </c>
      <c r="L104" s="27"/>
      <c r="M104" s="27">
        <v>50000</v>
      </c>
      <c r="O104" s="48" t="s">
        <v>75</v>
      </c>
      <c r="P104" s="48">
        <f>HEX2DEC(RIGHT(Table13232127535863[[#This Row],[h1]],8))</f>
        <v>0</v>
      </c>
      <c r="Q104" s="48" t="s">
        <v>75</v>
      </c>
      <c r="R104" s="48">
        <f>HEX2DEC(RIGHT(Table13232127535863[[#This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235</v>
      </c>
      <c r="G105" s="49">
        <v>5000</v>
      </c>
      <c r="I105" s="27">
        <v>2</v>
      </c>
      <c r="J105" s="27">
        <v>50000</v>
      </c>
      <c r="L105" s="27"/>
      <c r="M105" s="27">
        <v>50000</v>
      </c>
      <c r="O105" s="48" t="s">
        <v>75</v>
      </c>
      <c r="P105" s="48">
        <f>HEX2DEC(RIGHT(Table13232127535863[[#This Row],[h1]],8))</f>
        <v>0</v>
      </c>
      <c r="Q105" s="48" t="s">
        <v>75</v>
      </c>
      <c r="R105" s="48">
        <f>HEX2DEC(RIGHT(Table13232127535863[[#This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236</v>
      </c>
      <c r="G106" s="49">
        <v>5000</v>
      </c>
      <c r="I106" s="27">
        <v>1</v>
      </c>
      <c r="J106" s="27">
        <v>50000</v>
      </c>
      <c r="L106" s="27"/>
      <c r="M106" s="27">
        <v>50000</v>
      </c>
      <c r="O106" s="48" t="s">
        <v>75</v>
      </c>
      <c r="P106" s="48">
        <f>HEX2DEC(RIGHT(Table13232127535863[[#This Row],[h1]],8))</f>
        <v>0</v>
      </c>
      <c r="Q106" s="48" t="s">
        <v>75</v>
      </c>
      <c r="R106" s="48">
        <f>HEX2DEC(RIGHT(Table13232127535863[[#This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237</v>
      </c>
      <c r="G107" s="49">
        <v>5000</v>
      </c>
      <c r="I107" s="27">
        <v>4</v>
      </c>
      <c r="J107" s="27">
        <v>50000</v>
      </c>
      <c r="L107" s="27"/>
      <c r="M107" s="27">
        <v>50000</v>
      </c>
      <c r="O107" s="48" t="s">
        <v>75</v>
      </c>
      <c r="P107" s="48">
        <f>HEX2DEC(RIGHT(Table13232127535863[[#This Row],[h1]],8))</f>
        <v>0</v>
      </c>
      <c r="Q107" s="48" t="s">
        <v>75</v>
      </c>
      <c r="R107" s="48">
        <f>HEX2DEC(RIGHT(Table13232127535863[[#This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238</v>
      </c>
      <c r="F108" s="21"/>
      <c r="G108" s="49">
        <v>5000</v>
      </c>
      <c r="I108" s="27">
        <v>1</v>
      </c>
      <c r="J108" s="27">
        <v>50000</v>
      </c>
      <c r="L108" s="27"/>
      <c r="M108" s="27">
        <v>50000</v>
      </c>
      <c r="O108" s="48" t="s">
        <v>75</v>
      </c>
      <c r="P108" s="48">
        <f>HEX2DEC(RIGHT(Table13232127535863[[#This Row],[h1]],8))</f>
        <v>0</v>
      </c>
      <c r="Q108" s="48" t="s">
        <v>75</v>
      </c>
      <c r="R108" s="48">
        <f>HEX2DEC(RIGHT(Table13232127535863[[#This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239</v>
      </c>
      <c r="F109" s="21"/>
      <c r="G109" s="49">
        <v>5000</v>
      </c>
      <c r="I109" s="27">
        <v>2</v>
      </c>
      <c r="J109" s="27">
        <v>50000</v>
      </c>
      <c r="L109" s="27"/>
      <c r="M109" s="27">
        <v>50000</v>
      </c>
      <c r="O109" s="48" t="s">
        <v>75</v>
      </c>
      <c r="P109" s="48">
        <f>HEX2DEC(RIGHT(Table13232127535863[[#This Row],[h1]],8))</f>
        <v>0</v>
      </c>
      <c r="Q109" s="48" t="s">
        <v>75</v>
      </c>
      <c r="R109" s="48">
        <f>HEX2DEC(RIGHT(Table13232127535863[[#This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240</v>
      </c>
      <c r="F110" s="21"/>
      <c r="G110" s="49">
        <v>5000</v>
      </c>
      <c r="I110" s="27">
        <v>1</v>
      </c>
      <c r="J110" s="27">
        <v>50000</v>
      </c>
      <c r="L110" s="27"/>
      <c r="M110" s="27">
        <v>50000</v>
      </c>
      <c r="O110" s="48" t="s">
        <v>75</v>
      </c>
      <c r="P110" s="48">
        <f>HEX2DEC(RIGHT(Table13232127535863[[#This Row],[h1]],8))</f>
        <v>0</v>
      </c>
      <c r="Q110" s="48" t="s">
        <v>75</v>
      </c>
      <c r="R110" s="48">
        <f>HEX2DEC(RIGHT(Table13232127535863[[#This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241</v>
      </c>
      <c r="F111" s="21"/>
      <c r="G111" s="49">
        <v>5000</v>
      </c>
      <c r="I111" s="27">
        <v>3</v>
      </c>
      <c r="J111" s="27">
        <v>50000</v>
      </c>
      <c r="L111" s="27"/>
      <c r="M111" s="27">
        <v>50000</v>
      </c>
      <c r="O111" s="48" t="s">
        <v>75</v>
      </c>
      <c r="P111" s="48">
        <f>HEX2DEC(RIGHT(Table13232127535863[[#This Row],[h1]],8))</f>
        <v>0</v>
      </c>
      <c r="Q111" s="48" t="s">
        <v>75</v>
      </c>
      <c r="R111" s="48">
        <f>HEX2DEC(RIGHT(Table13232127535863[[#This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242</v>
      </c>
      <c r="F112" s="21"/>
      <c r="G112" s="49">
        <v>5000</v>
      </c>
      <c r="I112" s="27">
        <v>1</v>
      </c>
      <c r="J112" s="27">
        <v>50000</v>
      </c>
      <c r="L112" s="27"/>
      <c r="M112" s="27">
        <v>50000</v>
      </c>
      <c r="O112" s="48" t="s">
        <v>75</v>
      </c>
      <c r="P112" s="48">
        <f>HEX2DEC(RIGHT(Table13232127535863[[#This Row],[h1]],8))</f>
        <v>0</v>
      </c>
      <c r="Q112" s="48" t="s">
        <v>75</v>
      </c>
      <c r="R112" s="48">
        <f>HEX2DEC(RIGHT(Table13232127535863[[#This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9"/>
      <c r="I113" s="27">
        <v>2</v>
      </c>
      <c r="J113" s="27">
        <v>50000</v>
      </c>
      <c r="L113" s="27"/>
      <c r="M113" s="27">
        <v>50000</v>
      </c>
      <c r="O113" s="48" t="s">
        <v>75</v>
      </c>
      <c r="P113" s="48">
        <f>HEX2DEC(RIGHT(Table13232127535863[[#This Row],[h1]],8))</f>
        <v>0</v>
      </c>
      <c r="Q113" s="48" t="s">
        <v>75</v>
      </c>
      <c r="R113" s="48">
        <f>HEX2DEC(RIGHT(Table13232127535863[[#This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346</v>
      </c>
      <c r="G114" s="29" t="s">
        <v>378</v>
      </c>
      <c r="I114" s="27">
        <v>1</v>
      </c>
      <c r="J114" s="27">
        <v>50000</v>
      </c>
      <c r="L114" s="27"/>
      <c r="M114" s="27">
        <v>50000</v>
      </c>
      <c r="O114" s="48" t="s">
        <v>75</v>
      </c>
      <c r="P114" s="48">
        <f>HEX2DEC(RIGHT(Table13232127535863[[#This Row],[h1]],8))</f>
        <v>0</v>
      </c>
      <c r="Q114" s="48" t="s">
        <v>75</v>
      </c>
      <c r="R114" s="48">
        <f>HEX2DEC(RIGHT(Table13232127535863[[#This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347</v>
      </c>
      <c r="G115" s="29" t="s">
        <v>378</v>
      </c>
      <c r="I115" s="27">
        <v>3</v>
      </c>
      <c r="J115" s="27">
        <v>50000</v>
      </c>
      <c r="L115" s="27"/>
      <c r="M115" s="27">
        <v>50000</v>
      </c>
      <c r="O115" s="48" t="s">
        <v>75</v>
      </c>
      <c r="P115" s="48">
        <f>HEX2DEC(RIGHT(Table13232127535863[[#This Row],[h1]],8))</f>
        <v>0</v>
      </c>
      <c r="Q115" s="48" t="s">
        <v>75</v>
      </c>
      <c r="R115" s="48">
        <f>HEX2DEC(RIGHT(Table13232127535863[[#This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348</v>
      </c>
      <c r="G116" s="29" t="s">
        <v>378</v>
      </c>
      <c r="I116" s="27">
        <v>1</v>
      </c>
      <c r="J116" s="27">
        <v>50000</v>
      </c>
      <c r="L116" s="27"/>
      <c r="M116" s="27">
        <v>50000</v>
      </c>
      <c r="O116" s="48" t="s">
        <v>75</v>
      </c>
      <c r="P116" s="48">
        <f>HEX2DEC(RIGHT(Table13232127535863[[#This Row],[h1]],8))</f>
        <v>0</v>
      </c>
      <c r="Q116" s="48" t="s">
        <v>75</v>
      </c>
      <c r="R116" s="48">
        <f>HEX2DEC(RIGHT(Table13232127535863[[#This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349</v>
      </c>
      <c r="G117" s="29" t="s">
        <v>378</v>
      </c>
      <c r="I117" s="27">
        <v>2</v>
      </c>
      <c r="J117" s="27">
        <v>50000</v>
      </c>
      <c r="L117" s="27"/>
      <c r="M117" s="27">
        <v>50000</v>
      </c>
      <c r="O117" s="48" t="s">
        <v>75</v>
      </c>
      <c r="P117" s="48">
        <f>HEX2DEC(RIGHT(Table13232127535863[[#This Row],[h1]],8))</f>
        <v>0</v>
      </c>
      <c r="Q117" s="48" t="s">
        <v>75</v>
      </c>
      <c r="R117" s="48">
        <f>HEX2DEC(RIGHT(Table13232127535863[[#This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350</v>
      </c>
      <c r="G118" s="29" t="s">
        <v>378</v>
      </c>
      <c r="I118" s="27">
        <v>1</v>
      </c>
      <c r="J118" s="27">
        <v>50000</v>
      </c>
      <c r="L118" s="27"/>
      <c r="M118" s="27">
        <v>50000</v>
      </c>
      <c r="O118" s="48" t="s">
        <v>75</v>
      </c>
      <c r="P118" s="48">
        <f>HEX2DEC(RIGHT(Table13232127535863[[#This Row],[h1]],8))</f>
        <v>0</v>
      </c>
      <c r="Q118" s="48" t="s">
        <v>75</v>
      </c>
      <c r="R118" s="48">
        <f>HEX2DEC(RIGHT(Table13232127535863[[#This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351</v>
      </c>
      <c r="G119" s="29" t="s">
        <v>378</v>
      </c>
      <c r="I119" s="27">
        <v>4</v>
      </c>
      <c r="J119" s="27">
        <v>50000</v>
      </c>
      <c r="L119" s="27"/>
      <c r="M119" s="27">
        <v>50000</v>
      </c>
      <c r="O119" s="48" t="s">
        <v>75</v>
      </c>
      <c r="P119" s="48">
        <f>HEX2DEC(RIGHT(Table13232127535863[[#This Row],[h1]],8))</f>
        <v>0</v>
      </c>
      <c r="Q119" s="48" t="s">
        <v>75</v>
      </c>
      <c r="R119" s="48">
        <f>HEX2DEC(RIGHT(Table13232127535863[[#This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352</v>
      </c>
      <c r="G120" s="29" t="s">
        <v>378</v>
      </c>
      <c r="I120" s="27">
        <v>1</v>
      </c>
      <c r="J120" s="27">
        <v>50000</v>
      </c>
      <c r="L120" s="27"/>
      <c r="M120" s="27">
        <v>50000</v>
      </c>
      <c r="O120" s="48" t="s">
        <v>75</v>
      </c>
      <c r="P120" s="48">
        <f>HEX2DEC(RIGHT(Table13232127535863[[#This Row],[h1]],8))</f>
        <v>0</v>
      </c>
      <c r="Q120" s="48" t="s">
        <v>75</v>
      </c>
      <c r="R120" s="48">
        <f>HEX2DEC(RIGHT(Table13232127535863[[#This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353</v>
      </c>
      <c r="G121" s="29" t="s">
        <v>378</v>
      </c>
      <c r="I121" s="27">
        <v>2</v>
      </c>
      <c r="J121" s="27">
        <v>50000</v>
      </c>
      <c r="L121" s="27"/>
      <c r="M121" s="27">
        <v>50000</v>
      </c>
      <c r="O121" s="48" t="s">
        <v>75</v>
      </c>
      <c r="P121" s="48">
        <f>HEX2DEC(RIGHT(Table13232127535863[[#This Row],[h1]],8))</f>
        <v>0</v>
      </c>
      <c r="Q121" s="48" t="s">
        <v>75</v>
      </c>
      <c r="R121" s="48">
        <f>HEX2DEC(RIGHT(Table13232127535863[[#This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354</v>
      </c>
      <c r="G122" s="29" t="s">
        <v>378</v>
      </c>
      <c r="I122" s="27">
        <v>1</v>
      </c>
      <c r="J122" s="27">
        <v>50000</v>
      </c>
      <c r="L122" s="27"/>
      <c r="M122" s="27">
        <v>50000</v>
      </c>
      <c r="O122" s="48" t="s">
        <v>75</v>
      </c>
      <c r="P122" s="48">
        <f>HEX2DEC(RIGHT(Table13232127535863[[#This Row],[h1]],8))</f>
        <v>0</v>
      </c>
      <c r="Q122" s="48" t="s">
        <v>75</v>
      </c>
      <c r="R122" s="48">
        <f>HEX2DEC(RIGHT(Table13232127535863[[#This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355</v>
      </c>
      <c r="G123" s="29" t="s">
        <v>378</v>
      </c>
      <c r="I123" s="27">
        <v>3</v>
      </c>
      <c r="J123" s="27">
        <v>50000</v>
      </c>
      <c r="L123" s="27"/>
      <c r="M123" s="27">
        <v>50000</v>
      </c>
      <c r="O123" s="48" t="s">
        <v>75</v>
      </c>
      <c r="P123" s="48">
        <f>HEX2DEC(RIGHT(Table13232127535863[[#This Row],[h1]],8))</f>
        <v>0</v>
      </c>
      <c r="Q123" s="48" t="s">
        <v>75</v>
      </c>
      <c r="R123" s="48">
        <f>HEX2DEC(RIGHT(Table13232127535863[[#This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356</v>
      </c>
      <c r="G124" s="29" t="s">
        <v>378</v>
      </c>
      <c r="I124" s="27">
        <v>1</v>
      </c>
      <c r="J124" s="27">
        <v>50000</v>
      </c>
      <c r="L124" s="27"/>
      <c r="M124" s="27">
        <v>50000</v>
      </c>
      <c r="O124" s="48" t="s">
        <v>75</v>
      </c>
      <c r="P124" s="48">
        <f>HEX2DEC(RIGHT(Table13232127535863[[#This Row],[h1]],8))</f>
        <v>0</v>
      </c>
      <c r="Q124" s="48" t="s">
        <v>75</v>
      </c>
      <c r="R124" s="48">
        <f>HEX2DEC(RIGHT(Table13232127535863[[#This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357</v>
      </c>
      <c r="G125" s="29" t="s">
        <v>378</v>
      </c>
      <c r="I125" s="27">
        <v>2</v>
      </c>
      <c r="J125" s="27">
        <v>50000</v>
      </c>
      <c r="L125" s="27"/>
      <c r="M125" s="27">
        <v>50000</v>
      </c>
      <c r="O125" s="48" t="s">
        <v>75</v>
      </c>
      <c r="P125" s="48">
        <f>HEX2DEC(RIGHT(Table13232127535863[[#This Row],[h1]],8))</f>
        <v>0</v>
      </c>
      <c r="Q125" s="48" t="s">
        <v>75</v>
      </c>
      <c r="R125" s="48">
        <f>HEX2DEC(RIGHT(Table13232127535863[[#This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358</v>
      </c>
      <c r="G126" s="29" t="s">
        <v>378</v>
      </c>
      <c r="I126" s="27">
        <v>1</v>
      </c>
      <c r="J126" s="27">
        <v>50000</v>
      </c>
      <c r="L126" s="27"/>
      <c r="M126" s="27">
        <v>50000</v>
      </c>
      <c r="O126" s="48" t="s">
        <v>75</v>
      </c>
      <c r="P126" s="48">
        <f>HEX2DEC(RIGHT(Table13232127535863[[#This Row],[h1]],8))</f>
        <v>0</v>
      </c>
      <c r="Q126" s="48" t="s">
        <v>75</v>
      </c>
      <c r="R126" s="48">
        <f>HEX2DEC(RIGHT(Table13232127535863[[#This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359</v>
      </c>
      <c r="G127" s="29" t="s">
        <v>378</v>
      </c>
      <c r="I127" s="27">
        <v>3</v>
      </c>
      <c r="J127" s="27">
        <v>50000</v>
      </c>
      <c r="L127" s="27"/>
      <c r="M127" s="27">
        <v>50000</v>
      </c>
      <c r="O127" s="48" t="s">
        <v>75</v>
      </c>
      <c r="P127" s="48">
        <f>HEX2DEC(RIGHT(Table13232127535863[[#This Row],[h1]],8))</f>
        <v>0</v>
      </c>
      <c r="Q127" s="48" t="s">
        <v>75</v>
      </c>
      <c r="R127" s="48">
        <f>HEX2DEC(RIGHT(Table13232127535863[[#This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360</v>
      </c>
      <c r="G128" s="29" t="s">
        <v>378</v>
      </c>
      <c r="I128" s="27">
        <v>1</v>
      </c>
      <c r="J128" s="27">
        <v>50000</v>
      </c>
      <c r="L128" s="27"/>
      <c r="M128" s="27">
        <v>50000</v>
      </c>
      <c r="O128" s="48" t="s">
        <v>75</v>
      </c>
      <c r="P128" s="48">
        <f>HEX2DEC(RIGHT(Table13232127535863[[#This Row],[h1]],8))</f>
        <v>0</v>
      </c>
      <c r="Q128" s="48" t="s">
        <v>75</v>
      </c>
      <c r="R128" s="48">
        <f>HEX2DEC(RIGHT(Table13232127535863[[#This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361</v>
      </c>
      <c r="G129" s="29" t="s">
        <v>378</v>
      </c>
      <c r="I129" s="27">
        <v>2</v>
      </c>
      <c r="J129" s="27">
        <v>50000</v>
      </c>
      <c r="L129" s="27"/>
      <c r="M129" s="27">
        <v>50000</v>
      </c>
      <c r="O129" s="48" t="s">
        <v>75</v>
      </c>
      <c r="P129" s="48">
        <f>HEX2DEC(RIGHT(Table13232127535863[[#This Row],[h1]],8))</f>
        <v>0</v>
      </c>
      <c r="Q129" s="48" t="s">
        <v>75</v>
      </c>
      <c r="R129" s="48">
        <f>HEX2DEC(RIGHT(Table13232127535863[[#This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362</v>
      </c>
      <c r="G130" s="29" t="s">
        <v>378</v>
      </c>
      <c r="I130" s="27">
        <v>1</v>
      </c>
      <c r="J130" s="27">
        <v>50000</v>
      </c>
      <c r="L130" s="27"/>
      <c r="M130" s="27">
        <v>50000</v>
      </c>
      <c r="O130" s="48" t="s">
        <v>75</v>
      </c>
      <c r="P130" s="48">
        <f>HEX2DEC(RIGHT(Table13232127535863[[#This Row],[h1]],8))</f>
        <v>0</v>
      </c>
      <c r="Q130" s="48" t="s">
        <v>75</v>
      </c>
      <c r="R130" s="48">
        <f>HEX2DEC(RIGHT(Table13232127535863[[#This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363</v>
      </c>
      <c r="G131" s="29" t="s">
        <v>378</v>
      </c>
      <c r="I131" s="27">
        <v>4</v>
      </c>
      <c r="J131" s="27">
        <v>50000</v>
      </c>
      <c r="L131" s="27"/>
      <c r="M131" s="27">
        <v>50000</v>
      </c>
      <c r="O131" s="48" t="s">
        <v>75</v>
      </c>
      <c r="P131" s="48">
        <f>HEX2DEC(RIGHT(Table13232127535863[[#This Row],[h1]],8))</f>
        <v>0</v>
      </c>
      <c r="Q131" s="48" t="s">
        <v>75</v>
      </c>
      <c r="R131" s="48">
        <f>HEX2DEC(RIGHT(Table13232127535863[[#This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364</v>
      </c>
      <c r="G132" s="29" t="s">
        <v>378</v>
      </c>
      <c r="I132" s="27">
        <v>1</v>
      </c>
      <c r="J132" s="27">
        <v>50000</v>
      </c>
      <c r="L132" s="27"/>
      <c r="M132" s="27">
        <v>50000</v>
      </c>
      <c r="O132" s="48" t="s">
        <v>75</v>
      </c>
      <c r="P132" s="48">
        <f>HEX2DEC(RIGHT(Table13232127535863[[#This Row],[h1]],8))</f>
        <v>0</v>
      </c>
      <c r="Q132" s="48" t="s">
        <v>75</v>
      </c>
      <c r="R132" s="48">
        <f>HEX2DEC(RIGHT(Table13232127535863[[#This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365</v>
      </c>
      <c r="G133" s="29" t="s">
        <v>378</v>
      </c>
      <c r="I133" s="27">
        <v>2</v>
      </c>
      <c r="J133" s="27">
        <v>50000</v>
      </c>
      <c r="L133" s="27"/>
      <c r="M133" s="27">
        <v>50000</v>
      </c>
      <c r="O133" s="48" t="s">
        <v>75</v>
      </c>
      <c r="P133" s="48">
        <f>HEX2DEC(RIGHT(Table13232127535863[[#This Row],[h1]],8))</f>
        <v>0</v>
      </c>
      <c r="Q133" s="48" t="s">
        <v>75</v>
      </c>
      <c r="R133" s="48">
        <f>HEX2DEC(RIGHT(Table13232127535863[[#This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366</v>
      </c>
      <c r="G134" s="29" t="s">
        <v>378</v>
      </c>
      <c r="I134" s="27">
        <v>1</v>
      </c>
      <c r="J134" s="27">
        <v>50000</v>
      </c>
      <c r="L134" s="27"/>
      <c r="M134" s="27">
        <v>50000</v>
      </c>
      <c r="O134" s="48" t="s">
        <v>75</v>
      </c>
      <c r="P134" s="48">
        <f>HEX2DEC(RIGHT(Table13232127535863[[#This Row],[h1]],8))</f>
        <v>0</v>
      </c>
      <c r="Q134" s="48" t="s">
        <v>75</v>
      </c>
      <c r="R134" s="48">
        <f>HEX2DEC(RIGHT(Table13232127535863[[#This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367</v>
      </c>
      <c r="G135" s="29" t="s">
        <v>378</v>
      </c>
      <c r="I135" s="27">
        <v>3</v>
      </c>
      <c r="J135" s="27">
        <v>50000</v>
      </c>
      <c r="L135" s="27"/>
      <c r="M135" s="27">
        <v>50000</v>
      </c>
      <c r="O135" s="48" t="s">
        <v>75</v>
      </c>
      <c r="P135" s="48">
        <f>HEX2DEC(RIGHT(Table13232127535863[[#This Row],[h1]],8))</f>
        <v>0</v>
      </c>
      <c r="Q135" s="48" t="s">
        <v>75</v>
      </c>
      <c r="R135" s="48">
        <f>HEX2DEC(RIGHT(Table13232127535863[[#This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368</v>
      </c>
      <c r="G136" s="29" t="s">
        <v>378</v>
      </c>
      <c r="I136" s="27">
        <v>1</v>
      </c>
      <c r="J136" s="27">
        <v>50000</v>
      </c>
      <c r="L136" s="27"/>
      <c r="M136" s="27">
        <v>50000</v>
      </c>
      <c r="O136" s="48" t="s">
        <v>75</v>
      </c>
      <c r="P136" s="48">
        <f>HEX2DEC(RIGHT(Table13232127535863[[#This Row],[h1]],8))</f>
        <v>0</v>
      </c>
      <c r="Q136" s="48" t="s">
        <v>75</v>
      </c>
      <c r="R136" s="48">
        <f>HEX2DEC(RIGHT(Table13232127535863[[#This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369</v>
      </c>
      <c r="G137" s="29" t="s">
        <v>378</v>
      </c>
      <c r="I137" s="27">
        <v>2</v>
      </c>
      <c r="J137" s="27">
        <v>50000</v>
      </c>
      <c r="L137" s="27"/>
      <c r="M137" s="27">
        <v>50000</v>
      </c>
      <c r="O137" s="48" t="s">
        <v>75</v>
      </c>
      <c r="P137" s="48">
        <f>HEX2DEC(RIGHT(Table13232127535863[[#This Row],[h1]],8))</f>
        <v>0</v>
      </c>
      <c r="Q137" s="48" t="s">
        <v>75</v>
      </c>
      <c r="R137" s="48">
        <f>HEX2DEC(RIGHT(Table13232127535863[[#This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370</v>
      </c>
      <c r="G138" s="29" t="s">
        <v>378</v>
      </c>
      <c r="I138" s="27">
        <v>1</v>
      </c>
      <c r="J138" s="27">
        <v>50000</v>
      </c>
      <c r="L138" s="27"/>
      <c r="M138" s="27">
        <v>50000</v>
      </c>
      <c r="O138" s="48" t="s">
        <v>75</v>
      </c>
      <c r="P138" s="48">
        <f>HEX2DEC(RIGHT(Table13232127535863[[#This Row],[h1]],8))</f>
        <v>0</v>
      </c>
      <c r="Q138" s="48" t="s">
        <v>75</v>
      </c>
      <c r="R138" s="48">
        <f>HEX2DEC(RIGHT(Table13232127535863[[#This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371</v>
      </c>
      <c r="G139" s="29" t="s">
        <v>378</v>
      </c>
      <c r="I139" s="27">
        <v>3</v>
      </c>
      <c r="J139" s="27">
        <v>50000</v>
      </c>
      <c r="L139" s="27"/>
      <c r="M139" s="27">
        <v>50000</v>
      </c>
      <c r="O139" s="48" t="s">
        <v>75</v>
      </c>
      <c r="P139" s="48">
        <f>HEX2DEC(RIGHT(Table13232127535863[[#This Row],[h1]],8))</f>
        <v>0</v>
      </c>
      <c r="Q139" s="48" t="s">
        <v>75</v>
      </c>
      <c r="R139" s="48">
        <f>HEX2DEC(RIGHT(Table13232127535863[[#This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372</v>
      </c>
      <c r="G140" s="29" t="s">
        <v>378</v>
      </c>
      <c r="I140" s="27">
        <v>1</v>
      </c>
      <c r="J140" s="27">
        <v>50000</v>
      </c>
      <c r="L140" s="27"/>
      <c r="M140" s="27">
        <v>50000</v>
      </c>
      <c r="O140" s="48" t="s">
        <v>75</v>
      </c>
      <c r="P140" s="48">
        <f>HEX2DEC(RIGHT(Table13232127535863[[#This Row],[h1]],8))</f>
        <v>0</v>
      </c>
      <c r="Q140" s="48" t="s">
        <v>75</v>
      </c>
      <c r="R140" s="48">
        <f>HEX2DEC(RIGHT(Table13232127535863[[#This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373</v>
      </c>
      <c r="F141" s="21"/>
      <c r="G141" s="29" t="s">
        <v>378</v>
      </c>
      <c r="I141" s="27">
        <v>2</v>
      </c>
      <c r="J141" s="27">
        <v>50000</v>
      </c>
      <c r="L141" s="27"/>
      <c r="M141" s="27">
        <v>50000</v>
      </c>
      <c r="O141" s="48" t="s">
        <v>75</v>
      </c>
      <c r="P141" s="48">
        <f>HEX2DEC(RIGHT(Table13232127535863[[#This Row],[h1]],8))</f>
        <v>0</v>
      </c>
      <c r="Q141" s="48" t="s">
        <v>75</v>
      </c>
      <c r="R141" s="48">
        <f>HEX2DEC(RIGHT(Table13232127535863[[#This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374</v>
      </c>
      <c r="F142" s="21"/>
      <c r="G142" s="29" t="s">
        <v>378</v>
      </c>
      <c r="I142" s="27">
        <v>1</v>
      </c>
      <c r="J142" s="27">
        <v>50000</v>
      </c>
      <c r="L142" s="27"/>
      <c r="M142" s="27">
        <v>50000</v>
      </c>
      <c r="O142" s="48" t="s">
        <v>75</v>
      </c>
      <c r="P142" s="48">
        <f>HEX2DEC(RIGHT(Table13232127535863[[#This Row],[h1]],8))</f>
        <v>0</v>
      </c>
      <c r="Q142" s="48" t="s">
        <v>75</v>
      </c>
      <c r="R142" s="48">
        <f>HEX2DEC(RIGHT(Table13232127535863[[#This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375</v>
      </c>
      <c r="F143" s="21"/>
      <c r="G143" s="29" t="s">
        <v>378</v>
      </c>
      <c r="I143" s="27">
        <v>4</v>
      </c>
      <c r="J143" s="27">
        <v>50000</v>
      </c>
      <c r="L143" s="27"/>
      <c r="M143" s="27">
        <v>50000</v>
      </c>
      <c r="O143" s="48" t="s">
        <v>75</v>
      </c>
      <c r="P143" s="48">
        <f>HEX2DEC(RIGHT(Table13232127535863[[#This Row],[h1]],8))</f>
        <v>0</v>
      </c>
      <c r="Q143" s="48" t="s">
        <v>75</v>
      </c>
      <c r="R143" s="48">
        <f>HEX2DEC(RIGHT(Table13232127535863[[#This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376</v>
      </c>
      <c r="F144" s="21"/>
      <c r="G144" s="29" t="s">
        <v>378</v>
      </c>
      <c r="I144" s="27">
        <v>1</v>
      </c>
      <c r="J144" s="27">
        <v>50000</v>
      </c>
      <c r="L144" s="27"/>
      <c r="M144" s="27">
        <v>50000</v>
      </c>
      <c r="O144" s="48" t="s">
        <v>75</v>
      </c>
      <c r="P144" s="48">
        <f>HEX2DEC(RIGHT(Table13232127535863[[#This Row],[h1]],8))</f>
        <v>0</v>
      </c>
      <c r="Q144" s="48" t="s">
        <v>75</v>
      </c>
      <c r="R144" s="48">
        <f>HEX2DEC(RIGHT(Table13232127535863[[#This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377</v>
      </c>
      <c r="F145" s="21"/>
      <c r="G145" s="29" t="s">
        <v>378</v>
      </c>
      <c r="I145" s="27">
        <v>2</v>
      </c>
      <c r="J145" s="27">
        <v>50000</v>
      </c>
      <c r="L145" s="27"/>
      <c r="M145" s="27">
        <v>50000</v>
      </c>
      <c r="O145" s="48" t="s">
        <v>75</v>
      </c>
      <c r="P145" s="48">
        <f>HEX2DEC(RIGHT(Table13232127535863[[#This Row],[h1]],8))</f>
        <v>0</v>
      </c>
      <c r="Q145" s="48" t="s">
        <v>75</v>
      </c>
      <c r="R145" s="48">
        <f>HEX2DEC(RIGHT(Table13232127535863[[#This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1</v>
      </c>
      <c r="J146" s="27">
        <v>50000</v>
      </c>
      <c r="L146" s="27"/>
      <c r="M146" s="27">
        <v>50000</v>
      </c>
      <c r="O146" s="48" t="s">
        <v>75</v>
      </c>
      <c r="P146" s="48">
        <f>HEX2DEC(RIGHT(Table13232127535863[[#This Row],[h1]],8))</f>
        <v>0</v>
      </c>
      <c r="Q146" s="48" t="s">
        <v>75</v>
      </c>
      <c r="R146" s="48">
        <f>HEX2DEC(RIGHT(Table13232127535863[[#This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139</v>
      </c>
      <c r="G147" s="49">
        <v>0</v>
      </c>
      <c r="I147" s="27">
        <v>3</v>
      </c>
      <c r="J147" s="27">
        <v>50000</v>
      </c>
      <c r="L147" s="27"/>
      <c r="M147" s="27">
        <v>50000</v>
      </c>
      <c r="O147" s="48" t="s">
        <v>75</v>
      </c>
      <c r="P147" s="48">
        <f>HEX2DEC(RIGHT(Table13232127535863[[#This Row],[h1]],8))</f>
        <v>0</v>
      </c>
      <c r="Q147" s="48" t="s">
        <v>75</v>
      </c>
      <c r="R147" s="48">
        <f>HEX2DEC(RIGHT(Table13232127535863[[#This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140</v>
      </c>
      <c r="G148" s="49">
        <v>0</v>
      </c>
      <c r="I148" s="27">
        <v>1</v>
      </c>
      <c r="J148" s="27">
        <v>50000</v>
      </c>
      <c r="L148" s="27"/>
      <c r="M148" s="27">
        <v>50000</v>
      </c>
      <c r="O148" s="48" t="s">
        <v>75</v>
      </c>
      <c r="P148" s="48">
        <f>HEX2DEC(RIGHT(Table13232127535863[[#This Row],[h1]],8))</f>
        <v>0</v>
      </c>
      <c r="Q148" s="48" t="s">
        <v>75</v>
      </c>
      <c r="R148" s="48">
        <f>HEX2DEC(RIGHT(Table13232127535863[[#This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141</v>
      </c>
      <c r="G149" s="49">
        <v>0</v>
      </c>
      <c r="I149" s="27">
        <v>2</v>
      </c>
      <c r="J149" s="27">
        <v>50000</v>
      </c>
      <c r="L149" s="27"/>
      <c r="M149" s="27">
        <v>50000</v>
      </c>
      <c r="O149" s="48" t="s">
        <v>75</v>
      </c>
      <c r="P149" s="48">
        <f>HEX2DEC(RIGHT(Table13232127535863[[#This Row],[h1]],8))</f>
        <v>0</v>
      </c>
      <c r="Q149" s="48" t="s">
        <v>75</v>
      </c>
      <c r="R149" s="48">
        <f>HEX2DEC(RIGHT(Table13232127535863[[#This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142</v>
      </c>
      <c r="G150" s="49">
        <v>0</v>
      </c>
      <c r="I150" s="27">
        <v>1</v>
      </c>
      <c r="J150" s="27">
        <v>50000</v>
      </c>
      <c r="L150" s="27"/>
      <c r="M150" s="27">
        <v>50000</v>
      </c>
      <c r="O150" s="48" t="s">
        <v>75</v>
      </c>
      <c r="P150" s="48">
        <f>HEX2DEC(RIGHT(Table13232127535863[[#This Row],[h1]],8))</f>
        <v>0</v>
      </c>
      <c r="Q150" s="48" t="s">
        <v>75</v>
      </c>
      <c r="R150" s="48">
        <f>HEX2DEC(RIGHT(Table13232127535863[[#This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143</v>
      </c>
      <c r="G151" s="49">
        <v>0</v>
      </c>
      <c r="I151" s="27">
        <v>3</v>
      </c>
      <c r="J151" s="27">
        <v>50000</v>
      </c>
      <c r="L151" s="27"/>
      <c r="M151" s="27">
        <v>50000</v>
      </c>
      <c r="O151" s="48" t="s">
        <v>75</v>
      </c>
      <c r="P151" s="48">
        <f>HEX2DEC(RIGHT(Table13232127535863[[#This Row],[h1]],8))</f>
        <v>0</v>
      </c>
      <c r="Q151" s="48" t="s">
        <v>75</v>
      </c>
      <c r="R151" s="48">
        <f>HEX2DEC(RIGHT(Table13232127535863[[#This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144</v>
      </c>
      <c r="G152" s="49">
        <v>0</v>
      </c>
      <c r="I152" s="27">
        <v>1</v>
      </c>
      <c r="J152" s="27">
        <v>50000</v>
      </c>
      <c r="L152" s="27"/>
      <c r="M152" s="27">
        <v>50000</v>
      </c>
      <c r="O152" s="48" t="s">
        <v>75</v>
      </c>
      <c r="P152" s="48">
        <f>HEX2DEC(RIGHT(Table13232127535863[[#This Row],[h1]],8))</f>
        <v>0</v>
      </c>
      <c r="Q152" s="48" t="s">
        <v>75</v>
      </c>
      <c r="R152" s="48">
        <f>HEX2DEC(RIGHT(Table13232127535863[[#This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145</v>
      </c>
      <c r="G153" s="49">
        <v>0</v>
      </c>
      <c r="I153" s="27">
        <v>2</v>
      </c>
      <c r="J153" s="27">
        <v>50000</v>
      </c>
      <c r="L153" s="27"/>
      <c r="M153" s="27">
        <v>50000</v>
      </c>
      <c r="O153" s="48" t="s">
        <v>75</v>
      </c>
      <c r="P153" s="48">
        <f>HEX2DEC(RIGHT(Table13232127535863[[#This Row],[h1]],8))</f>
        <v>0</v>
      </c>
      <c r="Q153" s="48" t="s">
        <v>75</v>
      </c>
      <c r="R153" s="48">
        <f>HEX2DEC(RIGHT(Table13232127535863[[#This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146</v>
      </c>
      <c r="G154" s="49">
        <v>0</v>
      </c>
      <c r="I154" s="27">
        <v>1</v>
      </c>
      <c r="J154" s="27">
        <v>50000</v>
      </c>
      <c r="L154" s="27"/>
      <c r="M154" s="27">
        <v>50000</v>
      </c>
      <c r="O154" s="48" t="s">
        <v>75</v>
      </c>
      <c r="P154" s="48">
        <f>HEX2DEC(RIGHT(Table13232127535863[[#This Row],[h1]],8))</f>
        <v>0</v>
      </c>
      <c r="Q154" s="48" t="s">
        <v>75</v>
      </c>
      <c r="R154" s="48">
        <f>HEX2DEC(RIGHT(Table13232127535863[[#This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48"/>
      <c r="I155" s="27">
        <v>4</v>
      </c>
      <c r="J155" s="27">
        <v>50000</v>
      </c>
      <c r="L155" s="27"/>
      <c r="M155" s="27">
        <v>50000</v>
      </c>
      <c r="O155" s="48" t="s">
        <v>75</v>
      </c>
      <c r="P155" s="48">
        <f>HEX2DEC(RIGHT(Table13232127535863[[#This Row],[h1]],8))</f>
        <v>0</v>
      </c>
      <c r="Q155" s="48" t="s">
        <v>75</v>
      </c>
      <c r="R155" s="48">
        <f>HEX2DEC(RIGHT(Table13232127535863[[#This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243</v>
      </c>
      <c r="F156" s="21"/>
      <c r="G156" s="52">
        <v>1</v>
      </c>
      <c r="I156" s="27">
        <v>1</v>
      </c>
      <c r="J156" s="27">
        <v>50000</v>
      </c>
      <c r="L156" s="27"/>
      <c r="M156" s="27">
        <v>50000</v>
      </c>
      <c r="O156" s="48" t="s">
        <v>75</v>
      </c>
      <c r="P156" s="48">
        <f>HEX2DEC(RIGHT(Table13232127535863[[#This Row],[h1]],8))</f>
        <v>0</v>
      </c>
      <c r="Q156" s="48" t="s">
        <v>75</v>
      </c>
      <c r="R156" s="48">
        <f>HEX2DEC(RIGHT(Table13232127535863[[#This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243</v>
      </c>
      <c r="F157" s="21"/>
      <c r="G157" s="52">
        <v>0</v>
      </c>
      <c r="I157" s="27">
        <v>2</v>
      </c>
      <c r="J157" s="27">
        <v>50000</v>
      </c>
      <c r="L157" s="27"/>
      <c r="M157" s="27">
        <v>50000</v>
      </c>
      <c r="O157" s="48" t="s">
        <v>75</v>
      </c>
      <c r="P157" s="48">
        <f>HEX2DEC(RIGHT(Table13232127535863[[#This Row],[h1]],8))</f>
        <v>0</v>
      </c>
      <c r="Q157" s="48" t="s">
        <v>75</v>
      </c>
      <c r="R157" s="48">
        <f>HEX2DEC(RIGHT(Table13232127535863[[#This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1</v>
      </c>
      <c r="J158" s="27">
        <v>50000</v>
      </c>
      <c r="L158" s="27"/>
      <c r="M158" s="27">
        <v>50000</v>
      </c>
      <c r="O158" s="48" t="s">
        <v>75</v>
      </c>
      <c r="P158" s="48">
        <f>HEX2DEC(RIGHT(Table13232127535863[[#This Row],[h1]],8))</f>
        <v>0</v>
      </c>
      <c r="Q158" s="48" t="s">
        <v>75</v>
      </c>
      <c r="R158" s="48">
        <f>HEX2DEC(RIGHT(Table13232127535863[[#This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244</v>
      </c>
      <c r="F159" s="21"/>
      <c r="G159" s="49">
        <v>0</v>
      </c>
      <c r="I159" s="27">
        <v>3</v>
      </c>
      <c r="J159" s="27">
        <v>50000</v>
      </c>
      <c r="L159" s="27"/>
      <c r="M159" s="27">
        <v>50000</v>
      </c>
      <c r="O159" s="48" t="s">
        <v>75</v>
      </c>
      <c r="P159" s="48">
        <f>HEX2DEC(RIGHT(Table13232127535863[[#This Row],[h1]],8))</f>
        <v>0</v>
      </c>
      <c r="Q159" s="48" t="s">
        <v>75</v>
      </c>
      <c r="R159" s="48">
        <f>HEX2DEC(RIGHT(Table13232127535863[[#This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245</v>
      </c>
      <c r="F160" s="21"/>
      <c r="G160" s="49">
        <v>0</v>
      </c>
      <c r="I160" s="27">
        <v>1</v>
      </c>
      <c r="J160" s="27">
        <v>50000</v>
      </c>
      <c r="L160" s="27"/>
      <c r="M160" s="27">
        <v>50000</v>
      </c>
      <c r="O160" s="48" t="s">
        <v>75</v>
      </c>
      <c r="P160" s="48">
        <f>HEX2DEC(RIGHT(Table13232127535863[[#This Row],[h1]],8))</f>
        <v>0</v>
      </c>
      <c r="Q160" s="48" t="s">
        <v>75</v>
      </c>
      <c r="R160" s="48">
        <f>HEX2DEC(RIGHT(Table13232127535863[[#This Row],[h2]],8))</f>
        <v>0</v>
      </c>
    </row>
    <row r="161" spans="1:18">
      <c r="A161" s="15" t="str">
        <f t="shared" si="7"/>
        <v>097</v>
      </c>
      <c r="B161" s="15">
        <v>151</v>
      </c>
      <c r="C161" s="38"/>
      <c r="D161" s="15" t="s">
        <v>246</v>
      </c>
      <c r="F161" s="21"/>
      <c r="G161" s="49">
        <v>0</v>
      </c>
      <c r="I161" s="27">
        <v>2</v>
      </c>
      <c r="J161" s="27">
        <v>50000</v>
      </c>
      <c r="L161" s="27"/>
      <c r="M161" s="27">
        <v>50000</v>
      </c>
      <c r="O161" s="48" t="s">
        <v>75</v>
      </c>
      <c r="P161" s="48">
        <f>HEX2DEC(RIGHT(Table13232127535863[[#This Row],[h1]],8))</f>
        <v>0</v>
      </c>
      <c r="Q161" s="48" t="s">
        <v>75</v>
      </c>
      <c r="R161" s="48">
        <f>HEX2DEC(RIGHT(Table13232127535863[[#This Row],[h2]],8))</f>
        <v>0</v>
      </c>
    </row>
    <row r="162" spans="1:18">
      <c r="A162" s="15" t="str">
        <f t="shared" si="7"/>
        <v>098</v>
      </c>
      <c r="B162" s="15">
        <v>152</v>
      </c>
      <c r="C162" s="38"/>
      <c r="F162" s="21"/>
      <c r="G162" s="49"/>
      <c r="I162" s="27">
        <v>1</v>
      </c>
      <c r="J162" s="27">
        <v>50000</v>
      </c>
      <c r="L162" s="27"/>
      <c r="M162" s="27">
        <v>50000</v>
      </c>
      <c r="O162" s="48" t="s">
        <v>75</v>
      </c>
      <c r="P162" s="48">
        <f>HEX2DEC(RIGHT(Table13232127535863[[#This Row],[h1]],8))</f>
        <v>0</v>
      </c>
      <c r="Q162" s="48" t="s">
        <v>75</v>
      </c>
      <c r="R162" s="48">
        <f>HEX2DEC(RIGHT(Table13232127535863[[#This Row],[h2]],8))</f>
        <v>0</v>
      </c>
    </row>
    <row r="163" spans="1:18">
      <c r="A163" s="15" t="str">
        <f t="shared" si="7"/>
        <v>099</v>
      </c>
      <c r="B163" s="15">
        <v>153</v>
      </c>
      <c r="C163" s="38"/>
      <c r="D163" s="15" t="s">
        <v>247</v>
      </c>
      <c r="F163" s="21"/>
      <c r="G163" s="49">
        <v>0</v>
      </c>
      <c r="I163" s="27">
        <v>3</v>
      </c>
      <c r="J163" s="27">
        <v>50000</v>
      </c>
      <c r="L163" s="27"/>
      <c r="M163" s="27">
        <v>50000</v>
      </c>
      <c r="O163" s="48" t="s">
        <v>75</v>
      </c>
      <c r="P163" s="48">
        <f>HEX2DEC(RIGHT(Table13232127535863[[#This Row],[h1]],8))</f>
        <v>0</v>
      </c>
      <c r="Q163" s="48" t="s">
        <v>75</v>
      </c>
      <c r="R163" s="48">
        <f>HEX2DEC(RIGHT(Table13232127535863[[#This Row],[h2]],8))</f>
        <v>0</v>
      </c>
    </row>
    <row r="164" spans="1:18">
      <c r="A164" s="15" t="str">
        <f t="shared" si="7"/>
        <v>09A</v>
      </c>
      <c r="B164" s="15">
        <v>154</v>
      </c>
      <c r="C164" s="38"/>
      <c r="D164" s="15" t="s">
        <v>248</v>
      </c>
      <c r="F164" s="21"/>
      <c r="G164" s="49">
        <v>0</v>
      </c>
      <c r="I164" s="27">
        <v>1</v>
      </c>
      <c r="J164" s="27">
        <v>50000</v>
      </c>
      <c r="L164" s="27"/>
      <c r="M164" s="27">
        <v>50000</v>
      </c>
      <c r="O164" s="48" t="s">
        <v>75</v>
      </c>
      <c r="P164" s="48">
        <f>HEX2DEC(RIGHT(Table13232127535863[[#This Row],[h1]],8))</f>
        <v>0</v>
      </c>
      <c r="Q164" s="48" t="s">
        <v>75</v>
      </c>
      <c r="R164" s="48">
        <f>HEX2DEC(RIGHT(Table13232127535863[[#This Row],[h2]],8))</f>
        <v>0</v>
      </c>
    </row>
    <row r="165" spans="1:18">
      <c r="A165" s="15" t="str">
        <f t="shared" si="7"/>
        <v>09B</v>
      </c>
      <c r="B165" s="15">
        <v>155</v>
      </c>
      <c r="C165" s="38"/>
      <c r="D165" s="15" t="s">
        <v>249</v>
      </c>
      <c r="F165" s="21"/>
      <c r="G165" s="49">
        <v>1</v>
      </c>
      <c r="I165" s="27">
        <v>2</v>
      </c>
      <c r="J165" s="27">
        <v>50000</v>
      </c>
      <c r="L165" s="27"/>
      <c r="M165" s="27">
        <v>50000</v>
      </c>
      <c r="O165" s="48" t="s">
        <v>75</v>
      </c>
      <c r="P165" s="48">
        <f>HEX2DEC(RIGHT(Table13232127535863[[#This Row],[h1]],8))</f>
        <v>0</v>
      </c>
      <c r="Q165" s="48" t="s">
        <v>75</v>
      </c>
      <c r="R165" s="48">
        <f>HEX2DEC(RIGHT(Table13232127535863[[#This Row],[h2]],8))</f>
        <v>0</v>
      </c>
    </row>
    <row r="166" spans="1:18">
      <c r="A166" s="15" t="str">
        <f t="shared" si="7"/>
        <v>09C</v>
      </c>
      <c r="B166" s="15">
        <v>156</v>
      </c>
      <c r="C166" s="38"/>
      <c r="D166" s="15" t="s">
        <v>331</v>
      </c>
      <c r="F166" s="21"/>
      <c r="G166" s="49">
        <v>1</v>
      </c>
      <c r="I166" s="27">
        <v>1</v>
      </c>
      <c r="J166" s="27">
        <v>50000</v>
      </c>
      <c r="L166" s="27"/>
      <c r="M166" s="27">
        <v>50000</v>
      </c>
      <c r="O166" s="48" t="s">
        <v>75</v>
      </c>
      <c r="P166" s="48">
        <f>HEX2DEC(RIGHT(Table13232127535863[[#This Row],[h1]],8))</f>
        <v>0</v>
      </c>
      <c r="Q166" s="48" t="s">
        <v>75</v>
      </c>
      <c r="R166" s="48">
        <f>HEX2DEC(RIGHT(Table13232127535863[[#This Row],[h2]],8))</f>
        <v>0</v>
      </c>
    </row>
    <row r="167" spans="1:18">
      <c r="A167" s="15" t="str">
        <f t="shared" si="7"/>
        <v>09D</v>
      </c>
      <c r="B167" s="15">
        <v>157</v>
      </c>
      <c r="C167" s="38"/>
      <c r="G167" s="31"/>
      <c r="I167" s="27">
        <v>4</v>
      </c>
      <c r="J167" s="27">
        <v>50000</v>
      </c>
      <c r="L167" s="27"/>
      <c r="M167" s="27">
        <v>50000</v>
      </c>
      <c r="O167" s="48" t="s">
        <v>75</v>
      </c>
      <c r="P167" s="48">
        <f>HEX2DEC(RIGHT(Table13232127535863[[#This Row],[h1]],8))</f>
        <v>0</v>
      </c>
      <c r="Q167" s="48" t="s">
        <v>75</v>
      </c>
      <c r="R167" s="48">
        <f>HEX2DEC(RIGHT(Table13232127535863[[#This Row],[h2]],8))</f>
        <v>0</v>
      </c>
    </row>
    <row r="168" spans="1:18">
      <c r="A168" s="15" t="str">
        <f t="shared" si="7"/>
        <v>09E</v>
      </c>
      <c r="B168" s="15">
        <v>158</v>
      </c>
      <c r="C168" s="38"/>
      <c r="D168" s="15" t="s">
        <v>409</v>
      </c>
      <c r="F168" s="29" t="s">
        <v>75</v>
      </c>
      <c r="G168" s="18">
        <f>HEX2DEC(RIGHT(Table131925515661[[#This Row],[dec val]],8))</f>
        <v>0</v>
      </c>
      <c r="I168" s="27">
        <v>1</v>
      </c>
      <c r="J168" s="27">
        <v>50000</v>
      </c>
      <c r="L168" s="27"/>
      <c r="M168" s="27">
        <v>50000</v>
      </c>
      <c r="O168" s="48" t="s">
        <v>75</v>
      </c>
      <c r="P168" s="48">
        <f>HEX2DEC(RIGHT(Table13232127535863[[#This Row],[h1]],8))</f>
        <v>0</v>
      </c>
      <c r="Q168" s="48" t="s">
        <v>75</v>
      </c>
      <c r="R168" s="48">
        <f>HEX2DEC(RIGHT(Table13232127535863[[#This Row],[h2]],8))</f>
        <v>0</v>
      </c>
    </row>
    <row r="169" spans="1:18">
      <c r="A169" s="15" t="str">
        <f t="shared" si="7"/>
        <v>09F</v>
      </c>
      <c r="B169" s="15">
        <v>159</v>
      </c>
      <c r="C169" s="38"/>
      <c r="D169" s="15" t="s">
        <v>410</v>
      </c>
      <c r="F169" s="29" t="s">
        <v>75</v>
      </c>
      <c r="G169" s="18">
        <f>HEX2DEC(RIGHT(Table131925515661[[#This Row],[dec val]],8))</f>
        <v>0</v>
      </c>
      <c r="I169" s="27">
        <v>2</v>
      </c>
      <c r="J169" s="27">
        <v>50000</v>
      </c>
      <c r="L169" s="27"/>
      <c r="M169" s="27">
        <v>50000</v>
      </c>
      <c r="O169" s="48" t="s">
        <v>75</v>
      </c>
      <c r="P169" s="48">
        <f>HEX2DEC(RIGHT(Table13232127535863[[#This Row],[h1]],8))</f>
        <v>0</v>
      </c>
      <c r="Q169" s="48" t="s">
        <v>75</v>
      </c>
      <c r="R169" s="48">
        <f>HEX2DEC(RIGHT(Table13232127535863[[#This Row],[h2]],8))</f>
        <v>0</v>
      </c>
    </row>
    <row r="170" spans="1:18">
      <c r="A170" s="15" t="str">
        <f t="shared" si="7"/>
        <v>0A0</v>
      </c>
      <c r="B170" s="15">
        <v>160</v>
      </c>
      <c r="C170" s="38"/>
      <c r="D170" s="15" t="s">
        <v>411</v>
      </c>
      <c r="F170" s="29" t="s">
        <v>75</v>
      </c>
      <c r="G170" s="18">
        <f>HEX2DEC(RIGHT(Table131925515661[[#This Row],[dec val]],8))</f>
        <v>0</v>
      </c>
      <c r="I170" s="27">
        <v>1</v>
      </c>
      <c r="J170" s="27">
        <v>50000</v>
      </c>
      <c r="L170" s="27"/>
      <c r="M170" s="27">
        <v>50000</v>
      </c>
      <c r="O170" s="48" t="s">
        <v>75</v>
      </c>
      <c r="P170" s="48">
        <f>HEX2DEC(RIGHT(Table13232127535863[[#This Row],[h1]],8))</f>
        <v>0</v>
      </c>
      <c r="Q170" s="48" t="s">
        <v>75</v>
      </c>
      <c r="R170" s="48">
        <f>HEX2DEC(RIGHT(Table13232127535863[[#This Row],[h2]],8))</f>
        <v>0</v>
      </c>
    </row>
    <row r="171" spans="1:18">
      <c r="A171" s="15" t="str">
        <f t="shared" si="7"/>
        <v>0A1</v>
      </c>
      <c r="B171" s="15">
        <v>161</v>
      </c>
      <c r="C171" s="38"/>
      <c r="D171" s="15" t="s">
        <v>412</v>
      </c>
      <c r="F171" s="29" t="s">
        <v>75</v>
      </c>
      <c r="G171" s="18">
        <f>HEX2DEC(RIGHT(Table131925515661[[#This Row],[dec val]],8))</f>
        <v>0</v>
      </c>
      <c r="I171" s="27">
        <v>3</v>
      </c>
      <c r="J171" s="27">
        <v>50000</v>
      </c>
      <c r="L171" s="27"/>
      <c r="M171" s="27">
        <v>50000</v>
      </c>
      <c r="O171" s="48" t="s">
        <v>75</v>
      </c>
      <c r="P171" s="48">
        <f>HEX2DEC(RIGHT(Table13232127535863[[#This Row],[h1]],8))</f>
        <v>0</v>
      </c>
      <c r="Q171" s="48" t="s">
        <v>75</v>
      </c>
      <c r="R171" s="48">
        <f>HEX2DEC(RIGHT(Table13232127535863[[#This Row],[h2]],8))</f>
        <v>0</v>
      </c>
    </row>
    <row r="172" spans="1:18">
      <c r="A172" s="15" t="str">
        <f t="shared" si="7"/>
        <v>0A2</v>
      </c>
      <c r="B172" s="15">
        <v>162</v>
      </c>
      <c r="C172" s="38"/>
      <c r="D172" s="15" t="s">
        <v>413</v>
      </c>
      <c r="F172" s="29" t="s">
        <v>75</v>
      </c>
      <c r="G172" s="18">
        <f>HEX2DEC(RIGHT(Table131925515661[[#This Row],[dec val]],8))</f>
        <v>0</v>
      </c>
      <c r="I172" s="27">
        <v>1</v>
      </c>
      <c r="J172" s="27">
        <v>50000</v>
      </c>
      <c r="L172" s="27"/>
      <c r="M172" s="27">
        <v>50000</v>
      </c>
      <c r="O172" s="48" t="s">
        <v>75</v>
      </c>
      <c r="P172" s="48">
        <f>HEX2DEC(RIGHT(Table13232127535863[[#This Row],[h1]],8))</f>
        <v>0</v>
      </c>
      <c r="Q172" s="48" t="s">
        <v>75</v>
      </c>
      <c r="R172" s="48">
        <f>HEX2DEC(RIGHT(Table13232127535863[[#This Row],[h2]],8))</f>
        <v>0</v>
      </c>
    </row>
    <row r="173" spans="1:18">
      <c r="A173" s="15" t="str">
        <f t="shared" si="7"/>
        <v>0A3</v>
      </c>
      <c r="B173" s="15">
        <v>163</v>
      </c>
      <c r="C173" s="38"/>
      <c r="D173" s="15" t="s">
        <v>414</v>
      </c>
      <c r="F173" s="29" t="s">
        <v>75</v>
      </c>
      <c r="G173" s="18">
        <f>HEX2DEC(RIGHT(Table131925515661[[#This Row],[dec val]],8))</f>
        <v>0</v>
      </c>
      <c r="I173" s="27">
        <v>2</v>
      </c>
      <c r="J173" s="27">
        <v>50000</v>
      </c>
      <c r="L173" s="27"/>
      <c r="M173" s="27">
        <v>50000</v>
      </c>
      <c r="O173" s="48" t="s">
        <v>75</v>
      </c>
      <c r="P173" s="48">
        <f>HEX2DEC(RIGHT(Table13232127535863[[#This Row],[h1]],8))</f>
        <v>0</v>
      </c>
      <c r="Q173" s="48" t="s">
        <v>75</v>
      </c>
      <c r="R173" s="48">
        <f>HEX2DEC(RIGHT(Table13232127535863[[#This Row],[h2]],8))</f>
        <v>0</v>
      </c>
    </row>
    <row r="174" spans="1:18">
      <c r="A174" s="15" t="str">
        <f t="shared" si="7"/>
        <v>0A4</v>
      </c>
      <c r="B174" s="15">
        <v>164</v>
      </c>
      <c r="C174" s="38"/>
      <c r="D174" s="15" t="s">
        <v>415</v>
      </c>
      <c r="F174" s="29" t="s">
        <v>75</v>
      </c>
      <c r="G174" s="18">
        <f>HEX2DEC(RIGHT(Table131925515661[[#This Row],[dec val]],8))</f>
        <v>0</v>
      </c>
      <c r="I174" s="27">
        <v>1</v>
      </c>
      <c r="J174" s="27">
        <v>50000</v>
      </c>
      <c r="L174" s="27"/>
      <c r="M174" s="27">
        <v>50000</v>
      </c>
      <c r="O174" s="48" t="s">
        <v>75</v>
      </c>
      <c r="P174" s="48">
        <f>HEX2DEC(RIGHT(Table13232127535863[[#This Row],[h1]],8))</f>
        <v>0</v>
      </c>
      <c r="Q174" s="48" t="s">
        <v>75</v>
      </c>
      <c r="R174" s="48">
        <f>HEX2DEC(RIGHT(Table13232127535863[[#This Row],[h2]],8))</f>
        <v>0</v>
      </c>
    </row>
    <row r="175" spans="1:18">
      <c r="A175" s="15" t="str">
        <f t="shared" si="7"/>
        <v>0A5</v>
      </c>
      <c r="B175" s="15">
        <v>165</v>
      </c>
      <c r="C175" s="38"/>
      <c r="D175" s="15" t="s">
        <v>416</v>
      </c>
      <c r="F175" s="29" t="s">
        <v>75</v>
      </c>
      <c r="G175" s="18">
        <f>HEX2DEC(RIGHT(Table131925515661[[#This Row],[dec val]],8))</f>
        <v>0</v>
      </c>
      <c r="I175" s="27">
        <v>3</v>
      </c>
      <c r="J175" s="27">
        <v>50000</v>
      </c>
      <c r="L175" s="27"/>
      <c r="M175" s="27">
        <v>50000</v>
      </c>
      <c r="O175" s="48" t="s">
        <v>75</v>
      </c>
      <c r="P175" s="48">
        <f>HEX2DEC(RIGHT(Table13232127535863[[#This Row],[h1]],8))</f>
        <v>0</v>
      </c>
      <c r="Q175" s="48" t="s">
        <v>75</v>
      </c>
      <c r="R175" s="48">
        <f>HEX2DEC(RIGHT(Table13232127535863[[#This Row],[h2]],8))</f>
        <v>0</v>
      </c>
    </row>
    <row r="176" spans="1:18">
      <c r="A176" s="15" t="str">
        <f t="shared" si="7"/>
        <v>0A6</v>
      </c>
      <c r="B176" s="15">
        <v>166</v>
      </c>
      <c r="C176" s="38"/>
      <c r="D176" s="15" t="s">
        <v>417</v>
      </c>
      <c r="F176" s="29" t="s">
        <v>75</v>
      </c>
      <c r="G176" s="18">
        <f>HEX2DEC(RIGHT(Table131925515661[[#This Row],[dec val]],8))</f>
        <v>0</v>
      </c>
      <c r="I176" s="27">
        <v>1</v>
      </c>
      <c r="J176" s="27">
        <v>50000</v>
      </c>
      <c r="L176" s="27"/>
      <c r="M176" s="27">
        <v>50000</v>
      </c>
      <c r="O176" s="48" t="s">
        <v>75</v>
      </c>
      <c r="P176" s="48">
        <f>HEX2DEC(RIGHT(Table13232127535863[[#This Row],[h1]],8))</f>
        <v>0</v>
      </c>
      <c r="Q176" s="48" t="s">
        <v>75</v>
      </c>
      <c r="R176" s="48">
        <f>HEX2DEC(RIGHT(Table13232127535863[[#This Row],[h2]],8))</f>
        <v>0</v>
      </c>
    </row>
    <row r="177" spans="1:18">
      <c r="A177" s="15" t="str">
        <f t="shared" si="7"/>
        <v>0A7</v>
      </c>
      <c r="B177" s="15">
        <v>167</v>
      </c>
      <c r="C177" s="38"/>
      <c r="D177" s="15" t="s">
        <v>418</v>
      </c>
      <c r="F177" s="29" t="s">
        <v>75</v>
      </c>
      <c r="G177" s="18">
        <f>HEX2DEC(RIGHT(Table131925515661[[#This Row],[dec val]],8))</f>
        <v>0</v>
      </c>
      <c r="I177" s="27">
        <v>2</v>
      </c>
      <c r="J177" s="27">
        <v>50000</v>
      </c>
      <c r="L177" s="27"/>
      <c r="M177" s="27">
        <v>50000</v>
      </c>
      <c r="O177" s="48" t="s">
        <v>75</v>
      </c>
      <c r="P177" s="48">
        <f>HEX2DEC(RIGHT(Table13232127535863[[#This Row],[h1]],8))</f>
        <v>0</v>
      </c>
      <c r="Q177" s="48" t="s">
        <v>75</v>
      </c>
      <c r="R177" s="48">
        <f>HEX2DEC(RIGHT(Table13232127535863[[#This Row],[h2]],8))</f>
        <v>0</v>
      </c>
    </row>
    <row r="178" spans="1:18">
      <c r="A178" s="15" t="str">
        <f t="shared" si="7"/>
        <v>0A8</v>
      </c>
      <c r="B178" s="15">
        <v>168</v>
      </c>
      <c r="C178" s="38"/>
      <c r="D178" s="15" t="s">
        <v>419</v>
      </c>
      <c r="F178" s="29" t="s">
        <v>75</v>
      </c>
      <c r="G178" s="18">
        <f>HEX2DEC(RIGHT(Table131925515661[[#This Row],[dec val]],8))</f>
        <v>0</v>
      </c>
      <c r="I178" s="27">
        <v>1</v>
      </c>
      <c r="J178" s="27">
        <v>50000</v>
      </c>
      <c r="L178" s="27"/>
      <c r="M178" s="27">
        <v>50000</v>
      </c>
      <c r="O178" s="48" t="s">
        <v>75</v>
      </c>
      <c r="P178" s="48">
        <f>HEX2DEC(RIGHT(Table13232127535863[[#This Row],[h1]],8))</f>
        <v>0</v>
      </c>
      <c r="Q178" s="48" t="s">
        <v>75</v>
      </c>
      <c r="R178" s="48">
        <f>HEX2DEC(RIGHT(Table13232127535863[[#This Row],[h2]],8))</f>
        <v>0</v>
      </c>
    </row>
    <row r="179" spans="1:18">
      <c r="A179" s="15" t="str">
        <f t="shared" si="7"/>
        <v>0A9</v>
      </c>
      <c r="B179" s="15">
        <v>169</v>
      </c>
      <c r="C179" s="38"/>
      <c r="D179" s="15" t="s">
        <v>420</v>
      </c>
      <c r="F179" s="29" t="s">
        <v>75</v>
      </c>
      <c r="G179" s="18">
        <f>HEX2DEC(RIGHT(Table131925515661[[#This Row],[dec val]],8))</f>
        <v>0</v>
      </c>
      <c r="I179" s="27">
        <v>4</v>
      </c>
      <c r="J179" s="27">
        <v>50000</v>
      </c>
      <c r="L179" s="27"/>
      <c r="M179" s="27">
        <v>50000</v>
      </c>
      <c r="O179" s="48" t="s">
        <v>75</v>
      </c>
      <c r="P179" s="48">
        <f>HEX2DEC(RIGHT(Table13232127535863[[#This Row],[h1]],8))</f>
        <v>0</v>
      </c>
      <c r="Q179" s="48" t="s">
        <v>75</v>
      </c>
      <c r="R179" s="48">
        <f>HEX2DEC(RIGHT(Table13232127535863[[#This Row],[h2]],8))</f>
        <v>0</v>
      </c>
    </row>
    <row r="180" spans="1:18">
      <c r="A180" s="15" t="str">
        <f t="shared" si="7"/>
        <v>0AA</v>
      </c>
      <c r="B180" s="15">
        <v>170</v>
      </c>
      <c r="C180" s="38"/>
      <c r="D180" s="15" t="s">
        <v>421</v>
      </c>
      <c r="F180" s="29" t="s">
        <v>75</v>
      </c>
      <c r="G180" s="18">
        <f>HEX2DEC(RIGHT(Table131925515661[[#This Row],[dec val]],8))</f>
        <v>0</v>
      </c>
      <c r="I180" s="27">
        <v>1</v>
      </c>
      <c r="J180" s="27">
        <v>50000</v>
      </c>
      <c r="L180" s="27"/>
      <c r="M180" s="27">
        <v>50000</v>
      </c>
      <c r="O180" s="48" t="s">
        <v>75</v>
      </c>
      <c r="P180" s="48">
        <f>HEX2DEC(RIGHT(Table13232127535863[[#This Row],[h1]],8))</f>
        <v>0</v>
      </c>
      <c r="Q180" s="48" t="s">
        <v>75</v>
      </c>
      <c r="R180" s="48">
        <f>HEX2DEC(RIGHT(Table13232127535863[[#This Row],[h2]],8))</f>
        <v>0</v>
      </c>
    </row>
    <row r="181" spans="1:18">
      <c r="A181" s="15" t="str">
        <f t="shared" si="7"/>
        <v>0AB</v>
      </c>
      <c r="B181" s="15">
        <v>171</v>
      </c>
      <c r="C181" s="38"/>
      <c r="D181" s="15" t="s">
        <v>422</v>
      </c>
      <c r="F181" s="29" t="s">
        <v>75</v>
      </c>
      <c r="G181" s="18">
        <f>HEX2DEC(RIGHT(Table131925515661[[#This Row],[dec val]],8))</f>
        <v>0</v>
      </c>
      <c r="I181" s="27">
        <v>2</v>
      </c>
      <c r="J181" s="27">
        <v>50000</v>
      </c>
      <c r="L181" s="27"/>
      <c r="M181" s="27">
        <v>50000</v>
      </c>
      <c r="O181" s="48" t="s">
        <v>75</v>
      </c>
      <c r="P181" s="48">
        <f>HEX2DEC(RIGHT(Table13232127535863[[#This Row],[h1]],8))</f>
        <v>0</v>
      </c>
      <c r="Q181" s="48" t="s">
        <v>75</v>
      </c>
      <c r="R181" s="48">
        <f>HEX2DEC(RIGHT(Table13232127535863[[#This Row],[h2]],8))</f>
        <v>0</v>
      </c>
    </row>
    <row r="182" spans="1:18">
      <c r="A182" s="15" t="str">
        <f t="shared" si="7"/>
        <v>0AC</v>
      </c>
      <c r="B182" s="15">
        <v>172</v>
      </c>
      <c r="C182" s="38"/>
      <c r="D182" s="15" t="s">
        <v>423</v>
      </c>
      <c r="F182" s="29" t="s">
        <v>75</v>
      </c>
      <c r="G182" s="18">
        <f>HEX2DEC(RIGHT(Table131925515661[[#This Row],[dec val]],8))</f>
        <v>0</v>
      </c>
      <c r="I182" s="27">
        <v>1</v>
      </c>
      <c r="J182" s="27">
        <v>50000</v>
      </c>
      <c r="L182" s="27"/>
      <c r="M182" s="27">
        <v>50000</v>
      </c>
      <c r="O182" s="48" t="s">
        <v>75</v>
      </c>
      <c r="P182" s="48">
        <f>HEX2DEC(RIGHT(Table13232127535863[[#This Row],[h1]],8))</f>
        <v>0</v>
      </c>
      <c r="Q182" s="48" t="s">
        <v>75</v>
      </c>
      <c r="R182" s="48">
        <f>HEX2DEC(RIGHT(Table13232127535863[[#This Row],[h2]],8))</f>
        <v>0</v>
      </c>
    </row>
    <row r="183" spans="1:18">
      <c r="A183" s="15" t="str">
        <f t="shared" si="7"/>
        <v>0AD</v>
      </c>
      <c r="B183" s="15">
        <v>173</v>
      </c>
      <c r="C183" s="38"/>
      <c r="D183" s="15" t="s">
        <v>424</v>
      </c>
      <c r="F183" s="29" t="s">
        <v>75</v>
      </c>
      <c r="G183" s="18">
        <f>HEX2DEC(RIGHT(Table131925515661[[#This Row],[dec val]],8))</f>
        <v>0</v>
      </c>
      <c r="I183" s="27">
        <v>3</v>
      </c>
      <c r="J183" s="27">
        <v>50000</v>
      </c>
      <c r="L183" s="27"/>
      <c r="M183" s="27">
        <v>50000</v>
      </c>
      <c r="O183" s="48" t="s">
        <v>75</v>
      </c>
      <c r="P183" s="48">
        <f>HEX2DEC(RIGHT(Table13232127535863[[#This Row],[h1]],8))</f>
        <v>0</v>
      </c>
      <c r="Q183" s="48" t="s">
        <v>75</v>
      </c>
      <c r="R183" s="48">
        <f>HEX2DEC(RIGHT(Table13232127535863[[#This Row],[h2]],8))</f>
        <v>0</v>
      </c>
    </row>
    <row r="184" spans="1:18">
      <c r="A184" s="15" t="str">
        <f t="shared" si="7"/>
        <v>0AE</v>
      </c>
      <c r="B184" s="15">
        <v>174</v>
      </c>
      <c r="C184" s="38"/>
      <c r="G184" s="48"/>
      <c r="I184" s="27">
        <v>1</v>
      </c>
      <c r="J184" s="27">
        <v>50000</v>
      </c>
      <c r="L184" s="27"/>
      <c r="M184" s="27">
        <v>50000</v>
      </c>
      <c r="O184" s="48" t="s">
        <v>75</v>
      </c>
      <c r="P184" s="48">
        <f>HEX2DEC(RIGHT(Table13232127535863[[#This Row],[h1]],8))</f>
        <v>0</v>
      </c>
      <c r="Q184" s="48" t="s">
        <v>75</v>
      </c>
      <c r="R184" s="48">
        <f>HEX2DEC(RIGHT(Table13232127535863[[#This Row],[h2]],8))</f>
        <v>0</v>
      </c>
    </row>
    <row r="185" spans="1:18">
      <c r="A185" s="15" t="str">
        <f t="shared" si="7"/>
        <v>0AF</v>
      </c>
      <c r="B185" s="15">
        <v>175</v>
      </c>
      <c r="C185" s="38"/>
      <c r="I185" s="27">
        <v>2</v>
      </c>
      <c r="J185" s="27">
        <v>50000</v>
      </c>
      <c r="L185" s="27"/>
      <c r="M185" s="27">
        <v>50000</v>
      </c>
      <c r="O185" s="48" t="s">
        <v>75</v>
      </c>
      <c r="P185" s="48">
        <f>HEX2DEC(RIGHT(Table13232127535863[[#This Row],[h1]],8))</f>
        <v>0</v>
      </c>
      <c r="Q185" s="48" t="s">
        <v>75</v>
      </c>
      <c r="R185" s="48">
        <f>HEX2DEC(RIGHT(Table13232127535863[[#This Row],[h2]],8))</f>
        <v>0</v>
      </c>
    </row>
    <row r="186" spans="1:18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8" t="s">
        <v>75</v>
      </c>
      <c r="P186" s="48">
        <f>HEX2DEC(RIGHT(Table13232127535863[[#This Row],[h1]],8))</f>
        <v>0</v>
      </c>
      <c r="Q186" s="48" t="s">
        <v>75</v>
      </c>
      <c r="R186" s="48">
        <f>HEX2DEC(RIGHT(Table13232127535863[[#This Row],[h2]],8))</f>
        <v>0</v>
      </c>
    </row>
    <row r="187" spans="1:18">
      <c r="A187" s="15" t="str">
        <f t="shared" si="7"/>
        <v>0B1</v>
      </c>
      <c r="B187" s="15">
        <v>177</v>
      </c>
      <c r="C187" s="38"/>
      <c r="I187" s="27">
        <v>3</v>
      </c>
      <c r="J187" s="27">
        <v>50000</v>
      </c>
      <c r="L187" s="27"/>
      <c r="M187" s="27">
        <v>50000</v>
      </c>
      <c r="O187" s="48" t="s">
        <v>75</v>
      </c>
      <c r="P187" s="48">
        <f>HEX2DEC(RIGHT(Table13232127535863[[#This Row],[h1]],8))</f>
        <v>0</v>
      </c>
      <c r="Q187" s="48" t="s">
        <v>75</v>
      </c>
      <c r="R187" s="48">
        <f>HEX2DEC(RIGHT(Table13232127535863[[#This Row],[h2]],8))</f>
        <v>0</v>
      </c>
    </row>
    <row r="188" spans="1:18">
      <c r="A188" s="15" t="str">
        <f t="shared" si="7"/>
        <v>0B2</v>
      </c>
      <c r="B188" s="15">
        <v>178</v>
      </c>
      <c r="C188" s="38"/>
      <c r="I188" s="27">
        <v>1</v>
      </c>
      <c r="J188" s="27">
        <v>50000</v>
      </c>
      <c r="L188" s="27"/>
      <c r="M188" s="27">
        <v>50000</v>
      </c>
      <c r="O188" s="48" t="s">
        <v>75</v>
      </c>
      <c r="P188" s="48">
        <f>HEX2DEC(RIGHT(Table13232127535863[[#This Row],[h1]],8))</f>
        <v>0</v>
      </c>
      <c r="Q188" s="48" t="s">
        <v>75</v>
      </c>
      <c r="R188" s="48">
        <f>HEX2DEC(RIGHT(Table13232127535863[[#This Row],[h2]],8))</f>
        <v>0</v>
      </c>
    </row>
    <row r="189" spans="1:18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8" t="s">
        <v>75</v>
      </c>
      <c r="P189" s="48">
        <f>HEX2DEC(RIGHT(Table13232127535863[[#This Row],[h1]],8))</f>
        <v>0</v>
      </c>
      <c r="Q189" s="48" t="s">
        <v>75</v>
      </c>
      <c r="R189" s="48">
        <f>HEX2DEC(RIGHT(Table13232127535863[[#This Row],[h2]],8))</f>
        <v>0</v>
      </c>
    </row>
    <row r="190" spans="1:18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8" t="s">
        <v>75</v>
      </c>
      <c r="P190" s="48">
        <f>HEX2DEC(RIGHT(Table13232127535863[[#This Row],[h1]],8))</f>
        <v>0</v>
      </c>
      <c r="Q190" s="48" t="s">
        <v>75</v>
      </c>
      <c r="R190" s="48">
        <f>HEX2DEC(RIGHT(Table13232127535863[[#This Row],[h2]],8))</f>
        <v>0</v>
      </c>
    </row>
    <row r="191" spans="1:18">
      <c r="A191" s="15" t="str">
        <f t="shared" si="7"/>
        <v>0B5</v>
      </c>
      <c r="B191" s="15">
        <v>181</v>
      </c>
      <c r="C191" s="38"/>
      <c r="D191" s="15" t="s">
        <v>254</v>
      </c>
      <c r="E191" s="51">
        <v>1</v>
      </c>
      <c r="F191" s="51">
        <v>15</v>
      </c>
      <c r="G191" s="50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1" s="27">
        <v>4</v>
      </c>
      <c r="J191" s="27">
        <v>50000</v>
      </c>
      <c r="L191" s="27"/>
      <c r="M191" s="27">
        <v>50000</v>
      </c>
      <c r="O191" s="48" t="s">
        <v>75</v>
      </c>
      <c r="P191" s="48">
        <f>HEX2DEC(RIGHT(Table13232127535863[[#This Row],[h1]],8))</f>
        <v>0</v>
      </c>
      <c r="Q191" s="48" t="s">
        <v>75</v>
      </c>
      <c r="R191" s="48">
        <f>HEX2DEC(RIGHT(Table13232127535863[[#This Row],[h2]],8))</f>
        <v>0</v>
      </c>
    </row>
    <row r="192" spans="1:18">
      <c r="A192" s="15" t="str">
        <f t="shared" si="7"/>
        <v>0B6</v>
      </c>
      <c r="B192" s="15">
        <v>182</v>
      </c>
      <c r="C192" s="38"/>
      <c r="D192" s="15" t="s">
        <v>255</v>
      </c>
      <c r="E192" s="51">
        <v>1</v>
      </c>
      <c r="F192" s="51">
        <v>555</v>
      </c>
      <c r="G192" s="50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48" t="s">
        <v>75</v>
      </c>
      <c r="P192" s="48">
        <f>HEX2DEC(RIGHT(Table13232127535863[[#This Row],[h1]],8))</f>
        <v>0</v>
      </c>
      <c r="Q192" s="48" t="s">
        <v>75</v>
      </c>
      <c r="R192" s="48">
        <f>HEX2DEC(RIGHT(Table13232127535863[[#This Row],[h2]],8))</f>
        <v>0</v>
      </c>
    </row>
    <row r="193" spans="1:18">
      <c r="A193" s="15" t="str">
        <f t="shared" si="7"/>
        <v>0B7</v>
      </c>
      <c r="B193" s="15">
        <v>183</v>
      </c>
      <c r="C193" s="38"/>
      <c r="D193" s="15" t="s">
        <v>256</v>
      </c>
      <c r="E193" s="51">
        <v>1</v>
      </c>
      <c r="F193" s="51">
        <v>10545</v>
      </c>
      <c r="G193" s="50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48" t="s">
        <v>75</v>
      </c>
      <c r="P193" s="48">
        <f>HEX2DEC(RIGHT(Table13232127535863[[#This Row],[h1]],8))</f>
        <v>0</v>
      </c>
      <c r="Q193" s="48" t="s">
        <v>75</v>
      </c>
      <c r="R193" s="48">
        <f>HEX2DEC(RIGHT(Table13232127535863[[#This Row],[h2]],8))</f>
        <v>0</v>
      </c>
    </row>
    <row r="194" spans="1:18">
      <c r="A194" s="15" t="str">
        <f t="shared" si="7"/>
        <v>0B8</v>
      </c>
      <c r="B194" s="15">
        <v>184</v>
      </c>
      <c r="C194" s="38"/>
      <c r="D194" s="15" t="s">
        <v>257</v>
      </c>
      <c r="E194" s="51">
        <v>1</v>
      </c>
      <c r="F194" s="51">
        <v>9</v>
      </c>
      <c r="G194" s="50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4" s="27">
        <v>1</v>
      </c>
      <c r="J194" s="27">
        <v>50000</v>
      </c>
      <c r="L194" s="27"/>
      <c r="M194" s="27">
        <v>50000</v>
      </c>
      <c r="O194" s="48" t="s">
        <v>75</v>
      </c>
      <c r="P194" s="48">
        <f>HEX2DEC(RIGHT(Table13232127535863[[#This Row],[h1]],8))</f>
        <v>0</v>
      </c>
      <c r="Q194" s="48" t="s">
        <v>75</v>
      </c>
      <c r="R194" s="48">
        <f>HEX2DEC(RIGHT(Table13232127535863[[#This Row],[h2]],8))</f>
        <v>0</v>
      </c>
    </row>
    <row r="195" spans="1:18">
      <c r="A195" s="15" t="str">
        <f t="shared" si="7"/>
        <v>0B9</v>
      </c>
      <c r="B195" s="15">
        <v>185</v>
      </c>
      <c r="C195" s="38"/>
      <c r="D195" s="15" t="s">
        <v>258</v>
      </c>
      <c r="E195" s="51">
        <v>1</v>
      </c>
      <c r="F195" s="51">
        <v>37</v>
      </c>
      <c r="G195" s="50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5" s="27">
        <v>3</v>
      </c>
      <c r="J195" s="27">
        <v>50000</v>
      </c>
      <c r="L195" s="27"/>
      <c r="M195" s="27">
        <v>50000</v>
      </c>
      <c r="O195" s="48" t="s">
        <v>75</v>
      </c>
      <c r="P195" s="48">
        <f>HEX2DEC(RIGHT(Table13232127535863[[#This Row],[h1]],8))</f>
        <v>0</v>
      </c>
      <c r="Q195" s="48" t="s">
        <v>75</v>
      </c>
      <c r="R195" s="48">
        <f>HEX2DEC(RIGHT(Table13232127535863[[#This Row],[h2]],8))</f>
        <v>0</v>
      </c>
    </row>
    <row r="196" spans="1:18">
      <c r="A196" s="15" t="str">
        <f t="shared" si="7"/>
        <v>0BA</v>
      </c>
      <c r="B196" s="15">
        <v>186</v>
      </c>
      <c r="C196" s="38"/>
      <c r="D196" s="15" t="s">
        <v>259</v>
      </c>
      <c r="E196" s="51">
        <v>1</v>
      </c>
      <c r="F196" s="51">
        <v>5</v>
      </c>
      <c r="G196" s="50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8" t="s">
        <v>75</v>
      </c>
      <c r="P196" s="48">
        <f>HEX2DEC(RIGHT(Table13232127535863[[#This Row],[h1]],8))</f>
        <v>0</v>
      </c>
      <c r="Q196" s="48" t="s">
        <v>75</v>
      </c>
      <c r="R196" s="48">
        <f>HEX2DEC(RIGHT(Table13232127535863[[#This Row],[h2]],8))</f>
        <v>0</v>
      </c>
    </row>
    <row r="197" spans="1:18">
      <c r="A197" s="15" t="str">
        <f t="shared" si="7"/>
        <v>0BB</v>
      </c>
      <c r="B197" s="15">
        <v>187</v>
      </c>
      <c r="C197" s="38"/>
      <c r="D197" s="15" t="s">
        <v>260</v>
      </c>
      <c r="E197" s="51">
        <v>1</v>
      </c>
      <c r="F197" s="51">
        <v>6</v>
      </c>
      <c r="G197" s="50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7" s="27">
        <v>2</v>
      </c>
      <c r="J197" s="27">
        <v>50000</v>
      </c>
      <c r="L197" s="27"/>
      <c r="M197" s="27">
        <v>50000</v>
      </c>
      <c r="O197" s="48" t="s">
        <v>75</v>
      </c>
      <c r="P197" s="48">
        <f>HEX2DEC(RIGHT(Table13232127535863[[#This Row],[h1]],8))</f>
        <v>0</v>
      </c>
      <c r="Q197" s="48" t="s">
        <v>75</v>
      </c>
      <c r="R197" s="48">
        <f>HEX2DEC(RIGHT(Table13232127535863[[#This Row],[h2]],8))</f>
        <v>0</v>
      </c>
    </row>
    <row r="198" spans="1:18">
      <c r="A198" s="15" t="str">
        <f t="shared" si="7"/>
        <v>0BC</v>
      </c>
      <c r="B198" s="15">
        <v>188</v>
      </c>
      <c r="C198" s="38"/>
      <c r="D198" s="15" t="s">
        <v>261</v>
      </c>
      <c r="E198" s="51">
        <v>1</v>
      </c>
      <c r="F198" s="51">
        <v>7</v>
      </c>
      <c r="G198" s="50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8" t="s">
        <v>75</v>
      </c>
      <c r="P198" s="48">
        <f>HEX2DEC(RIGHT(Table13232127535863[[#This Row],[h1]],8))</f>
        <v>0</v>
      </c>
      <c r="Q198" s="48" t="s">
        <v>75</v>
      </c>
      <c r="R198" s="48">
        <f>HEX2DEC(RIGHT(Table13232127535863[[#This Row],[h2]],8))</f>
        <v>0</v>
      </c>
    </row>
    <row r="199" spans="1:18">
      <c r="A199" s="15" t="str">
        <f t="shared" si="7"/>
        <v>0BD</v>
      </c>
      <c r="B199" s="15">
        <v>189</v>
      </c>
      <c r="C199" s="38"/>
      <c r="D199" s="15" t="s">
        <v>262</v>
      </c>
      <c r="E199" s="51">
        <v>1</v>
      </c>
      <c r="F199" s="51">
        <v>8</v>
      </c>
      <c r="G199" s="50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9" s="27">
        <v>3</v>
      </c>
      <c r="J199" s="27">
        <v>50000</v>
      </c>
      <c r="L199" s="27"/>
      <c r="M199" s="27">
        <v>50000</v>
      </c>
      <c r="O199" s="48" t="s">
        <v>75</v>
      </c>
      <c r="P199" s="48">
        <f>HEX2DEC(RIGHT(Table13232127535863[[#This Row],[h1]],8))</f>
        <v>0</v>
      </c>
      <c r="Q199" s="48" t="s">
        <v>75</v>
      </c>
      <c r="R199" s="48">
        <f>HEX2DEC(RIGHT(Table13232127535863[[#This Row],[h2]],8))</f>
        <v>0</v>
      </c>
    </row>
    <row r="200" spans="1:18">
      <c r="A200" s="15" t="str">
        <f t="shared" si="7"/>
        <v>0BE</v>
      </c>
      <c r="B200" s="15">
        <v>190</v>
      </c>
      <c r="C200" s="38"/>
      <c r="D200" s="15" t="s">
        <v>263</v>
      </c>
      <c r="E200" s="51">
        <v>1</v>
      </c>
      <c r="F200" s="51">
        <v>9</v>
      </c>
      <c r="G200" s="50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200" s="27">
        <v>1</v>
      </c>
      <c r="J200" s="27">
        <v>50000</v>
      </c>
      <c r="L200" s="27"/>
      <c r="M200" s="27">
        <v>50000</v>
      </c>
      <c r="O200" s="48" t="s">
        <v>75</v>
      </c>
      <c r="P200" s="48">
        <f>HEX2DEC(RIGHT(Table13232127535863[[#This Row],[h1]],8))</f>
        <v>0</v>
      </c>
      <c r="Q200" s="48" t="s">
        <v>75</v>
      </c>
      <c r="R200" s="48">
        <f>HEX2DEC(RIGHT(Table13232127535863[[#This Row],[h2]],8))</f>
        <v>0</v>
      </c>
    </row>
    <row r="201" spans="1:18">
      <c r="A201" s="15" t="str">
        <f t="shared" si="7"/>
        <v>0BF</v>
      </c>
      <c r="B201" s="15">
        <v>191</v>
      </c>
      <c r="C201" s="38"/>
      <c r="D201" s="15" t="s">
        <v>264</v>
      </c>
      <c r="E201" s="51">
        <v>1</v>
      </c>
      <c r="F201" s="51">
        <v>10</v>
      </c>
      <c r="G201" s="50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201" s="27">
        <v>2</v>
      </c>
      <c r="J201" s="27">
        <v>50000</v>
      </c>
      <c r="L201" s="27"/>
      <c r="M201" s="27">
        <v>50000</v>
      </c>
      <c r="O201" s="48" t="s">
        <v>75</v>
      </c>
      <c r="P201" s="48">
        <f>HEX2DEC(RIGHT(Table13232127535863[[#This Row],[h1]],8))</f>
        <v>0</v>
      </c>
      <c r="Q201" s="48" t="s">
        <v>75</v>
      </c>
      <c r="R201" s="48">
        <f>HEX2DEC(RIGHT(Table13232127535863[[#This Row],[h2]],8))</f>
        <v>0</v>
      </c>
    </row>
    <row r="202" spans="1:18">
      <c r="A202" s="15" t="str">
        <f t="shared" si="7"/>
        <v>0C0</v>
      </c>
      <c r="B202" s="15">
        <v>192</v>
      </c>
      <c r="C202" s="38"/>
      <c r="D202" s="15" t="s">
        <v>265</v>
      </c>
      <c r="E202" s="51">
        <v>1</v>
      </c>
      <c r="F202" s="51">
        <v>11</v>
      </c>
      <c r="G202" s="50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8" t="s">
        <v>75</v>
      </c>
      <c r="P202" s="48">
        <f>HEX2DEC(RIGHT(Table13232127535863[[#This Row],[h1]],8))</f>
        <v>0</v>
      </c>
      <c r="Q202" s="48" t="s">
        <v>75</v>
      </c>
      <c r="R202" s="48">
        <f>HEX2DEC(RIGHT(Table13232127535863[[#This Row],[h2]],8))</f>
        <v>0</v>
      </c>
    </row>
    <row r="203" spans="1:18">
      <c r="A203" s="15" t="str">
        <f t="shared" ref="A203:A266" si="8">DEC2HEX(B203,3)</f>
        <v>0C1</v>
      </c>
      <c r="B203" s="15">
        <v>193</v>
      </c>
      <c r="C203" s="38"/>
      <c r="D203" s="15" t="s">
        <v>266</v>
      </c>
      <c r="E203" s="51">
        <v>1</v>
      </c>
      <c r="F203" s="51">
        <v>12</v>
      </c>
      <c r="G203" s="50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203" s="27">
        <v>4</v>
      </c>
      <c r="J203" s="27">
        <v>50000</v>
      </c>
      <c r="L203" s="27"/>
      <c r="M203" s="27">
        <v>50000</v>
      </c>
      <c r="O203" s="48" t="s">
        <v>75</v>
      </c>
      <c r="P203" s="48">
        <f>HEX2DEC(RIGHT(Table13232127535863[[#This Row],[h1]],8))</f>
        <v>0</v>
      </c>
      <c r="Q203" s="48" t="s">
        <v>75</v>
      </c>
      <c r="R203" s="48">
        <f>HEX2DEC(RIGHT(Table13232127535863[[#This Row],[h2]],8))</f>
        <v>0</v>
      </c>
    </row>
    <row r="204" spans="1:18">
      <c r="A204" s="15" t="str">
        <f t="shared" si="8"/>
        <v>0C2</v>
      </c>
      <c r="B204" s="15">
        <v>194</v>
      </c>
      <c r="C204" s="38"/>
      <c r="D204" s="15" t="s">
        <v>267</v>
      </c>
      <c r="E204" s="51">
        <v>1</v>
      </c>
      <c r="F204" s="51">
        <v>13</v>
      </c>
      <c r="G204" s="50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8" t="s">
        <v>75</v>
      </c>
      <c r="P204" s="48">
        <f>HEX2DEC(RIGHT(Table13232127535863[[#This Row],[h1]],8))</f>
        <v>0</v>
      </c>
      <c r="Q204" s="48" t="s">
        <v>75</v>
      </c>
      <c r="R204" s="48">
        <f>HEX2DEC(RIGHT(Table13232127535863[[#This Row],[h2]],8))</f>
        <v>0</v>
      </c>
    </row>
    <row r="205" spans="1:18">
      <c r="A205" s="15" t="str">
        <f t="shared" si="8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8" t="s">
        <v>75</v>
      </c>
      <c r="P205" s="48">
        <f>HEX2DEC(RIGHT(Table13232127535863[[#This Row],[h1]],8))</f>
        <v>0</v>
      </c>
      <c r="Q205" s="48" t="s">
        <v>75</v>
      </c>
      <c r="R205" s="48">
        <f>HEX2DEC(RIGHT(Table13232127535863[[#This Row],[h2]],8))</f>
        <v>0</v>
      </c>
    </row>
    <row r="206" spans="1:18">
      <c r="A206" s="15" t="str">
        <f t="shared" si="8"/>
        <v>0C4</v>
      </c>
      <c r="B206" s="15">
        <v>196</v>
      </c>
      <c r="C206" s="38"/>
      <c r="D206" s="15" t="s">
        <v>268</v>
      </c>
      <c r="G206" s="29" t="s">
        <v>41</v>
      </c>
      <c r="I206" s="27">
        <v>1</v>
      </c>
      <c r="J206" s="27">
        <v>50000</v>
      </c>
      <c r="L206" s="27"/>
      <c r="M206" s="27">
        <v>50000</v>
      </c>
      <c r="O206" s="48" t="s">
        <v>75</v>
      </c>
      <c r="P206" s="48">
        <f>HEX2DEC(RIGHT(Table13232127535863[[#This Row],[h1]],8))</f>
        <v>0</v>
      </c>
      <c r="Q206" s="48" t="s">
        <v>75</v>
      </c>
      <c r="R206" s="48">
        <f>HEX2DEC(RIGHT(Table13232127535863[[#This Row],[h2]],8))</f>
        <v>0</v>
      </c>
    </row>
    <row r="207" spans="1:18">
      <c r="A207" s="15" t="str">
        <f t="shared" si="8"/>
        <v>0C5</v>
      </c>
      <c r="B207" s="15">
        <v>197</v>
      </c>
      <c r="C207" s="38"/>
      <c r="D207" s="15" t="s">
        <v>269</v>
      </c>
      <c r="G207" s="29" t="s">
        <v>41</v>
      </c>
      <c r="I207" s="27">
        <v>3</v>
      </c>
      <c r="J207" s="27">
        <v>50000</v>
      </c>
      <c r="L207" s="27"/>
      <c r="M207" s="27">
        <v>50000</v>
      </c>
      <c r="O207" s="48" t="s">
        <v>75</v>
      </c>
      <c r="P207" s="48">
        <f>HEX2DEC(RIGHT(Table13232127535863[[#This Row],[h1]],8))</f>
        <v>0</v>
      </c>
      <c r="Q207" s="48" t="s">
        <v>75</v>
      </c>
      <c r="R207" s="48">
        <f>HEX2DEC(RIGHT(Table13232127535863[[#This Row],[h2]],8))</f>
        <v>0</v>
      </c>
    </row>
    <row r="208" spans="1:18">
      <c r="A208" s="15" t="str">
        <f t="shared" si="8"/>
        <v>0C6</v>
      </c>
      <c r="B208" s="15">
        <v>198</v>
      </c>
      <c r="C208" s="38"/>
      <c r="D208" s="15" t="s">
        <v>270</v>
      </c>
      <c r="G208" s="29" t="s">
        <v>41</v>
      </c>
      <c r="I208" s="27">
        <v>1</v>
      </c>
      <c r="J208" s="27">
        <v>50000</v>
      </c>
      <c r="L208" s="27"/>
      <c r="M208" s="27">
        <v>50000</v>
      </c>
      <c r="O208" s="48" t="s">
        <v>75</v>
      </c>
      <c r="P208" s="48">
        <f>HEX2DEC(RIGHT(Table13232127535863[[#This Row],[h1]],8))</f>
        <v>0</v>
      </c>
      <c r="Q208" s="48" t="s">
        <v>75</v>
      </c>
      <c r="R208" s="48">
        <f>HEX2DEC(RIGHT(Table13232127535863[[#This Row],[h2]],8))</f>
        <v>0</v>
      </c>
    </row>
    <row r="209" spans="1:18">
      <c r="A209" s="15" t="str">
        <f t="shared" si="8"/>
        <v>0C7</v>
      </c>
      <c r="B209" s="15">
        <v>199</v>
      </c>
      <c r="C209" s="38"/>
      <c r="D209" s="15" t="s">
        <v>271</v>
      </c>
      <c r="G209" s="29" t="s">
        <v>41</v>
      </c>
      <c r="I209" s="27">
        <v>2</v>
      </c>
      <c r="J209" s="27">
        <v>50000</v>
      </c>
      <c r="L209" s="27"/>
      <c r="M209" s="27">
        <v>50000</v>
      </c>
      <c r="O209" s="48" t="s">
        <v>75</v>
      </c>
      <c r="P209" s="48">
        <f>HEX2DEC(RIGHT(Table13232127535863[[#This Row],[h1]],8))</f>
        <v>0</v>
      </c>
      <c r="Q209" s="48" t="s">
        <v>75</v>
      </c>
      <c r="R209" s="48">
        <f>HEX2DEC(RIGHT(Table13232127535863[[#This Row],[h2]],8))</f>
        <v>0</v>
      </c>
    </row>
    <row r="210" spans="1:18">
      <c r="A210" s="15" t="str">
        <f t="shared" si="8"/>
        <v>0C8</v>
      </c>
      <c r="B210" s="15">
        <v>200</v>
      </c>
      <c r="C210" s="38"/>
      <c r="D210" s="15" t="s">
        <v>272</v>
      </c>
      <c r="G210" s="29" t="s">
        <v>41</v>
      </c>
      <c r="I210" s="27">
        <v>1</v>
      </c>
      <c r="J210" s="27">
        <v>50000</v>
      </c>
      <c r="L210" s="27"/>
      <c r="M210" s="27">
        <v>50000</v>
      </c>
      <c r="O210" s="48" t="s">
        <v>75</v>
      </c>
      <c r="P210" s="48">
        <f>HEX2DEC(RIGHT(Table13232127535863[[#This Row],[h1]],8))</f>
        <v>0</v>
      </c>
      <c r="Q210" s="48" t="s">
        <v>75</v>
      </c>
      <c r="R210" s="48">
        <f>HEX2DEC(RIGHT(Table13232127535863[[#This Row],[h2]],8))</f>
        <v>0</v>
      </c>
    </row>
    <row r="211" spans="1:18">
      <c r="A211" s="15" t="str">
        <f t="shared" si="8"/>
        <v>0C9</v>
      </c>
      <c r="B211" s="15">
        <v>201</v>
      </c>
      <c r="C211" s="38"/>
      <c r="D211" s="15" t="s">
        <v>273</v>
      </c>
      <c r="G211" s="29" t="s">
        <v>41</v>
      </c>
      <c r="I211" s="27">
        <v>3</v>
      </c>
      <c r="J211" s="27">
        <v>50000</v>
      </c>
      <c r="L211" s="27"/>
      <c r="M211" s="27">
        <v>50000</v>
      </c>
      <c r="O211" s="48" t="s">
        <v>75</v>
      </c>
      <c r="P211" s="48">
        <f>HEX2DEC(RIGHT(Table13232127535863[[#This Row],[h1]],8))</f>
        <v>0</v>
      </c>
      <c r="Q211" s="48" t="s">
        <v>75</v>
      </c>
      <c r="R211" s="48">
        <f>HEX2DEC(RIGHT(Table13232127535863[[#This Row],[h2]],8))</f>
        <v>0</v>
      </c>
    </row>
    <row r="212" spans="1:18">
      <c r="A212" s="15" t="str">
        <f t="shared" si="8"/>
        <v>0CA</v>
      </c>
      <c r="B212" s="15">
        <v>202</v>
      </c>
      <c r="C212" s="38"/>
      <c r="D212" s="15" t="s">
        <v>274</v>
      </c>
      <c r="G212" s="29" t="s">
        <v>41</v>
      </c>
      <c r="I212" s="27">
        <v>1</v>
      </c>
      <c r="J212" s="27">
        <v>50000</v>
      </c>
      <c r="L212" s="27"/>
      <c r="M212" s="27">
        <v>50000</v>
      </c>
      <c r="O212" s="48" t="s">
        <v>75</v>
      </c>
      <c r="P212" s="48">
        <f>HEX2DEC(RIGHT(Table13232127535863[[#This Row],[h1]],8))</f>
        <v>0</v>
      </c>
      <c r="Q212" s="48" t="s">
        <v>75</v>
      </c>
      <c r="R212" s="48">
        <f>HEX2DEC(RIGHT(Table13232127535863[[#This Row],[h2]],8))</f>
        <v>0</v>
      </c>
    </row>
    <row r="213" spans="1:18">
      <c r="A213" s="15" t="str">
        <f t="shared" si="8"/>
        <v>0CB</v>
      </c>
      <c r="B213" s="15">
        <v>203</v>
      </c>
      <c r="C213" s="38"/>
      <c r="D213" s="15" t="s">
        <v>275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8" t="s">
        <v>75</v>
      </c>
      <c r="P213" s="48">
        <f>HEX2DEC(RIGHT(Table13232127535863[[#This Row],[h1]],8))</f>
        <v>0</v>
      </c>
      <c r="Q213" s="48" t="s">
        <v>75</v>
      </c>
      <c r="R213" s="48">
        <f>HEX2DEC(RIGHT(Table13232127535863[[#This Row],[h2]],8))</f>
        <v>0</v>
      </c>
    </row>
    <row r="214" spans="1:18">
      <c r="A214" s="15" t="str">
        <f t="shared" si="8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8" t="s">
        <v>75</v>
      </c>
      <c r="P214" s="48">
        <f>HEX2DEC(RIGHT(Table13232127535863[[#This Row],[h1]],8))</f>
        <v>0</v>
      </c>
      <c r="Q214" s="48" t="s">
        <v>75</v>
      </c>
      <c r="R214" s="48">
        <f>HEX2DEC(RIGHT(Table13232127535863[[#This Row],[h2]],8))</f>
        <v>0</v>
      </c>
    </row>
    <row r="215" spans="1:18">
      <c r="A215" s="15" t="str">
        <f t="shared" si="8"/>
        <v>0CD</v>
      </c>
      <c r="B215" s="15">
        <v>205</v>
      </c>
      <c r="C215" s="38"/>
      <c r="I215" s="27">
        <v>4</v>
      </c>
      <c r="J215" s="27">
        <v>50000</v>
      </c>
      <c r="L215" s="27"/>
      <c r="M215" s="27">
        <v>50000</v>
      </c>
      <c r="O215" s="48" t="s">
        <v>75</v>
      </c>
      <c r="P215" s="48">
        <f>HEX2DEC(RIGHT(Table13232127535863[[#This Row],[h1]],8))</f>
        <v>0</v>
      </c>
      <c r="Q215" s="48" t="s">
        <v>75</v>
      </c>
      <c r="R215" s="48">
        <f>HEX2DEC(RIGHT(Table13232127535863[[#This Row],[h2]],8))</f>
        <v>0</v>
      </c>
    </row>
    <row r="216" spans="1:18">
      <c r="A216" s="15" t="str">
        <f t="shared" si="8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8" t="s">
        <v>75</v>
      </c>
      <c r="P216" s="48">
        <f>HEX2DEC(RIGHT(Table13232127535863[[#This Row],[h1]],8))</f>
        <v>0</v>
      </c>
      <c r="Q216" s="48" t="s">
        <v>75</v>
      </c>
      <c r="R216" s="48">
        <f>HEX2DEC(RIGHT(Table13232127535863[[#This Row],[h2]],8))</f>
        <v>0</v>
      </c>
    </row>
    <row r="217" spans="1:18">
      <c r="A217" s="15" t="str">
        <f t="shared" si="8"/>
        <v>0CF</v>
      </c>
      <c r="B217" s="15">
        <v>207</v>
      </c>
      <c r="C217" s="38"/>
      <c r="F217" s="25"/>
      <c r="G217" s="56" t="s">
        <v>48</v>
      </c>
      <c r="I217" s="27">
        <v>2</v>
      </c>
      <c r="J217" s="27">
        <v>50000</v>
      </c>
      <c r="L217" s="27"/>
      <c r="M217" s="27">
        <v>50000</v>
      </c>
      <c r="O217" s="48" t="s">
        <v>75</v>
      </c>
      <c r="P217" s="48">
        <f>HEX2DEC(RIGHT(Table13232127535863[[#This Row],[h1]],8))</f>
        <v>0</v>
      </c>
      <c r="Q217" s="48" t="s">
        <v>75</v>
      </c>
      <c r="R217" s="48">
        <f>HEX2DEC(RIGHT(Table13232127535863[[#This Row],[h2]],8))</f>
        <v>0</v>
      </c>
    </row>
    <row r="218" spans="1:18">
      <c r="A218" s="15" t="str">
        <f t="shared" si="8"/>
        <v>0D0</v>
      </c>
      <c r="B218" s="15">
        <v>208</v>
      </c>
      <c r="C218" s="38"/>
      <c r="D218" s="15" t="s">
        <v>276</v>
      </c>
      <c r="F218" s="25"/>
      <c r="G218" s="29">
        <v>0</v>
      </c>
      <c r="I218" s="27">
        <v>1</v>
      </c>
      <c r="J218" s="27">
        <v>50000</v>
      </c>
      <c r="L218" s="27"/>
      <c r="M218" s="27">
        <v>50000</v>
      </c>
      <c r="O218" s="48" t="s">
        <v>75</v>
      </c>
      <c r="P218" s="48">
        <f>HEX2DEC(RIGHT(Table13232127535863[[#This Row],[h1]],8))</f>
        <v>0</v>
      </c>
      <c r="Q218" s="48" t="s">
        <v>75</v>
      </c>
      <c r="R218" s="48">
        <f>HEX2DEC(RIGHT(Table13232127535863[[#This Row],[h2]],8))</f>
        <v>0</v>
      </c>
    </row>
    <row r="219" spans="1:18">
      <c r="A219" s="15" t="str">
        <f t="shared" si="8"/>
        <v>0D1</v>
      </c>
      <c r="B219" s="15">
        <v>209</v>
      </c>
      <c r="C219" s="38"/>
      <c r="D219" s="15" t="s">
        <v>277</v>
      </c>
      <c r="G219" s="29">
        <v>0</v>
      </c>
      <c r="I219" s="27">
        <v>3</v>
      </c>
      <c r="J219" s="27">
        <v>50000</v>
      </c>
      <c r="L219" s="27"/>
      <c r="M219" s="27">
        <v>50000</v>
      </c>
      <c r="O219" s="48" t="s">
        <v>75</v>
      </c>
      <c r="P219" s="48">
        <f>HEX2DEC(RIGHT(Table13232127535863[[#This Row],[h1]],8))</f>
        <v>0</v>
      </c>
      <c r="Q219" s="48" t="s">
        <v>75</v>
      </c>
      <c r="R219" s="48">
        <f>HEX2DEC(RIGHT(Table13232127535863[[#This Row],[h2]],8))</f>
        <v>0</v>
      </c>
    </row>
    <row r="220" spans="1:18">
      <c r="A220" s="15" t="str">
        <f t="shared" si="8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8" t="s">
        <v>75</v>
      </c>
      <c r="P220" s="48">
        <f>HEX2DEC(RIGHT(Table13232127535863[[#This Row],[h1]],8))</f>
        <v>0</v>
      </c>
      <c r="Q220" s="48" t="s">
        <v>75</v>
      </c>
      <c r="R220" s="48">
        <f>HEX2DEC(RIGHT(Table13232127535863[[#This Row],[h2]],8))</f>
        <v>0</v>
      </c>
    </row>
    <row r="221" spans="1:18">
      <c r="A221" s="15" t="str">
        <f t="shared" si="8"/>
        <v>0D3</v>
      </c>
      <c r="B221" s="15">
        <v>211</v>
      </c>
      <c r="C221" s="38"/>
      <c r="D221" s="15" t="s">
        <v>278</v>
      </c>
      <c r="G221" s="29" t="s">
        <v>72</v>
      </c>
      <c r="I221" s="27">
        <v>2</v>
      </c>
      <c r="J221" s="27">
        <v>50000</v>
      </c>
      <c r="L221" s="27"/>
      <c r="M221" s="27">
        <v>50000</v>
      </c>
      <c r="O221" s="48" t="s">
        <v>75</v>
      </c>
      <c r="P221" s="48">
        <f>HEX2DEC(RIGHT(Table13232127535863[[#This Row],[h1]],8))</f>
        <v>0</v>
      </c>
      <c r="Q221" s="48" t="s">
        <v>75</v>
      </c>
      <c r="R221" s="48">
        <f>HEX2DEC(RIGHT(Table13232127535863[[#This Row],[h2]],8))</f>
        <v>0</v>
      </c>
    </row>
    <row r="222" spans="1:18">
      <c r="A222" s="15" t="str">
        <f t="shared" si="8"/>
        <v>0D4</v>
      </c>
      <c r="B222" s="15">
        <v>212</v>
      </c>
      <c r="C222" s="38"/>
      <c r="D222" s="15" t="s">
        <v>279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8" t="s">
        <v>75</v>
      </c>
      <c r="P222" s="48">
        <f>HEX2DEC(RIGHT(Table13232127535863[[#This Row],[h1]],8))</f>
        <v>0</v>
      </c>
      <c r="Q222" s="48" t="s">
        <v>75</v>
      </c>
      <c r="R222" s="48">
        <f>HEX2DEC(RIGHT(Table13232127535863[[#This Row],[h2]],8))</f>
        <v>0</v>
      </c>
    </row>
    <row r="223" spans="1:18">
      <c r="A223" s="15" t="str">
        <f t="shared" si="8"/>
        <v>0D5</v>
      </c>
      <c r="B223" s="15">
        <v>213</v>
      </c>
      <c r="C223" s="38"/>
      <c r="G223" s="48"/>
      <c r="I223" s="27">
        <v>3</v>
      </c>
      <c r="J223" s="27">
        <v>50000</v>
      </c>
      <c r="L223" s="27"/>
      <c r="M223" s="27">
        <v>50000</v>
      </c>
      <c r="O223" s="48" t="s">
        <v>75</v>
      </c>
      <c r="P223" s="48">
        <f>HEX2DEC(RIGHT(Table13232127535863[[#This Row],[h1]],8))</f>
        <v>0</v>
      </c>
      <c r="Q223" s="48" t="s">
        <v>75</v>
      </c>
      <c r="R223" s="48">
        <f>HEX2DEC(RIGHT(Table13232127535863[[#This Row],[h2]],8))</f>
        <v>0</v>
      </c>
    </row>
    <row r="224" spans="1:18">
      <c r="A224" s="15" t="str">
        <f t="shared" si="8"/>
        <v>0D6</v>
      </c>
      <c r="B224" s="15">
        <v>214</v>
      </c>
      <c r="C224" s="38"/>
      <c r="E224" s="48"/>
      <c r="F224" s="29" t="s">
        <v>23</v>
      </c>
      <c r="G224" s="18"/>
      <c r="I224" s="27">
        <v>1</v>
      </c>
      <c r="J224" s="27">
        <v>50000</v>
      </c>
      <c r="L224" s="27"/>
      <c r="M224" s="27">
        <v>50000</v>
      </c>
      <c r="O224" s="48" t="s">
        <v>75</v>
      </c>
      <c r="P224" s="48">
        <f>HEX2DEC(RIGHT(Table13232127535863[[#This Row],[h1]],8))</f>
        <v>0</v>
      </c>
      <c r="Q224" s="48" t="s">
        <v>75</v>
      </c>
      <c r="R224" s="48">
        <f>HEX2DEC(RIGHT(Table13232127535863[[#This Row],[h2]],8))</f>
        <v>0</v>
      </c>
    </row>
    <row r="225" spans="1:18">
      <c r="A225" s="15" t="str">
        <f t="shared" si="8"/>
        <v>0D7</v>
      </c>
      <c r="B225" s="15">
        <v>215</v>
      </c>
      <c r="C225" s="38"/>
      <c r="D225" s="15" t="s">
        <v>280</v>
      </c>
      <c r="E225" s="18" t="s">
        <v>53</v>
      </c>
      <c r="F225" s="29"/>
      <c r="G225" s="18">
        <f>IF(Table131925515661[[#This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8" t="s">
        <v>75</v>
      </c>
      <c r="P225" s="48">
        <f>HEX2DEC(RIGHT(Table13232127535863[[#This Row],[h1]],8))</f>
        <v>0</v>
      </c>
      <c r="Q225" s="48" t="s">
        <v>75</v>
      </c>
      <c r="R225" s="48">
        <f>HEX2DEC(RIGHT(Table13232127535863[[#This Row],[h2]],8))</f>
        <v>0</v>
      </c>
    </row>
    <row r="226" spans="1:18">
      <c r="A226" s="15" t="str">
        <f t="shared" si="8"/>
        <v>0D8</v>
      </c>
      <c r="B226" s="15">
        <v>216</v>
      </c>
      <c r="C226" s="38"/>
      <c r="D226" s="15" t="s">
        <v>281</v>
      </c>
      <c r="E226" s="18" t="s">
        <v>54</v>
      </c>
      <c r="F226" s="29"/>
      <c r="G226" s="18">
        <f>IF(Table131925515661[[#This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8" t="s">
        <v>75</v>
      </c>
      <c r="P226" s="48">
        <f>HEX2DEC(RIGHT(Table13232127535863[[#This Row],[h1]],8))</f>
        <v>0</v>
      </c>
      <c r="Q226" s="48" t="s">
        <v>75</v>
      </c>
      <c r="R226" s="48">
        <f>HEX2DEC(RIGHT(Table13232127535863[[#This Row],[h2]],8))</f>
        <v>0</v>
      </c>
    </row>
    <row r="227" spans="1:18">
      <c r="A227" s="15" t="str">
        <f t="shared" si="8"/>
        <v>0D9</v>
      </c>
      <c r="B227" s="15">
        <v>217</v>
      </c>
      <c r="C227" s="38"/>
      <c r="D227" s="15" t="s">
        <v>282</v>
      </c>
      <c r="E227" s="18" t="s">
        <v>55</v>
      </c>
      <c r="F227" s="29"/>
      <c r="G227" s="18">
        <f>IF(Table131925515661[[#This Row],[dec val]]="",0,1)</f>
        <v>0</v>
      </c>
      <c r="I227" s="27">
        <v>4</v>
      </c>
      <c r="J227" s="27">
        <v>50000</v>
      </c>
      <c r="L227" s="27"/>
      <c r="M227" s="27">
        <v>50000</v>
      </c>
      <c r="O227" s="48" t="s">
        <v>75</v>
      </c>
      <c r="P227" s="48">
        <f>HEX2DEC(RIGHT(Table13232127535863[[#This Row],[h1]],8))</f>
        <v>0</v>
      </c>
      <c r="Q227" s="48" t="s">
        <v>75</v>
      </c>
      <c r="R227" s="48">
        <f>HEX2DEC(RIGHT(Table13232127535863[[#This Row],[h2]],8))</f>
        <v>0</v>
      </c>
    </row>
    <row r="228" spans="1:18">
      <c r="A228" s="15" t="str">
        <f t="shared" si="8"/>
        <v>0DA</v>
      </c>
      <c r="B228" s="15">
        <v>218</v>
      </c>
      <c r="C228" s="38"/>
      <c r="D228" s="15" t="s">
        <v>283</v>
      </c>
      <c r="E228" s="18" t="s">
        <v>56</v>
      </c>
      <c r="F228" s="29"/>
      <c r="G228" s="18">
        <f>IF(Table131925515661[[#This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8" t="s">
        <v>75</v>
      </c>
      <c r="P228" s="48">
        <f>HEX2DEC(RIGHT(Table13232127535863[[#This Row],[h1]],8))</f>
        <v>0</v>
      </c>
      <c r="Q228" s="48" t="s">
        <v>75</v>
      </c>
      <c r="R228" s="48">
        <f>HEX2DEC(RIGHT(Table13232127535863[[#This Row],[h2]],8))</f>
        <v>0</v>
      </c>
    </row>
    <row r="229" spans="1:18">
      <c r="A229" s="15" t="str">
        <f t="shared" si="8"/>
        <v>0DB</v>
      </c>
      <c r="B229" s="15">
        <v>219</v>
      </c>
      <c r="C229" s="38"/>
      <c r="D229" s="15" t="s">
        <v>284</v>
      </c>
      <c r="E229" s="18" t="s">
        <v>57</v>
      </c>
      <c r="F229" s="29"/>
      <c r="G229" s="18">
        <f>IF(Table131925515661[[#This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8" t="s">
        <v>75</v>
      </c>
      <c r="P229" s="48">
        <f>HEX2DEC(RIGHT(Table13232127535863[[#This Row],[h1]],8))</f>
        <v>0</v>
      </c>
      <c r="Q229" s="48" t="s">
        <v>75</v>
      </c>
      <c r="R229" s="48">
        <f>HEX2DEC(RIGHT(Table13232127535863[[#This Row],[h2]],8))</f>
        <v>0</v>
      </c>
    </row>
    <row r="230" spans="1:18">
      <c r="A230" s="15" t="str">
        <f t="shared" si="8"/>
        <v>0DC</v>
      </c>
      <c r="B230" s="15">
        <v>220</v>
      </c>
      <c r="C230" s="38"/>
      <c r="D230" s="15" t="s">
        <v>285</v>
      </c>
      <c r="E230" s="18" t="s">
        <v>58</v>
      </c>
      <c r="F230" s="29"/>
      <c r="G230" s="18">
        <f>IF(Table131925515661[[#This Row],[dec val]]="",0,1)</f>
        <v>0</v>
      </c>
      <c r="I230" s="27">
        <v>1</v>
      </c>
      <c r="J230" s="27">
        <v>50000</v>
      </c>
      <c r="L230" s="27"/>
      <c r="M230" s="27">
        <v>50000</v>
      </c>
      <c r="O230" s="48" t="s">
        <v>75</v>
      </c>
      <c r="P230" s="48">
        <f>HEX2DEC(RIGHT(Table13232127535863[[#This Row],[h1]],8))</f>
        <v>0</v>
      </c>
      <c r="Q230" s="48" t="s">
        <v>75</v>
      </c>
      <c r="R230" s="48">
        <f>HEX2DEC(RIGHT(Table13232127535863[[#This Row],[h2]],8))</f>
        <v>0</v>
      </c>
    </row>
    <row r="231" spans="1:18">
      <c r="A231" s="15" t="str">
        <f t="shared" si="8"/>
        <v>0DD</v>
      </c>
      <c r="B231" s="15">
        <v>221</v>
      </c>
      <c r="C231" s="38"/>
      <c r="D231" s="15" t="s">
        <v>286</v>
      </c>
      <c r="E231" s="18" t="s">
        <v>59</v>
      </c>
      <c r="F231" s="29"/>
      <c r="G231" s="18">
        <f>IF(Table131925515661[[#This Row],[dec val]]="",0,1)</f>
        <v>0</v>
      </c>
      <c r="I231" s="27">
        <v>3</v>
      </c>
      <c r="J231" s="27">
        <v>50000</v>
      </c>
      <c r="L231" s="27"/>
      <c r="M231" s="27">
        <v>50000</v>
      </c>
      <c r="O231" s="48" t="s">
        <v>75</v>
      </c>
      <c r="P231" s="48">
        <f>HEX2DEC(RIGHT(Table13232127535863[[#This Row],[h1]],8))</f>
        <v>0</v>
      </c>
      <c r="Q231" s="48" t="s">
        <v>75</v>
      </c>
      <c r="R231" s="48">
        <f>HEX2DEC(RIGHT(Table13232127535863[[#This Row],[h2]],8))</f>
        <v>0</v>
      </c>
    </row>
    <row r="232" spans="1:18">
      <c r="A232" s="15" t="str">
        <f t="shared" si="8"/>
        <v>0DE</v>
      </c>
      <c r="B232" s="15">
        <v>222</v>
      </c>
      <c r="C232" s="38"/>
      <c r="D232" s="15" t="s">
        <v>287</v>
      </c>
      <c r="E232" s="18" t="s">
        <v>60</v>
      </c>
      <c r="F232" s="29"/>
      <c r="G232" s="18">
        <f>IF(Table131925515661[[#This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8" t="s">
        <v>75</v>
      </c>
      <c r="P232" s="48">
        <f>HEX2DEC(RIGHT(Table13232127535863[[#This Row],[h1]],8))</f>
        <v>0</v>
      </c>
      <c r="Q232" s="48" t="s">
        <v>75</v>
      </c>
      <c r="R232" s="48">
        <f>HEX2DEC(RIGHT(Table13232127535863[[#This Row],[h2]],8))</f>
        <v>0</v>
      </c>
    </row>
    <row r="233" spans="1:18">
      <c r="A233" s="15" t="str">
        <f t="shared" si="8"/>
        <v>0DF</v>
      </c>
      <c r="B233" s="15">
        <v>223</v>
      </c>
      <c r="C233" s="38"/>
      <c r="D233" s="15" t="s">
        <v>288</v>
      </c>
      <c r="E233" s="18" t="s">
        <v>61</v>
      </c>
      <c r="F233" s="29"/>
      <c r="G233" s="18">
        <f>IF(Table131925515661[[#This Row],[dec val]]="",0,1)</f>
        <v>0</v>
      </c>
      <c r="I233" s="27">
        <v>2</v>
      </c>
      <c r="J233" s="27">
        <v>50000</v>
      </c>
      <c r="L233" s="27"/>
      <c r="M233" s="27">
        <v>50000</v>
      </c>
      <c r="O233" s="48" t="s">
        <v>75</v>
      </c>
      <c r="P233" s="48">
        <f>HEX2DEC(RIGHT(Table13232127535863[[#This Row],[h1]],8))</f>
        <v>0</v>
      </c>
      <c r="Q233" s="48" t="s">
        <v>75</v>
      </c>
      <c r="R233" s="48">
        <f>HEX2DEC(RIGHT(Table13232127535863[[#This Row],[h2]],8))</f>
        <v>0</v>
      </c>
    </row>
    <row r="234" spans="1:18">
      <c r="A234" s="15" t="str">
        <f t="shared" si="8"/>
        <v>0E0</v>
      </c>
      <c r="B234" s="15">
        <v>224</v>
      </c>
      <c r="C234" s="38"/>
      <c r="D234" s="15" t="s">
        <v>289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8" t="s">
        <v>75</v>
      </c>
      <c r="P234" s="48">
        <f>HEX2DEC(RIGHT(Table13232127535863[[#This Row],[h1]],8))</f>
        <v>0</v>
      </c>
      <c r="Q234" s="48" t="s">
        <v>75</v>
      </c>
      <c r="R234" s="48">
        <f>HEX2DEC(RIGHT(Table13232127535863[[#This Row],[h2]],8))</f>
        <v>0</v>
      </c>
    </row>
    <row r="235" spans="1:18">
      <c r="A235" s="15" t="str">
        <f t="shared" si="8"/>
        <v>0E1</v>
      </c>
      <c r="B235" s="15">
        <v>225</v>
      </c>
      <c r="C235" s="38"/>
      <c r="D235" s="15" t="s">
        <v>290</v>
      </c>
      <c r="E235" s="18" t="s">
        <v>63</v>
      </c>
      <c r="F235" s="29"/>
      <c r="G235" s="18">
        <f>IF(Table131925515661[[#This Row],[dec val]]="",0,1)</f>
        <v>0</v>
      </c>
      <c r="I235" s="27">
        <v>3</v>
      </c>
      <c r="J235" s="27">
        <v>50000</v>
      </c>
      <c r="L235" s="27"/>
      <c r="M235" s="27">
        <v>50000</v>
      </c>
      <c r="O235" s="48" t="s">
        <v>75</v>
      </c>
      <c r="P235" s="48">
        <f>HEX2DEC(RIGHT(Table13232127535863[[#This Row],[h1]],8))</f>
        <v>0</v>
      </c>
      <c r="Q235" s="48" t="s">
        <v>75</v>
      </c>
      <c r="R235" s="48">
        <f>HEX2DEC(RIGHT(Table13232127535863[[#This Row],[h2]],8))</f>
        <v>0</v>
      </c>
    </row>
    <row r="236" spans="1:18">
      <c r="A236" s="15" t="str">
        <f t="shared" si="8"/>
        <v>0E2</v>
      </c>
      <c r="B236" s="15">
        <v>226</v>
      </c>
      <c r="C236" s="38"/>
      <c r="D236" s="15" t="s">
        <v>338</v>
      </c>
      <c r="E236" s="18" t="s">
        <v>339</v>
      </c>
      <c r="F236" s="29"/>
      <c r="G236" s="18">
        <f>IF(Table131925515661[[#This Row],[dec val]]="",0,1)</f>
        <v>0</v>
      </c>
      <c r="I236" s="27">
        <v>1</v>
      </c>
      <c r="J236" s="27">
        <v>50000</v>
      </c>
      <c r="L236" s="27"/>
      <c r="M236" s="27">
        <v>50000</v>
      </c>
      <c r="O236" s="48" t="s">
        <v>75</v>
      </c>
      <c r="P236" s="48">
        <f>HEX2DEC(RIGHT(Table13232127535863[[#This Row],[h1]],8))</f>
        <v>0</v>
      </c>
      <c r="Q236" s="48" t="s">
        <v>75</v>
      </c>
      <c r="R236" s="48">
        <f>HEX2DEC(RIGHT(Table13232127535863[[#This Row],[h2]],8))</f>
        <v>0</v>
      </c>
    </row>
    <row r="237" spans="1:18">
      <c r="A237" s="15" t="str">
        <f t="shared" si="8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8" t="s">
        <v>75</v>
      </c>
      <c r="P237" s="48">
        <f>HEX2DEC(RIGHT(Table13232127535863[[#This Row],[h1]],8))</f>
        <v>0</v>
      </c>
      <c r="Q237" s="48" t="s">
        <v>75</v>
      </c>
      <c r="R237" s="48">
        <f>HEX2DEC(RIGHT(Table13232127535863[[#This Row],[h2]],8))</f>
        <v>0</v>
      </c>
    </row>
    <row r="238" spans="1:18">
      <c r="A238" s="15" t="str">
        <f t="shared" si="8"/>
        <v>0E4</v>
      </c>
      <c r="B238" s="15">
        <v>228</v>
      </c>
      <c r="C238" s="38"/>
      <c r="D238" s="15" t="s">
        <v>291</v>
      </c>
      <c r="E238" s="18" t="s">
        <v>53</v>
      </c>
      <c r="F238" s="29"/>
      <c r="G238" s="18">
        <f>IF(Table131925515661[[#This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8" t="s">
        <v>75</v>
      </c>
      <c r="P238" s="48">
        <f>HEX2DEC(RIGHT(Table13232127535863[[#This Row],[h1]],8))</f>
        <v>0</v>
      </c>
      <c r="Q238" s="48" t="s">
        <v>75</v>
      </c>
      <c r="R238" s="48">
        <f>HEX2DEC(RIGHT(Table13232127535863[[#This Row],[h2]],8))</f>
        <v>0</v>
      </c>
    </row>
    <row r="239" spans="1:18">
      <c r="A239" s="15" t="str">
        <f t="shared" si="8"/>
        <v>0E5</v>
      </c>
      <c r="B239" s="15">
        <v>229</v>
      </c>
      <c r="C239" s="38"/>
      <c r="D239" s="15" t="s">
        <v>292</v>
      </c>
      <c r="E239" s="18" t="s">
        <v>54</v>
      </c>
      <c r="F239" s="29"/>
      <c r="G239" s="18">
        <f>IF(Table131925515661[[#This Row],[dec val]]="",0,1)</f>
        <v>0</v>
      </c>
      <c r="I239" s="27">
        <v>4</v>
      </c>
      <c r="J239" s="27">
        <v>50000</v>
      </c>
      <c r="L239" s="27"/>
      <c r="M239" s="27">
        <v>50000</v>
      </c>
      <c r="O239" s="48" t="s">
        <v>75</v>
      </c>
      <c r="P239" s="48">
        <f>HEX2DEC(RIGHT(Table13232127535863[[#This Row],[h1]],8))</f>
        <v>0</v>
      </c>
      <c r="Q239" s="48" t="s">
        <v>75</v>
      </c>
      <c r="R239" s="48">
        <f>HEX2DEC(RIGHT(Table13232127535863[[#This Row],[h2]],8))</f>
        <v>0</v>
      </c>
    </row>
    <row r="240" spans="1:18">
      <c r="A240" s="15" t="str">
        <f t="shared" si="8"/>
        <v>0E6</v>
      </c>
      <c r="B240" s="15">
        <v>230</v>
      </c>
      <c r="C240" s="38"/>
      <c r="D240" s="15" t="s">
        <v>293</v>
      </c>
      <c r="E240" s="18" t="s">
        <v>55</v>
      </c>
      <c r="F240" s="29"/>
      <c r="G240" s="18">
        <f>IF(Table131925515661[[#This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8" t="s">
        <v>75</v>
      </c>
      <c r="P240" s="48">
        <f>HEX2DEC(RIGHT(Table13232127535863[[#This Row],[h1]],8))</f>
        <v>0</v>
      </c>
      <c r="Q240" s="48" t="s">
        <v>75</v>
      </c>
      <c r="R240" s="48">
        <f>HEX2DEC(RIGHT(Table13232127535863[[#This Row],[h2]],8))</f>
        <v>0</v>
      </c>
    </row>
    <row r="241" spans="1:18">
      <c r="A241" s="15" t="str">
        <f t="shared" si="8"/>
        <v>0E7</v>
      </c>
      <c r="B241" s="15">
        <v>231</v>
      </c>
      <c r="C241" s="38"/>
      <c r="D241" s="15" t="s">
        <v>294</v>
      </c>
      <c r="E241" s="18" t="s">
        <v>56</v>
      </c>
      <c r="F241" s="29"/>
      <c r="G241" s="18">
        <f>IF(Table131925515661[[#This Row],[dec val]]="",0,1)</f>
        <v>0</v>
      </c>
      <c r="I241" s="27">
        <v>2</v>
      </c>
      <c r="J241" s="27">
        <v>50000</v>
      </c>
      <c r="L241" s="27"/>
      <c r="M241" s="27">
        <v>50000</v>
      </c>
      <c r="O241" s="48" t="s">
        <v>75</v>
      </c>
      <c r="P241" s="48">
        <f>HEX2DEC(RIGHT(Table13232127535863[[#This Row],[h1]],8))</f>
        <v>0</v>
      </c>
      <c r="Q241" s="48" t="s">
        <v>75</v>
      </c>
      <c r="R241" s="48">
        <f>HEX2DEC(RIGHT(Table13232127535863[[#This Row],[h2]],8))</f>
        <v>0</v>
      </c>
    </row>
    <row r="242" spans="1:18">
      <c r="A242" s="15" t="str">
        <f t="shared" si="8"/>
        <v>0E8</v>
      </c>
      <c r="B242" s="15">
        <v>232</v>
      </c>
      <c r="C242" s="38"/>
      <c r="D242" s="15" t="s">
        <v>295</v>
      </c>
      <c r="E242" s="18" t="s">
        <v>57</v>
      </c>
      <c r="F242" s="29"/>
      <c r="G242" s="18">
        <f>IF(Table131925515661[[#This Row],[dec val]]="",0,1)</f>
        <v>0</v>
      </c>
      <c r="I242" s="27">
        <v>1</v>
      </c>
      <c r="J242" s="27">
        <v>50000</v>
      </c>
      <c r="L242" s="27"/>
      <c r="M242" s="27">
        <v>50000</v>
      </c>
      <c r="O242" s="48" t="s">
        <v>75</v>
      </c>
      <c r="P242" s="48">
        <f>HEX2DEC(RIGHT(Table13232127535863[[#This Row],[h1]],8))</f>
        <v>0</v>
      </c>
      <c r="Q242" s="48" t="s">
        <v>75</v>
      </c>
      <c r="R242" s="48">
        <f>HEX2DEC(RIGHT(Table13232127535863[[#This Row],[h2]],8))</f>
        <v>0</v>
      </c>
    </row>
    <row r="243" spans="1:18">
      <c r="A243" s="15" t="str">
        <f t="shared" si="8"/>
        <v>0E9</v>
      </c>
      <c r="B243" s="15">
        <v>233</v>
      </c>
      <c r="C243" s="38"/>
      <c r="D243" s="15" t="s">
        <v>296</v>
      </c>
      <c r="E243" s="18" t="s">
        <v>58</v>
      </c>
      <c r="F243" s="29"/>
      <c r="G243" s="18">
        <f>IF(Table131925515661[[#This Row],[dec val]]="",0,1)</f>
        <v>0</v>
      </c>
      <c r="I243" s="27">
        <v>3</v>
      </c>
      <c r="J243" s="27">
        <v>50000</v>
      </c>
      <c r="L243" s="27"/>
      <c r="M243" s="27">
        <v>50000</v>
      </c>
      <c r="O243" s="48" t="s">
        <v>75</v>
      </c>
      <c r="P243" s="48">
        <f>HEX2DEC(RIGHT(Table13232127535863[[#This Row],[h1]],8))</f>
        <v>0</v>
      </c>
      <c r="Q243" s="48" t="s">
        <v>75</v>
      </c>
      <c r="R243" s="48">
        <f>HEX2DEC(RIGHT(Table13232127535863[[#This Row],[h2]],8))</f>
        <v>0</v>
      </c>
    </row>
    <row r="244" spans="1:18">
      <c r="A244" s="15" t="str">
        <f t="shared" si="8"/>
        <v>0EA</v>
      </c>
      <c r="B244" s="15">
        <v>234</v>
      </c>
      <c r="C244" s="38"/>
      <c r="D244" s="15" t="s">
        <v>297</v>
      </c>
      <c r="E244" s="18" t="s">
        <v>59</v>
      </c>
      <c r="F244" s="29"/>
      <c r="G244" s="18">
        <f>IF(Table131925515661[[#This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8" t="s">
        <v>75</v>
      </c>
      <c r="P244" s="48">
        <f>HEX2DEC(RIGHT(Table13232127535863[[#This Row],[h1]],8))</f>
        <v>0</v>
      </c>
      <c r="Q244" s="48" t="s">
        <v>75</v>
      </c>
      <c r="R244" s="48">
        <f>HEX2DEC(RIGHT(Table13232127535863[[#This Row],[h2]],8))</f>
        <v>0</v>
      </c>
    </row>
    <row r="245" spans="1:18">
      <c r="A245" s="15" t="str">
        <f t="shared" si="8"/>
        <v>0EB</v>
      </c>
      <c r="B245" s="15">
        <v>235</v>
      </c>
      <c r="C245" s="38"/>
      <c r="D245" s="15" t="s">
        <v>298</v>
      </c>
      <c r="E245" s="18" t="s">
        <v>60</v>
      </c>
      <c r="F245" s="29"/>
      <c r="G245" s="18">
        <f>IF(Table131925515661[[#This Row],[dec val]]="",0,1)</f>
        <v>0</v>
      </c>
      <c r="I245" s="27">
        <v>2</v>
      </c>
      <c r="J245" s="27">
        <v>50000</v>
      </c>
      <c r="L245" s="27"/>
      <c r="M245" s="27">
        <v>50000</v>
      </c>
      <c r="O245" s="48" t="s">
        <v>75</v>
      </c>
      <c r="P245" s="48">
        <f>HEX2DEC(RIGHT(Table13232127535863[[#This Row],[h1]],8))</f>
        <v>0</v>
      </c>
      <c r="Q245" s="48" t="s">
        <v>75</v>
      </c>
      <c r="R245" s="48">
        <f>HEX2DEC(RIGHT(Table13232127535863[[#This Row],[h2]],8))</f>
        <v>0</v>
      </c>
    </row>
    <row r="246" spans="1:18">
      <c r="A246" s="15" t="str">
        <f t="shared" si="8"/>
        <v>0EC</v>
      </c>
      <c r="B246" s="15">
        <v>236</v>
      </c>
      <c r="C246" s="38"/>
      <c r="D246" s="15" t="s">
        <v>299</v>
      </c>
      <c r="E246" s="18" t="s">
        <v>61</v>
      </c>
      <c r="F246" s="29"/>
      <c r="G246" s="18">
        <f>IF(Table131925515661[[#This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8" t="s">
        <v>75</v>
      </c>
      <c r="P246" s="48">
        <f>HEX2DEC(RIGHT(Table13232127535863[[#This Row],[h1]],8))</f>
        <v>0</v>
      </c>
      <c r="Q246" s="48" t="s">
        <v>75</v>
      </c>
      <c r="R246" s="48">
        <f>HEX2DEC(RIGHT(Table13232127535863[[#This Row],[h2]],8))</f>
        <v>0</v>
      </c>
    </row>
    <row r="247" spans="1:18">
      <c r="A247" s="15" t="str">
        <f t="shared" si="8"/>
        <v>0ED</v>
      </c>
      <c r="B247" s="15">
        <v>237</v>
      </c>
      <c r="C247" s="38"/>
      <c r="D247" s="15" t="s">
        <v>300</v>
      </c>
      <c r="E247" s="18" t="s">
        <v>62</v>
      </c>
      <c r="F247" s="29"/>
      <c r="G247" s="18">
        <f>IF(Table131925515661[[#This Row],[dec val]]="",0,1)</f>
        <v>0</v>
      </c>
      <c r="I247" s="27">
        <v>3</v>
      </c>
      <c r="J247" s="27">
        <v>50000</v>
      </c>
      <c r="L247" s="27"/>
      <c r="M247" s="27">
        <v>50000</v>
      </c>
      <c r="O247" s="48" t="s">
        <v>75</v>
      </c>
      <c r="P247" s="48">
        <f>HEX2DEC(RIGHT(Table13232127535863[[#This Row],[h1]],8))</f>
        <v>0</v>
      </c>
      <c r="Q247" s="48" t="s">
        <v>75</v>
      </c>
      <c r="R247" s="48">
        <f>HEX2DEC(RIGHT(Table13232127535863[[#This Row],[h2]],8))</f>
        <v>0</v>
      </c>
    </row>
    <row r="248" spans="1:18">
      <c r="A248" s="15" t="str">
        <f t="shared" si="8"/>
        <v>0EE</v>
      </c>
      <c r="B248" s="15">
        <v>238</v>
      </c>
      <c r="C248" s="38"/>
      <c r="D248" s="15" t="s">
        <v>301</v>
      </c>
      <c r="E248" s="18" t="s">
        <v>63</v>
      </c>
      <c r="F248" s="29"/>
      <c r="G248" s="18">
        <f>IF(Table131925515661[[#This Row],[dec val]]="",0,1)</f>
        <v>0</v>
      </c>
      <c r="I248" s="27">
        <v>1</v>
      </c>
      <c r="J248" s="27">
        <v>50000</v>
      </c>
      <c r="L248" s="27"/>
      <c r="M248" s="27">
        <v>50000</v>
      </c>
      <c r="O248" s="48" t="s">
        <v>75</v>
      </c>
      <c r="P248" s="48">
        <f>HEX2DEC(RIGHT(Table13232127535863[[#This Row],[h1]],8))</f>
        <v>0</v>
      </c>
      <c r="Q248" s="48" t="s">
        <v>75</v>
      </c>
      <c r="R248" s="48">
        <f>HEX2DEC(RIGHT(Table13232127535863[[#This Row],[h2]],8))</f>
        <v>0</v>
      </c>
    </row>
    <row r="249" spans="1:18">
      <c r="A249" s="15" t="str">
        <f t="shared" si="8"/>
        <v>0EF</v>
      </c>
      <c r="B249" s="15">
        <v>239</v>
      </c>
      <c r="C249" s="38"/>
      <c r="D249" s="15" t="s">
        <v>340</v>
      </c>
      <c r="E249" s="18" t="s">
        <v>339</v>
      </c>
      <c r="F249" s="29"/>
      <c r="G249" s="18">
        <f>IF(Table131925515661[[#This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8" t="s">
        <v>75</v>
      </c>
      <c r="P249" s="48">
        <f>HEX2DEC(RIGHT(Table13232127535863[[#This Row],[h1]],8))</f>
        <v>0</v>
      </c>
      <c r="Q249" s="48" t="s">
        <v>75</v>
      </c>
      <c r="R249" s="48">
        <f>HEX2DEC(RIGHT(Table13232127535863[[#This Row],[h2]],8))</f>
        <v>0</v>
      </c>
    </row>
    <row r="250" spans="1:18">
      <c r="A250" s="15" t="str">
        <f t="shared" si="8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8" t="s">
        <v>75</v>
      </c>
      <c r="P250" s="48">
        <f>HEX2DEC(RIGHT(Table13232127535863[[#This Row],[h1]],8))</f>
        <v>0</v>
      </c>
      <c r="Q250" s="48" t="s">
        <v>75</v>
      </c>
      <c r="R250" s="48">
        <f>HEX2DEC(RIGHT(Table13232127535863[[#This Row],[h2]],8))</f>
        <v>0</v>
      </c>
    </row>
    <row r="251" spans="1:18">
      <c r="A251" s="15" t="str">
        <f t="shared" si="8"/>
        <v>0F1</v>
      </c>
      <c r="B251" s="15">
        <v>241</v>
      </c>
      <c r="C251" s="38"/>
      <c r="D251" s="15" t="s">
        <v>302</v>
      </c>
      <c r="E251" s="18" t="s">
        <v>53</v>
      </c>
      <c r="F251" s="29"/>
      <c r="G251" s="18">
        <f>IF(Table131925515661[[#This Row],[dec val]]="",0,1)</f>
        <v>0</v>
      </c>
      <c r="I251" s="57" t="s">
        <v>408</v>
      </c>
      <c r="J251" s="57">
        <v>50000</v>
      </c>
      <c r="L251" s="27"/>
      <c r="M251" s="27">
        <v>50000</v>
      </c>
      <c r="O251" s="48" t="s">
        <v>75</v>
      </c>
      <c r="P251" s="48">
        <f>HEX2DEC(RIGHT(Table13232127535863[[#This Row],[h1]],8))</f>
        <v>0</v>
      </c>
      <c r="Q251" s="48" t="s">
        <v>75</v>
      </c>
      <c r="R251" s="48">
        <f>HEX2DEC(RIGHT(Table13232127535863[[#This Row],[h2]],8))</f>
        <v>0</v>
      </c>
    </row>
    <row r="252" spans="1:18">
      <c r="A252" s="15" t="str">
        <f t="shared" si="8"/>
        <v>0F2</v>
      </c>
      <c r="B252" s="15">
        <v>242</v>
      </c>
      <c r="C252" s="38"/>
      <c r="D252" s="15" t="s">
        <v>303</v>
      </c>
      <c r="E252" s="18" t="s">
        <v>54</v>
      </c>
      <c r="F252" s="29"/>
      <c r="G252" s="18">
        <f>IF(Table131925515661[[#This Row],[dec val]]="",0,1)</f>
        <v>0</v>
      </c>
      <c r="I252" s="27"/>
      <c r="J252" s="27">
        <v>50000</v>
      </c>
      <c r="L252" s="27"/>
      <c r="M252" s="27">
        <v>50000</v>
      </c>
      <c r="O252" s="48" t="s">
        <v>75</v>
      </c>
      <c r="P252" s="48">
        <f>HEX2DEC(RIGHT(Table13232127535863[[#This Row],[h1]],8))</f>
        <v>0</v>
      </c>
      <c r="Q252" s="48" t="s">
        <v>75</v>
      </c>
      <c r="R252" s="48">
        <f>HEX2DEC(RIGHT(Table13232127535863[[#This Row],[h2]],8))</f>
        <v>0</v>
      </c>
    </row>
    <row r="253" spans="1:18">
      <c r="A253" s="15" t="str">
        <f t="shared" si="8"/>
        <v>0F3</v>
      </c>
      <c r="B253" s="15">
        <v>243</v>
      </c>
      <c r="C253" s="38"/>
      <c r="D253" s="15" t="s">
        <v>304</v>
      </c>
      <c r="E253" s="18" t="s">
        <v>55</v>
      </c>
      <c r="F253" s="29"/>
      <c r="G253" s="18">
        <f>IF(Table131925515661[[#This Row],[dec val]]="",0,1)</f>
        <v>0</v>
      </c>
      <c r="I253" s="27"/>
      <c r="J253" s="27">
        <v>50000</v>
      </c>
      <c r="L253" s="27"/>
      <c r="M253" s="27">
        <v>50000</v>
      </c>
      <c r="O253" s="48" t="s">
        <v>75</v>
      </c>
      <c r="P253" s="48">
        <f>HEX2DEC(RIGHT(Table13232127535863[[#This Row],[h1]],8))</f>
        <v>0</v>
      </c>
      <c r="Q253" s="48" t="s">
        <v>75</v>
      </c>
      <c r="R253" s="48">
        <f>HEX2DEC(RIGHT(Table13232127535863[[#This Row],[h2]],8))</f>
        <v>0</v>
      </c>
    </row>
    <row r="254" spans="1:18">
      <c r="A254" s="15" t="str">
        <f t="shared" si="8"/>
        <v>0F4</v>
      </c>
      <c r="B254" s="15">
        <v>244</v>
      </c>
      <c r="C254" s="38"/>
      <c r="D254" s="15" t="s">
        <v>305</v>
      </c>
      <c r="E254" s="18" t="s">
        <v>56</v>
      </c>
      <c r="F254" s="29"/>
      <c r="G254" s="18">
        <f>IF(Table131925515661[[#This Row],[dec val]]="",0,1)</f>
        <v>0</v>
      </c>
      <c r="I254" s="27"/>
      <c r="J254" s="27">
        <v>50000</v>
      </c>
      <c r="L254" s="27"/>
      <c r="M254" s="27">
        <v>50000</v>
      </c>
      <c r="O254" s="48" t="s">
        <v>75</v>
      </c>
      <c r="P254" s="48">
        <f>HEX2DEC(RIGHT(Table13232127535863[[#This Row],[h1]],8))</f>
        <v>0</v>
      </c>
      <c r="Q254" s="48" t="s">
        <v>75</v>
      </c>
      <c r="R254" s="48">
        <f>HEX2DEC(RIGHT(Table13232127535863[[#This Row],[h2]],8))</f>
        <v>0</v>
      </c>
    </row>
    <row r="255" spans="1:18">
      <c r="A255" s="15" t="str">
        <f t="shared" si="8"/>
        <v>0F5</v>
      </c>
      <c r="B255" s="15">
        <v>245</v>
      </c>
      <c r="C255" s="38"/>
      <c r="D255" s="15" t="s">
        <v>306</v>
      </c>
      <c r="E255" s="18" t="s">
        <v>57</v>
      </c>
      <c r="F255" s="29"/>
      <c r="G255" s="18">
        <f>IF(Table131925515661[[#This Row],[dec val]]="",0,1)</f>
        <v>0</v>
      </c>
      <c r="I255" s="27"/>
      <c r="J255" s="27">
        <v>50000</v>
      </c>
      <c r="L255" s="27"/>
      <c r="M255" s="27">
        <v>50000</v>
      </c>
      <c r="O255" s="48" t="s">
        <v>75</v>
      </c>
      <c r="P255" s="48">
        <f>HEX2DEC(RIGHT(Table13232127535863[[#This Row],[h1]],8))</f>
        <v>0</v>
      </c>
      <c r="Q255" s="48" t="s">
        <v>75</v>
      </c>
      <c r="R255" s="48">
        <f>HEX2DEC(RIGHT(Table13232127535863[[#This Row],[h2]],8))</f>
        <v>0</v>
      </c>
    </row>
    <row r="256" spans="1:18">
      <c r="A256" s="15" t="str">
        <f t="shared" si="8"/>
        <v>0F6</v>
      </c>
      <c r="B256" s="15">
        <v>246</v>
      </c>
      <c r="C256" s="38"/>
      <c r="D256" s="15" t="s">
        <v>307</v>
      </c>
      <c r="E256" s="18" t="s">
        <v>58</v>
      </c>
      <c r="F256" s="29"/>
      <c r="G256" s="18">
        <f>IF(Table131925515661[[#This Row],[dec val]]="",0,1)</f>
        <v>0</v>
      </c>
      <c r="I256" s="27"/>
      <c r="J256" s="27">
        <v>50000</v>
      </c>
      <c r="L256" s="27"/>
      <c r="M256" s="27">
        <v>50000</v>
      </c>
      <c r="O256" s="48" t="s">
        <v>75</v>
      </c>
      <c r="P256" s="48">
        <f>HEX2DEC(RIGHT(Table13232127535863[[#This Row],[h1]],8))</f>
        <v>0</v>
      </c>
      <c r="Q256" s="48" t="s">
        <v>75</v>
      </c>
      <c r="R256" s="48">
        <f>HEX2DEC(RIGHT(Table13232127535863[[#This Row],[h2]],8))</f>
        <v>0</v>
      </c>
    </row>
    <row r="257" spans="1:18">
      <c r="A257" s="15" t="str">
        <f t="shared" si="8"/>
        <v>0F7</v>
      </c>
      <c r="B257" s="15">
        <v>247</v>
      </c>
      <c r="C257" s="38"/>
      <c r="D257" s="15" t="s">
        <v>308</v>
      </c>
      <c r="E257" s="18" t="s">
        <v>59</v>
      </c>
      <c r="F257" s="29"/>
      <c r="G257" s="18">
        <f>IF(Table131925515661[[#This Row],[dec val]]="",0,1)</f>
        <v>0</v>
      </c>
      <c r="I257" s="27"/>
      <c r="J257" s="27">
        <v>50000</v>
      </c>
      <c r="L257" s="27"/>
      <c r="M257" s="27">
        <v>50000</v>
      </c>
      <c r="O257" s="48" t="s">
        <v>75</v>
      </c>
      <c r="P257" s="48">
        <f>HEX2DEC(RIGHT(Table13232127535863[[#This Row],[h1]],8))</f>
        <v>0</v>
      </c>
      <c r="Q257" s="48" t="s">
        <v>75</v>
      </c>
      <c r="R257" s="48">
        <f>HEX2DEC(RIGHT(Table13232127535863[[#This Row],[h2]],8))</f>
        <v>0</v>
      </c>
    </row>
    <row r="258" spans="1:18">
      <c r="A258" s="15" t="str">
        <f t="shared" si="8"/>
        <v>0F8</v>
      </c>
      <c r="B258" s="15">
        <v>248</v>
      </c>
      <c r="C258" s="38"/>
      <c r="D258" s="15" t="s">
        <v>309</v>
      </c>
      <c r="E258" s="18" t="s">
        <v>60</v>
      </c>
      <c r="F258" s="29"/>
      <c r="G258" s="18">
        <f>IF(Table131925515661[[#This Row],[dec val]]="",0,1)</f>
        <v>0</v>
      </c>
      <c r="I258" s="27"/>
      <c r="J258" s="27">
        <v>50000</v>
      </c>
      <c r="L258" s="27"/>
      <c r="M258" s="27">
        <v>50000</v>
      </c>
      <c r="O258" s="48" t="s">
        <v>75</v>
      </c>
      <c r="P258" s="48">
        <f>HEX2DEC(RIGHT(Table13232127535863[[#This Row],[h1]],8))</f>
        <v>0</v>
      </c>
      <c r="Q258" s="48" t="s">
        <v>75</v>
      </c>
      <c r="R258" s="48">
        <f>HEX2DEC(RIGHT(Table13232127535863[[#This Row],[h2]],8))</f>
        <v>0</v>
      </c>
    </row>
    <row r="259" spans="1:18">
      <c r="A259" s="15" t="str">
        <f t="shared" si="8"/>
        <v>0F9</v>
      </c>
      <c r="B259" s="15">
        <v>249</v>
      </c>
      <c r="C259" s="38"/>
      <c r="D259" s="15" t="s">
        <v>310</v>
      </c>
      <c r="E259" s="18" t="s">
        <v>61</v>
      </c>
      <c r="F259" s="29"/>
      <c r="G259" s="18">
        <f>IF(Table131925515661[[#This Row],[dec val]]="",0,1)</f>
        <v>0</v>
      </c>
      <c r="I259" s="27"/>
      <c r="J259" s="27">
        <v>50000</v>
      </c>
      <c r="L259" s="27"/>
      <c r="M259" s="27">
        <v>50000</v>
      </c>
      <c r="O259" s="48" t="s">
        <v>75</v>
      </c>
      <c r="P259" s="48">
        <f>HEX2DEC(RIGHT(Table13232127535863[[#This Row],[h1]],8))</f>
        <v>0</v>
      </c>
      <c r="Q259" s="48" t="s">
        <v>75</v>
      </c>
      <c r="R259" s="48">
        <f>HEX2DEC(RIGHT(Table13232127535863[[#This Row],[h2]],8))</f>
        <v>0</v>
      </c>
    </row>
    <row r="260" spans="1:18">
      <c r="A260" s="15" t="str">
        <f t="shared" si="8"/>
        <v>0FA</v>
      </c>
      <c r="B260" s="15">
        <v>250</v>
      </c>
      <c r="C260" s="38"/>
      <c r="D260" s="15" t="s">
        <v>311</v>
      </c>
      <c r="E260" s="18" t="s">
        <v>62</v>
      </c>
      <c r="F260" s="29"/>
      <c r="G260" s="18">
        <f>IF(Table131925515661[[#This Row],[dec val]]="",0,1)</f>
        <v>0</v>
      </c>
      <c r="I260" s="27"/>
      <c r="J260" s="27">
        <v>50000</v>
      </c>
      <c r="L260" s="27"/>
      <c r="M260" s="27">
        <v>50000</v>
      </c>
      <c r="O260" s="48" t="s">
        <v>75</v>
      </c>
      <c r="P260" s="48">
        <f>HEX2DEC(RIGHT(Table13232127535863[[#This Row],[h1]],8))</f>
        <v>0</v>
      </c>
      <c r="Q260" s="48" t="s">
        <v>75</v>
      </c>
      <c r="R260" s="48">
        <f>HEX2DEC(RIGHT(Table13232127535863[[#This Row],[h2]],8))</f>
        <v>0</v>
      </c>
    </row>
    <row r="261" spans="1:18">
      <c r="A261" s="15" t="str">
        <f t="shared" si="8"/>
        <v>0FB</v>
      </c>
      <c r="B261" s="15">
        <v>251</v>
      </c>
      <c r="C261" s="38"/>
      <c r="D261" s="15" t="s">
        <v>312</v>
      </c>
      <c r="E261" s="18" t="s">
        <v>63</v>
      </c>
      <c r="F261" s="29"/>
      <c r="G261" s="18">
        <f>IF(Table131925515661[[#This Row],[dec val]]="",0,1)</f>
        <v>0</v>
      </c>
      <c r="I261" s="27"/>
      <c r="J261" s="27">
        <v>50000</v>
      </c>
      <c r="L261" s="27"/>
      <c r="M261" s="27">
        <v>50000</v>
      </c>
      <c r="O261" s="48" t="s">
        <v>75</v>
      </c>
      <c r="P261" s="48">
        <f>HEX2DEC(RIGHT(Table13232127535863[[#This Row],[h1]],8))</f>
        <v>0</v>
      </c>
      <c r="Q261" s="48" t="s">
        <v>75</v>
      </c>
      <c r="R261" s="48">
        <f>HEX2DEC(RIGHT(Table13232127535863[[#This Row],[h2]],8))</f>
        <v>0</v>
      </c>
    </row>
    <row r="262" spans="1:18">
      <c r="A262" s="15" t="str">
        <f t="shared" si="8"/>
        <v>0FC</v>
      </c>
      <c r="B262" s="15">
        <v>252</v>
      </c>
      <c r="C262" s="38"/>
      <c r="D262" s="15" t="s">
        <v>342</v>
      </c>
      <c r="E262" s="18" t="s">
        <v>339</v>
      </c>
      <c r="F262" s="29"/>
      <c r="G262" s="18">
        <f>IF(Table131925515661[[#This Row],[dec val]]="",0,1)</f>
        <v>0</v>
      </c>
      <c r="I262" s="27"/>
      <c r="J262" s="27">
        <v>50000</v>
      </c>
      <c r="L262" s="27"/>
      <c r="M262" s="27">
        <v>50000</v>
      </c>
      <c r="O262" s="48" t="s">
        <v>75</v>
      </c>
      <c r="P262" s="48">
        <f>HEX2DEC(RIGHT(Table13232127535863[[#This Row],[h1]],8))</f>
        <v>0</v>
      </c>
      <c r="Q262" s="48" t="s">
        <v>75</v>
      </c>
      <c r="R262" s="48">
        <f>HEX2DEC(RIGHT(Table13232127535863[[#This Row],[h2]],8))</f>
        <v>0</v>
      </c>
    </row>
    <row r="263" spans="1:18">
      <c r="A263" s="15" t="str">
        <f t="shared" si="8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8" t="s">
        <v>75</v>
      </c>
      <c r="P263" s="48">
        <f>HEX2DEC(RIGHT(Table13232127535863[[#This Row],[h1]],8))</f>
        <v>0</v>
      </c>
      <c r="Q263" s="48" t="s">
        <v>75</v>
      </c>
      <c r="R263" s="48">
        <f>HEX2DEC(RIGHT(Table13232127535863[[#This Row],[h2]],8))</f>
        <v>0</v>
      </c>
    </row>
    <row r="264" spans="1:18">
      <c r="A264" s="15" t="str">
        <f t="shared" si="8"/>
        <v>0FE</v>
      </c>
      <c r="B264" s="15">
        <v>254</v>
      </c>
      <c r="C264" s="38"/>
      <c r="D264" s="15" t="s">
        <v>313</v>
      </c>
      <c r="E264" s="18" t="s">
        <v>53</v>
      </c>
      <c r="F264" s="29"/>
      <c r="G264" s="18">
        <f>IF(Table131925515661[[#This Row],[dec val]]="",0,1)</f>
        <v>0</v>
      </c>
      <c r="I264" s="27"/>
      <c r="J264" s="27">
        <v>50000</v>
      </c>
      <c r="L264" s="27"/>
      <c r="M264" s="27">
        <v>50000</v>
      </c>
      <c r="O264" s="48" t="s">
        <v>75</v>
      </c>
      <c r="P264" s="48">
        <f>HEX2DEC(RIGHT(Table13232127535863[[#This Row],[h1]],8))</f>
        <v>0</v>
      </c>
      <c r="Q264" s="48" t="s">
        <v>75</v>
      </c>
      <c r="R264" s="48">
        <f>HEX2DEC(RIGHT(Table13232127535863[[#This Row],[h2]],8))</f>
        <v>0</v>
      </c>
    </row>
    <row r="265" spans="1:18">
      <c r="A265" s="15" t="str">
        <f t="shared" si="8"/>
        <v>0FF</v>
      </c>
      <c r="B265" s="15">
        <v>255</v>
      </c>
      <c r="C265" s="38"/>
      <c r="D265" s="15" t="s">
        <v>314</v>
      </c>
      <c r="E265" s="18" t="s">
        <v>54</v>
      </c>
      <c r="F265" s="29"/>
      <c r="G265" s="18">
        <f>IF(Table131925515661[[#This Row],[dec val]]="",0,1)</f>
        <v>0</v>
      </c>
      <c r="I265" s="27"/>
      <c r="J265" s="27">
        <v>50000</v>
      </c>
      <c r="L265" s="27"/>
      <c r="M265" s="27">
        <v>50000</v>
      </c>
      <c r="O265" s="48" t="s">
        <v>75</v>
      </c>
      <c r="P265" s="48">
        <f>HEX2DEC(RIGHT(Table13232127535863[[#This Row],[h1]],8))</f>
        <v>0</v>
      </c>
      <c r="Q265" s="48" t="s">
        <v>75</v>
      </c>
      <c r="R265" s="48">
        <f>HEX2DEC(RIGHT(Table13232127535863[[#This Row],[h2]],8))</f>
        <v>0</v>
      </c>
    </row>
    <row r="266" spans="1:18">
      <c r="A266" s="15" t="str">
        <f t="shared" si="8"/>
        <v>100</v>
      </c>
      <c r="B266" s="15">
        <v>256</v>
      </c>
      <c r="C266" s="38"/>
      <c r="D266" s="15" t="s">
        <v>315</v>
      </c>
      <c r="E266" s="18" t="s">
        <v>55</v>
      </c>
      <c r="F266" s="29"/>
      <c r="G266" s="18">
        <f>IF(Table131925515661[[#This Row],[dec val]]="",0,1)</f>
        <v>0</v>
      </c>
      <c r="I266" s="27"/>
      <c r="J266" s="27">
        <v>50000</v>
      </c>
      <c r="L266" s="27"/>
      <c r="M266" s="27">
        <v>50000</v>
      </c>
      <c r="O266" s="48" t="s">
        <v>75</v>
      </c>
      <c r="P266" s="48">
        <f>HEX2DEC(RIGHT(Table13232127535863[[#This Row],[h1]],8))</f>
        <v>0</v>
      </c>
      <c r="Q266" s="48" t="s">
        <v>75</v>
      </c>
      <c r="R266" s="48">
        <f>HEX2DEC(RIGHT(Table13232127535863[[#This Row],[h2]],8))</f>
        <v>0</v>
      </c>
    </row>
    <row r="267" spans="1:18">
      <c r="A267" s="15" t="str">
        <f t="shared" ref="A267:A330" si="9">DEC2HEX(B267,3)</f>
        <v>101</v>
      </c>
      <c r="B267" s="15">
        <v>257</v>
      </c>
      <c r="C267" s="38"/>
      <c r="D267" s="15" t="s">
        <v>316</v>
      </c>
      <c r="E267" s="18" t="s">
        <v>56</v>
      </c>
      <c r="F267" s="29"/>
      <c r="G267" s="18">
        <f>IF(Table131925515661[[#This Row],[dec val]]="",0,1)</f>
        <v>0</v>
      </c>
      <c r="I267" s="27"/>
      <c r="J267" s="27">
        <v>50000</v>
      </c>
      <c r="L267" s="27"/>
      <c r="M267" s="27">
        <v>50000</v>
      </c>
      <c r="O267" s="48" t="s">
        <v>75</v>
      </c>
      <c r="P267" s="48">
        <f>HEX2DEC(RIGHT(Table13232127535863[[#This Row],[h1]],8))</f>
        <v>0</v>
      </c>
      <c r="Q267" s="48" t="s">
        <v>75</v>
      </c>
      <c r="R267" s="48">
        <f>HEX2DEC(RIGHT(Table13232127535863[[#This Row],[h2]],8))</f>
        <v>0</v>
      </c>
    </row>
    <row r="268" spans="1:18">
      <c r="A268" s="15" t="str">
        <f t="shared" si="9"/>
        <v>102</v>
      </c>
      <c r="B268" s="15">
        <v>258</v>
      </c>
      <c r="C268" s="38"/>
      <c r="D268" s="15" t="s">
        <v>317</v>
      </c>
      <c r="E268" s="18" t="s">
        <v>57</v>
      </c>
      <c r="F268" s="29"/>
      <c r="G268" s="18">
        <f>IF(Table131925515661[[#This Row],[dec val]]="",0,1)</f>
        <v>0</v>
      </c>
      <c r="I268" s="27"/>
      <c r="J268" s="27">
        <v>50000</v>
      </c>
      <c r="L268" s="27"/>
      <c r="M268" s="27">
        <v>50000</v>
      </c>
      <c r="O268" s="48" t="s">
        <v>75</v>
      </c>
      <c r="P268" s="48">
        <f>HEX2DEC(RIGHT(Table13232127535863[[#This Row],[h1]],8))</f>
        <v>0</v>
      </c>
      <c r="Q268" s="48" t="s">
        <v>75</v>
      </c>
      <c r="R268" s="48">
        <f>HEX2DEC(RIGHT(Table13232127535863[[#This Row],[h2]],8))</f>
        <v>0</v>
      </c>
    </row>
    <row r="269" spans="1:18">
      <c r="A269" s="15" t="str">
        <f t="shared" si="9"/>
        <v>103</v>
      </c>
      <c r="B269" s="15">
        <v>259</v>
      </c>
      <c r="C269" s="38"/>
      <c r="D269" s="15" t="s">
        <v>318</v>
      </c>
      <c r="E269" s="18" t="s">
        <v>58</v>
      </c>
      <c r="F269" s="29"/>
      <c r="G269" s="18">
        <f>IF(Table131925515661[[#This Row],[dec val]]="",0,1)</f>
        <v>0</v>
      </c>
      <c r="I269" s="27"/>
      <c r="J269" s="27">
        <v>50000</v>
      </c>
      <c r="L269" s="27"/>
      <c r="M269" s="27">
        <v>50000</v>
      </c>
      <c r="O269" s="48" t="s">
        <v>75</v>
      </c>
      <c r="P269" s="48">
        <f>HEX2DEC(RIGHT(Table13232127535863[[#This Row],[h1]],8))</f>
        <v>0</v>
      </c>
      <c r="Q269" s="48" t="s">
        <v>75</v>
      </c>
      <c r="R269" s="48">
        <f>HEX2DEC(RIGHT(Table13232127535863[[#This Row],[h2]],8))</f>
        <v>0</v>
      </c>
    </row>
    <row r="270" spans="1:18">
      <c r="A270" s="15" t="str">
        <f t="shared" si="9"/>
        <v>104</v>
      </c>
      <c r="B270" s="15">
        <v>260</v>
      </c>
      <c r="C270" s="38"/>
      <c r="D270" s="15" t="s">
        <v>319</v>
      </c>
      <c r="E270" s="18" t="s">
        <v>59</v>
      </c>
      <c r="F270" s="29"/>
      <c r="G270" s="18">
        <f>IF(Table131925515661[[#This Row],[dec val]]="",0,1)</f>
        <v>0</v>
      </c>
      <c r="I270" s="27"/>
      <c r="J270" s="27">
        <v>50000</v>
      </c>
      <c r="L270" s="27"/>
      <c r="M270" s="27">
        <v>50000</v>
      </c>
      <c r="O270" s="48" t="s">
        <v>75</v>
      </c>
      <c r="P270" s="48">
        <f>HEX2DEC(RIGHT(Table13232127535863[[#This Row],[h1]],8))</f>
        <v>0</v>
      </c>
      <c r="Q270" s="48" t="s">
        <v>75</v>
      </c>
      <c r="R270" s="48">
        <f>HEX2DEC(RIGHT(Table13232127535863[[#This Row],[h2]],8))</f>
        <v>0</v>
      </c>
    </row>
    <row r="271" spans="1:18">
      <c r="A271" s="15" t="str">
        <f t="shared" si="9"/>
        <v>105</v>
      </c>
      <c r="B271" s="15">
        <v>261</v>
      </c>
      <c r="C271" s="38"/>
      <c r="D271" s="15" t="s">
        <v>320</v>
      </c>
      <c r="E271" s="18" t="s">
        <v>60</v>
      </c>
      <c r="F271" s="29"/>
      <c r="G271" s="18">
        <f>IF(Table131925515661[[#This Row],[dec val]]="",0,1)</f>
        <v>0</v>
      </c>
      <c r="I271" s="27"/>
      <c r="J271" s="27">
        <v>50000</v>
      </c>
      <c r="L271" s="27"/>
      <c r="M271" s="27">
        <v>50000</v>
      </c>
      <c r="O271" s="48" t="s">
        <v>75</v>
      </c>
      <c r="P271" s="48">
        <f>HEX2DEC(RIGHT(Table13232127535863[[#This Row],[h1]],8))</f>
        <v>0</v>
      </c>
      <c r="Q271" s="48" t="s">
        <v>75</v>
      </c>
      <c r="R271" s="48">
        <f>HEX2DEC(RIGHT(Table13232127535863[[#This Row],[h2]],8))</f>
        <v>0</v>
      </c>
    </row>
    <row r="272" spans="1:18">
      <c r="A272" s="15" t="str">
        <f t="shared" si="9"/>
        <v>106</v>
      </c>
      <c r="B272" s="15">
        <v>262</v>
      </c>
      <c r="C272" s="38"/>
      <c r="D272" s="15" t="s">
        <v>321</v>
      </c>
      <c r="E272" s="18" t="s">
        <v>62</v>
      </c>
      <c r="F272" s="29"/>
      <c r="G272" s="18">
        <f>IF(Table131925515661[[#This Row],[dec val]]="",0,1)</f>
        <v>0</v>
      </c>
      <c r="I272" s="27"/>
      <c r="J272" s="27">
        <v>50000</v>
      </c>
      <c r="L272" s="27"/>
      <c r="M272" s="27">
        <v>50000</v>
      </c>
      <c r="O272" s="48" t="s">
        <v>75</v>
      </c>
      <c r="P272" s="48">
        <f>HEX2DEC(RIGHT(Table13232127535863[[#This Row],[h1]],8))</f>
        <v>0</v>
      </c>
      <c r="Q272" s="48" t="s">
        <v>75</v>
      </c>
      <c r="R272" s="48">
        <f>HEX2DEC(RIGHT(Table13232127535863[[#This Row],[h2]],8))</f>
        <v>0</v>
      </c>
    </row>
    <row r="273" spans="1:18">
      <c r="A273" s="15" t="str">
        <f t="shared" si="9"/>
        <v>107</v>
      </c>
      <c r="B273" s="15">
        <v>263</v>
      </c>
      <c r="C273" s="38"/>
      <c r="D273" s="15" t="s">
        <v>322</v>
      </c>
      <c r="E273" s="18" t="s">
        <v>63</v>
      </c>
      <c r="F273" s="29"/>
      <c r="G273" s="18">
        <f>IF(Table131925515661[[#This Row],[dec val]]="",0,1)</f>
        <v>0</v>
      </c>
      <c r="I273" s="27"/>
      <c r="J273" s="27">
        <v>50000</v>
      </c>
      <c r="L273" s="27"/>
      <c r="M273" s="27">
        <v>50000</v>
      </c>
      <c r="O273" s="48" t="s">
        <v>75</v>
      </c>
      <c r="P273" s="48">
        <f>HEX2DEC(RIGHT(Table13232127535863[[#This Row],[h1]],8))</f>
        <v>0</v>
      </c>
      <c r="Q273" s="48" t="s">
        <v>75</v>
      </c>
      <c r="R273" s="48">
        <f>HEX2DEC(RIGHT(Table13232127535863[[#This Row],[h2]],8))</f>
        <v>0</v>
      </c>
    </row>
    <row r="274" spans="1:18">
      <c r="A274" s="15" t="str">
        <f t="shared" si="9"/>
        <v>108</v>
      </c>
      <c r="B274" s="15">
        <v>264</v>
      </c>
      <c r="C274" s="38"/>
      <c r="D274" s="15" t="s">
        <v>343</v>
      </c>
      <c r="E274" s="18" t="s">
        <v>339</v>
      </c>
      <c r="F274" s="29"/>
      <c r="G274" s="18">
        <f>IF(Table131925515661[[#This Row],[dec val]]="",0,1)</f>
        <v>0</v>
      </c>
      <c r="I274" s="27"/>
      <c r="J274" s="27">
        <v>50000</v>
      </c>
      <c r="L274" s="27"/>
      <c r="M274" s="27">
        <v>50000</v>
      </c>
      <c r="O274" s="48" t="s">
        <v>75</v>
      </c>
      <c r="P274" s="48">
        <f>HEX2DEC(RIGHT(Table13232127535863[[#This Row],[h1]],8))</f>
        <v>0</v>
      </c>
      <c r="Q274" s="48" t="s">
        <v>75</v>
      </c>
      <c r="R274" s="48">
        <f>HEX2DEC(RIGHT(Table13232127535863[[#This Row],[h2]],8))</f>
        <v>0</v>
      </c>
    </row>
    <row r="275" spans="1:18">
      <c r="A275" s="15" t="str">
        <f t="shared" si="9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8" t="s">
        <v>75</v>
      </c>
      <c r="P275" s="48">
        <f>HEX2DEC(RIGHT(Table13232127535863[[#This Row],[h1]],8))</f>
        <v>0</v>
      </c>
      <c r="Q275" s="48" t="s">
        <v>75</v>
      </c>
      <c r="R275" s="48">
        <f>HEX2DEC(RIGHT(Table13232127535863[[#This Row],[h2]],8))</f>
        <v>0</v>
      </c>
    </row>
    <row r="276" spans="1:18">
      <c r="A276" s="15" t="str">
        <f t="shared" si="9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8" t="s">
        <v>75</v>
      </c>
      <c r="P276" s="48">
        <f>HEX2DEC(RIGHT(Table13232127535863[[#This Row],[h1]],8))</f>
        <v>0</v>
      </c>
      <c r="Q276" s="48" t="s">
        <v>75</v>
      </c>
      <c r="R276" s="48">
        <f>HEX2DEC(RIGHT(Table13232127535863[[#This Row],[h2]],8))</f>
        <v>0</v>
      </c>
    </row>
    <row r="277" spans="1:18">
      <c r="A277" s="15" t="str">
        <f t="shared" si="9"/>
        <v>10B</v>
      </c>
      <c r="B277" s="15">
        <v>267</v>
      </c>
      <c r="C277" s="38"/>
      <c r="D277" s="15" t="s">
        <v>91</v>
      </c>
      <c r="G277" s="49" t="s">
        <v>428</v>
      </c>
      <c r="I277" s="27"/>
      <c r="J277" s="27">
        <v>50000</v>
      </c>
      <c r="L277" s="27"/>
      <c r="M277" s="27">
        <v>50000</v>
      </c>
      <c r="O277" s="48" t="s">
        <v>75</v>
      </c>
      <c r="P277" s="48">
        <f>HEX2DEC(RIGHT(Table13232127535863[[#This Row],[h1]],8))</f>
        <v>0</v>
      </c>
      <c r="Q277" s="48" t="s">
        <v>75</v>
      </c>
      <c r="R277" s="48">
        <f>HEX2DEC(RIGHT(Table13232127535863[[#This Row],[h2]],8))</f>
        <v>0</v>
      </c>
    </row>
    <row r="278" spans="1:18">
      <c r="A278" s="15" t="str">
        <f t="shared" si="9"/>
        <v>10C</v>
      </c>
      <c r="B278" s="15">
        <v>268</v>
      </c>
      <c r="C278" s="38"/>
      <c r="D278" s="15" t="s">
        <v>92</v>
      </c>
      <c r="G278" s="49" t="s">
        <v>428</v>
      </c>
      <c r="I278" s="27"/>
      <c r="J278" s="27">
        <v>50000</v>
      </c>
      <c r="L278" s="27"/>
      <c r="M278" s="27">
        <v>50000</v>
      </c>
      <c r="O278" s="48" t="s">
        <v>75</v>
      </c>
      <c r="P278" s="48">
        <f>HEX2DEC(RIGHT(Table13232127535863[[#This Row],[h1]],8))</f>
        <v>0</v>
      </c>
      <c r="Q278" s="48" t="s">
        <v>75</v>
      </c>
      <c r="R278" s="48">
        <f>HEX2DEC(RIGHT(Table13232127535863[[#This Row],[h2]],8))</f>
        <v>0</v>
      </c>
    </row>
    <row r="279" spans="1:18">
      <c r="A279" s="15" t="str">
        <f t="shared" si="9"/>
        <v>10D</v>
      </c>
      <c r="B279" s="15">
        <v>269</v>
      </c>
      <c r="C279" s="38"/>
      <c r="D279" s="15" t="s">
        <v>93</v>
      </c>
      <c r="G279" s="49" t="s">
        <v>428</v>
      </c>
      <c r="I279" s="27"/>
      <c r="J279" s="27">
        <v>50000</v>
      </c>
      <c r="L279" s="27"/>
      <c r="M279" s="27">
        <v>50000</v>
      </c>
      <c r="O279" s="48" t="s">
        <v>75</v>
      </c>
      <c r="P279" s="48">
        <f>HEX2DEC(RIGHT(Table13232127535863[[#This Row],[h1]],8))</f>
        <v>0</v>
      </c>
      <c r="Q279" s="48" t="s">
        <v>75</v>
      </c>
      <c r="R279" s="48">
        <f>HEX2DEC(RIGHT(Table13232127535863[[#This Row],[h2]],8))</f>
        <v>0</v>
      </c>
    </row>
    <row r="280" spans="1:18">
      <c r="A280" s="15" t="str">
        <f t="shared" si="9"/>
        <v>10E</v>
      </c>
      <c r="B280" s="15">
        <v>270</v>
      </c>
      <c r="C280" s="38"/>
      <c r="D280" s="15" t="s">
        <v>94</v>
      </c>
      <c r="G280" s="49" t="s">
        <v>428</v>
      </c>
      <c r="I280" s="27"/>
      <c r="J280" s="27">
        <v>50000</v>
      </c>
      <c r="L280" s="27"/>
      <c r="M280" s="27">
        <v>50000</v>
      </c>
      <c r="O280" s="48" t="s">
        <v>75</v>
      </c>
      <c r="P280" s="48">
        <f>HEX2DEC(RIGHT(Table13232127535863[[#This Row],[h1]],8))</f>
        <v>0</v>
      </c>
      <c r="Q280" s="48" t="s">
        <v>75</v>
      </c>
      <c r="R280" s="48">
        <f>HEX2DEC(RIGHT(Table13232127535863[[#This Row],[h2]],8))</f>
        <v>0</v>
      </c>
    </row>
    <row r="281" spans="1:18">
      <c r="A281" s="15" t="str">
        <f t="shared" si="9"/>
        <v>10F</v>
      </c>
      <c r="B281" s="15">
        <v>271</v>
      </c>
      <c r="C281" s="38"/>
      <c r="D281" s="15" t="s">
        <v>95</v>
      </c>
      <c r="G281" s="49" t="s">
        <v>428</v>
      </c>
      <c r="I281" s="27"/>
      <c r="J281" s="27">
        <v>50000</v>
      </c>
      <c r="L281" s="27"/>
      <c r="M281" s="27">
        <v>50000</v>
      </c>
      <c r="O281" s="48" t="s">
        <v>75</v>
      </c>
      <c r="P281" s="48">
        <f>HEX2DEC(RIGHT(Table13232127535863[[#This Row],[h1]],8))</f>
        <v>0</v>
      </c>
      <c r="Q281" s="48" t="s">
        <v>75</v>
      </c>
      <c r="R281" s="48">
        <f>HEX2DEC(RIGHT(Table13232127535863[[#This Row],[h2]],8))</f>
        <v>0</v>
      </c>
    </row>
    <row r="282" spans="1:18">
      <c r="A282" s="15" t="str">
        <f t="shared" si="9"/>
        <v>110</v>
      </c>
      <c r="B282" s="15">
        <v>272</v>
      </c>
      <c r="C282" s="38"/>
      <c r="D282" s="15" t="s">
        <v>96</v>
      </c>
      <c r="G282" s="49" t="s">
        <v>428</v>
      </c>
      <c r="I282" s="27"/>
      <c r="J282" s="27">
        <v>50000</v>
      </c>
      <c r="L282" s="27"/>
      <c r="M282" s="27">
        <v>50000</v>
      </c>
      <c r="O282" s="48" t="s">
        <v>75</v>
      </c>
      <c r="P282" s="48">
        <f>HEX2DEC(RIGHT(Table13232127535863[[#This Row],[h1]],8))</f>
        <v>0</v>
      </c>
      <c r="Q282" s="48" t="s">
        <v>75</v>
      </c>
      <c r="R282" s="48">
        <f>HEX2DEC(RIGHT(Table13232127535863[[#This Row],[h2]],8))</f>
        <v>0</v>
      </c>
    </row>
    <row r="283" spans="1:18">
      <c r="A283" s="15" t="str">
        <f t="shared" si="9"/>
        <v>111</v>
      </c>
      <c r="B283" s="15">
        <v>273</v>
      </c>
      <c r="C283" s="38"/>
      <c r="D283" s="15" t="s">
        <v>97</v>
      </c>
      <c r="G283" s="49" t="s">
        <v>428</v>
      </c>
      <c r="I283" s="27"/>
      <c r="J283" s="27">
        <v>50000</v>
      </c>
      <c r="L283" s="27"/>
      <c r="M283" s="27">
        <v>50000</v>
      </c>
      <c r="O283" s="48" t="s">
        <v>75</v>
      </c>
      <c r="P283" s="48">
        <f>HEX2DEC(RIGHT(Table13232127535863[[#This Row],[h1]],8))</f>
        <v>0</v>
      </c>
      <c r="Q283" s="48" t="s">
        <v>75</v>
      </c>
      <c r="R283" s="48">
        <f>HEX2DEC(RIGHT(Table13232127535863[[#This Row],[h2]],8))</f>
        <v>0</v>
      </c>
    </row>
    <row r="284" spans="1:18">
      <c r="A284" s="15" t="str">
        <f t="shared" si="9"/>
        <v>112</v>
      </c>
      <c r="B284" s="15">
        <v>274</v>
      </c>
      <c r="C284" s="38"/>
      <c r="D284" s="15" t="s">
        <v>98</v>
      </c>
      <c r="G284" s="49" t="s">
        <v>130</v>
      </c>
      <c r="I284" s="27"/>
      <c r="J284" s="27">
        <v>50000</v>
      </c>
      <c r="L284" s="27"/>
      <c r="M284" s="27">
        <v>50000</v>
      </c>
      <c r="O284" s="48" t="s">
        <v>75</v>
      </c>
      <c r="P284" s="48">
        <f>HEX2DEC(RIGHT(Table13232127535863[[#This Row],[h1]],8))</f>
        <v>0</v>
      </c>
      <c r="Q284" s="48" t="s">
        <v>75</v>
      </c>
      <c r="R284" s="48">
        <f>HEX2DEC(RIGHT(Table13232127535863[[#This Row],[h2]],8))</f>
        <v>0</v>
      </c>
    </row>
    <row r="285" spans="1:18">
      <c r="A285" s="15" t="str">
        <f t="shared" si="9"/>
        <v>113</v>
      </c>
      <c r="B285" s="15">
        <v>275</v>
      </c>
      <c r="C285" s="38"/>
      <c r="D285" s="15" t="s">
        <v>99</v>
      </c>
      <c r="G285" s="49" t="s">
        <v>130</v>
      </c>
      <c r="I285" s="27"/>
      <c r="J285" s="27">
        <v>50000</v>
      </c>
      <c r="L285" s="27"/>
      <c r="M285" s="27">
        <v>50000</v>
      </c>
      <c r="O285" s="48" t="s">
        <v>75</v>
      </c>
      <c r="P285" s="48">
        <f>HEX2DEC(RIGHT(Table13232127535863[[#This Row],[h1]],8))</f>
        <v>0</v>
      </c>
      <c r="Q285" s="48" t="s">
        <v>75</v>
      </c>
      <c r="R285" s="48">
        <f>HEX2DEC(RIGHT(Table13232127535863[[#This Row],[h2]],8))</f>
        <v>0</v>
      </c>
    </row>
    <row r="286" spans="1:18">
      <c r="A286" s="15" t="str">
        <f t="shared" si="9"/>
        <v>114</v>
      </c>
      <c r="B286" s="15">
        <v>276</v>
      </c>
      <c r="C286" s="38"/>
      <c r="D286" s="15" t="s">
        <v>100</v>
      </c>
      <c r="G286" s="49" t="s">
        <v>130</v>
      </c>
      <c r="I286" s="27"/>
      <c r="J286" s="27">
        <v>50000</v>
      </c>
      <c r="L286" s="27"/>
      <c r="M286" s="27">
        <v>50000</v>
      </c>
      <c r="O286" s="48" t="s">
        <v>75</v>
      </c>
      <c r="P286" s="48">
        <f>HEX2DEC(RIGHT(Table13232127535863[[#This Row],[h1]],8))</f>
        <v>0</v>
      </c>
      <c r="Q286" s="48" t="s">
        <v>75</v>
      </c>
      <c r="R286" s="48">
        <f>HEX2DEC(RIGHT(Table13232127535863[[#This Row],[h2]],8))</f>
        <v>0</v>
      </c>
    </row>
    <row r="287" spans="1:18">
      <c r="A287" s="15" t="str">
        <f t="shared" si="9"/>
        <v>115</v>
      </c>
      <c r="B287" s="15">
        <v>277</v>
      </c>
      <c r="C287" s="38"/>
      <c r="D287" s="15" t="s">
        <v>101</v>
      </c>
      <c r="G287" s="49" t="s">
        <v>130</v>
      </c>
      <c r="I287" s="27"/>
      <c r="J287" s="27">
        <v>50000</v>
      </c>
      <c r="L287" s="27"/>
      <c r="M287" s="27">
        <v>50000</v>
      </c>
      <c r="O287" s="48" t="s">
        <v>75</v>
      </c>
      <c r="P287" s="48">
        <f>HEX2DEC(RIGHT(Table13232127535863[[#This Row],[h1]],8))</f>
        <v>0</v>
      </c>
      <c r="Q287" s="48" t="s">
        <v>75</v>
      </c>
      <c r="R287" s="48">
        <f>HEX2DEC(RIGHT(Table13232127535863[[#This Row],[h2]],8))</f>
        <v>0</v>
      </c>
    </row>
    <row r="288" spans="1:18">
      <c r="A288" s="15" t="str">
        <f t="shared" si="9"/>
        <v>116</v>
      </c>
      <c r="B288" s="15">
        <v>278</v>
      </c>
      <c r="C288" s="38"/>
      <c r="D288" s="15" t="s">
        <v>102</v>
      </c>
      <c r="G288" s="49" t="s">
        <v>130</v>
      </c>
      <c r="I288" s="27"/>
      <c r="J288" s="27">
        <v>50000</v>
      </c>
      <c r="L288" s="27"/>
      <c r="M288" s="27">
        <v>50000</v>
      </c>
      <c r="O288" s="48" t="s">
        <v>75</v>
      </c>
      <c r="P288" s="48">
        <f>HEX2DEC(RIGHT(Table13232127535863[[#This Row],[h1]],8))</f>
        <v>0</v>
      </c>
      <c r="Q288" s="48" t="s">
        <v>75</v>
      </c>
      <c r="R288" s="48">
        <f>HEX2DEC(RIGHT(Table13232127535863[[#This Row],[h2]],8))</f>
        <v>0</v>
      </c>
    </row>
    <row r="289" spans="1:18">
      <c r="A289" s="15" t="str">
        <f t="shared" si="9"/>
        <v>117</v>
      </c>
      <c r="B289" s="15">
        <v>279</v>
      </c>
      <c r="C289" s="38"/>
      <c r="D289" s="15" t="s">
        <v>103</v>
      </c>
      <c r="G289" s="49" t="s">
        <v>130</v>
      </c>
      <c r="I289" s="27"/>
      <c r="J289" s="27">
        <v>50000</v>
      </c>
      <c r="L289" s="27"/>
      <c r="M289" s="27">
        <v>50000</v>
      </c>
      <c r="O289" s="48" t="s">
        <v>75</v>
      </c>
      <c r="P289" s="48">
        <f>HEX2DEC(RIGHT(Table13232127535863[[#This Row],[h1]],8))</f>
        <v>0</v>
      </c>
      <c r="Q289" s="48" t="s">
        <v>75</v>
      </c>
      <c r="R289" s="48">
        <f>HEX2DEC(RIGHT(Table13232127535863[[#This Row],[h2]],8))</f>
        <v>0</v>
      </c>
    </row>
    <row r="290" spans="1:18">
      <c r="A290" s="15" t="str">
        <f t="shared" si="9"/>
        <v>118</v>
      </c>
      <c r="B290" s="15">
        <v>280</v>
      </c>
      <c r="C290" s="38"/>
      <c r="D290" s="15" t="s">
        <v>104</v>
      </c>
      <c r="G290" s="49" t="s">
        <v>130</v>
      </c>
      <c r="I290" s="27"/>
      <c r="J290" s="27">
        <v>50000</v>
      </c>
      <c r="L290" s="27"/>
      <c r="M290" s="27">
        <v>50000</v>
      </c>
      <c r="O290" s="48" t="s">
        <v>75</v>
      </c>
      <c r="P290" s="48">
        <f>HEX2DEC(RIGHT(Table13232127535863[[#This Row],[h1]],8))</f>
        <v>0</v>
      </c>
      <c r="Q290" s="48" t="s">
        <v>75</v>
      </c>
      <c r="R290" s="48">
        <f>HEX2DEC(RIGHT(Table13232127535863[[#This Row],[h2]],8))</f>
        <v>0</v>
      </c>
    </row>
    <row r="291" spans="1:18">
      <c r="A291" s="15" t="str">
        <f t="shared" si="9"/>
        <v>119</v>
      </c>
      <c r="B291" s="15">
        <v>281</v>
      </c>
      <c r="C291" s="38"/>
      <c r="D291" s="15" t="s">
        <v>105</v>
      </c>
      <c r="G291" s="49" t="s">
        <v>130</v>
      </c>
      <c r="I291" s="27"/>
      <c r="J291" s="27">
        <v>50000</v>
      </c>
      <c r="L291" s="27"/>
      <c r="M291" s="27">
        <v>50000</v>
      </c>
      <c r="O291" s="48" t="s">
        <v>75</v>
      </c>
      <c r="P291" s="48">
        <f>HEX2DEC(RIGHT(Table13232127535863[[#This Row],[h1]],8))</f>
        <v>0</v>
      </c>
      <c r="Q291" s="48" t="s">
        <v>75</v>
      </c>
      <c r="R291" s="48">
        <f>HEX2DEC(RIGHT(Table13232127535863[[#This Row],[h2]],8))</f>
        <v>0</v>
      </c>
    </row>
    <row r="292" spans="1:18">
      <c r="A292" s="15" t="str">
        <f t="shared" si="9"/>
        <v>11A</v>
      </c>
      <c r="B292" s="15">
        <v>282</v>
      </c>
      <c r="C292" s="38"/>
      <c r="D292" s="15" t="s">
        <v>106</v>
      </c>
      <c r="G292" s="49" t="s">
        <v>130</v>
      </c>
      <c r="I292" s="27"/>
      <c r="J292" s="27">
        <v>50000</v>
      </c>
      <c r="L292" s="27"/>
      <c r="M292" s="27">
        <v>50000</v>
      </c>
      <c r="O292" s="48" t="s">
        <v>75</v>
      </c>
      <c r="P292" s="48">
        <f>HEX2DEC(RIGHT(Table13232127535863[[#This Row],[h1]],8))</f>
        <v>0</v>
      </c>
      <c r="Q292" s="48" t="s">
        <v>75</v>
      </c>
      <c r="R292" s="48">
        <f>HEX2DEC(RIGHT(Table13232127535863[[#This Row],[h2]],8))</f>
        <v>0</v>
      </c>
    </row>
    <row r="293" spans="1:18">
      <c r="A293" s="15" t="str">
        <f t="shared" si="9"/>
        <v>11B</v>
      </c>
      <c r="B293" s="15">
        <v>283</v>
      </c>
      <c r="C293" s="38"/>
      <c r="D293" s="15" t="s">
        <v>107</v>
      </c>
      <c r="G293" s="49" t="s">
        <v>130</v>
      </c>
      <c r="I293" s="27"/>
      <c r="J293" s="27">
        <v>50000</v>
      </c>
      <c r="L293" s="27"/>
      <c r="M293" s="27">
        <v>50000</v>
      </c>
      <c r="O293" s="48" t="s">
        <v>75</v>
      </c>
      <c r="P293" s="48">
        <f>HEX2DEC(RIGHT(Table13232127535863[[#This Row],[h1]],8))</f>
        <v>0</v>
      </c>
      <c r="Q293" s="48" t="s">
        <v>75</v>
      </c>
      <c r="R293" s="48">
        <f>HEX2DEC(RIGHT(Table13232127535863[[#This Row],[h2]],8))</f>
        <v>0</v>
      </c>
    </row>
    <row r="294" spans="1:18">
      <c r="A294" s="15" t="str">
        <f t="shared" si="9"/>
        <v>11C</v>
      </c>
      <c r="B294" s="15">
        <v>284</v>
      </c>
      <c r="C294" s="38"/>
      <c r="D294" s="15" t="s">
        <v>108</v>
      </c>
      <c r="G294" s="49" t="s">
        <v>130</v>
      </c>
      <c r="I294" s="27"/>
      <c r="J294" s="27">
        <v>50000</v>
      </c>
      <c r="L294" s="27"/>
      <c r="M294" s="27">
        <v>50000</v>
      </c>
      <c r="O294" s="48" t="s">
        <v>75</v>
      </c>
      <c r="P294" s="48">
        <f>HEX2DEC(RIGHT(Table13232127535863[[#This Row],[h1]],8))</f>
        <v>0</v>
      </c>
      <c r="Q294" s="48" t="s">
        <v>75</v>
      </c>
      <c r="R294" s="48">
        <f>HEX2DEC(RIGHT(Table13232127535863[[#This Row],[h2]],8))</f>
        <v>0</v>
      </c>
    </row>
    <row r="295" spans="1:18">
      <c r="A295" s="15" t="str">
        <f t="shared" si="9"/>
        <v>11D</v>
      </c>
      <c r="B295" s="15">
        <v>285</v>
      </c>
      <c r="C295" s="38"/>
      <c r="D295" s="15" t="s">
        <v>109</v>
      </c>
      <c r="G295" s="49" t="s">
        <v>130</v>
      </c>
      <c r="I295" s="27"/>
      <c r="J295" s="27">
        <v>50000</v>
      </c>
      <c r="L295" s="27"/>
      <c r="M295" s="27">
        <v>50000</v>
      </c>
      <c r="O295" s="48" t="s">
        <v>75</v>
      </c>
      <c r="P295" s="48">
        <f>HEX2DEC(RIGHT(Table13232127535863[[#This Row],[h1]],8))</f>
        <v>0</v>
      </c>
      <c r="Q295" s="48" t="s">
        <v>75</v>
      </c>
      <c r="R295" s="48">
        <f>HEX2DEC(RIGHT(Table13232127535863[[#This Row],[h2]],8))</f>
        <v>0</v>
      </c>
    </row>
    <row r="296" spans="1:18">
      <c r="A296" s="15" t="str">
        <f t="shared" si="9"/>
        <v>11E</v>
      </c>
      <c r="B296" s="15">
        <v>286</v>
      </c>
      <c r="C296" s="38"/>
      <c r="D296" s="15" t="s">
        <v>110</v>
      </c>
      <c r="G296" s="49" t="s">
        <v>130</v>
      </c>
      <c r="I296" s="27"/>
      <c r="J296" s="27">
        <v>50000</v>
      </c>
      <c r="L296" s="27"/>
      <c r="M296" s="27">
        <v>50000</v>
      </c>
      <c r="O296" s="48" t="s">
        <v>75</v>
      </c>
      <c r="P296" s="48">
        <f>HEX2DEC(RIGHT(Table13232127535863[[#This Row],[h1]],8))</f>
        <v>0</v>
      </c>
      <c r="Q296" s="48" t="s">
        <v>75</v>
      </c>
      <c r="R296" s="48">
        <f>HEX2DEC(RIGHT(Table13232127535863[[#This Row],[h2]],8))</f>
        <v>0</v>
      </c>
    </row>
    <row r="297" spans="1:18">
      <c r="A297" s="15" t="str">
        <f t="shared" si="9"/>
        <v>11F</v>
      </c>
      <c r="B297" s="15">
        <v>287</v>
      </c>
      <c r="C297" s="38"/>
      <c r="D297" s="15" t="s">
        <v>111</v>
      </c>
      <c r="G297" s="49" t="s">
        <v>130</v>
      </c>
      <c r="I297" s="27"/>
      <c r="J297" s="27">
        <v>50000</v>
      </c>
      <c r="L297" s="27"/>
      <c r="M297" s="27">
        <v>50000</v>
      </c>
      <c r="O297" s="48" t="s">
        <v>75</v>
      </c>
      <c r="P297" s="48">
        <f>HEX2DEC(RIGHT(Table13232127535863[[#This Row],[h1]],8))</f>
        <v>0</v>
      </c>
      <c r="Q297" s="48" t="s">
        <v>75</v>
      </c>
      <c r="R297" s="48">
        <f>HEX2DEC(RIGHT(Table13232127535863[[#This Row],[h2]],8))</f>
        <v>0</v>
      </c>
    </row>
    <row r="298" spans="1:18">
      <c r="A298" s="15" t="str">
        <f t="shared" si="9"/>
        <v>120</v>
      </c>
      <c r="B298" s="15">
        <v>288</v>
      </c>
      <c r="C298" s="38"/>
      <c r="D298" s="15" t="s">
        <v>112</v>
      </c>
      <c r="G298" s="49" t="s">
        <v>130</v>
      </c>
      <c r="I298" s="27"/>
      <c r="J298" s="27">
        <v>50000</v>
      </c>
      <c r="L298" s="27"/>
      <c r="M298" s="27">
        <v>50000</v>
      </c>
      <c r="O298" s="48" t="s">
        <v>75</v>
      </c>
      <c r="P298" s="48">
        <f>HEX2DEC(RIGHT(Table13232127535863[[#This Row],[h1]],8))</f>
        <v>0</v>
      </c>
      <c r="Q298" s="48" t="s">
        <v>75</v>
      </c>
      <c r="R298" s="48">
        <f>HEX2DEC(RIGHT(Table13232127535863[[#This Row],[h2]],8))</f>
        <v>0</v>
      </c>
    </row>
    <row r="299" spans="1:18">
      <c r="A299" s="15" t="str">
        <f t="shared" si="9"/>
        <v>121</v>
      </c>
      <c r="B299" s="15">
        <v>289</v>
      </c>
      <c r="C299" s="38"/>
      <c r="D299" s="15" t="s">
        <v>113</v>
      </c>
      <c r="G299" s="49" t="s">
        <v>130</v>
      </c>
      <c r="I299" s="27"/>
      <c r="J299" s="27">
        <v>50000</v>
      </c>
      <c r="L299" s="27"/>
      <c r="M299" s="27">
        <v>50000</v>
      </c>
      <c r="O299" s="48" t="s">
        <v>75</v>
      </c>
      <c r="P299" s="48">
        <f>HEX2DEC(RIGHT(Table13232127535863[[#This Row],[h1]],8))</f>
        <v>0</v>
      </c>
      <c r="Q299" s="48" t="s">
        <v>75</v>
      </c>
      <c r="R299" s="48">
        <f>HEX2DEC(RIGHT(Table13232127535863[[#This Row],[h2]],8))</f>
        <v>0</v>
      </c>
    </row>
    <row r="300" spans="1:18">
      <c r="A300" s="15" t="str">
        <f t="shared" si="9"/>
        <v>122</v>
      </c>
      <c r="B300" s="15">
        <v>290</v>
      </c>
      <c r="C300" s="38"/>
      <c r="D300" s="15" t="s">
        <v>114</v>
      </c>
      <c r="G300" s="49" t="s">
        <v>130</v>
      </c>
      <c r="I300" s="27"/>
      <c r="J300" s="27">
        <v>50000</v>
      </c>
      <c r="L300" s="27"/>
      <c r="M300" s="27">
        <v>50000</v>
      </c>
      <c r="O300" s="48" t="s">
        <v>75</v>
      </c>
      <c r="P300" s="48">
        <f>HEX2DEC(RIGHT(Table13232127535863[[#This Row],[h1]],8))</f>
        <v>0</v>
      </c>
      <c r="Q300" s="48" t="s">
        <v>75</v>
      </c>
      <c r="R300" s="48">
        <f>HEX2DEC(RIGHT(Table13232127535863[[#This Row],[h2]],8))</f>
        <v>0</v>
      </c>
    </row>
    <row r="301" spans="1:18">
      <c r="A301" s="15" t="str">
        <f t="shared" si="9"/>
        <v>123</v>
      </c>
      <c r="B301" s="15">
        <v>291</v>
      </c>
      <c r="C301" s="38"/>
      <c r="D301" s="15" t="s">
        <v>115</v>
      </c>
      <c r="G301" s="49" t="s">
        <v>130</v>
      </c>
      <c r="I301" s="27"/>
      <c r="J301" s="27">
        <v>50000</v>
      </c>
      <c r="L301" s="27"/>
      <c r="M301" s="27">
        <v>50000</v>
      </c>
      <c r="O301" s="48" t="s">
        <v>75</v>
      </c>
      <c r="P301" s="48">
        <f>HEX2DEC(RIGHT(Table13232127535863[[#This Row],[h1]],8))</f>
        <v>0</v>
      </c>
      <c r="Q301" s="48" t="s">
        <v>75</v>
      </c>
      <c r="R301" s="48">
        <f>HEX2DEC(RIGHT(Table13232127535863[[#This Row],[h2]],8))</f>
        <v>0</v>
      </c>
    </row>
    <row r="302" spans="1:18">
      <c r="A302" s="15" t="str">
        <f t="shared" si="9"/>
        <v>124</v>
      </c>
      <c r="B302" s="15">
        <v>292</v>
      </c>
      <c r="C302" s="38"/>
      <c r="D302" s="15" t="s">
        <v>116</v>
      </c>
      <c r="G302" s="49" t="s">
        <v>130</v>
      </c>
      <c r="I302" s="27"/>
      <c r="J302" s="27">
        <v>50000</v>
      </c>
      <c r="L302" s="27"/>
      <c r="M302" s="27">
        <v>50000</v>
      </c>
      <c r="O302" s="48" t="s">
        <v>75</v>
      </c>
      <c r="P302" s="48">
        <f>HEX2DEC(RIGHT(Table13232127535863[[#This Row],[h1]],8))</f>
        <v>0</v>
      </c>
      <c r="Q302" s="48" t="s">
        <v>75</v>
      </c>
      <c r="R302" s="48">
        <f>HEX2DEC(RIGHT(Table13232127535863[[#This Row],[h2]],8))</f>
        <v>0</v>
      </c>
    </row>
    <row r="303" spans="1:18">
      <c r="A303" s="15" t="str">
        <f t="shared" si="9"/>
        <v>125</v>
      </c>
      <c r="B303" s="15">
        <v>293</v>
      </c>
      <c r="C303" s="38"/>
      <c r="D303" s="15" t="s">
        <v>117</v>
      </c>
      <c r="G303" s="49" t="s">
        <v>130</v>
      </c>
      <c r="I303" s="27"/>
      <c r="J303" s="27">
        <v>50000</v>
      </c>
      <c r="L303" s="27"/>
      <c r="M303" s="27">
        <v>50000</v>
      </c>
      <c r="O303" s="48" t="s">
        <v>75</v>
      </c>
      <c r="P303" s="48">
        <f>HEX2DEC(RIGHT(Table13232127535863[[#This Row],[h1]],8))</f>
        <v>0</v>
      </c>
      <c r="Q303" s="48" t="s">
        <v>75</v>
      </c>
      <c r="R303" s="48">
        <f>HEX2DEC(RIGHT(Table13232127535863[[#This Row],[h2]],8))</f>
        <v>0</v>
      </c>
    </row>
    <row r="304" spans="1:18">
      <c r="A304" s="15" t="str">
        <f t="shared" si="9"/>
        <v>126</v>
      </c>
      <c r="B304" s="15">
        <v>294</v>
      </c>
      <c r="C304" s="38"/>
      <c r="D304" s="15" t="s">
        <v>118</v>
      </c>
      <c r="G304" s="49" t="s">
        <v>130</v>
      </c>
      <c r="I304" s="27"/>
      <c r="J304" s="27">
        <v>50000</v>
      </c>
      <c r="L304" s="27"/>
      <c r="M304" s="27">
        <v>50000</v>
      </c>
      <c r="O304" s="48" t="s">
        <v>75</v>
      </c>
      <c r="P304" s="48">
        <f>HEX2DEC(RIGHT(Table13232127535863[[#This Row],[h1]],8))</f>
        <v>0</v>
      </c>
      <c r="Q304" s="48" t="s">
        <v>75</v>
      </c>
      <c r="R304" s="48">
        <f>HEX2DEC(RIGHT(Table13232127535863[[#This Row],[h2]],8))</f>
        <v>0</v>
      </c>
    </row>
    <row r="305" spans="1:18">
      <c r="A305" s="15" t="str">
        <f t="shared" si="9"/>
        <v>127</v>
      </c>
      <c r="B305" s="15">
        <v>295</v>
      </c>
      <c r="C305" s="38"/>
      <c r="D305" s="15" t="s">
        <v>119</v>
      </c>
      <c r="G305" s="49" t="s">
        <v>130</v>
      </c>
      <c r="I305" s="27"/>
      <c r="J305" s="27">
        <v>50000</v>
      </c>
      <c r="L305" s="27"/>
      <c r="M305" s="27">
        <v>50000</v>
      </c>
      <c r="O305" s="48" t="s">
        <v>75</v>
      </c>
      <c r="P305" s="48">
        <f>HEX2DEC(RIGHT(Table13232127535863[[#This Row],[h1]],8))</f>
        <v>0</v>
      </c>
      <c r="Q305" s="48" t="s">
        <v>75</v>
      </c>
      <c r="R305" s="48">
        <f>HEX2DEC(RIGHT(Table13232127535863[[#This Row],[h2]],8))</f>
        <v>0</v>
      </c>
    </row>
    <row r="306" spans="1:18">
      <c r="A306" s="15" t="str">
        <f t="shared" si="9"/>
        <v>128</v>
      </c>
      <c r="B306" s="15">
        <v>296</v>
      </c>
      <c r="C306" s="38"/>
      <c r="D306" s="15" t="s">
        <v>120</v>
      </c>
      <c r="G306" s="49" t="s">
        <v>130</v>
      </c>
      <c r="I306" s="27"/>
      <c r="J306" s="27">
        <v>50000</v>
      </c>
      <c r="L306" s="27"/>
      <c r="M306" s="27">
        <v>50000</v>
      </c>
      <c r="O306" s="48" t="s">
        <v>75</v>
      </c>
      <c r="P306" s="48">
        <f>HEX2DEC(RIGHT(Table13232127535863[[#This Row],[h1]],8))</f>
        <v>0</v>
      </c>
      <c r="Q306" s="48" t="s">
        <v>75</v>
      </c>
      <c r="R306" s="48">
        <f>HEX2DEC(RIGHT(Table13232127535863[[#This Row],[h2]],8))</f>
        <v>0</v>
      </c>
    </row>
    <row r="307" spans="1:18">
      <c r="A307" s="15" t="str">
        <f t="shared" si="9"/>
        <v>129</v>
      </c>
      <c r="B307" s="15">
        <v>297</v>
      </c>
      <c r="C307" s="38"/>
      <c r="D307" s="15" t="s">
        <v>121</v>
      </c>
      <c r="G307" s="49" t="s">
        <v>130</v>
      </c>
      <c r="I307" s="27"/>
      <c r="J307" s="27">
        <v>50000</v>
      </c>
      <c r="L307" s="27"/>
      <c r="M307" s="27">
        <v>50000</v>
      </c>
      <c r="O307" s="48" t="s">
        <v>75</v>
      </c>
      <c r="P307" s="48">
        <f>HEX2DEC(RIGHT(Table13232127535863[[#This Row],[h1]],8))</f>
        <v>0</v>
      </c>
      <c r="Q307" s="48" t="s">
        <v>75</v>
      </c>
      <c r="R307" s="48">
        <f>HEX2DEC(RIGHT(Table13232127535863[[#This Row],[h2]],8))</f>
        <v>0</v>
      </c>
    </row>
    <row r="308" spans="1:18">
      <c r="A308" s="15" t="str">
        <f t="shared" si="9"/>
        <v>12A</v>
      </c>
      <c r="B308" s="15">
        <v>298</v>
      </c>
      <c r="C308" s="38"/>
      <c r="D308" s="15" t="s">
        <v>122</v>
      </c>
      <c r="G308" s="49" t="s">
        <v>130</v>
      </c>
      <c r="I308" s="27"/>
      <c r="J308" s="27">
        <v>50000</v>
      </c>
      <c r="L308" s="27"/>
      <c r="M308" s="27">
        <v>50000</v>
      </c>
      <c r="O308" s="48" t="s">
        <v>75</v>
      </c>
      <c r="P308" s="48">
        <f>HEX2DEC(RIGHT(Table13232127535863[[#This Row],[h1]],8))</f>
        <v>0</v>
      </c>
      <c r="Q308" s="48" t="s">
        <v>75</v>
      </c>
      <c r="R308" s="48">
        <f>HEX2DEC(RIGHT(Table13232127535863[[#This Row],[h2]],8))</f>
        <v>0</v>
      </c>
    </row>
    <row r="309" spans="1:18">
      <c r="A309" s="15" t="str">
        <f t="shared" si="9"/>
        <v>12B</v>
      </c>
      <c r="B309" s="15">
        <v>299</v>
      </c>
      <c r="C309" s="38"/>
      <c r="D309" s="15" t="s">
        <v>123</v>
      </c>
      <c r="G309" s="49" t="s">
        <v>130</v>
      </c>
      <c r="I309" s="27"/>
      <c r="J309" s="27">
        <v>50000</v>
      </c>
      <c r="L309" s="27"/>
      <c r="M309" s="27">
        <v>50000</v>
      </c>
      <c r="O309" s="48" t="s">
        <v>75</v>
      </c>
      <c r="P309" s="48">
        <f>HEX2DEC(RIGHT(Table13232127535863[[#This Row],[h1]],8))</f>
        <v>0</v>
      </c>
      <c r="Q309" s="48" t="s">
        <v>75</v>
      </c>
      <c r="R309" s="48">
        <f>HEX2DEC(RIGHT(Table13232127535863[[#This Row],[h2]],8))</f>
        <v>0</v>
      </c>
    </row>
    <row r="310" spans="1:18">
      <c r="A310" s="15" t="str">
        <f t="shared" si="9"/>
        <v>12C</v>
      </c>
      <c r="B310" s="15">
        <v>300</v>
      </c>
      <c r="C310" s="38"/>
      <c r="D310" s="15" t="s">
        <v>124</v>
      </c>
      <c r="G310" s="49" t="s">
        <v>130</v>
      </c>
      <c r="I310" s="27"/>
      <c r="J310" s="27">
        <v>50000</v>
      </c>
      <c r="L310" s="27"/>
      <c r="M310" s="27">
        <v>50000</v>
      </c>
      <c r="O310" s="48" t="s">
        <v>75</v>
      </c>
      <c r="P310" s="48">
        <f>HEX2DEC(RIGHT(Table13232127535863[[#This Row],[h1]],8))</f>
        <v>0</v>
      </c>
      <c r="Q310" s="48" t="s">
        <v>75</v>
      </c>
      <c r="R310" s="48">
        <f>HEX2DEC(RIGHT(Table13232127535863[[#This Row],[h2]],8))</f>
        <v>0</v>
      </c>
    </row>
    <row r="311" spans="1:18">
      <c r="A311" s="15" t="str">
        <f t="shared" si="9"/>
        <v>12D</v>
      </c>
      <c r="B311" s="15">
        <v>301</v>
      </c>
      <c r="C311" s="38"/>
      <c r="D311" s="15" t="s">
        <v>125</v>
      </c>
      <c r="G311" s="49" t="s">
        <v>130</v>
      </c>
      <c r="I311" s="27"/>
      <c r="J311" s="27">
        <v>50000</v>
      </c>
      <c r="L311" s="27"/>
      <c r="M311" s="27">
        <v>50000</v>
      </c>
      <c r="O311" s="48" t="s">
        <v>75</v>
      </c>
      <c r="P311" s="48">
        <f>HEX2DEC(RIGHT(Table13232127535863[[#This Row],[h1]],8))</f>
        <v>0</v>
      </c>
      <c r="Q311" s="48" t="s">
        <v>75</v>
      </c>
      <c r="R311" s="48">
        <f>HEX2DEC(RIGHT(Table13232127535863[[#This Row],[h2]],8))</f>
        <v>0</v>
      </c>
    </row>
    <row r="312" spans="1:18">
      <c r="A312" s="15" t="str">
        <f t="shared" si="9"/>
        <v>12E</v>
      </c>
      <c r="B312" s="15">
        <v>302</v>
      </c>
      <c r="C312" s="38"/>
      <c r="D312" s="15" t="s">
        <v>126</v>
      </c>
      <c r="G312" s="49" t="s">
        <v>130</v>
      </c>
      <c r="I312" s="27"/>
      <c r="J312" s="27">
        <v>50000</v>
      </c>
      <c r="L312" s="27"/>
      <c r="M312" s="27">
        <v>50000</v>
      </c>
      <c r="O312" s="48" t="s">
        <v>75</v>
      </c>
      <c r="P312" s="48">
        <f>HEX2DEC(RIGHT(Table13232127535863[[#This Row],[h1]],8))</f>
        <v>0</v>
      </c>
      <c r="Q312" s="48" t="s">
        <v>75</v>
      </c>
      <c r="R312" s="48">
        <f>HEX2DEC(RIGHT(Table13232127535863[[#This Row],[h2]],8))</f>
        <v>0</v>
      </c>
    </row>
    <row r="313" spans="1:18">
      <c r="A313" s="15" t="str">
        <f t="shared" si="9"/>
        <v>12F</v>
      </c>
      <c r="B313" s="15">
        <v>303</v>
      </c>
      <c r="C313" s="38"/>
      <c r="D313" s="15" t="s">
        <v>127</v>
      </c>
      <c r="G313" s="49" t="s">
        <v>130</v>
      </c>
      <c r="I313" s="27"/>
      <c r="J313" s="27">
        <v>50000</v>
      </c>
      <c r="L313" s="27"/>
      <c r="M313" s="27">
        <v>50000</v>
      </c>
      <c r="O313" s="48" t="s">
        <v>75</v>
      </c>
      <c r="P313" s="48">
        <f>HEX2DEC(RIGHT(Table13232127535863[[#This Row],[h1]],8))</f>
        <v>0</v>
      </c>
      <c r="Q313" s="48" t="s">
        <v>75</v>
      </c>
      <c r="R313" s="48">
        <f>HEX2DEC(RIGHT(Table13232127535863[[#This Row],[h2]],8))</f>
        <v>0</v>
      </c>
    </row>
    <row r="314" spans="1:18">
      <c r="A314" s="15" t="str">
        <f t="shared" si="9"/>
        <v>130</v>
      </c>
      <c r="B314" s="15">
        <v>304</v>
      </c>
      <c r="C314" s="38"/>
      <c r="D314" s="15" t="s">
        <v>128</v>
      </c>
      <c r="G314" s="49" t="s">
        <v>130</v>
      </c>
      <c r="I314" s="27"/>
      <c r="J314" s="27">
        <v>50000</v>
      </c>
      <c r="L314" s="27"/>
      <c r="M314" s="27">
        <v>50000</v>
      </c>
      <c r="O314" s="48" t="s">
        <v>75</v>
      </c>
      <c r="P314" s="48">
        <f>HEX2DEC(RIGHT(Table13232127535863[[#This Row],[h1]],8))</f>
        <v>0</v>
      </c>
      <c r="Q314" s="48" t="s">
        <v>75</v>
      </c>
      <c r="R314" s="48">
        <f>HEX2DEC(RIGHT(Table13232127535863[[#This Row],[h2]],8))</f>
        <v>0</v>
      </c>
    </row>
    <row r="315" spans="1:18">
      <c r="A315" s="15" t="str">
        <f t="shared" si="9"/>
        <v>131</v>
      </c>
      <c r="B315" s="15">
        <v>305</v>
      </c>
      <c r="C315" s="38"/>
      <c r="D315" s="15" t="s">
        <v>129</v>
      </c>
      <c r="G315" s="49" t="s">
        <v>130</v>
      </c>
      <c r="I315" s="27"/>
      <c r="J315" s="27">
        <v>50000</v>
      </c>
      <c r="L315" s="27"/>
      <c r="M315" s="27">
        <v>50000</v>
      </c>
      <c r="O315" s="48" t="s">
        <v>75</v>
      </c>
      <c r="P315" s="48">
        <f>HEX2DEC(RIGHT(Table13232127535863[[#This Row],[h1]],8))</f>
        <v>0</v>
      </c>
      <c r="Q315" s="48" t="s">
        <v>75</v>
      </c>
      <c r="R315" s="48">
        <f>HEX2DEC(RIGHT(Table13232127535863[[#This Row],[h2]],8))</f>
        <v>0</v>
      </c>
    </row>
    <row r="316" spans="1:18">
      <c r="A316" s="15" t="str">
        <f t="shared" si="9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8" t="s">
        <v>75</v>
      </c>
      <c r="P316" s="48">
        <f>HEX2DEC(RIGHT(Table13232127535863[[#This Row],[h1]],8))</f>
        <v>0</v>
      </c>
      <c r="Q316" s="48" t="s">
        <v>75</v>
      </c>
      <c r="R316" s="48">
        <f>HEX2DEC(RIGHT(Table13232127535863[[#This Row],[h2]],8))</f>
        <v>0</v>
      </c>
    </row>
    <row r="317" spans="1:18">
      <c r="A317" s="15" t="str">
        <f t="shared" si="9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8" t="s">
        <v>75</v>
      </c>
      <c r="P317" s="48">
        <f>HEX2DEC(RIGHT(Table13232127535863[[#This Row],[h1]],8))</f>
        <v>0</v>
      </c>
      <c r="Q317" s="48" t="s">
        <v>75</v>
      </c>
      <c r="R317" s="48">
        <f>HEX2DEC(RIGHT(Table13232127535863[[#This Row],[h2]],8))</f>
        <v>0</v>
      </c>
    </row>
    <row r="318" spans="1:18">
      <c r="A318" s="15" t="str">
        <f t="shared" si="9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8" t="s">
        <v>75</v>
      </c>
      <c r="P318" s="48">
        <f>HEX2DEC(RIGHT(Table13232127535863[[#This Row],[h1]],8))</f>
        <v>0</v>
      </c>
      <c r="Q318" s="48" t="s">
        <v>75</v>
      </c>
      <c r="R318" s="48">
        <f>HEX2DEC(RIGHT(Table13232127535863[[#This Row],[h2]],8))</f>
        <v>0</v>
      </c>
    </row>
    <row r="319" spans="1:18">
      <c r="A319" s="15" t="str">
        <f t="shared" si="9"/>
        <v>135</v>
      </c>
      <c r="B319" s="15">
        <v>309</v>
      </c>
      <c r="C319" s="38"/>
      <c r="D319" s="15" t="s">
        <v>426</v>
      </c>
      <c r="G319" s="29">
        <v>0</v>
      </c>
      <c r="I319" s="27"/>
      <c r="J319" s="27">
        <v>50000</v>
      </c>
      <c r="L319" s="27"/>
      <c r="M319" s="27">
        <v>50000</v>
      </c>
      <c r="O319" s="48" t="s">
        <v>75</v>
      </c>
      <c r="P319" s="48">
        <f>HEX2DEC(RIGHT(Table13232127535863[[#This Row],[h1]],8))</f>
        <v>0</v>
      </c>
      <c r="Q319" s="48" t="s">
        <v>75</v>
      </c>
      <c r="R319" s="48">
        <f>HEX2DEC(RIGHT(Table13232127535863[[#This Row],[h2]],8))</f>
        <v>0</v>
      </c>
    </row>
    <row r="320" spans="1:18">
      <c r="A320" s="15" t="str">
        <f t="shared" si="9"/>
        <v>136</v>
      </c>
      <c r="B320" s="15">
        <v>310</v>
      </c>
      <c r="C320" s="38"/>
      <c r="D320" s="33" t="s">
        <v>325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8" t="s">
        <v>75</v>
      </c>
      <c r="P320" s="48">
        <f>HEX2DEC(RIGHT(Table13232127535863[[#This Row],[h1]],8))</f>
        <v>0</v>
      </c>
      <c r="Q320" s="48" t="s">
        <v>75</v>
      </c>
      <c r="R320" s="48">
        <f>HEX2DEC(RIGHT(Table13232127535863[[#This Row],[h2]],8))</f>
        <v>0</v>
      </c>
    </row>
    <row r="321" spans="1:18">
      <c r="A321" s="15" t="str">
        <f t="shared" si="9"/>
        <v>137</v>
      </c>
      <c r="B321" s="15">
        <v>311</v>
      </c>
      <c r="C321" s="38"/>
      <c r="D321" s="26" t="s">
        <v>344</v>
      </c>
      <c r="G321" s="29">
        <v>0</v>
      </c>
      <c r="I321" s="27"/>
      <c r="J321" s="27">
        <v>50000</v>
      </c>
      <c r="L321" s="27"/>
      <c r="M321" s="27">
        <v>50000</v>
      </c>
      <c r="O321" s="48" t="s">
        <v>75</v>
      </c>
      <c r="P321" s="48">
        <f>HEX2DEC(RIGHT(Table13232127535863[[#This Row],[h1]],8))</f>
        <v>0</v>
      </c>
      <c r="Q321" s="48" t="s">
        <v>75</v>
      </c>
      <c r="R321" s="48">
        <f>HEX2DEC(RIGHT(Table13232127535863[[#This Row],[h2]],8))</f>
        <v>0</v>
      </c>
    </row>
    <row r="322" spans="1:18">
      <c r="A322" s="15" t="str">
        <f t="shared" si="9"/>
        <v>138</v>
      </c>
      <c r="B322" s="15">
        <v>312</v>
      </c>
      <c r="C322" s="38"/>
      <c r="D322" s="26" t="s">
        <v>345</v>
      </c>
      <c r="G322" s="29">
        <v>0</v>
      </c>
      <c r="I322" s="27"/>
      <c r="J322" s="27">
        <v>50000</v>
      </c>
      <c r="L322" s="27"/>
      <c r="M322" s="27">
        <v>50000</v>
      </c>
      <c r="O322" s="48" t="s">
        <v>75</v>
      </c>
      <c r="P322" s="48">
        <f>HEX2DEC(RIGHT(Table13232127535863[[#This Row],[h1]],8))</f>
        <v>0</v>
      </c>
      <c r="Q322" s="48" t="s">
        <v>75</v>
      </c>
      <c r="R322" s="48">
        <f>HEX2DEC(RIGHT(Table13232127535863[[#This Row],[h2]],8))</f>
        <v>0</v>
      </c>
    </row>
    <row r="323" spans="1:18">
      <c r="A323" s="15" t="str">
        <f t="shared" si="9"/>
        <v>139</v>
      </c>
      <c r="B323" s="15">
        <v>313</v>
      </c>
      <c r="C323" s="38"/>
      <c r="D323" s="15" t="s">
        <v>326</v>
      </c>
      <c r="G323" s="29">
        <v>0</v>
      </c>
      <c r="I323" s="27"/>
      <c r="J323" s="27">
        <v>50000</v>
      </c>
      <c r="L323" s="27"/>
      <c r="M323" s="27">
        <v>50000</v>
      </c>
      <c r="O323" s="48" t="s">
        <v>75</v>
      </c>
      <c r="P323" s="48">
        <f>HEX2DEC(RIGHT(Table13232127535863[[#This Row],[h1]],8))</f>
        <v>0</v>
      </c>
      <c r="Q323" s="48" t="s">
        <v>75</v>
      </c>
      <c r="R323" s="48">
        <f>HEX2DEC(RIGHT(Table13232127535863[[#This Row],[h2]],8))</f>
        <v>0</v>
      </c>
    </row>
    <row r="324" spans="1:18">
      <c r="A324" s="15" t="str">
        <f t="shared" si="9"/>
        <v>13A</v>
      </c>
      <c r="B324" s="15">
        <v>314</v>
      </c>
      <c r="C324" s="38"/>
      <c r="D324" s="15" t="s">
        <v>327</v>
      </c>
      <c r="G324" s="29">
        <v>0</v>
      </c>
      <c r="I324" s="27"/>
      <c r="J324" s="27">
        <v>50000</v>
      </c>
      <c r="L324" s="27"/>
      <c r="M324" s="27">
        <v>50000</v>
      </c>
      <c r="O324" s="48" t="s">
        <v>75</v>
      </c>
      <c r="P324" s="48">
        <f>HEX2DEC(RIGHT(Table13232127535863[[#This Row],[h1]],8))</f>
        <v>0</v>
      </c>
      <c r="Q324" s="48" t="s">
        <v>75</v>
      </c>
      <c r="R324" s="48">
        <f>HEX2DEC(RIGHT(Table13232127535863[[#This Row],[h2]],8))</f>
        <v>0</v>
      </c>
    </row>
    <row r="325" spans="1:18">
      <c r="A325" s="15" t="str">
        <f t="shared" si="9"/>
        <v>13B</v>
      </c>
      <c r="B325" s="15">
        <v>315</v>
      </c>
      <c r="C325" s="38"/>
      <c r="D325" s="33" t="s">
        <v>323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8" t="s">
        <v>75</v>
      </c>
      <c r="P325" s="48">
        <f>HEX2DEC(RIGHT(Table13232127535863[[#This Row],[h1]],8))</f>
        <v>0</v>
      </c>
      <c r="Q325" s="48" t="s">
        <v>75</v>
      </c>
      <c r="R325" s="48">
        <f>HEX2DEC(RIGHT(Table13232127535863[[#This Row],[h2]],8))</f>
        <v>0</v>
      </c>
    </row>
    <row r="326" spans="1:18">
      <c r="A326" s="15" t="str">
        <f t="shared" si="9"/>
        <v>13C</v>
      </c>
      <c r="B326" s="15">
        <v>316</v>
      </c>
      <c r="C326" s="38"/>
      <c r="D326" s="15" t="s">
        <v>324</v>
      </c>
      <c r="G326" s="29">
        <v>0</v>
      </c>
      <c r="I326" s="27"/>
      <c r="J326" s="27">
        <v>50000</v>
      </c>
      <c r="L326" s="27"/>
      <c r="M326" s="27">
        <v>50000</v>
      </c>
      <c r="O326" s="48" t="s">
        <v>75</v>
      </c>
      <c r="P326" s="48">
        <f>HEX2DEC(RIGHT(Table13232127535863[[#This Row],[h1]],8))</f>
        <v>0</v>
      </c>
      <c r="Q326" s="48" t="s">
        <v>75</v>
      </c>
      <c r="R326" s="48">
        <f>HEX2DEC(RIGHT(Table13232127535863[[#This Row],[h2]],8))</f>
        <v>0</v>
      </c>
    </row>
    <row r="327" spans="1:18">
      <c r="A327" s="15" t="str">
        <f t="shared" si="9"/>
        <v>13D</v>
      </c>
      <c r="B327" s="15">
        <v>317</v>
      </c>
      <c r="C327" s="38"/>
      <c r="D327" s="15" t="s">
        <v>328</v>
      </c>
      <c r="G327" s="29">
        <v>0</v>
      </c>
      <c r="I327" s="27"/>
      <c r="J327" s="27">
        <v>50000</v>
      </c>
      <c r="L327" s="27"/>
      <c r="M327" s="27">
        <v>50000</v>
      </c>
      <c r="O327" s="48" t="s">
        <v>75</v>
      </c>
      <c r="P327" s="48">
        <f>HEX2DEC(RIGHT(Table13232127535863[[#This Row],[h1]],8))</f>
        <v>0</v>
      </c>
      <c r="Q327" s="48" t="s">
        <v>75</v>
      </c>
      <c r="R327" s="48">
        <f>HEX2DEC(RIGHT(Table13232127535863[[#This Row],[h2]],8))</f>
        <v>0</v>
      </c>
    </row>
    <row r="328" spans="1:18">
      <c r="A328" s="15" t="str">
        <f t="shared" si="9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8" t="s">
        <v>75</v>
      </c>
      <c r="P328" s="48">
        <f>HEX2DEC(RIGHT(Table13232127535863[[#This Row],[h1]],8))</f>
        <v>0</v>
      </c>
      <c r="Q328" s="48" t="s">
        <v>75</v>
      </c>
      <c r="R328" s="48">
        <f>HEX2DEC(RIGHT(Table13232127535863[[#This Row],[h2]],8))</f>
        <v>0</v>
      </c>
    </row>
    <row r="329" spans="1:18">
      <c r="A329" s="15" t="str">
        <f t="shared" si="9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8" t="s">
        <v>75</v>
      </c>
      <c r="P329" s="48">
        <f>HEX2DEC(RIGHT(Table13232127535863[[#This Row],[h1]],8))</f>
        <v>0</v>
      </c>
      <c r="Q329" s="48" t="s">
        <v>75</v>
      </c>
      <c r="R329" s="48">
        <f>HEX2DEC(RIGHT(Table13232127535863[[#This Row],[h2]],8))</f>
        <v>0</v>
      </c>
    </row>
    <row r="330" spans="1:18">
      <c r="A330" s="15" t="str">
        <f t="shared" si="9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8" t="s">
        <v>75</v>
      </c>
      <c r="P330" s="48">
        <f>HEX2DEC(RIGHT(Table13232127535863[[#This Row],[h1]],8))</f>
        <v>0</v>
      </c>
      <c r="Q330" s="48" t="s">
        <v>75</v>
      </c>
      <c r="R330" s="48">
        <f>HEX2DEC(RIGHT(Table13232127535863[[#This Row],[h2]],8))</f>
        <v>0</v>
      </c>
    </row>
    <row r="331" spans="1:18">
      <c r="A331" s="15" t="str">
        <f t="shared" ref="A331:A394" si="10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8" t="s">
        <v>75</v>
      </c>
      <c r="P331" s="48">
        <f>HEX2DEC(RIGHT(Table13232127535863[[#This Row],[h1]],8))</f>
        <v>0</v>
      </c>
      <c r="Q331" s="48" t="s">
        <v>75</v>
      </c>
      <c r="R331" s="48">
        <f>HEX2DEC(RIGHT(Table13232127535863[[#This Row],[h2]],8))</f>
        <v>0</v>
      </c>
    </row>
    <row r="332" spans="1:18">
      <c r="A332" s="15" t="str">
        <f t="shared" si="10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8" t="s">
        <v>75</v>
      </c>
      <c r="P332" s="48">
        <f>HEX2DEC(RIGHT(Table13232127535863[[#This Row],[h1]],8))</f>
        <v>0</v>
      </c>
      <c r="Q332" s="48" t="s">
        <v>75</v>
      </c>
      <c r="R332" s="48">
        <f>HEX2DEC(RIGHT(Table13232127535863[[#This Row],[h2]],8))</f>
        <v>0</v>
      </c>
    </row>
    <row r="333" spans="1:18">
      <c r="A333" s="15" t="str">
        <f t="shared" si="10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8" t="s">
        <v>75</v>
      </c>
      <c r="P333" s="48">
        <f>HEX2DEC(RIGHT(Table13232127535863[[#This Row],[h1]],8))</f>
        <v>0</v>
      </c>
      <c r="Q333" s="48" t="s">
        <v>75</v>
      </c>
      <c r="R333" s="48">
        <f>HEX2DEC(RIGHT(Table13232127535863[[#This Row],[h2]],8))</f>
        <v>0</v>
      </c>
    </row>
    <row r="334" spans="1:18">
      <c r="A334" s="15" t="str">
        <f t="shared" si="10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8" t="s">
        <v>75</v>
      </c>
      <c r="P334" s="48">
        <f>HEX2DEC(RIGHT(Table13232127535863[[#This Row],[h1]],8))</f>
        <v>0</v>
      </c>
      <c r="Q334" s="48" t="s">
        <v>75</v>
      </c>
      <c r="R334" s="48">
        <f>HEX2DEC(RIGHT(Table13232127535863[[#This Row],[h2]],8))</f>
        <v>0</v>
      </c>
    </row>
    <row r="335" spans="1:18">
      <c r="A335" s="15" t="str">
        <f t="shared" si="10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8" t="s">
        <v>75</v>
      </c>
      <c r="P335" s="48">
        <f>HEX2DEC(RIGHT(Table13232127535863[[#This Row],[h1]],8))</f>
        <v>0</v>
      </c>
      <c r="Q335" s="48" t="s">
        <v>75</v>
      </c>
      <c r="R335" s="48">
        <f>HEX2DEC(RIGHT(Table13232127535863[[#This Row],[h2]],8))</f>
        <v>0</v>
      </c>
    </row>
    <row r="336" spans="1:18">
      <c r="A336" s="15" t="str">
        <f t="shared" si="10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8" t="s">
        <v>75</v>
      </c>
      <c r="P336" s="48">
        <f>HEX2DEC(RIGHT(Table13232127535863[[#This Row],[h1]],8))</f>
        <v>0</v>
      </c>
      <c r="Q336" s="48" t="s">
        <v>75</v>
      </c>
      <c r="R336" s="48">
        <f>HEX2DEC(RIGHT(Table13232127535863[[#This Row],[h2]],8))</f>
        <v>0</v>
      </c>
    </row>
    <row r="337" spans="1:18">
      <c r="A337" s="15" t="str">
        <f t="shared" si="10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8" t="s">
        <v>75</v>
      </c>
      <c r="P337" s="48">
        <f>HEX2DEC(RIGHT(Table13232127535863[[#This Row],[h1]],8))</f>
        <v>0</v>
      </c>
      <c r="Q337" s="48" t="s">
        <v>75</v>
      </c>
      <c r="R337" s="48">
        <f>HEX2DEC(RIGHT(Table13232127535863[[#This Row],[h2]],8))</f>
        <v>0</v>
      </c>
    </row>
    <row r="338" spans="1:18">
      <c r="A338" s="15" t="str">
        <f t="shared" si="10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8" t="s">
        <v>75</v>
      </c>
      <c r="P338" s="48">
        <f>HEX2DEC(RIGHT(Table13232127535863[[#This Row],[h1]],8))</f>
        <v>0</v>
      </c>
      <c r="Q338" s="48" t="s">
        <v>75</v>
      </c>
      <c r="R338" s="48">
        <f>HEX2DEC(RIGHT(Table13232127535863[[#This Row],[h2]],8))</f>
        <v>0</v>
      </c>
    </row>
    <row r="339" spans="1:18">
      <c r="A339" s="15" t="str">
        <f t="shared" si="10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8" t="s">
        <v>75</v>
      </c>
      <c r="P339" s="48">
        <f>HEX2DEC(RIGHT(Table13232127535863[[#This Row],[h1]],8))</f>
        <v>0</v>
      </c>
      <c r="Q339" s="48" t="s">
        <v>75</v>
      </c>
      <c r="R339" s="48">
        <f>HEX2DEC(RIGHT(Table13232127535863[[#This Row],[h2]],8))</f>
        <v>0</v>
      </c>
    </row>
    <row r="340" spans="1:18">
      <c r="A340" s="15" t="str">
        <f t="shared" si="10"/>
        <v>14A</v>
      </c>
      <c r="B340" s="15">
        <v>330</v>
      </c>
      <c r="C340" s="38"/>
      <c r="G340" s="48"/>
      <c r="I340" s="27"/>
      <c r="J340" s="27">
        <v>50000</v>
      </c>
      <c r="L340" s="27"/>
      <c r="M340" s="27">
        <v>50000</v>
      </c>
      <c r="O340" s="48" t="s">
        <v>75</v>
      </c>
      <c r="P340" s="48">
        <f>HEX2DEC(RIGHT(Table13232127535863[[#This Row],[h1]],8))</f>
        <v>0</v>
      </c>
      <c r="Q340" s="48" t="s">
        <v>75</v>
      </c>
      <c r="R340" s="48">
        <f>HEX2DEC(RIGHT(Table13232127535863[[#This Row],[h2]],8))</f>
        <v>0</v>
      </c>
    </row>
    <row r="341" spans="1:18">
      <c r="A341" s="15" t="str">
        <f t="shared" si="10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8" t="s">
        <v>75</v>
      </c>
      <c r="P341" s="48">
        <f>HEX2DEC(RIGHT(Table13232127535863[[#This Row],[h1]],8))</f>
        <v>0</v>
      </c>
      <c r="Q341" s="48" t="s">
        <v>75</v>
      </c>
      <c r="R341" s="48">
        <f>HEX2DEC(RIGHT(Table13232127535863[[#This Row],[h2]],8))</f>
        <v>0</v>
      </c>
    </row>
    <row r="342" spans="1:18">
      <c r="A342" s="15" t="str">
        <f t="shared" si="10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8" t="s">
        <v>75</v>
      </c>
      <c r="P342" s="48">
        <f>HEX2DEC(RIGHT(Table13232127535863[[#This Row],[h1]],8))</f>
        <v>0</v>
      </c>
      <c r="Q342" s="48" t="s">
        <v>75</v>
      </c>
      <c r="R342" s="48">
        <f>HEX2DEC(RIGHT(Table13232127535863[[#This Row],[h2]],8))</f>
        <v>0</v>
      </c>
    </row>
    <row r="343" spans="1:18">
      <c r="A343" s="15" t="str">
        <f t="shared" si="10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8" t="s">
        <v>75</v>
      </c>
      <c r="P343" s="48">
        <f>HEX2DEC(RIGHT(Table13232127535863[[#This Row],[h1]],8))</f>
        <v>0</v>
      </c>
      <c r="Q343" s="48" t="s">
        <v>75</v>
      </c>
      <c r="R343" s="48">
        <f>HEX2DEC(RIGHT(Table13232127535863[[#This Row],[h2]],8))</f>
        <v>0</v>
      </c>
    </row>
    <row r="344" spans="1:18">
      <c r="A344" s="15" t="str">
        <f t="shared" si="10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8" t="s">
        <v>75</v>
      </c>
      <c r="P344" s="48">
        <f>HEX2DEC(RIGHT(Table13232127535863[[#This Row],[h1]],8))</f>
        <v>0</v>
      </c>
      <c r="Q344" s="48" t="s">
        <v>75</v>
      </c>
      <c r="R344" s="48">
        <f>HEX2DEC(RIGHT(Table13232127535863[[#This Row],[h2]],8))</f>
        <v>0</v>
      </c>
    </row>
    <row r="345" spans="1:18">
      <c r="A345" s="15" t="str">
        <f t="shared" si="10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8" t="s">
        <v>75</v>
      </c>
      <c r="P345" s="48">
        <f>HEX2DEC(RIGHT(Table13232127535863[[#This Row],[h1]],8))</f>
        <v>0</v>
      </c>
      <c r="Q345" s="48" t="s">
        <v>75</v>
      </c>
      <c r="R345" s="48">
        <f>HEX2DEC(RIGHT(Table13232127535863[[#This Row],[h2]],8))</f>
        <v>0</v>
      </c>
    </row>
    <row r="346" spans="1:18">
      <c r="A346" s="15" t="str">
        <f t="shared" si="10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8" t="s">
        <v>75</v>
      </c>
      <c r="P346" s="48">
        <f>HEX2DEC(RIGHT(Table13232127535863[[#This Row],[h1]],8))</f>
        <v>0</v>
      </c>
      <c r="Q346" s="48" t="s">
        <v>75</v>
      </c>
      <c r="R346" s="48">
        <f>HEX2DEC(RIGHT(Table13232127535863[[#This Row],[h2]],8))</f>
        <v>0</v>
      </c>
    </row>
    <row r="347" spans="1:18">
      <c r="A347" s="15" t="str">
        <f t="shared" si="10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8" t="s">
        <v>75</v>
      </c>
      <c r="P347" s="48">
        <f>HEX2DEC(RIGHT(Table13232127535863[[#This Row],[h1]],8))</f>
        <v>0</v>
      </c>
      <c r="Q347" s="48" t="s">
        <v>75</v>
      </c>
      <c r="R347" s="48">
        <f>HEX2DEC(RIGHT(Table13232127535863[[#This Row],[h2]],8))</f>
        <v>0</v>
      </c>
    </row>
    <row r="348" spans="1:18">
      <c r="A348" s="15" t="str">
        <f t="shared" si="10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8" t="s">
        <v>75</v>
      </c>
      <c r="P348" s="48">
        <f>HEX2DEC(RIGHT(Table13232127535863[[#This Row],[h1]],8))</f>
        <v>0</v>
      </c>
      <c r="Q348" s="48" t="s">
        <v>75</v>
      </c>
      <c r="R348" s="48">
        <f>HEX2DEC(RIGHT(Table13232127535863[[#This Row],[h2]],8))</f>
        <v>0</v>
      </c>
    </row>
    <row r="349" spans="1:18">
      <c r="A349" s="15" t="str">
        <f t="shared" si="10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8" t="s">
        <v>75</v>
      </c>
      <c r="P349" s="48">
        <f>HEX2DEC(RIGHT(Table13232127535863[[#This Row],[h1]],8))</f>
        <v>0</v>
      </c>
      <c r="Q349" s="48" t="s">
        <v>75</v>
      </c>
      <c r="R349" s="48">
        <f>HEX2DEC(RIGHT(Table13232127535863[[#This Row],[h2]],8))</f>
        <v>0</v>
      </c>
    </row>
    <row r="350" spans="1:18">
      <c r="A350" s="15" t="str">
        <f t="shared" si="10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8" t="s">
        <v>75</v>
      </c>
      <c r="P350" s="48">
        <f>HEX2DEC(RIGHT(Table13232127535863[[#This Row],[h1]],8))</f>
        <v>0</v>
      </c>
      <c r="Q350" s="48" t="s">
        <v>75</v>
      </c>
      <c r="R350" s="48">
        <f>HEX2DEC(RIGHT(Table13232127535863[[#This Row],[h2]],8))</f>
        <v>0</v>
      </c>
    </row>
    <row r="351" spans="1:18">
      <c r="A351" s="15" t="str">
        <f t="shared" si="10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8" t="s">
        <v>75</v>
      </c>
      <c r="P351" s="48">
        <f>HEX2DEC(RIGHT(Table13232127535863[[#This Row],[h1]],8))</f>
        <v>0</v>
      </c>
      <c r="Q351" s="48" t="s">
        <v>75</v>
      </c>
      <c r="R351" s="48">
        <f>HEX2DEC(RIGHT(Table13232127535863[[#This Row],[h2]],8))</f>
        <v>0</v>
      </c>
    </row>
    <row r="352" spans="1:18">
      <c r="A352" s="15" t="str">
        <f t="shared" si="10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8" t="s">
        <v>75</v>
      </c>
      <c r="P352" s="48">
        <f>HEX2DEC(RIGHT(Table13232127535863[[#This Row],[h1]],8))</f>
        <v>0</v>
      </c>
      <c r="Q352" s="48" t="s">
        <v>75</v>
      </c>
      <c r="R352" s="48">
        <f>HEX2DEC(RIGHT(Table13232127535863[[#This Row],[h2]],8))</f>
        <v>0</v>
      </c>
    </row>
    <row r="353" spans="1:18">
      <c r="A353" s="15" t="str">
        <f t="shared" si="10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8" t="s">
        <v>75</v>
      </c>
      <c r="P353" s="48">
        <f>HEX2DEC(RIGHT(Table13232127535863[[#This Row],[h1]],8))</f>
        <v>0</v>
      </c>
      <c r="Q353" s="48" t="s">
        <v>75</v>
      </c>
      <c r="R353" s="48">
        <f>HEX2DEC(RIGHT(Table13232127535863[[#This Row],[h2]],8))</f>
        <v>0</v>
      </c>
    </row>
    <row r="354" spans="1:18">
      <c r="A354" s="15" t="str">
        <f t="shared" si="10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8" t="s">
        <v>75</v>
      </c>
      <c r="P354" s="48">
        <f>HEX2DEC(RIGHT(Table13232127535863[[#This Row],[h1]],8))</f>
        <v>0</v>
      </c>
      <c r="Q354" s="48" t="s">
        <v>75</v>
      </c>
      <c r="R354" s="48">
        <f>HEX2DEC(RIGHT(Table13232127535863[[#This Row],[h2]],8))</f>
        <v>0</v>
      </c>
    </row>
    <row r="355" spans="1:18">
      <c r="A355" s="15" t="str">
        <f t="shared" si="10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8" t="s">
        <v>75</v>
      </c>
      <c r="P355" s="48">
        <f>HEX2DEC(RIGHT(Table13232127535863[[#This Row],[h1]],8))</f>
        <v>0</v>
      </c>
      <c r="Q355" s="48" t="s">
        <v>75</v>
      </c>
      <c r="R355" s="48">
        <f>HEX2DEC(RIGHT(Table13232127535863[[#This Row],[h2]],8))</f>
        <v>0</v>
      </c>
    </row>
    <row r="356" spans="1:18">
      <c r="A356" s="15" t="str">
        <f t="shared" si="10"/>
        <v>15A</v>
      </c>
      <c r="B356" s="15">
        <v>346</v>
      </c>
      <c r="C356" s="53"/>
      <c r="D356" s="54"/>
      <c r="E356" s="54"/>
      <c r="F356" s="54"/>
      <c r="G356" s="55"/>
      <c r="I356" s="27"/>
      <c r="J356" s="27">
        <v>50000</v>
      </c>
      <c r="L356" s="27"/>
      <c r="M356" s="27">
        <v>50000</v>
      </c>
      <c r="O356" s="48" t="s">
        <v>75</v>
      </c>
      <c r="P356" s="48">
        <f>HEX2DEC(RIGHT(Table13232127535863[[#This Row],[h1]],8))</f>
        <v>0</v>
      </c>
      <c r="Q356" s="48" t="s">
        <v>75</v>
      </c>
      <c r="R356" s="48">
        <f>HEX2DEC(RIGHT(Table13232127535863[[#This Row],[h2]],8))</f>
        <v>0</v>
      </c>
    </row>
    <row r="357" spans="1:18">
      <c r="A357" s="15" t="str">
        <f t="shared" si="10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8" t="s">
        <v>75</v>
      </c>
      <c r="P357" s="48">
        <f>HEX2DEC(RIGHT(Table13232127535863[[#This Row],[h1]],8))</f>
        <v>0</v>
      </c>
      <c r="Q357" s="48" t="s">
        <v>75</v>
      </c>
      <c r="R357" s="48">
        <f>HEX2DEC(RIGHT(Table13232127535863[[#This Row],[h2]],8))</f>
        <v>0</v>
      </c>
    </row>
    <row r="358" spans="1:18">
      <c r="A358" s="15" t="str">
        <f t="shared" si="10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8" t="s">
        <v>75</v>
      </c>
      <c r="P358" s="48">
        <f>HEX2DEC(RIGHT(Table13232127535863[[#This Row],[h1]],8))</f>
        <v>0</v>
      </c>
      <c r="Q358" s="48" t="s">
        <v>75</v>
      </c>
      <c r="R358" s="48">
        <f>HEX2DEC(RIGHT(Table13232127535863[[#This Row],[h2]],8))</f>
        <v>0</v>
      </c>
    </row>
    <row r="359" spans="1:18">
      <c r="A359" s="15" t="str">
        <f t="shared" si="10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8" t="s">
        <v>75</v>
      </c>
      <c r="P359" s="48">
        <f>HEX2DEC(RIGHT(Table13232127535863[[#This Row],[h1]],8))</f>
        <v>0</v>
      </c>
      <c r="Q359" s="48" t="s">
        <v>75</v>
      </c>
      <c r="R359" s="48">
        <f>HEX2DEC(RIGHT(Table13232127535863[[#This Row],[h2]],8))</f>
        <v>0</v>
      </c>
    </row>
    <row r="360" spans="1:18">
      <c r="A360" s="15" t="str">
        <f t="shared" si="10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8" t="s">
        <v>75</v>
      </c>
      <c r="P360" s="48">
        <f>HEX2DEC(RIGHT(Table13232127535863[[#This Row],[h1]],8))</f>
        <v>0</v>
      </c>
      <c r="Q360" s="48" t="s">
        <v>75</v>
      </c>
      <c r="R360" s="48">
        <f>HEX2DEC(RIGHT(Table13232127535863[[#This Row],[h2]],8))</f>
        <v>0</v>
      </c>
    </row>
    <row r="361" spans="1:18">
      <c r="A361" s="15" t="str">
        <f t="shared" si="10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8" t="s">
        <v>75</v>
      </c>
      <c r="P361" s="48">
        <f>HEX2DEC(RIGHT(Table13232127535863[[#This Row],[h1]],8))</f>
        <v>0</v>
      </c>
      <c r="Q361" s="48" t="s">
        <v>75</v>
      </c>
      <c r="R361" s="48">
        <f>HEX2DEC(RIGHT(Table13232127535863[[#This Row],[h2]],8))</f>
        <v>0</v>
      </c>
    </row>
    <row r="362" spans="1:18">
      <c r="A362" s="15" t="str">
        <f t="shared" si="10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8" t="s">
        <v>75</v>
      </c>
      <c r="P362" s="48">
        <f>HEX2DEC(RIGHT(Table13232127535863[[#This Row],[h1]],8))</f>
        <v>0</v>
      </c>
      <c r="Q362" s="48" t="s">
        <v>75</v>
      </c>
      <c r="R362" s="48">
        <f>HEX2DEC(RIGHT(Table13232127535863[[#This Row],[h2]],8))</f>
        <v>0</v>
      </c>
    </row>
    <row r="363" spans="1:18">
      <c r="A363" s="15" t="str">
        <f t="shared" si="10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8" t="s">
        <v>75</v>
      </c>
      <c r="P363" s="48">
        <f>HEX2DEC(RIGHT(Table13232127535863[[#This Row],[h1]],8))</f>
        <v>0</v>
      </c>
      <c r="Q363" s="48" t="s">
        <v>75</v>
      </c>
      <c r="R363" s="48">
        <f>HEX2DEC(RIGHT(Table13232127535863[[#This Row],[h2]],8))</f>
        <v>0</v>
      </c>
    </row>
    <row r="364" spans="1:18">
      <c r="A364" s="15" t="str">
        <f t="shared" si="10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8" t="s">
        <v>75</v>
      </c>
      <c r="P364" s="48">
        <f>HEX2DEC(RIGHT(Table13232127535863[[#This Row],[h1]],8))</f>
        <v>0</v>
      </c>
      <c r="Q364" s="48" t="s">
        <v>75</v>
      </c>
      <c r="R364" s="48">
        <f>HEX2DEC(RIGHT(Table13232127535863[[#This Row],[h2]],8))</f>
        <v>0</v>
      </c>
    </row>
    <row r="365" spans="1:18">
      <c r="A365" s="15" t="str">
        <f t="shared" si="10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8" t="s">
        <v>75</v>
      </c>
      <c r="P365" s="48">
        <f>HEX2DEC(RIGHT(Table13232127535863[[#This Row],[h1]],8))</f>
        <v>0</v>
      </c>
      <c r="Q365" s="48" t="s">
        <v>75</v>
      </c>
      <c r="R365" s="48">
        <f>HEX2DEC(RIGHT(Table13232127535863[[#This Row],[h2]],8))</f>
        <v>0</v>
      </c>
    </row>
    <row r="366" spans="1:18">
      <c r="A366" s="15" t="str">
        <f t="shared" si="10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8" t="s">
        <v>75</v>
      </c>
      <c r="P366" s="48">
        <f>HEX2DEC(RIGHT(Table13232127535863[[#This Row],[h1]],8))</f>
        <v>0</v>
      </c>
      <c r="Q366" s="48" t="s">
        <v>75</v>
      </c>
      <c r="R366" s="48">
        <f>HEX2DEC(RIGHT(Table13232127535863[[#This Row],[h2]],8))</f>
        <v>0</v>
      </c>
    </row>
    <row r="367" spans="1:18">
      <c r="A367" s="15" t="str">
        <f t="shared" si="10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8" t="s">
        <v>75</v>
      </c>
      <c r="P367" s="48">
        <f>HEX2DEC(RIGHT(Table13232127535863[[#This Row],[h1]],8))</f>
        <v>0</v>
      </c>
      <c r="Q367" s="48" t="s">
        <v>75</v>
      </c>
      <c r="R367" s="48">
        <f>HEX2DEC(RIGHT(Table13232127535863[[#This Row],[h2]],8))</f>
        <v>0</v>
      </c>
    </row>
    <row r="368" spans="1:18">
      <c r="A368" s="15" t="str">
        <f t="shared" si="10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8" t="s">
        <v>75</v>
      </c>
      <c r="P368" s="48">
        <f>HEX2DEC(RIGHT(Table13232127535863[[#This Row],[h1]],8))</f>
        <v>0</v>
      </c>
      <c r="Q368" s="48" t="s">
        <v>75</v>
      </c>
      <c r="R368" s="48">
        <f>HEX2DEC(RIGHT(Table13232127535863[[#This Row],[h2]],8))</f>
        <v>0</v>
      </c>
    </row>
    <row r="369" spans="1:18">
      <c r="A369" s="15" t="str">
        <f t="shared" si="10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8" t="s">
        <v>75</v>
      </c>
      <c r="P369" s="48">
        <f>HEX2DEC(RIGHT(Table13232127535863[[#This Row],[h1]],8))</f>
        <v>0</v>
      </c>
      <c r="Q369" s="48" t="s">
        <v>75</v>
      </c>
      <c r="R369" s="48">
        <f>HEX2DEC(RIGHT(Table13232127535863[[#This Row],[h2]],8))</f>
        <v>0</v>
      </c>
    </row>
    <row r="370" spans="1:18">
      <c r="A370" s="15" t="str">
        <f t="shared" si="10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8" t="s">
        <v>75</v>
      </c>
      <c r="P370" s="48">
        <f>HEX2DEC(RIGHT(Table13232127535863[[#This Row],[h1]],8))</f>
        <v>0</v>
      </c>
      <c r="Q370" s="48" t="s">
        <v>75</v>
      </c>
      <c r="R370" s="48">
        <f>HEX2DEC(RIGHT(Table13232127535863[[#This Row],[h2]],8))</f>
        <v>0</v>
      </c>
    </row>
    <row r="371" spans="1:18">
      <c r="A371" s="15" t="str">
        <f t="shared" si="10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8" t="s">
        <v>75</v>
      </c>
      <c r="P371" s="48">
        <f>HEX2DEC(RIGHT(Table13232127535863[[#This Row],[h1]],8))</f>
        <v>0</v>
      </c>
      <c r="Q371" s="48" t="s">
        <v>75</v>
      </c>
      <c r="R371" s="48">
        <f>HEX2DEC(RIGHT(Table13232127535863[[#This Row],[h2]],8))</f>
        <v>0</v>
      </c>
    </row>
    <row r="372" spans="1:18">
      <c r="A372" s="15" t="str">
        <f t="shared" si="10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8" t="s">
        <v>75</v>
      </c>
      <c r="P372" s="48">
        <f>HEX2DEC(RIGHT(Table13232127535863[[#This Row],[h1]],8))</f>
        <v>0</v>
      </c>
      <c r="Q372" s="48" t="s">
        <v>75</v>
      </c>
      <c r="R372" s="48">
        <f>HEX2DEC(RIGHT(Table13232127535863[[#This Row],[h2]],8))</f>
        <v>0</v>
      </c>
    </row>
    <row r="373" spans="1:18">
      <c r="A373" s="15" t="str">
        <f t="shared" si="10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8" t="s">
        <v>75</v>
      </c>
      <c r="P373" s="48">
        <f>HEX2DEC(RIGHT(Table13232127535863[[#This Row],[h1]],8))</f>
        <v>0</v>
      </c>
      <c r="Q373" s="48" t="s">
        <v>75</v>
      </c>
      <c r="R373" s="48">
        <f>HEX2DEC(RIGHT(Table13232127535863[[#This Row],[h2]],8))</f>
        <v>0</v>
      </c>
    </row>
    <row r="374" spans="1:18">
      <c r="A374" s="15" t="str">
        <f t="shared" si="10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8" t="s">
        <v>75</v>
      </c>
      <c r="P374" s="48">
        <f>HEX2DEC(RIGHT(Table13232127535863[[#This Row],[h1]],8))</f>
        <v>0</v>
      </c>
      <c r="Q374" s="48" t="s">
        <v>75</v>
      </c>
      <c r="R374" s="48">
        <f>HEX2DEC(RIGHT(Table13232127535863[[#This Row],[h2]],8))</f>
        <v>0</v>
      </c>
    </row>
    <row r="375" spans="1:18">
      <c r="A375" s="15" t="str">
        <f t="shared" si="10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8" t="s">
        <v>75</v>
      </c>
      <c r="P375" s="48">
        <f>HEX2DEC(RIGHT(Table13232127535863[[#This Row],[h1]],8))</f>
        <v>0</v>
      </c>
      <c r="Q375" s="48" t="s">
        <v>75</v>
      </c>
      <c r="R375" s="48">
        <f>HEX2DEC(RIGHT(Table13232127535863[[#This Row],[h2]],8))</f>
        <v>0</v>
      </c>
    </row>
    <row r="376" spans="1:18">
      <c r="A376" s="15" t="str">
        <f t="shared" si="10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8" t="s">
        <v>75</v>
      </c>
      <c r="P376" s="48">
        <f>HEX2DEC(RIGHT(Table13232127535863[[#This Row],[h1]],8))</f>
        <v>0</v>
      </c>
      <c r="Q376" s="48" t="s">
        <v>75</v>
      </c>
      <c r="R376" s="48">
        <f>HEX2DEC(RIGHT(Table13232127535863[[#This Row],[h2]],8))</f>
        <v>0</v>
      </c>
    </row>
    <row r="377" spans="1:18">
      <c r="A377" s="15" t="str">
        <f t="shared" si="10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8" t="s">
        <v>75</v>
      </c>
      <c r="P377" s="48">
        <f>HEX2DEC(RIGHT(Table13232127535863[[#This Row],[h1]],8))</f>
        <v>0</v>
      </c>
      <c r="Q377" s="48" t="s">
        <v>75</v>
      </c>
      <c r="R377" s="48">
        <f>HEX2DEC(RIGHT(Table13232127535863[[#This Row],[h2]],8))</f>
        <v>0</v>
      </c>
    </row>
    <row r="378" spans="1:18">
      <c r="A378" s="15" t="str">
        <f t="shared" si="10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8" t="s">
        <v>75</v>
      </c>
      <c r="P378" s="48">
        <f>HEX2DEC(RIGHT(Table13232127535863[[#This Row],[h1]],8))</f>
        <v>0</v>
      </c>
      <c r="Q378" s="48" t="s">
        <v>75</v>
      </c>
      <c r="R378" s="48">
        <f>HEX2DEC(RIGHT(Table13232127535863[[#This Row],[h2]],8))</f>
        <v>0</v>
      </c>
    </row>
    <row r="379" spans="1:18">
      <c r="A379" s="15" t="str">
        <f t="shared" si="10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8" t="s">
        <v>75</v>
      </c>
      <c r="P379" s="48">
        <f>HEX2DEC(RIGHT(Table13232127535863[[#This Row],[h1]],8))</f>
        <v>0</v>
      </c>
      <c r="Q379" s="48" t="s">
        <v>75</v>
      </c>
      <c r="R379" s="48">
        <f>HEX2DEC(RIGHT(Table13232127535863[[#This Row],[h2]],8))</f>
        <v>0</v>
      </c>
    </row>
    <row r="380" spans="1:18">
      <c r="A380" s="15" t="str">
        <f t="shared" si="10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8" t="s">
        <v>75</v>
      </c>
      <c r="P380" s="48">
        <f>HEX2DEC(RIGHT(Table13232127535863[[#This Row],[h1]],8))</f>
        <v>0</v>
      </c>
      <c r="Q380" s="48" t="s">
        <v>75</v>
      </c>
      <c r="R380" s="48">
        <f>HEX2DEC(RIGHT(Table13232127535863[[#This Row],[h2]],8))</f>
        <v>0</v>
      </c>
    </row>
    <row r="381" spans="1:18">
      <c r="A381" s="15" t="str">
        <f t="shared" si="10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8" t="s">
        <v>75</v>
      </c>
      <c r="P381" s="48">
        <f>HEX2DEC(RIGHT(Table13232127535863[[#This Row],[h1]],8))</f>
        <v>0</v>
      </c>
      <c r="Q381" s="48" t="s">
        <v>75</v>
      </c>
      <c r="R381" s="48">
        <f>HEX2DEC(RIGHT(Table13232127535863[[#This Row],[h2]],8))</f>
        <v>0</v>
      </c>
    </row>
    <row r="382" spans="1:18">
      <c r="A382" s="15" t="str">
        <f t="shared" si="10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8" t="s">
        <v>75</v>
      </c>
      <c r="P382" s="48">
        <f>HEX2DEC(RIGHT(Table13232127535863[[#This Row],[h1]],8))</f>
        <v>0</v>
      </c>
      <c r="Q382" s="48" t="s">
        <v>75</v>
      </c>
      <c r="R382" s="48">
        <f>HEX2DEC(RIGHT(Table13232127535863[[#This Row],[h2]],8))</f>
        <v>0</v>
      </c>
    </row>
    <row r="383" spans="1:18">
      <c r="A383" s="15" t="str">
        <f t="shared" si="10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8" t="s">
        <v>75</v>
      </c>
      <c r="P383" s="48">
        <f>HEX2DEC(RIGHT(Table13232127535863[[#This Row],[h1]],8))</f>
        <v>0</v>
      </c>
      <c r="Q383" s="48" t="s">
        <v>75</v>
      </c>
      <c r="R383" s="48">
        <f>HEX2DEC(RIGHT(Table13232127535863[[#This Row],[h2]],8))</f>
        <v>0</v>
      </c>
    </row>
    <row r="384" spans="1:18">
      <c r="A384" s="15" t="str">
        <f t="shared" si="10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8" t="s">
        <v>75</v>
      </c>
      <c r="P384" s="48">
        <f>HEX2DEC(RIGHT(Table13232127535863[[#This Row],[h1]],8))</f>
        <v>0</v>
      </c>
      <c r="Q384" s="48" t="s">
        <v>75</v>
      </c>
      <c r="R384" s="48">
        <f>HEX2DEC(RIGHT(Table13232127535863[[#This Row],[h2]],8))</f>
        <v>0</v>
      </c>
    </row>
    <row r="385" spans="1:18">
      <c r="A385" s="15" t="str">
        <f t="shared" si="10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8" t="s">
        <v>75</v>
      </c>
      <c r="P385" s="48">
        <f>HEX2DEC(RIGHT(Table13232127535863[[#This Row],[h1]],8))</f>
        <v>0</v>
      </c>
      <c r="Q385" s="48" t="s">
        <v>75</v>
      </c>
      <c r="R385" s="48">
        <f>HEX2DEC(RIGHT(Table13232127535863[[#This Row],[h2]],8))</f>
        <v>0</v>
      </c>
    </row>
    <row r="386" spans="1:18">
      <c r="A386" s="15" t="str">
        <f t="shared" si="10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8" t="s">
        <v>75</v>
      </c>
      <c r="P386" s="48">
        <f>HEX2DEC(RIGHT(Table13232127535863[[#This Row],[h1]],8))</f>
        <v>0</v>
      </c>
      <c r="Q386" s="48" t="s">
        <v>75</v>
      </c>
      <c r="R386" s="48">
        <f>HEX2DEC(RIGHT(Table13232127535863[[#This Row],[h2]],8))</f>
        <v>0</v>
      </c>
    </row>
    <row r="387" spans="1:18">
      <c r="A387" s="15" t="str">
        <f t="shared" si="10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8" t="s">
        <v>75</v>
      </c>
      <c r="P387" s="48">
        <f>HEX2DEC(RIGHT(Table13232127535863[[#This Row],[h1]],8))</f>
        <v>0</v>
      </c>
      <c r="Q387" s="48" t="s">
        <v>75</v>
      </c>
      <c r="R387" s="48">
        <f>HEX2DEC(RIGHT(Table13232127535863[[#This Row],[h2]],8))</f>
        <v>0</v>
      </c>
    </row>
    <row r="388" spans="1:18">
      <c r="A388" s="15" t="str">
        <f t="shared" si="10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8" t="s">
        <v>75</v>
      </c>
      <c r="P388" s="48">
        <f>HEX2DEC(RIGHT(Table13232127535863[[#This Row],[h1]],8))</f>
        <v>0</v>
      </c>
      <c r="Q388" s="48" t="s">
        <v>75</v>
      </c>
      <c r="R388" s="48">
        <f>HEX2DEC(RIGHT(Table13232127535863[[#This Row],[h2]],8))</f>
        <v>0</v>
      </c>
    </row>
    <row r="389" spans="1:18">
      <c r="A389" s="15" t="str">
        <f t="shared" si="10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8" t="s">
        <v>75</v>
      </c>
      <c r="P389" s="48">
        <f>HEX2DEC(RIGHT(Table13232127535863[[#This Row],[h1]],8))</f>
        <v>0</v>
      </c>
      <c r="Q389" s="48" t="s">
        <v>75</v>
      </c>
      <c r="R389" s="48">
        <f>HEX2DEC(RIGHT(Table13232127535863[[#This Row],[h2]],8))</f>
        <v>0</v>
      </c>
    </row>
    <row r="390" spans="1:18">
      <c r="A390" s="15" t="str">
        <f t="shared" si="10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8" t="s">
        <v>75</v>
      </c>
      <c r="P390" s="48">
        <f>HEX2DEC(RIGHT(Table13232127535863[[#This Row],[h1]],8))</f>
        <v>0</v>
      </c>
      <c r="Q390" s="48" t="s">
        <v>75</v>
      </c>
      <c r="R390" s="48">
        <f>HEX2DEC(RIGHT(Table13232127535863[[#This Row],[h2]],8))</f>
        <v>0</v>
      </c>
    </row>
    <row r="391" spans="1:18">
      <c r="A391" s="15" t="str">
        <f t="shared" si="10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8" t="s">
        <v>75</v>
      </c>
      <c r="P391" s="48">
        <f>HEX2DEC(RIGHT(Table13232127535863[[#This Row],[h1]],8))</f>
        <v>0</v>
      </c>
      <c r="Q391" s="48" t="s">
        <v>75</v>
      </c>
      <c r="R391" s="48">
        <f>HEX2DEC(RIGHT(Table13232127535863[[#This Row],[h2]],8))</f>
        <v>0</v>
      </c>
    </row>
    <row r="392" spans="1:18">
      <c r="A392" s="15" t="str">
        <f t="shared" si="10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8" t="s">
        <v>75</v>
      </c>
      <c r="P392" s="48">
        <f>HEX2DEC(RIGHT(Table13232127535863[[#This Row],[h1]],8))</f>
        <v>0</v>
      </c>
      <c r="Q392" s="48" t="s">
        <v>75</v>
      </c>
      <c r="R392" s="48">
        <f>HEX2DEC(RIGHT(Table13232127535863[[#This Row],[h2]],8))</f>
        <v>0</v>
      </c>
    </row>
    <row r="393" spans="1:18">
      <c r="A393" s="15" t="str">
        <f t="shared" si="10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8" t="s">
        <v>75</v>
      </c>
      <c r="P393" s="48">
        <f>HEX2DEC(RIGHT(Table13232127535863[[#This Row],[h1]],8))</f>
        <v>0</v>
      </c>
      <c r="Q393" s="48" t="s">
        <v>75</v>
      </c>
      <c r="R393" s="48">
        <f>HEX2DEC(RIGHT(Table13232127535863[[#This Row],[h2]],8))</f>
        <v>0</v>
      </c>
    </row>
    <row r="394" spans="1:18">
      <c r="A394" s="15" t="str">
        <f t="shared" si="10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8" t="s">
        <v>75</v>
      </c>
      <c r="P394" s="48">
        <f>HEX2DEC(RIGHT(Table13232127535863[[#This Row],[h1]],8))</f>
        <v>0</v>
      </c>
      <c r="Q394" s="48" t="s">
        <v>75</v>
      </c>
      <c r="R394" s="48">
        <f>HEX2DEC(RIGHT(Table13232127535863[[#This Row],[h2]],8))</f>
        <v>0</v>
      </c>
    </row>
    <row r="395" spans="1:18">
      <c r="A395" s="15" t="str">
        <f t="shared" ref="A395:A458" si="11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8" t="s">
        <v>75</v>
      </c>
      <c r="P395" s="48">
        <f>HEX2DEC(RIGHT(Table13232127535863[[#This Row],[h1]],8))</f>
        <v>0</v>
      </c>
      <c r="Q395" s="48" t="s">
        <v>75</v>
      </c>
      <c r="R395" s="48">
        <f>HEX2DEC(RIGHT(Table13232127535863[[#This Row],[h2]],8))</f>
        <v>0</v>
      </c>
    </row>
    <row r="396" spans="1:18">
      <c r="A396" s="15" t="str">
        <f t="shared" si="11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8" t="s">
        <v>75</v>
      </c>
      <c r="P396" s="48">
        <f>HEX2DEC(RIGHT(Table13232127535863[[#This Row],[h1]],8))</f>
        <v>0</v>
      </c>
      <c r="Q396" s="48" t="s">
        <v>75</v>
      </c>
      <c r="R396" s="48">
        <f>HEX2DEC(RIGHT(Table13232127535863[[#This Row],[h2]],8))</f>
        <v>0</v>
      </c>
    </row>
    <row r="397" spans="1:18">
      <c r="A397" s="15" t="str">
        <f t="shared" si="11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8" t="s">
        <v>75</v>
      </c>
      <c r="P397" s="48">
        <f>HEX2DEC(RIGHT(Table13232127535863[[#This Row],[h1]],8))</f>
        <v>0</v>
      </c>
      <c r="Q397" s="48" t="s">
        <v>75</v>
      </c>
      <c r="R397" s="48">
        <f>HEX2DEC(RIGHT(Table13232127535863[[#This Row],[h2]],8))</f>
        <v>0</v>
      </c>
    </row>
    <row r="398" spans="1:18">
      <c r="A398" s="15" t="str">
        <f t="shared" si="11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8" t="s">
        <v>75</v>
      </c>
      <c r="P398" s="48">
        <f>HEX2DEC(RIGHT(Table13232127535863[[#This Row],[h1]],8))</f>
        <v>0</v>
      </c>
      <c r="Q398" s="48" t="s">
        <v>75</v>
      </c>
      <c r="R398" s="48">
        <f>HEX2DEC(RIGHT(Table13232127535863[[#This Row],[h2]],8))</f>
        <v>0</v>
      </c>
    </row>
    <row r="399" spans="1:18">
      <c r="A399" s="15" t="str">
        <f t="shared" si="11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8" t="s">
        <v>75</v>
      </c>
      <c r="P399" s="48">
        <f>HEX2DEC(RIGHT(Table13232127535863[[#This Row],[h1]],8))</f>
        <v>0</v>
      </c>
      <c r="Q399" s="48" t="s">
        <v>75</v>
      </c>
      <c r="R399" s="48">
        <f>HEX2DEC(RIGHT(Table13232127535863[[#This Row],[h2]],8))</f>
        <v>0</v>
      </c>
    </row>
    <row r="400" spans="1:18">
      <c r="A400" s="15" t="str">
        <f t="shared" si="11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8" t="s">
        <v>75</v>
      </c>
      <c r="P400" s="48">
        <f>HEX2DEC(RIGHT(Table13232127535863[[#This Row],[h1]],8))</f>
        <v>0</v>
      </c>
      <c r="Q400" s="48" t="s">
        <v>75</v>
      </c>
      <c r="R400" s="48">
        <f>HEX2DEC(RIGHT(Table13232127535863[[#This Row],[h2]],8))</f>
        <v>0</v>
      </c>
    </row>
    <row r="401" spans="1:18">
      <c r="A401" s="15" t="str">
        <f t="shared" si="11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8" t="s">
        <v>75</v>
      </c>
      <c r="P401" s="48">
        <f>HEX2DEC(RIGHT(Table13232127535863[[#This Row],[h1]],8))</f>
        <v>0</v>
      </c>
      <c r="Q401" s="48" t="s">
        <v>75</v>
      </c>
      <c r="R401" s="48">
        <f>HEX2DEC(RIGHT(Table13232127535863[[#This Row],[h2]],8))</f>
        <v>0</v>
      </c>
    </row>
    <row r="402" spans="1:18">
      <c r="A402" s="15" t="str">
        <f t="shared" si="11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8" t="s">
        <v>75</v>
      </c>
      <c r="P402" s="48">
        <f>HEX2DEC(RIGHT(Table13232127535863[[#This Row],[h1]],8))</f>
        <v>0</v>
      </c>
      <c r="Q402" s="48" t="s">
        <v>75</v>
      </c>
      <c r="R402" s="48">
        <f>HEX2DEC(RIGHT(Table13232127535863[[#This Row],[h2]],8))</f>
        <v>0</v>
      </c>
    </row>
    <row r="403" spans="1:18">
      <c r="A403" s="15" t="str">
        <f t="shared" si="11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8" t="s">
        <v>75</v>
      </c>
      <c r="P403" s="48">
        <f>HEX2DEC(RIGHT(Table13232127535863[[#This Row],[h1]],8))</f>
        <v>0</v>
      </c>
      <c r="Q403" s="48" t="s">
        <v>75</v>
      </c>
      <c r="R403" s="48">
        <f>HEX2DEC(RIGHT(Table13232127535863[[#This Row],[h2]],8))</f>
        <v>0</v>
      </c>
    </row>
    <row r="404" spans="1:18">
      <c r="A404" s="15" t="str">
        <f t="shared" si="11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8" t="s">
        <v>75</v>
      </c>
      <c r="P404" s="48">
        <f>HEX2DEC(RIGHT(Table13232127535863[[#This Row],[h1]],8))</f>
        <v>0</v>
      </c>
      <c r="Q404" s="48" t="s">
        <v>75</v>
      </c>
      <c r="R404" s="48">
        <f>HEX2DEC(RIGHT(Table13232127535863[[#This Row],[h2]],8))</f>
        <v>0</v>
      </c>
    </row>
    <row r="405" spans="1:18">
      <c r="A405" s="15" t="str">
        <f t="shared" si="11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8" t="s">
        <v>75</v>
      </c>
      <c r="P405" s="48">
        <f>HEX2DEC(RIGHT(Table13232127535863[[#This Row],[h1]],8))</f>
        <v>0</v>
      </c>
      <c r="Q405" s="48" t="s">
        <v>75</v>
      </c>
      <c r="R405" s="48">
        <f>HEX2DEC(RIGHT(Table13232127535863[[#This Row],[h2]],8))</f>
        <v>0</v>
      </c>
    </row>
    <row r="406" spans="1:18">
      <c r="A406" s="15" t="str">
        <f t="shared" si="11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8" t="s">
        <v>75</v>
      </c>
      <c r="P406" s="48">
        <f>HEX2DEC(RIGHT(Table13232127535863[[#This Row],[h1]],8))</f>
        <v>0</v>
      </c>
      <c r="Q406" s="48" t="s">
        <v>75</v>
      </c>
      <c r="R406" s="48">
        <f>HEX2DEC(RIGHT(Table13232127535863[[#This Row],[h2]],8))</f>
        <v>0</v>
      </c>
    </row>
    <row r="407" spans="1:18">
      <c r="A407" s="15" t="str">
        <f t="shared" si="11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8" t="s">
        <v>75</v>
      </c>
      <c r="P407" s="48">
        <f>HEX2DEC(RIGHT(Table13232127535863[[#This Row],[h1]],8))</f>
        <v>0</v>
      </c>
      <c r="Q407" s="48" t="s">
        <v>75</v>
      </c>
      <c r="R407" s="48">
        <f>HEX2DEC(RIGHT(Table13232127535863[[#This Row],[h2]],8))</f>
        <v>0</v>
      </c>
    </row>
    <row r="408" spans="1:18">
      <c r="A408" s="15" t="str">
        <f t="shared" si="11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8" t="s">
        <v>75</v>
      </c>
      <c r="P408" s="48">
        <f>HEX2DEC(RIGHT(Table13232127535863[[#This Row],[h1]],8))</f>
        <v>0</v>
      </c>
      <c r="Q408" s="48" t="s">
        <v>75</v>
      </c>
      <c r="R408" s="48">
        <f>HEX2DEC(RIGHT(Table13232127535863[[#This Row],[h2]],8))</f>
        <v>0</v>
      </c>
    </row>
    <row r="409" spans="1:18">
      <c r="A409" s="15" t="str">
        <f t="shared" si="11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8" t="s">
        <v>75</v>
      </c>
      <c r="P409" s="48">
        <f>HEX2DEC(RIGHT(Table13232127535863[[#This Row],[h1]],8))</f>
        <v>0</v>
      </c>
      <c r="Q409" s="48" t="s">
        <v>75</v>
      </c>
      <c r="R409" s="48">
        <f>HEX2DEC(RIGHT(Table13232127535863[[#This Row],[h2]],8))</f>
        <v>0</v>
      </c>
    </row>
    <row r="410" spans="1:18">
      <c r="A410" s="15" t="str">
        <f t="shared" si="11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8" t="s">
        <v>75</v>
      </c>
      <c r="P410" s="48">
        <f>HEX2DEC(RIGHT(Table13232127535863[[#This Row],[h1]],8))</f>
        <v>0</v>
      </c>
      <c r="Q410" s="48" t="s">
        <v>75</v>
      </c>
      <c r="R410" s="48">
        <f>HEX2DEC(RIGHT(Table13232127535863[[#This Row],[h2]],8))</f>
        <v>0</v>
      </c>
    </row>
    <row r="411" spans="1:18">
      <c r="A411" s="15" t="str">
        <f t="shared" si="11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8" t="s">
        <v>75</v>
      </c>
      <c r="P411" s="48">
        <f>HEX2DEC(RIGHT(Table13232127535863[[#This Row],[h1]],8))</f>
        <v>0</v>
      </c>
      <c r="Q411" s="48" t="s">
        <v>75</v>
      </c>
      <c r="R411" s="48">
        <f>HEX2DEC(RIGHT(Table13232127535863[[#This Row],[h2]],8))</f>
        <v>0</v>
      </c>
    </row>
    <row r="412" spans="1:18">
      <c r="A412" s="15" t="str">
        <f t="shared" si="11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8" t="s">
        <v>75</v>
      </c>
      <c r="P412" s="48">
        <f>HEX2DEC(RIGHT(Table13232127535863[[#This Row],[h1]],8))</f>
        <v>0</v>
      </c>
      <c r="Q412" s="48" t="s">
        <v>75</v>
      </c>
      <c r="R412" s="48">
        <f>HEX2DEC(RIGHT(Table13232127535863[[#This Row],[h2]],8))</f>
        <v>0</v>
      </c>
    </row>
    <row r="413" spans="1:18">
      <c r="A413" s="15" t="str">
        <f t="shared" si="11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8" t="s">
        <v>75</v>
      </c>
      <c r="P413" s="48">
        <f>HEX2DEC(RIGHT(Table13232127535863[[#This Row],[h1]],8))</f>
        <v>0</v>
      </c>
      <c r="Q413" s="48" t="s">
        <v>75</v>
      </c>
      <c r="R413" s="48">
        <f>HEX2DEC(RIGHT(Table13232127535863[[#This Row],[h2]],8))</f>
        <v>0</v>
      </c>
    </row>
    <row r="414" spans="1:18">
      <c r="A414" s="15" t="str">
        <f t="shared" si="11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8" t="s">
        <v>75</v>
      </c>
      <c r="P414" s="48">
        <f>HEX2DEC(RIGHT(Table13232127535863[[#This Row],[h1]],8))</f>
        <v>0</v>
      </c>
      <c r="Q414" s="48" t="s">
        <v>75</v>
      </c>
      <c r="R414" s="48">
        <f>HEX2DEC(RIGHT(Table13232127535863[[#This Row],[h2]],8))</f>
        <v>0</v>
      </c>
    </row>
    <row r="415" spans="1:18">
      <c r="A415" s="15" t="str">
        <f t="shared" si="11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8" t="s">
        <v>75</v>
      </c>
      <c r="P415" s="48">
        <f>HEX2DEC(RIGHT(Table13232127535863[[#This Row],[h1]],8))</f>
        <v>0</v>
      </c>
      <c r="Q415" s="48" t="s">
        <v>75</v>
      </c>
      <c r="R415" s="48">
        <f>HEX2DEC(RIGHT(Table13232127535863[[#This Row],[h2]],8))</f>
        <v>0</v>
      </c>
    </row>
    <row r="416" spans="1:18">
      <c r="A416" s="15" t="str">
        <f t="shared" si="11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8" t="s">
        <v>75</v>
      </c>
      <c r="P416" s="48">
        <f>HEX2DEC(RIGHT(Table13232127535863[[#This Row],[h1]],8))</f>
        <v>0</v>
      </c>
      <c r="Q416" s="48" t="s">
        <v>75</v>
      </c>
      <c r="R416" s="48">
        <f>HEX2DEC(RIGHT(Table13232127535863[[#This Row],[h2]],8))</f>
        <v>0</v>
      </c>
    </row>
    <row r="417" spans="1:18">
      <c r="A417" s="15" t="str">
        <f t="shared" si="11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8" t="s">
        <v>75</v>
      </c>
      <c r="P417" s="48">
        <f>HEX2DEC(RIGHT(Table13232127535863[[#This Row],[h1]],8))</f>
        <v>0</v>
      </c>
      <c r="Q417" s="48" t="s">
        <v>75</v>
      </c>
      <c r="R417" s="48">
        <f>HEX2DEC(RIGHT(Table13232127535863[[#This Row],[h2]],8))</f>
        <v>0</v>
      </c>
    </row>
    <row r="418" spans="1:18">
      <c r="A418" s="15" t="str">
        <f t="shared" si="11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8" t="s">
        <v>75</v>
      </c>
      <c r="P418" s="48">
        <f>HEX2DEC(RIGHT(Table13232127535863[[#This Row],[h1]],8))</f>
        <v>0</v>
      </c>
      <c r="Q418" s="48" t="s">
        <v>75</v>
      </c>
      <c r="R418" s="48">
        <f>HEX2DEC(RIGHT(Table13232127535863[[#This Row],[h2]],8))</f>
        <v>0</v>
      </c>
    </row>
    <row r="419" spans="1:18">
      <c r="A419" s="15" t="str">
        <f t="shared" si="11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8" t="s">
        <v>75</v>
      </c>
      <c r="P419" s="48">
        <f>HEX2DEC(RIGHT(Table13232127535863[[#This Row],[h1]],8))</f>
        <v>0</v>
      </c>
      <c r="Q419" s="48" t="s">
        <v>75</v>
      </c>
      <c r="R419" s="48">
        <f>HEX2DEC(RIGHT(Table13232127535863[[#This Row],[h2]],8))</f>
        <v>0</v>
      </c>
    </row>
    <row r="420" spans="1:18">
      <c r="A420" s="15" t="str">
        <f t="shared" si="11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8" t="s">
        <v>75</v>
      </c>
      <c r="P420" s="48">
        <f>HEX2DEC(RIGHT(Table13232127535863[[#This Row],[h1]],8))</f>
        <v>0</v>
      </c>
      <c r="Q420" s="48" t="s">
        <v>75</v>
      </c>
      <c r="R420" s="48">
        <f>HEX2DEC(RIGHT(Table13232127535863[[#This Row],[h2]],8))</f>
        <v>0</v>
      </c>
    </row>
    <row r="421" spans="1:18">
      <c r="A421" s="15" t="str">
        <f t="shared" si="11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8" t="s">
        <v>75</v>
      </c>
      <c r="P421" s="48">
        <f>HEX2DEC(RIGHT(Table13232127535863[[#This Row],[h1]],8))</f>
        <v>0</v>
      </c>
      <c r="Q421" s="48" t="s">
        <v>75</v>
      </c>
      <c r="R421" s="48">
        <f>HEX2DEC(RIGHT(Table13232127535863[[#This Row],[h2]],8))</f>
        <v>0</v>
      </c>
    </row>
    <row r="422" spans="1:18">
      <c r="A422" s="15" t="str">
        <f t="shared" si="11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8" t="s">
        <v>75</v>
      </c>
      <c r="P422" s="48">
        <f>HEX2DEC(RIGHT(Table13232127535863[[#This Row],[h1]],8))</f>
        <v>0</v>
      </c>
      <c r="Q422" s="48" t="s">
        <v>75</v>
      </c>
      <c r="R422" s="48">
        <f>HEX2DEC(RIGHT(Table13232127535863[[#This Row],[h2]],8))</f>
        <v>0</v>
      </c>
    </row>
    <row r="423" spans="1:18">
      <c r="A423" s="15" t="str">
        <f t="shared" si="11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8" t="s">
        <v>75</v>
      </c>
      <c r="P423" s="48">
        <f>HEX2DEC(RIGHT(Table13232127535863[[#This Row],[h1]],8))</f>
        <v>0</v>
      </c>
      <c r="Q423" s="48" t="s">
        <v>75</v>
      </c>
      <c r="R423" s="48">
        <f>HEX2DEC(RIGHT(Table13232127535863[[#This Row],[h2]],8))</f>
        <v>0</v>
      </c>
    </row>
    <row r="424" spans="1:18">
      <c r="A424" s="15" t="str">
        <f t="shared" si="11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8" t="s">
        <v>75</v>
      </c>
      <c r="P424" s="48">
        <f>HEX2DEC(RIGHT(Table13232127535863[[#This Row],[h1]],8))</f>
        <v>0</v>
      </c>
      <c r="Q424" s="48" t="s">
        <v>75</v>
      </c>
      <c r="R424" s="48">
        <f>HEX2DEC(RIGHT(Table13232127535863[[#This Row],[h2]],8))</f>
        <v>0</v>
      </c>
    </row>
    <row r="425" spans="1:18">
      <c r="A425" s="15" t="str">
        <f t="shared" si="11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8" t="s">
        <v>75</v>
      </c>
      <c r="P425" s="48">
        <f>HEX2DEC(RIGHT(Table13232127535863[[#This Row],[h1]],8))</f>
        <v>0</v>
      </c>
      <c r="Q425" s="48" t="s">
        <v>75</v>
      </c>
      <c r="R425" s="48">
        <f>HEX2DEC(RIGHT(Table13232127535863[[#This Row],[h2]],8))</f>
        <v>0</v>
      </c>
    </row>
    <row r="426" spans="1:18">
      <c r="A426" s="15" t="str">
        <f t="shared" si="11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8" t="s">
        <v>75</v>
      </c>
      <c r="P426" s="48">
        <f>HEX2DEC(RIGHT(Table13232127535863[[#This Row],[h1]],8))</f>
        <v>0</v>
      </c>
      <c r="Q426" s="48" t="s">
        <v>75</v>
      </c>
      <c r="R426" s="48">
        <f>HEX2DEC(RIGHT(Table13232127535863[[#This Row],[h2]],8))</f>
        <v>0</v>
      </c>
    </row>
    <row r="427" spans="1:18">
      <c r="A427" s="15" t="str">
        <f t="shared" si="11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8" t="s">
        <v>75</v>
      </c>
      <c r="P427" s="48">
        <f>HEX2DEC(RIGHT(Table13232127535863[[#This Row],[h1]],8))</f>
        <v>0</v>
      </c>
      <c r="Q427" s="48" t="s">
        <v>75</v>
      </c>
      <c r="R427" s="48">
        <f>HEX2DEC(RIGHT(Table13232127535863[[#This Row],[h2]],8))</f>
        <v>0</v>
      </c>
    </row>
    <row r="428" spans="1:18">
      <c r="A428" s="15" t="str">
        <f t="shared" si="11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8" t="s">
        <v>75</v>
      </c>
      <c r="P428" s="48">
        <f>HEX2DEC(RIGHT(Table13232127535863[[#This Row],[h1]],8))</f>
        <v>0</v>
      </c>
      <c r="Q428" s="48" t="s">
        <v>75</v>
      </c>
      <c r="R428" s="48">
        <f>HEX2DEC(RIGHT(Table13232127535863[[#This Row],[h2]],8))</f>
        <v>0</v>
      </c>
    </row>
    <row r="429" spans="1:18">
      <c r="A429" s="15" t="str">
        <f t="shared" si="11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8" t="s">
        <v>75</v>
      </c>
      <c r="P429" s="48">
        <f>HEX2DEC(RIGHT(Table13232127535863[[#This Row],[h1]],8))</f>
        <v>0</v>
      </c>
      <c r="Q429" s="48" t="s">
        <v>75</v>
      </c>
      <c r="R429" s="48">
        <f>HEX2DEC(RIGHT(Table13232127535863[[#This Row],[h2]],8))</f>
        <v>0</v>
      </c>
    </row>
    <row r="430" spans="1:18">
      <c r="A430" s="15" t="str">
        <f t="shared" si="11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8" t="s">
        <v>75</v>
      </c>
      <c r="P430" s="48">
        <f>HEX2DEC(RIGHT(Table13232127535863[[#This Row],[h1]],8))</f>
        <v>0</v>
      </c>
      <c r="Q430" s="48" t="s">
        <v>75</v>
      </c>
      <c r="R430" s="48">
        <f>HEX2DEC(RIGHT(Table13232127535863[[#This Row],[h2]],8))</f>
        <v>0</v>
      </c>
    </row>
    <row r="431" spans="1:18">
      <c r="A431" s="15" t="str">
        <f t="shared" si="11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8" t="s">
        <v>75</v>
      </c>
      <c r="P431" s="48">
        <f>HEX2DEC(RIGHT(Table13232127535863[[#This Row],[h1]],8))</f>
        <v>0</v>
      </c>
      <c r="Q431" s="48" t="s">
        <v>75</v>
      </c>
      <c r="R431" s="48">
        <f>HEX2DEC(RIGHT(Table13232127535863[[#This Row],[h2]],8))</f>
        <v>0</v>
      </c>
    </row>
    <row r="432" spans="1:18">
      <c r="A432" s="15" t="str">
        <f t="shared" si="11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8" t="s">
        <v>75</v>
      </c>
      <c r="P432" s="48">
        <f>HEX2DEC(RIGHT(Table13232127535863[[#This Row],[h1]],8))</f>
        <v>0</v>
      </c>
      <c r="Q432" s="48" t="s">
        <v>75</v>
      </c>
      <c r="R432" s="48">
        <f>HEX2DEC(RIGHT(Table13232127535863[[#This Row],[h2]],8))</f>
        <v>0</v>
      </c>
    </row>
    <row r="433" spans="1:18">
      <c r="A433" s="15" t="str">
        <f t="shared" si="11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8" t="s">
        <v>75</v>
      </c>
      <c r="P433" s="48">
        <f>HEX2DEC(RIGHT(Table13232127535863[[#This Row],[h1]],8))</f>
        <v>0</v>
      </c>
      <c r="Q433" s="48" t="s">
        <v>75</v>
      </c>
      <c r="R433" s="48">
        <f>HEX2DEC(RIGHT(Table13232127535863[[#This Row],[h2]],8))</f>
        <v>0</v>
      </c>
    </row>
    <row r="434" spans="1:18">
      <c r="A434" s="15" t="str">
        <f t="shared" si="11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8" t="s">
        <v>75</v>
      </c>
      <c r="P434" s="48">
        <f>HEX2DEC(RIGHT(Table13232127535863[[#This Row],[h1]],8))</f>
        <v>0</v>
      </c>
      <c r="Q434" s="48" t="s">
        <v>75</v>
      </c>
      <c r="R434" s="48">
        <f>HEX2DEC(RIGHT(Table13232127535863[[#This Row],[h2]],8))</f>
        <v>0</v>
      </c>
    </row>
    <row r="435" spans="1:18">
      <c r="A435" s="15" t="str">
        <f t="shared" si="11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8" t="s">
        <v>75</v>
      </c>
      <c r="P435" s="48">
        <f>HEX2DEC(RIGHT(Table13232127535863[[#This Row],[h1]],8))</f>
        <v>0</v>
      </c>
      <c r="Q435" s="48" t="s">
        <v>75</v>
      </c>
      <c r="R435" s="48">
        <f>HEX2DEC(RIGHT(Table13232127535863[[#This Row],[h2]],8))</f>
        <v>0</v>
      </c>
    </row>
    <row r="436" spans="1:18">
      <c r="A436" s="15" t="str">
        <f t="shared" si="11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8" t="s">
        <v>75</v>
      </c>
      <c r="P436" s="48">
        <f>HEX2DEC(RIGHT(Table13232127535863[[#This Row],[h1]],8))</f>
        <v>0</v>
      </c>
      <c r="Q436" s="48" t="s">
        <v>75</v>
      </c>
      <c r="R436" s="48">
        <f>HEX2DEC(RIGHT(Table13232127535863[[#This Row],[h2]],8))</f>
        <v>0</v>
      </c>
    </row>
    <row r="437" spans="1:18">
      <c r="A437" s="15" t="str">
        <f t="shared" si="11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8" t="s">
        <v>75</v>
      </c>
      <c r="P437" s="48">
        <f>HEX2DEC(RIGHT(Table13232127535863[[#This Row],[h1]],8))</f>
        <v>0</v>
      </c>
      <c r="Q437" s="48" t="s">
        <v>75</v>
      </c>
      <c r="R437" s="48">
        <f>HEX2DEC(RIGHT(Table13232127535863[[#This Row],[h2]],8))</f>
        <v>0</v>
      </c>
    </row>
    <row r="438" spans="1:18">
      <c r="A438" s="15" t="str">
        <f t="shared" si="11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8" t="s">
        <v>75</v>
      </c>
      <c r="P438" s="48">
        <f>HEX2DEC(RIGHT(Table13232127535863[[#This Row],[h1]],8))</f>
        <v>0</v>
      </c>
      <c r="Q438" s="48" t="s">
        <v>75</v>
      </c>
      <c r="R438" s="48">
        <f>HEX2DEC(RIGHT(Table13232127535863[[#This Row],[h2]],8))</f>
        <v>0</v>
      </c>
    </row>
    <row r="439" spans="1:18">
      <c r="A439" s="15" t="str">
        <f t="shared" si="11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8" t="s">
        <v>75</v>
      </c>
      <c r="P439" s="48">
        <f>HEX2DEC(RIGHT(Table13232127535863[[#This Row],[h1]],8))</f>
        <v>0</v>
      </c>
      <c r="Q439" s="48" t="s">
        <v>75</v>
      </c>
      <c r="R439" s="48">
        <f>HEX2DEC(RIGHT(Table13232127535863[[#This Row],[h2]],8))</f>
        <v>0</v>
      </c>
    </row>
    <row r="440" spans="1:18">
      <c r="A440" s="15" t="str">
        <f t="shared" si="11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8" t="s">
        <v>75</v>
      </c>
      <c r="P440" s="48">
        <f>HEX2DEC(RIGHT(Table13232127535863[[#This Row],[h1]],8))</f>
        <v>0</v>
      </c>
      <c r="Q440" s="48" t="s">
        <v>75</v>
      </c>
      <c r="R440" s="48">
        <f>HEX2DEC(RIGHT(Table13232127535863[[#This Row],[h2]],8))</f>
        <v>0</v>
      </c>
    </row>
    <row r="441" spans="1:18">
      <c r="A441" s="15" t="str">
        <f t="shared" si="11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8" t="s">
        <v>75</v>
      </c>
      <c r="P441" s="48">
        <f>HEX2DEC(RIGHT(Table13232127535863[[#This Row],[h1]],8))</f>
        <v>0</v>
      </c>
      <c r="Q441" s="48" t="s">
        <v>75</v>
      </c>
      <c r="R441" s="48">
        <f>HEX2DEC(RIGHT(Table13232127535863[[#This Row],[h2]],8))</f>
        <v>0</v>
      </c>
    </row>
    <row r="442" spans="1:18">
      <c r="A442" s="15" t="str">
        <f t="shared" si="11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8" t="s">
        <v>75</v>
      </c>
      <c r="P442" s="48">
        <f>HEX2DEC(RIGHT(Table13232127535863[[#This Row],[h1]],8))</f>
        <v>0</v>
      </c>
      <c r="Q442" s="48" t="s">
        <v>75</v>
      </c>
      <c r="R442" s="48">
        <f>HEX2DEC(RIGHT(Table13232127535863[[#This Row],[h2]],8))</f>
        <v>0</v>
      </c>
    </row>
    <row r="443" spans="1:18">
      <c r="A443" s="15" t="str">
        <f t="shared" si="11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8" t="s">
        <v>75</v>
      </c>
      <c r="P443" s="48">
        <f>HEX2DEC(RIGHT(Table13232127535863[[#This Row],[h1]],8))</f>
        <v>0</v>
      </c>
      <c r="Q443" s="48" t="s">
        <v>75</v>
      </c>
      <c r="R443" s="48">
        <f>HEX2DEC(RIGHT(Table13232127535863[[#This Row],[h2]],8))</f>
        <v>0</v>
      </c>
    </row>
    <row r="444" spans="1:18">
      <c r="A444" s="15" t="str">
        <f t="shared" si="11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8" t="s">
        <v>75</v>
      </c>
      <c r="P444" s="48">
        <f>HEX2DEC(RIGHT(Table13232127535863[[#This Row],[h1]],8))</f>
        <v>0</v>
      </c>
      <c r="Q444" s="48" t="s">
        <v>75</v>
      </c>
      <c r="R444" s="48">
        <f>HEX2DEC(RIGHT(Table13232127535863[[#This Row],[h2]],8))</f>
        <v>0</v>
      </c>
    </row>
    <row r="445" spans="1:18">
      <c r="A445" s="15" t="str">
        <f t="shared" si="11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8" t="s">
        <v>75</v>
      </c>
      <c r="P445" s="48">
        <f>HEX2DEC(RIGHT(Table13232127535863[[#This Row],[h1]],8))</f>
        <v>0</v>
      </c>
      <c r="Q445" s="48" t="s">
        <v>75</v>
      </c>
      <c r="R445" s="48">
        <f>HEX2DEC(RIGHT(Table13232127535863[[#This Row],[h2]],8))</f>
        <v>0</v>
      </c>
    </row>
    <row r="446" spans="1:18">
      <c r="A446" s="15" t="str">
        <f t="shared" si="11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8" t="s">
        <v>75</v>
      </c>
      <c r="P446" s="48">
        <f>HEX2DEC(RIGHT(Table13232127535863[[#This Row],[h1]],8))</f>
        <v>0</v>
      </c>
      <c r="Q446" s="48" t="s">
        <v>75</v>
      </c>
      <c r="R446" s="48">
        <f>HEX2DEC(RIGHT(Table13232127535863[[#This Row],[h2]],8))</f>
        <v>0</v>
      </c>
    </row>
    <row r="447" spans="1:18">
      <c r="A447" s="15" t="str">
        <f t="shared" si="11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8" t="s">
        <v>75</v>
      </c>
      <c r="P447" s="48">
        <f>HEX2DEC(RIGHT(Table13232127535863[[#This Row],[h1]],8))</f>
        <v>0</v>
      </c>
      <c r="Q447" s="48" t="s">
        <v>75</v>
      </c>
      <c r="R447" s="48">
        <f>HEX2DEC(RIGHT(Table13232127535863[[#This Row],[h2]],8))</f>
        <v>0</v>
      </c>
    </row>
    <row r="448" spans="1:18">
      <c r="A448" s="15" t="str">
        <f t="shared" si="11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8" t="s">
        <v>75</v>
      </c>
      <c r="P448" s="48">
        <f>HEX2DEC(RIGHT(Table13232127535863[[#This Row],[h1]],8))</f>
        <v>0</v>
      </c>
      <c r="Q448" s="48" t="s">
        <v>75</v>
      </c>
      <c r="R448" s="48">
        <f>HEX2DEC(RIGHT(Table13232127535863[[#This Row],[h2]],8))</f>
        <v>0</v>
      </c>
    </row>
    <row r="449" spans="1:18">
      <c r="A449" s="15" t="str">
        <f t="shared" si="11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8" t="s">
        <v>75</v>
      </c>
      <c r="P449" s="48">
        <f>HEX2DEC(RIGHT(Table13232127535863[[#This Row],[h1]],8))</f>
        <v>0</v>
      </c>
      <c r="Q449" s="48" t="s">
        <v>75</v>
      </c>
      <c r="R449" s="48">
        <f>HEX2DEC(RIGHT(Table13232127535863[[#This Row],[h2]],8))</f>
        <v>0</v>
      </c>
    </row>
    <row r="450" spans="1:18">
      <c r="A450" s="15" t="str">
        <f t="shared" si="11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8" t="s">
        <v>75</v>
      </c>
      <c r="P450" s="48">
        <f>HEX2DEC(RIGHT(Table13232127535863[[#This Row],[h1]],8))</f>
        <v>0</v>
      </c>
      <c r="Q450" s="48" t="s">
        <v>75</v>
      </c>
      <c r="R450" s="48">
        <f>HEX2DEC(RIGHT(Table13232127535863[[#This Row],[h2]],8))</f>
        <v>0</v>
      </c>
    </row>
    <row r="451" spans="1:18">
      <c r="A451" s="15" t="str">
        <f t="shared" si="11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8" t="s">
        <v>75</v>
      </c>
      <c r="P451" s="48">
        <f>HEX2DEC(RIGHT(Table13232127535863[[#This Row],[h1]],8))</f>
        <v>0</v>
      </c>
      <c r="Q451" s="48" t="s">
        <v>75</v>
      </c>
      <c r="R451" s="48">
        <f>HEX2DEC(RIGHT(Table13232127535863[[#This Row],[h2]],8))</f>
        <v>0</v>
      </c>
    </row>
    <row r="452" spans="1:18">
      <c r="A452" s="15" t="str">
        <f t="shared" si="11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8" t="s">
        <v>75</v>
      </c>
      <c r="P452" s="48">
        <f>HEX2DEC(RIGHT(Table13232127535863[[#This Row],[h1]],8))</f>
        <v>0</v>
      </c>
      <c r="Q452" s="48" t="s">
        <v>75</v>
      </c>
      <c r="R452" s="48">
        <f>HEX2DEC(RIGHT(Table13232127535863[[#This Row],[h2]],8))</f>
        <v>0</v>
      </c>
    </row>
    <row r="453" spans="1:18">
      <c r="A453" s="15" t="str">
        <f t="shared" si="11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8" t="s">
        <v>75</v>
      </c>
      <c r="P453" s="48">
        <f>HEX2DEC(RIGHT(Table13232127535863[[#This Row],[h1]],8))</f>
        <v>0</v>
      </c>
      <c r="Q453" s="48" t="s">
        <v>75</v>
      </c>
      <c r="R453" s="48">
        <f>HEX2DEC(RIGHT(Table13232127535863[[#This Row],[h2]],8))</f>
        <v>0</v>
      </c>
    </row>
    <row r="454" spans="1:18">
      <c r="A454" s="15" t="str">
        <f t="shared" si="11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8" t="s">
        <v>75</v>
      </c>
      <c r="P454" s="48">
        <f>HEX2DEC(RIGHT(Table13232127535863[[#This Row],[h1]],8))</f>
        <v>0</v>
      </c>
      <c r="Q454" s="48" t="s">
        <v>75</v>
      </c>
      <c r="R454" s="48">
        <f>HEX2DEC(RIGHT(Table13232127535863[[#This Row],[h2]],8))</f>
        <v>0</v>
      </c>
    </row>
    <row r="455" spans="1:18">
      <c r="A455" s="15" t="str">
        <f t="shared" si="11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8" t="s">
        <v>75</v>
      </c>
      <c r="P455" s="48">
        <f>HEX2DEC(RIGHT(Table13232127535863[[#This Row],[h1]],8))</f>
        <v>0</v>
      </c>
      <c r="Q455" s="48" t="s">
        <v>75</v>
      </c>
      <c r="R455" s="48">
        <f>HEX2DEC(RIGHT(Table13232127535863[[#This Row],[h2]],8))</f>
        <v>0</v>
      </c>
    </row>
    <row r="456" spans="1:18">
      <c r="A456" s="15" t="str">
        <f t="shared" si="11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8" t="s">
        <v>75</v>
      </c>
      <c r="P456" s="48">
        <f>HEX2DEC(RIGHT(Table13232127535863[[#This Row],[h1]],8))</f>
        <v>0</v>
      </c>
      <c r="Q456" s="48" t="s">
        <v>75</v>
      </c>
      <c r="R456" s="48">
        <f>HEX2DEC(RIGHT(Table13232127535863[[#This Row],[h2]],8))</f>
        <v>0</v>
      </c>
    </row>
    <row r="457" spans="1:18">
      <c r="A457" s="15" t="str">
        <f t="shared" si="11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8" t="s">
        <v>75</v>
      </c>
      <c r="P457" s="48">
        <f>HEX2DEC(RIGHT(Table13232127535863[[#This Row],[h1]],8))</f>
        <v>0</v>
      </c>
      <c r="Q457" s="48" t="s">
        <v>75</v>
      </c>
      <c r="R457" s="48">
        <f>HEX2DEC(RIGHT(Table13232127535863[[#This Row],[h2]],8))</f>
        <v>0</v>
      </c>
    </row>
    <row r="458" spans="1:18">
      <c r="A458" s="15" t="str">
        <f t="shared" si="11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8" t="s">
        <v>75</v>
      </c>
      <c r="P458" s="48">
        <f>HEX2DEC(RIGHT(Table13232127535863[[#This Row],[h1]],8))</f>
        <v>0</v>
      </c>
      <c r="Q458" s="48" t="s">
        <v>75</v>
      </c>
      <c r="R458" s="48">
        <f>HEX2DEC(RIGHT(Table13232127535863[[#This Row],[h2]],8))</f>
        <v>0</v>
      </c>
    </row>
    <row r="459" spans="1:18">
      <c r="A459" s="15" t="str">
        <f t="shared" ref="A459:A522" si="12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8" t="s">
        <v>75</v>
      </c>
      <c r="P459" s="48">
        <f>HEX2DEC(RIGHT(Table13232127535863[[#This Row],[h1]],8))</f>
        <v>0</v>
      </c>
      <c r="Q459" s="48" t="s">
        <v>75</v>
      </c>
      <c r="R459" s="48">
        <f>HEX2DEC(RIGHT(Table13232127535863[[#This Row],[h2]],8))</f>
        <v>0</v>
      </c>
    </row>
    <row r="460" spans="1:18">
      <c r="A460" s="15" t="str">
        <f t="shared" si="12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8" t="s">
        <v>75</v>
      </c>
      <c r="P460" s="48">
        <f>HEX2DEC(RIGHT(Table13232127535863[[#This Row],[h1]],8))</f>
        <v>0</v>
      </c>
      <c r="Q460" s="48" t="s">
        <v>75</v>
      </c>
      <c r="R460" s="48">
        <f>HEX2DEC(RIGHT(Table13232127535863[[#This Row],[h2]],8))</f>
        <v>0</v>
      </c>
    </row>
    <row r="461" spans="1:18">
      <c r="A461" s="15" t="str">
        <f t="shared" si="12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8" t="s">
        <v>75</v>
      </c>
      <c r="P461" s="48">
        <f>HEX2DEC(RIGHT(Table13232127535863[[#This Row],[h1]],8))</f>
        <v>0</v>
      </c>
      <c r="Q461" s="48" t="s">
        <v>75</v>
      </c>
      <c r="R461" s="48">
        <f>HEX2DEC(RIGHT(Table13232127535863[[#This Row],[h2]],8))</f>
        <v>0</v>
      </c>
    </row>
    <row r="462" spans="1:18">
      <c r="A462" s="15" t="str">
        <f t="shared" si="12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8" t="s">
        <v>75</v>
      </c>
      <c r="P462" s="48">
        <f>HEX2DEC(RIGHT(Table13232127535863[[#This Row],[h1]],8))</f>
        <v>0</v>
      </c>
      <c r="Q462" s="48" t="s">
        <v>75</v>
      </c>
      <c r="R462" s="48">
        <f>HEX2DEC(RIGHT(Table13232127535863[[#This Row],[h2]],8))</f>
        <v>0</v>
      </c>
    </row>
    <row r="463" spans="1:18">
      <c r="A463" s="15" t="str">
        <f t="shared" si="12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8" t="s">
        <v>75</v>
      </c>
      <c r="P463" s="48">
        <f>HEX2DEC(RIGHT(Table13232127535863[[#This Row],[h1]],8))</f>
        <v>0</v>
      </c>
      <c r="Q463" s="48" t="s">
        <v>75</v>
      </c>
      <c r="R463" s="48">
        <f>HEX2DEC(RIGHT(Table13232127535863[[#This Row],[h2]],8))</f>
        <v>0</v>
      </c>
    </row>
    <row r="464" spans="1:18">
      <c r="A464" s="15" t="str">
        <f t="shared" si="12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8" t="s">
        <v>75</v>
      </c>
      <c r="P464" s="48">
        <f>HEX2DEC(RIGHT(Table13232127535863[[#This Row],[h1]],8))</f>
        <v>0</v>
      </c>
      <c r="Q464" s="48" t="s">
        <v>75</v>
      </c>
      <c r="R464" s="48">
        <f>HEX2DEC(RIGHT(Table13232127535863[[#This Row],[h2]],8))</f>
        <v>0</v>
      </c>
    </row>
    <row r="465" spans="1:18">
      <c r="A465" s="15" t="str">
        <f t="shared" si="12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8" t="s">
        <v>75</v>
      </c>
      <c r="P465" s="48">
        <f>HEX2DEC(RIGHT(Table13232127535863[[#This Row],[h1]],8))</f>
        <v>0</v>
      </c>
      <c r="Q465" s="48" t="s">
        <v>75</v>
      </c>
      <c r="R465" s="48">
        <f>HEX2DEC(RIGHT(Table13232127535863[[#This Row],[h2]],8))</f>
        <v>0</v>
      </c>
    </row>
    <row r="466" spans="1:18">
      <c r="A466" s="15" t="str">
        <f t="shared" si="12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8" t="s">
        <v>75</v>
      </c>
      <c r="P466" s="48">
        <f>HEX2DEC(RIGHT(Table13232127535863[[#This Row],[h1]],8))</f>
        <v>0</v>
      </c>
      <c r="Q466" s="48" t="s">
        <v>75</v>
      </c>
      <c r="R466" s="48">
        <f>HEX2DEC(RIGHT(Table13232127535863[[#This Row],[h2]],8))</f>
        <v>0</v>
      </c>
    </row>
    <row r="467" spans="1:18">
      <c r="A467" s="15" t="str">
        <f t="shared" si="12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8" t="s">
        <v>75</v>
      </c>
      <c r="P467" s="48">
        <f>HEX2DEC(RIGHT(Table13232127535863[[#This Row],[h1]],8))</f>
        <v>0</v>
      </c>
      <c r="Q467" s="48" t="s">
        <v>75</v>
      </c>
      <c r="R467" s="48">
        <f>HEX2DEC(RIGHT(Table13232127535863[[#This Row],[h2]],8))</f>
        <v>0</v>
      </c>
    </row>
    <row r="468" spans="1:18">
      <c r="A468" s="15" t="str">
        <f t="shared" si="12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8" t="s">
        <v>75</v>
      </c>
      <c r="P468" s="48">
        <f>HEX2DEC(RIGHT(Table13232127535863[[#This Row],[h1]],8))</f>
        <v>0</v>
      </c>
      <c r="Q468" s="48" t="s">
        <v>75</v>
      </c>
      <c r="R468" s="48">
        <f>HEX2DEC(RIGHT(Table13232127535863[[#This Row],[h2]],8))</f>
        <v>0</v>
      </c>
    </row>
    <row r="469" spans="1:18">
      <c r="A469" s="15" t="str">
        <f t="shared" si="12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8" t="s">
        <v>75</v>
      </c>
      <c r="P469" s="48">
        <f>HEX2DEC(RIGHT(Table13232127535863[[#This Row],[h1]],8))</f>
        <v>0</v>
      </c>
      <c r="Q469" s="48" t="s">
        <v>75</v>
      </c>
      <c r="R469" s="48">
        <f>HEX2DEC(RIGHT(Table13232127535863[[#This Row],[h2]],8))</f>
        <v>0</v>
      </c>
    </row>
    <row r="470" spans="1:18">
      <c r="A470" s="15" t="str">
        <f t="shared" si="12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8" t="s">
        <v>75</v>
      </c>
      <c r="P470" s="48">
        <f>HEX2DEC(RIGHT(Table13232127535863[[#This Row],[h1]],8))</f>
        <v>0</v>
      </c>
      <c r="Q470" s="48" t="s">
        <v>75</v>
      </c>
      <c r="R470" s="48">
        <f>HEX2DEC(RIGHT(Table13232127535863[[#This Row],[h2]],8))</f>
        <v>0</v>
      </c>
    </row>
    <row r="471" spans="1:18">
      <c r="A471" s="15" t="str">
        <f t="shared" si="12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8" t="s">
        <v>75</v>
      </c>
      <c r="P471" s="48">
        <f>HEX2DEC(RIGHT(Table13232127535863[[#This Row],[h1]],8))</f>
        <v>0</v>
      </c>
      <c r="Q471" s="48" t="s">
        <v>75</v>
      </c>
      <c r="R471" s="48">
        <f>HEX2DEC(RIGHT(Table13232127535863[[#This Row],[h2]],8))</f>
        <v>0</v>
      </c>
    </row>
    <row r="472" spans="1:18">
      <c r="A472" s="15" t="str">
        <f t="shared" si="12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8" t="s">
        <v>75</v>
      </c>
      <c r="P472" s="48">
        <f>HEX2DEC(RIGHT(Table13232127535863[[#This Row],[h1]],8))</f>
        <v>0</v>
      </c>
      <c r="Q472" s="48" t="s">
        <v>75</v>
      </c>
      <c r="R472" s="48">
        <f>HEX2DEC(RIGHT(Table13232127535863[[#This Row],[h2]],8))</f>
        <v>0</v>
      </c>
    </row>
    <row r="473" spans="1:18">
      <c r="A473" s="15" t="str">
        <f t="shared" si="12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8" t="s">
        <v>75</v>
      </c>
      <c r="P473" s="48">
        <f>HEX2DEC(RIGHT(Table13232127535863[[#This Row],[h1]],8))</f>
        <v>0</v>
      </c>
      <c r="Q473" s="48" t="s">
        <v>75</v>
      </c>
      <c r="R473" s="48">
        <f>HEX2DEC(RIGHT(Table13232127535863[[#This Row],[h2]],8))</f>
        <v>0</v>
      </c>
    </row>
    <row r="474" spans="1:18">
      <c r="A474" s="15" t="str">
        <f t="shared" si="12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8" t="s">
        <v>75</v>
      </c>
      <c r="P474" s="48">
        <f>HEX2DEC(RIGHT(Table13232127535863[[#This Row],[h1]],8))</f>
        <v>0</v>
      </c>
      <c r="Q474" s="48" t="s">
        <v>75</v>
      </c>
      <c r="R474" s="48">
        <f>HEX2DEC(RIGHT(Table13232127535863[[#This Row],[h2]],8))</f>
        <v>0</v>
      </c>
    </row>
    <row r="475" spans="1:18">
      <c r="A475" s="15" t="str">
        <f t="shared" si="12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8" t="s">
        <v>75</v>
      </c>
      <c r="P475" s="48">
        <f>HEX2DEC(RIGHT(Table13232127535863[[#This Row],[h1]],8))</f>
        <v>0</v>
      </c>
      <c r="Q475" s="48" t="s">
        <v>75</v>
      </c>
      <c r="R475" s="48">
        <f>HEX2DEC(RIGHT(Table13232127535863[[#This Row],[h2]],8))</f>
        <v>0</v>
      </c>
    </row>
    <row r="476" spans="1:18">
      <c r="A476" s="15" t="str">
        <f t="shared" si="12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8" t="s">
        <v>75</v>
      </c>
      <c r="P476" s="48">
        <f>HEX2DEC(RIGHT(Table13232127535863[[#This Row],[h1]],8))</f>
        <v>0</v>
      </c>
      <c r="Q476" s="48" t="s">
        <v>75</v>
      </c>
      <c r="R476" s="48">
        <f>HEX2DEC(RIGHT(Table13232127535863[[#This Row],[h2]],8))</f>
        <v>0</v>
      </c>
    </row>
    <row r="477" spans="1:18">
      <c r="A477" s="15" t="str">
        <f t="shared" si="12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8" t="s">
        <v>75</v>
      </c>
      <c r="P477" s="48">
        <f>HEX2DEC(RIGHT(Table13232127535863[[#This Row],[h1]],8))</f>
        <v>0</v>
      </c>
      <c r="Q477" s="48" t="s">
        <v>75</v>
      </c>
      <c r="R477" s="48">
        <f>HEX2DEC(RIGHT(Table13232127535863[[#This Row],[h2]],8))</f>
        <v>0</v>
      </c>
    </row>
    <row r="478" spans="1:18">
      <c r="A478" s="15" t="str">
        <f t="shared" si="12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8" t="s">
        <v>75</v>
      </c>
      <c r="P478" s="48">
        <f>HEX2DEC(RIGHT(Table13232127535863[[#This Row],[h1]],8))</f>
        <v>0</v>
      </c>
      <c r="Q478" s="48" t="s">
        <v>75</v>
      </c>
      <c r="R478" s="48">
        <f>HEX2DEC(RIGHT(Table13232127535863[[#This Row],[h2]],8))</f>
        <v>0</v>
      </c>
    </row>
    <row r="479" spans="1:18">
      <c r="A479" s="15" t="str">
        <f t="shared" si="12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8" t="s">
        <v>75</v>
      </c>
      <c r="P479" s="48">
        <f>HEX2DEC(RIGHT(Table13232127535863[[#This Row],[h1]],8))</f>
        <v>0</v>
      </c>
      <c r="Q479" s="48" t="s">
        <v>75</v>
      </c>
      <c r="R479" s="48">
        <f>HEX2DEC(RIGHT(Table13232127535863[[#This Row],[h2]],8))</f>
        <v>0</v>
      </c>
    </row>
    <row r="480" spans="1:18">
      <c r="A480" s="15" t="str">
        <f t="shared" si="12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8" t="s">
        <v>75</v>
      </c>
      <c r="P480" s="48">
        <f>HEX2DEC(RIGHT(Table13232127535863[[#This Row],[h1]],8))</f>
        <v>0</v>
      </c>
      <c r="Q480" s="48" t="s">
        <v>75</v>
      </c>
      <c r="R480" s="48">
        <f>HEX2DEC(RIGHT(Table13232127535863[[#This Row],[h2]],8))</f>
        <v>0</v>
      </c>
    </row>
    <row r="481" spans="1:18">
      <c r="A481" s="15" t="str">
        <f t="shared" si="12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8" t="s">
        <v>75</v>
      </c>
      <c r="P481" s="48">
        <f>HEX2DEC(RIGHT(Table13232127535863[[#This Row],[h1]],8))</f>
        <v>0</v>
      </c>
      <c r="Q481" s="48" t="s">
        <v>75</v>
      </c>
      <c r="R481" s="48">
        <f>HEX2DEC(RIGHT(Table13232127535863[[#This Row],[h2]],8))</f>
        <v>0</v>
      </c>
    </row>
    <row r="482" spans="1:18">
      <c r="A482" s="15" t="str">
        <f t="shared" si="12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8" t="s">
        <v>75</v>
      </c>
      <c r="P482" s="48">
        <f>HEX2DEC(RIGHT(Table13232127535863[[#This Row],[h1]],8))</f>
        <v>0</v>
      </c>
      <c r="Q482" s="48" t="s">
        <v>75</v>
      </c>
      <c r="R482" s="48">
        <f>HEX2DEC(RIGHT(Table13232127535863[[#This Row],[h2]],8))</f>
        <v>0</v>
      </c>
    </row>
    <row r="483" spans="1:18">
      <c r="A483" s="15" t="str">
        <f t="shared" si="12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8" t="s">
        <v>75</v>
      </c>
      <c r="P483" s="48">
        <f>HEX2DEC(RIGHT(Table13232127535863[[#This Row],[h1]],8))</f>
        <v>0</v>
      </c>
      <c r="Q483" s="48" t="s">
        <v>75</v>
      </c>
      <c r="R483" s="48">
        <f>HEX2DEC(RIGHT(Table13232127535863[[#This Row],[h2]],8))</f>
        <v>0</v>
      </c>
    </row>
    <row r="484" spans="1:18">
      <c r="A484" s="15" t="str">
        <f t="shared" si="12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8" t="s">
        <v>75</v>
      </c>
      <c r="P484" s="48">
        <f>HEX2DEC(RIGHT(Table13232127535863[[#This Row],[h1]],8))</f>
        <v>0</v>
      </c>
      <c r="Q484" s="48" t="s">
        <v>75</v>
      </c>
      <c r="R484" s="48">
        <f>HEX2DEC(RIGHT(Table13232127535863[[#This Row],[h2]],8))</f>
        <v>0</v>
      </c>
    </row>
    <row r="485" spans="1:18">
      <c r="A485" s="15" t="str">
        <f t="shared" si="12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8" t="s">
        <v>75</v>
      </c>
      <c r="P485" s="48">
        <f>HEX2DEC(RIGHT(Table13232127535863[[#This Row],[h1]],8))</f>
        <v>0</v>
      </c>
      <c r="Q485" s="48" t="s">
        <v>75</v>
      </c>
      <c r="R485" s="48">
        <f>HEX2DEC(RIGHT(Table13232127535863[[#This Row],[h2]],8))</f>
        <v>0</v>
      </c>
    </row>
    <row r="486" spans="1:18">
      <c r="A486" s="15" t="str">
        <f t="shared" si="12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8" t="s">
        <v>75</v>
      </c>
      <c r="P486" s="48">
        <f>HEX2DEC(RIGHT(Table13232127535863[[#This Row],[h1]],8))</f>
        <v>0</v>
      </c>
      <c r="Q486" s="48" t="s">
        <v>75</v>
      </c>
      <c r="R486" s="48">
        <f>HEX2DEC(RIGHT(Table13232127535863[[#This Row],[h2]],8))</f>
        <v>0</v>
      </c>
    </row>
    <row r="487" spans="1:18">
      <c r="A487" s="15" t="str">
        <f t="shared" si="12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8" t="s">
        <v>75</v>
      </c>
      <c r="P487" s="48">
        <f>HEX2DEC(RIGHT(Table13232127535863[[#This Row],[h1]],8))</f>
        <v>0</v>
      </c>
      <c r="Q487" s="48" t="s">
        <v>75</v>
      </c>
      <c r="R487" s="48">
        <f>HEX2DEC(RIGHT(Table13232127535863[[#This Row],[h2]],8))</f>
        <v>0</v>
      </c>
    </row>
    <row r="488" spans="1:18">
      <c r="A488" s="15" t="str">
        <f t="shared" si="12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8" t="s">
        <v>75</v>
      </c>
      <c r="P488" s="48">
        <f>HEX2DEC(RIGHT(Table13232127535863[[#This Row],[h1]],8))</f>
        <v>0</v>
      </c>
      <c r="Q488" s="48" t="s">
        <v>75</v>
      </c>
      <c r="R488" s="48">
        <f>HEX2DEC(RIGHT(Table13232127535863[[#This Row],[h2]],8))</f>
        <v>0</v>
      </c>
    </row>
    <row r="489" spans="1:18">
      <c r="A489" s="15" t="str">
        <f t="shared" si="12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8" t="s">
        <v>75</v>
      </c>
      <c r="P489" s="48">
        <f>HEX2DEC(RIGHT(Table13232127535863[[#This Row],[h1]],8))</f>
        <v>0</v>
      </c>
      <c r="Q489" s="48" t="s">
        <v>75</v>
      </c>
      <c r="R489" s="48">
        <f>HEX2DEC(RIGHT(Table13232127535863[[#This Row],[h2]],8))</f>
        <v>0</v>
      </c>
    </row>
    <row r="490" spans="1:18">
      <c r="A490" s="15" t="str">
        <f t="shared" si="12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8" t="s">
        <v>75</v>
      </c>
      <c r="P490" s="48">
        <f>HEX2DEC(RIGHT(Table13232127535863[[#This Row],[h1]],8))</f>
        <v>0</v>
      </c>
      <c r="Q490" s="48" t="s">
        <v>75</v>
      </c>
      <c r="R490" s="48">
        <f>HEX2DEC(RIGHT(Table13232127535863[[#This Row],[h2]],8))</f>
        <v>0</v>
      </c>
    </row>
    <row r="491" spans="1:18">
      <c r="A491" s="15" t="str">
        <f t="shared" si="12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8" t="s">
        <v>75</v>
      </c>
      <c r="P491" s="48">
        <f>HEX2DEC(RIGHT(Table13232127535863[[#This Row],[h1]],8))</f>
        <v>0</v>
      </c>
      <c r="Q491" s="48" t="s">
        <v>75</v>
      </c>
      <c r="R491" s="48">
        <f>HEX2DEC(RIGHT(Table13232127535863[[#This Row],[h2]],8))</f>
        <v>0</v>
      </c>
    </row>
    <row r="492" spans="1:18">
      <c r="A492" s="15" t="str">
        <f t="shared" si="12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8" t="s">
        <v>75</v>
      </c>
      <c r="P492" s="48">
        <f>HEX2DEC(RIGHT(Table13232127535863[[#This Row],[h1]],8))</f>
        <v>0</v>
      </c>
      <c r="Q492" s="48" t="s">
        <v>75</v>
      </c>
      <c r="R492" s="48">
        <f>HEX2DEC(RIGHT(Table13232127535863[[#This Row],[h2]],8))</f>
        <v>0</v>
      </c>
    </row>
    <row r="493" spans="1:18">
      <c r="A493" s="15" t="str">
        <f t="shared" si="12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8" t="s">
        <v>75</v>
      </c>
      <c r="P493" s="48">
        <f>HEX2DEC(RIGHT(Table13232127535863[[#This Row],[h1]],8))</f>
        <v>0</v>
      </c>
      <c r="Q493" s="48" t="s">
        <v>75</v>
      </c>
      <c r="R493" s="48">
        <f>HEX2DEC(RIGHT(Table13232127535863[[#This Row],[h2]],8))</f>
        <v>0</v>
      </c>
    </row>
    <row r="494" spans="1:18">
      <c r="A494" s="15" t="str">
        <f t="shared" si="12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8" t="s">
        <v>75</v>
      </c>
      <c r="P494" s="48">
        <f>HEX2DEC(RIGHT(Table13232127535863[[#This Row],[h1]],8))</f>
        <v>0</v>
      </c>
      <c r="Q494" s="48" t="s">
        <v>75</v>
      </c>
      <c r="R494" s="48">
        <f>HEX2DEC(RIGHT(Table13232127535863[[#This Row],[h2]],8))</f>
        <v>0</v>
      </c>
    </row>
    <row r="495" spans="1:18">
      <c r="A495" s="15" t="str">
        <f t="shared" si="12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8" t="s">
        <v>75</v>
      </c>
      <c r="P495" s="48">
        <f>HEX2DEC(RIGHT(Table13232127535863[[#This Row],[h1]],8))</f>
        <v>0</v>
      </c>
      <c r="Q495" s="48" t="s">
        <v>75</v>
      </c>
      <c r="R495" s="48">
        <f>HEX2DEC(RIGHT(Table13232127535863[[#This Row],[h2]],8))</f>
        <v>0</v>
      </c>
    </row>
    <row r="496" spans="1:18">
      <c r="A496" s="15" t="str">
        <f t="shared" si="12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8" t="s">
        <v>75</v>
      </c>
      <c r="P496" s="48">
        <f>HEX2DEC(RIGHT(Table13232127535863[[#This Row],[h1]],8))</f>
        <v>0</v>
      </c>
      <c r="Q496" s="48" t="s">
        <v>75</v>
      </c>
      <c r="R496" s="48">
        <f>HEX2DEC(RIGHT(Table13232127535863[[#This Row],[h2]],8))</f>
        <v>0</v>
      </c>
    </row>
    <row r="497" spans="1:18">
      <c r="A497" s="15" t="str">
        <f t="shared" si="12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8" t="s">
        <v>75</v>
      </c>
      <c r="P497" s="48">
        <f>HEX2DEC(RIGHT(Table13232127535863[[#This Row],[h1]],8))</f>
        <v>0</v>
      </c>
      <c r="Q497" s="48" t="s">
        <v>75</v>
      </c>
      <c r="R497" s="48">
        <f>HEX2DEC(RIGHT(Table13232127535863[[#This Row],[h2]],8))</f>
        <v>0</v>
      </c>
    </row>
    <row r="498" spans="1:18">
      <c r="A498" s="15" t="str">
        <f t="shared" si="12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8" t="s">
        <v>75</v>
      </c>
      <c r="P498" s="48">
        <f>HEX2DEC(RIGHT(Table13232127535863[[#This Row],[h1]],8))</f>
        <v>0</v>
      </c>
      <c r="Q498" s="48" t="s">
        <v>75</v>
      </c>
      <c r="R498" s="48">
        <f>HEX2DEC(RIGHT(Table13232127535863[[#This Row],[h2]],8))</f>
        <v>0</v>
      </c>
    </row>
    <row r="499" spans="1:18">
      <c r="A499" s="15" t="str">
        <f t="shared" si="12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8" t="s">
        <v>75</v>
      </c>
      <c r="P499" s="48">
        <f>HEX2DEC(RIGHT(Table13232127535863[[#This Row],[h1]],8))</f>
        <v>0</v>
      </c>
      <c r="Q499" s="48" t="s">
        <v>75</v>
      </c>
      <c r="R499" s="48">
        <f>HEX2DEC(RIGHT(Table13232127535863[[#This Row],[h2]],8))</f>
        <v>0</v>
      </c>
    </row>
    <row r="500" spans="1:18">
      <c r="A500" s="15" t="str">
        <f t="shared" si="12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8" t="s">
        <v>75</v>
      </c>
      <c r="P500" s="48">
        <f>HEX2DEC(RIGHT(Table13232127535863[[#This Row],[h1]],8))</f>
        <v>0</v>
      </c>
      <c r="Q500" s="48" t="s">
        <v>75</v>
      </c>
      <c r="R500" s="48">
        <f>HEX2DEC(RIGHT(Table13232127535863[[#This Row],[h2]],8))</f>
        <v>0</v>
      </c>
    </row>
    <row r="501" spans="1:18">
      <c r="A501" s="15" t="str">
        <f t="shared" si="12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8" t="s">
        <v>75</v>
      </c>
      <c r="P501" s="48">
        <f>HEX2DEC(RIGHT(Table13232127535863[[#This Row],[h1]],8))</f>
        <v>0</v>
      </c>
      <c r="Q501" s="48" t="s">
        <v>75</v>
      </c>
      <c r="R501" s="48">
        <f>HEX2DEC(RIGHT(Table13232127535863[[#This Row],[h2]],8))</f>
        <v>0</v>
      </c>
    </row>
    <row r="502" spans="1:18">
      <c r="A502" s="15" t="str">
        <f t="shared" si="12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8" t="s">
        <v>75</v>
      </c>
      <c r="P502" s="48">
        <f>HEX2DEC(RIGHT(Table13232127535863[[#This Row],[h1]],8))</f>
        <v>0</v>
      </c>
      <c r="Q502" s="48" t="s">
        <v>75</v>
      </c>
      <c r="R502" s="48">
        <f>HEX2DEC(RIGHT(Table13232127535863[[#This Row],[h2]],8))</f>
        <v>0</v>
      </c>
    </row>
    <row r="503" spans="1:18">
      <c r="A503" s="15" t="str">
        <f t="shared" si="12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8" t="s">
        <v>75</v>
      </c>
      <c r="P503" s="48">
        <f>HEX2DEC(RIGHT(Table13232127535863[[#This Row],[h1]],8))</f>
        <v>0</v>
      </c>
      <c r="Q503" s="48" t="s">
        <v>75</v>
      </c>
      <c r="R503" s="48">
        <f>HEX2DEC(RIGHT(Table13232127535863[[#This Row],[h2]],8))</f>
        <v>0</v>
      </c>
    </row>
    <row r="504" spans="1:18">
      <c r="A504" s="15" t="str">
        <f t="shared" si="12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8" t="s">
        <v>75</v>
      </c>
      <c r="P504" s="48">
        <f>HEX2DEC(RIGHT(Table13232127535863[[#This Row],[h1]],8))</f>
        <v>0</v>
      </c>
      <c r="Q504" s="48" t="s">
        <v>75</v>
      </c>
      <c r="R504" s="48">
        <f>HEX2DEC(RIGHT(Table13232127535863[[#This Row],[h2]],8))</f>
        <v>0</v>
      </c>
    </row>
    <row r="505" spans="1:18">
      <c r="A505" s="15" t="str">
        <f t="shared" si="12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8" t="s">
        <v>75</v>
      </c>
      <c r="P505" s="48">
        <f>HEX2DEC(RIGHT(Table13232127535863[[#This Row],[h1]],8))</f>
        <v>0</v>
      </c>
      <c r="Q505" s="48" t="s">
        <v>75</v>
      </c>
      <c r="R505" s="48">
        <f>HEX2DEC(RIGHT(Table13232127535863[[#This Row],[h2]],8))</f>
        <v>0</v>
      </c>
    </row>
    <row r="506" spans="1:18">
      <c r="A506" s="15" t="str">
        <f t="shared" si="12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8" t="s">
        <v>75</v>
      </c>
      <c r="P506" s="48">
        <f>HEX2DEC(RIGHT(Table13232127535863[[#This Row],[h1]],8))</f>
        <v>0</v>
      </c>
      <c r="Q506" s="48" t="s">
        <v>75</v>
      </c>
      <c r="R506" s="48">
        <f>HEX2DEC(RIGHT(Table13232127535863[[#This Row],[h2]],8))</f>
        <v>0</v>
      </c>
    </row>
    <row r="507" spans="1:18">
      <c r="A507" s="15" t="str">
        <f t="shared" si="12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8" t="s">
        <v>75</v>
      </c>
      <c r="P507" s="48">
        <f>HEX2DEC(RIGHT(Table13232127535863[[#This Row],[h1]],8))</f>
        <v>0</v>
      </c>
      <c r="Q507" s="48" t="s">
        <v>75</v>
      </c>
      <c r="R507" s="48">
        <f>HEX2DEC(RIGHT(Table13232127535863[[#This Row],[h2]],8))</f>
        <v>0</v>
      </c>
    </row>
    <row r="508" spans="1:18">
      <c r="A508" s="15" t="str">
        <f t="shared" si="12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8" t="s">
        <v>75</v>
      </c>
      <c r="P508" s="48">
        <f>HEX2DEC(RIGHT(Table13232127535863[[#This Row],[h1]],8))</f>
        <v>0</v>
      </c>
      <c r="Q508" s="48" t="s">
        <v>75</v>
      </c>
      <c r="R508" s="48">
        <f>HEX2DEC(RIGHT(Table13232127535863[[#This Row],[h2]],8))</f>
        <v>0</v>
      </c>
    </row>
    <row r="509" spans="1:18">
      <c r="A509" s="15" t="str">
        <f t="shared" si="12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8" t="s">
        <v>75</v>
      </c>
      <c r="P509" s="48">
        <f>HEX2DEC(RIGHT(Table13232127535863[[#This Row],[h1]],8))</f>
        <v>0</v>
      </c>
      <c r="Q509" s="48" t="s">
        <v>75</v>
      </c>
      <c r="R509" s="48">
        <f>HEX2DEC(RIGHT(Table13232127535863[[#This Row],[h2]],8))</f>
        <v>0</v>
      </c>
    </row>
    <row r="510" spans="1:18">
      <c r="A510" s="15" t="str">
        <f t="shared" si="12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8" t="s">
        <v>75</v>
      </c>
      <c r="P510" s="48">
        <f>HEX2DEC(RIGHT(Table13232127535863[[#This Row],[h1]],8))</f>
        <v>0</v>
      </c>
      <c r="Q510" s="48" t="s">
        <v>75</v>
      </c>
      <c r="R510" s="48">
        <f>HEX2DEC(RIGHT(Table13232127535863[[#This Row],[h2]],8))</f>
        <v>0</v>
      </c>
    </row>
    <row r="511" spans="1:18">
      <c r="A511" s="15" t="str">
        <f t="shared" si="12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8" t="s">
        <v>75</v>
      </c>
      <c r="P511" s="48">
        <f>HEX2DEC(RIGHT(Table13232127535863[[#This Row],[h1]],8))</f>
        <v>0</v>
      </c>
      <c r="Q511" s="48" t="s">
        <v>75</v>
      </c>
      <c r="R511" s="48">
        <f>HEX2DEC(RIGHT(Table13232127535863[[#This Row],[h2]],8))</f>
        <v>0</v>
      </c>
    </row>
    <row r="512" spans="1:18">
      <c r="A512" s="15" t="str">
        <f t="shared" si="12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8" t="s">
        <v>75</v>
      </c>
      <c r="P512" s="48">
        <f>HEX2DEC(RIGHT(Table13232127535863[[#This Row],[h1]],8))</f>
        <v>0</v>
      </c>
      <c r="Q512" s="48" t="s">
        <v>75</v>
      </c>
      <c r="R512" s="48">
        <f>HEX2DEC(RIGHT(Table13232127535863[[#This Row],[h2]],8))</f>
        <v>0</v>
      </c>
    </row>
    <row r="513" spans="1:18">
      <c r="A513" s="15" t="str">
        <f t="shared" si="12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8" t="s">
        <v>75</v>
      </c>
      <c r="P513" s="48">
        <f>HEX2DEC(RIGHT(Table13232127535863[[#This Row],[h1]],8))</f>
        <v>0</v>
      </c>
      <c r="Q513" s="48" t="s">
        <v>75</v>
      </c>
      <c r="R513" s="48">
        <f>HEX2DEC(RIGHT(Table13232127535863[[#This Row],[h2]],8))</f>
        <v>0</v>
      </c>
    </row>
    <row r="514" spans="1:18">
      <c r="A514" s="15" t="str">
        <f t="shared" si="12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8" t="s">
        <v>75</v>
      </c>
      <c r="P514" s="48">
        <f>HEX2DEC(RIGHT(Table13232127535863[[#This Row],[h1]],8))</f>
        <v>0</v>
      </c>
      <c r="Q514" s="48" t="s">
        <v>75</v>
      </c>
      <c r="R514" s="48">
        <f>HEX2DEC(RIGHT(Table13232127535863[[#This Row],[h2]],8))</f>
        <v>0</v>
      </c>
    </row>
    <row r="515" spans="1:18">
      <c r="A515" s="15" t="str">
        <f t="shared" si="12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8" t="s">
        <v>75</v>
      </c>
      <c r="P515" s="48">
        <f>HEX2DEC(RIGHT(Table13232127535863[[#This Row],[h1]],8))</f>
        <v>0</v>
      </c>
      <c r="Q515" s="48" t="s">
        <v>75</v>
      </c>
      <c r="R515" s="48">
        <f>HEX2DEC(RIGHT(Table13232127535863[[#This Row],[h2]],8))</f>
        <v>0</v>
      </c>
    </row>
    <row r="516" spans="1:18">
      <c r="A516" s="15" t="str">
        <f t="shared" si="12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8" t="s">
        <v>75</v>
      </c>
      <c r="P516" s="48">
        <f>HEX2DEC(RIGHT(Table13232127535863[[#This Row],[h1]],8))</f>
        <v>0</v>
      </c>
      <c r="Q516" s="48" t="s">
        <v>75</v>
      </c>
      <c r="R516" s="48">
        <f>HEX2DEC(RIGHT(Table13232127535863[[#This Row],[h2]],8))</f>
        <v>0</v>
      </c>
    </row>
    <row r="517" spans="1:18">
      <c r="A517" s="15" t="str">
        <f t="shared" si="12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8" t="s">
        <v>75</v>
      </c>
      <c r="P517" s="48">
        <f>HEX2DEC(RIGHT(Table13232127535863[[#This Row],[h1]],8))</f>
        <v>0</v>
      </c>
      <c r="Q517" s="48" t="s">
        <v>75</v>
      </c>
      <c r="R517" s="48">
        <f>HEX2DEC(RIGHT(Table13232127535863[[#This Row],[h2]],8))</f>
        <v>0</v>
      </c>
    </row>
    <row r="518" spans="1:18">
      <c r="A518" s="15" t="str">
        <f t="shared" si="12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8" t="s">
        <v>75</v>
      </c>
      <c r="P518" s="48">
        <f>HEX2DEC(RIGHT(Table13232127535863[[#This Row],[h1]],8))</f>
        <v>0</v>
      </c>
      <c r="Q518" s="48" t="s">
        <v>75</v>
      </c>
      <c r="R518" s="48">
        <f>HEX2DEC(RIGHT(Table13232127535863[[#This Row],[h2]],8))</f>
        <v>0</v>
      </c>
    </row>
    <row r="519" spans="1:18">
      <c r="A519" s="15" t="str">
        <f t="shared" si="12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8" t="s">
        <v>75</v>
      </c>
      <c r="P519" s="48">
        <f>HEX2DEC(RIGHT(Table13232127535863[[#This Row],[h1]],8))</f>
        <v>0</v>
      </c>
      <c r="Q519" s="48" t="s">
        <v>75</v>
      </c>
      <c r="R519" s="48">
        <f>HEX2DEC(RIGHT(Table13232127535863[[#This Row],[h2]],8))</f>
        <v>0</v>
      </c>
    </row>
    <row r="520" spans="1:18">
      <c r="A520" s="15" t="str">
        <f t="shared" si="12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8" t="s">
        <v>75</v>
      </c>
      <c r="P520" s="48">
        <f>HEX2DEC(RIGHT(Table13232127535863[[#This Row],[h1]],8))</f>
        <v>0</v>
      </c>
      <c r="Q520" s="48" t="s">
        <v>75</v>
      </c>
      <c r="R520" s="48">
        <f>HEX2DEC(RIGHT(Table13232127535863[[#This Row],[h2]],8))</f>
        <v>0</v>
      </c>
    </row>
    <row r="521" spans="1:18">
      <c r="A521" s="15" t="str">
        <f t="shared" si="12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8" t="s">
        <v>75</v>
      </c>
      <c r="P521" s="48">
        <f>HEX2DEC(RIGHT(Table13232127535863[[#This Row],[h1]],8))</f>
        <v>0</v>
      </c>
      <c r="Q521" s="48" t="s">
        <v>75</v>
      </c>
      <c r="R521" s="48">
        <f>HEX2DEC(RIGHT(Table13232127535863[[#This Row],[h2]],8))</f>
        <v>0</v>
      </c>
    </row>
    <row r="522" spans="1:18">
      <c r="A522" s="15" t="str">
        <f t="shared" si="12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8" t="s">
        <v>75</v>
      </c>
      <c r="P522" s="48">
        <f>HEX2DEC(RIGHT(Table13232127535863[[#This Row],[h1]],8))</f>
        <v>0</v>
      </c>
      <c r="Q522" s="48" t="s">
        <v>75</v>
      </c>
      <c r="R522" s="48">
        <f>HEX2DEC(RIGHT(Table13232127535863[[#This Row],[h2]],8))</f>
        <v>0</v>
      </c>
    </row>
    <row r="523" spans="1:18">
      <c r="A523" s="15" t="str">
        <f t="shared" ref="A523:A586" si="13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8" t="s">
        <v>75</v>
      </c>
      <c r="P523" s="48">
        <f>HEX2DEC(RIGHT(Table13232127535863[[#This Row],[h1]],8))</f>
        <v>0</v>
      </c>
      <c r="Q523" s="48" t="s">
        <v>75</v>
      </c>
      <c r="R523" s="48">
        <f>HEX2DEC(RIGHT(Table13232127535863[[#This Row],[h2]],8))</f>
        <v>0</v>
      </c>
    </row>
    <row r="524" spans="1:18">
      <c r="A524" s="15" t="str">
        <f t="shared" si="13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8" t="s">
        <v>75</v>
      </c>
      <c r="P524" s="48">
        <f>HEX2DEC(RIGHT(Table13232127535863[[#This Row],[h1]],8))</f>
        <v>0</v>
      </c>
      <c r="Q524" s="48" t="s">
        <v>75</v>
      </c>
      <c r="R524" s="48">
        <f>HEX2DEC(RIGHT(Table13232127535863[[#This Row],[h2]],8))</f>
        <v>0</v>
      </c>
    </row>
    <row r="525" spans="1:18">
      <c r="A525" s="15" t="str">
        <f t="shared" si="13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8" t="s">
        <v>75</v>
      </c>
      <c r="P525" s="48">
        <f>HEX2DEC(RIGHT(Table13232127535863[[#This Row],[h1]],8))</f>
        <v>0</v>
      </c>
      <c r="Q525" s="48" t="s">
        <v>75</v>
      </c>
      <c r="R525" s="48">
        <f>HEX2DEC(RIGHT(Table13232127535863[[#This Row],[h2]],8))</f>
        <v>0</v>
      </c>
    </row>
    <row r="526" spans="1:18">
      <c r="A526" s="15" t="str">
        <f t="shared" si="13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8" t="s">
        <v>75</v>
      </c>
      <c r="P526" s="48">
        <f>HEX2DEC(RIGHT(Table13232127535863[[#This Row],[h1]],8))</f>
        <v>0</v>
      </c>
      <c r="Q526" s="48" t="s">
        <v>75</v>
      </c>
      <c r="R526" s="48">
        <f>HEX2DEC(RIGHT(Table13232127535863[[#This Row],[h2]],8))</f>
        <v>0</v>
      </c>
    </row>
    <row r="527" spans="1:18">
      <c r="A527" s="15" t="str">
        <f t="shared" si="13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8" t="s">
        <v>75</v>
      </c>
      <c r="P527" s="48">
        <f>HEX2DEC(RIGHT(Table13232127535863[[#This Row],[h1]],8))</f>
        <v>0</v>
      </c>
      <c r="Q527" s="48" t="s">
        <v>75</v>
      </c>
      <c r="R527" s="48">
        <f>HEX2DEC(RIGHT(Table13232127535863[[#This Row],[h2]],8))</f>
        <v>0</v>
      </c>
    </row>
    <row r="528" spans="1:18">
      <c r="A528" s="15" t="str">
        <f t="shared" si="13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8" t="s">
        <v>75</v>
      </c>
      <c r="P528" s="48">
        <f>HEX2DEC(RIGHT(Table13232127535863[[#This Row],[h1]],8))</f>
        <v>0</v>
      </c>
      <c r="Q528" s="48" t="s">
        <v>75</v>
      </c>
      <c r="R528" s="48">
        <f>HEX2DEC(RIGHT(Table13232127535863[[#This Row],[h2]],8))</f>
        <v>0</v>
      </c>
    </row>
    <row r="529" spans="1:18">
      <c r="A529" s="15" t="str">
        <f t="shared" si="13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8" t="s">
        <v>75</v>
      </c>
      <c r="P529" s="48">
        <f>HEX2DEC(RIGHT(Table13232127535863[[#This Row],[h1]],8))</f>
        <v>0</v>
      </c>
      <c r="Q529" s="48" t="s">
        <v>75</v>
      </c>
      <c r="R529" s="48">
        <f>HEX2DEC(RIGHT(Table13232127535863[[#This Row],[h2]],8))</f>
        <v>0</v>
      </c>
    </row>
    <row r="530" spans="1:18">
      <c r="A530" s="15" t="str">
        <f t="shared" si="13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8" t="s">
        <v>75</v>
      </c>
      <c r="P530" s="48">
        <f>HEX2DEC(RIGHT(Table13232127535863[[#This Row],[h1]],8))</f>
        <v>0</v>
      </c>
      <c r="Q530" s="48" t="s">
        <v>75</v>
      </c>
      <c r="R530" s="48">
        <f>HEX2DEC(RIGHT(Table13232127535863[[#This Row],[h2]],8))</f>
        <v>0</v>
      </c>
    </row>
    <row r="531" spans="1:18">
      <c r="A531" s="15" t="str">
        <f t="shared" si="13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8" t="s">
        <v>75</v>
      </c>
      <c r="P531" s="48">
        <f>HEX2DEC(RIGHT(Table13232127535863[[#This Row],[h1]],8))</f>
        <v>0</v>
      </c>
      <c r="Q531" s="48" t="s">
        <v>75</v>
      </c>
      <c r="R531" s="48">
        <f>HEX2DEC(RIGHT(Table13232127535863[[#This Row],[h2]],8))</f>
        <v>0</v>
      </c>
    </row>
    <row r="532" spans="1:18">
      <c r="A532" s="15" t="str">
        <f t="shared" si="13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8" t="s">
        <v>75</v>
      </c>
      <c r="P532" s="48">
        <f>HEX2DEC(RIGHT(Table13232127535863[[#This Row],[h1]],8))</f>
        <v>0</v>
      </c>
      <c r="Q532" s="48" t="s">
        <v>75</v>
      </c>
      <c r="R532" s="48">
        <f>HEX2DEC(RIGHT(Table13232127535863[[#This Row],[h2]],8))</f>
        <v>0</v>
      </c>
    </row>
    <row r="533" spans="1:18">
      <c r="A533" s="15" t="str">
        <f t="shared" si="13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8" t="s">
        <v>75</v>
      </c>
      <c r="P533" s="48">
        <f>HEX2DEC(RIGHT(Table13232127535863[[#This Row],[h1]],8))</f>
        <v>0</v>
      </c>
      <c r="Q533" s="48" t="s">
        <v>75</v>
      </c>
      <c r="R533" s="48">
        <f>HEX2DEC(RIGHT(Table13232127535863[[#This Row],[h2]],8))</f>
        <v>0</v>
      </c>
    </row>
    <row r="534" spans="1:18">
      <c r="A534" s="15" t="str">
        <f t="shared" si="13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8" t="s">
        <v>75</v>
      </c>
      <c r="P534" s="48">
        <f>HEX2DEC(RIGHT(Table13232127535863[[#This Row],[h1]],8))</f>
        <v>0</v>
      </c>
      <c r="Q534" s="48" t="s">
        <v>75</v>
      </c>
      <c r="R534" s="48">
        <f>HEX2DEC(RIGHT(Table13232127535863[[#This Row],[h2]],8))</f>
        <v>0</v>
      </c>
    </row>
    <row r="535" spans="1:18">
      <c r="A535" s="15" t="str">
        <f t="shared" si="13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8" t="s">
        <v>75</v>
      </c>
      <c r="P535" s="48">
        <f>HEX2DEC(RIGHT(Table13232127535863[[#This Row],[h1]],8))</f>
        <v>0</v>
      </c>
      <c r="Q535" s="48" t="s">
        <v>75</v>
      </c>
      <c r="R535" s="48">
        <f>HEX2DEC(RIGHT(Table13232127535863[[#This Row],[h2]],8))</f>
        <v>0</v>
      </c>
    </row>
    <row r="536" spans="1:18">
      <c r="A536" s="15" t="str">
        <f t="shared" si="13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8" t="s">
        <v>75</v>
      </c>
      <c r="P536" s="48">
        <f>HEX2DEC(RIGHT(Table13232127535863[[#This Row],[h1]],8))</f>
        <v>0</v>
      </c>
      <c r="Q536" s="48" t="s">
        <v>75</v>
      </c>
      <c r="R536" s="48">
        <f>HEX2DEC(RIGHT(Table13232127535863[[#This Row],[h2]],8))</f>
        <v>0</v>
      </c>
    </row>
    <row r="537" spans="1:18">
      <c r="A537" s="15" t="str">
        <f t="shared" si="13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8" t="s">
        <v>75</v>
      </c>
      <c r="P537" s="48">
        <f>HEX2DEC(RIGHT(Table13232127535863[[#This Row],[h1]],8))</f>
        <v>0</v>
      </c>
      <c r="Q537" s="48" t="s">
        <v>75</v>
      </c>
      <c r="R537" s="48">
        <f>HEX2DEC(RIGHT(Table13232127535863[[#This Row],[h2]],8))</f>
        <v>0</v>
      </c>
    </row>
    <row r="538" spans="1:18">
      <c r="A538" s="15" t="str">
        <f t="shared" si="13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8" t="s">
        <v>75</v>
      </c>
      <c r="P538" s="48">
        <f>HEX2DEC(RIGHT(Table13232127535863[[#This Row],[h1]],8))</f>
        <v>0</v>
      </c>
      <c r="Q538" s="48" t="s">
        <v>75</v>
      </c>
      <c r="R538" s="48">
        <f>HEX2DEC(RIGHT(Table13232127535863[[#This Row],[h2]],8))</f>
        <v>0</v>
      </c>
    </row>
    <row r="539" spans="1:18">
      <c r="A539" s="15" t="str">
        <f t="shared" si="13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8" t="s">
        <v>75</v>
      </c>
      <c r="P539" s="48">
        <f>HEX2DEC(RIGHT(Table13232127535863[[#This Row],[h1]],8))</f>
        <v>0</v>
      </c>
      <c r="Q539" s="48" t="s">
        <v>75</v>
      </c>
      <c r="R539" s="48">
        <f>HEX2DEC(RIGHT(Table13232127535863[[#This Row],[h2]],8))</f>
        <v>0</v>
      </c>
    </row>
    <row r="540" spans="1:18">
      <c r="A540" s="15" t="str">
        <f t="shared" si="13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8" t="s">
        <v>75</v>
      </c>
      <c r="P540" s="48">
        <f>HEX2DEC(RIGHT(Table13232127535863[[#This Row],[h1]],8))</f>
        <v>0</v>
      </c>
      <c r="Q540" s="48" t="s">
        <v>75</v>
      </c>
      <c r="R540" s="48">
        <f>HEX2DEC(RIGHT(Table13232127535863[[#This Row],[h2]],8))</f>
        <v>0</v>
      </c>
    </row>
    <row r="541" spans="1:18">
      <c r="A541" s="15" t="str">
        <f t="shared" si="13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8" t="s">
        <v>75</v>
      </c>
      <c r="P541" s="48">
        <f>HEX2DEC(RIGHT(Table13232127535863[[#This Row],[h1]],8))</f>
        <v>0</v>
      </c>
      <c r="Q541" s="48" t="s">
        <v>75</v>
      </c>
      <c r="R541" s="48">
        <f>HEX2DEC(RIGHT(Table13232127535863[[#This Row],[h2]],8))</f>
        <v>0</v>
      </c>
    </row>
    <row r="542" spans="1:18">
      <c r="A542" s="15" t="str">
        <f t="shared" si="13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8" t="s">
        <v>75</v>
      </c>
      <c r="P542" s="48">
        <f>HEX2DEC(RIGHT(Table13232127535863[[#This Row],[h1]],8))</f>
        <v>0</v>
      </c>
      <c r="Q542" s="48" t="s">
        <v>75</v>
      </c>
      <c r="R542" s="48">
        <f>HEX2DEC(RIGHT(Table13232127535863[[#This Row],[h2]],8))</f>
        <v>0</v>
      </c>
    </row>
    <row r="543" spans="1:18">
      <c r="A543" s="15" t="str">
        <f t="shared" si="13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8" t="s">
        <v>75</v>
      </c>
      <c r="P543" s="48">
        <f>HEX2DEC(RIGHT(Table13232127535863[[#This Row],[h1]],8))</f>
        <v>0</v>
      </c>
      <c r="Q543" s="48" t="s">
        <v>75</v>
      </c>
      <c r="R543" s="48">
        <f>HEX2DEC(RIGHT(Table13232127535863[[#This Row],[h2]],8))</f>
        <v>0</v>
      </c>
    </row>
    <row r="544" spans="1:18">
      <c r="A544" s="15" t="str">
        <f t="shared" si="13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8" t="s">
        <v>75</v>
      </c>
      <c r="P544" s="48">
        <f>HEX2DEC(RIGHT(Table13232127535863[[#This Row],[h1]],8))</f>
        <v>0</v>
      </c>
      <c r="Q544" s="48" t="s">
        <v>75</v>
      </c>
      <c r="R544" s="48">
        <f>HEX2DEC(RIGHT(Table13232127535863[[#This Row],[h2]],8))</f>
        <v>0</v>
      </c>
    </row>
    <row r="545" spans="1:18">
      <c r="A545" s="15" t="str">
        <f t="shared" si="13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8" t="s">
        <v>75</v>
      </c>
      <c r="P545" s="48">
        <f>HEX2DEC(RIGHT(Table13232127535863[[#This Row],[h1]],8))</f>
        <v>0</v>
      </c>
      <c r="Q545" s="48" t="s">
        <v>75</v>
      </c>
      <c r="R545" s="48">
        <f>HEX2DEC(RIGHT(Table13232127535863[[#This Row],[h2]],8))</f>
        <v>0</v>
      </c>
    </row>
    <row r="546" spans="1:18">
      <c r="A546" s="15" t="str">
        <f t="shared" si="13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8" t="s">
        <v>75</v>
      </c>
      <c r="P546" s="48">
        <f>HEX2DEC(RIGHT(Table13232127535863[[#This Row],[h1]],8))</f>
        <v>0</v>
      </c>
      <c r="Q546" s="48" t="s">
        <v>75</v>
      </c>
      <c r="R546" s="48">
        <f>HEX2DEC(RIGHT(Table13232127535863[[#This Row],[h2]],8))</f>
        <v>0</v>
      </c>
    </row>
    <row r="547" spans="1:18">
      <c r="A547" s="15" t="str">
        <f t="shared" si="13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8" t="s">
        <v>75</v>
      </c>
      <c r="P547" s="48">
        <f>HEX2DEC(RIGHT(Table13232127535863[[#This Row],[h1]],8))</f>
        <v>0</v>
      </c>
      <c r="Q547" s="48" t="s">
        <v>75</v>
      </c>
      <c r="R547" s="48">
        <f>HEX2DEC(RIGHT(Table13232127535863[[#This Row],[h2]],8))</f>
        <v>0</v>
      </c>
    </row>
    <row r="548" spans="1:18">
      <c r="A548" s="15" t="str">
        <f t="shared" si="13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8" t="s">
        <v>75</v>
      </c>
      <c r="P548" s="48">
        <f>HEX2DEC(RIGHT(Table13232127535863[[#This Row],[h1]],8))</f>
        <v>0</v>
      </c>
      <c r="Q548" s="48" t="s">
        <v>75</v>
      </c>
      <c r="R548" s="48">
        <f>HEX2DEC(RIGHT(Table13232127535863[[#This Row],[h2]],8))</f>
        <v>0</v>
      </c>
    </row>
    <row r="549" spans="1:18">
      <c r="A549" s="15" t="str">
        <f t="shared" si="13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8" t="s">
        <v>75</v>
      </c>
      <c r="P549" s="48">
        <f>HEX2DEC(RIGHT(Table13232127535863[[#This Row],[h1]],8))</f>
        <v>0</v>
      </c>
      <c r="Q549" s="48" t="s">
        <v>75</v>
      </c>
      <c r="R549" s="48">
        <f>HEX2DEC(RIGHT(Table13232127535863[[#This Row],[h2]],8))</f>
        <v>0</v>
      </c>
    </row>
    <row r="550" spans="1:18">
      <c r="A550" s="15" t="str">
        <f t="shared" si="13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8" t="s">
        <v>75</v>
      </c>
      <c r="P550" s="48">
        <f>HEX2DEC(RIGHT(Table13232127535863[[#This Row],[h1]],8))</f>
        <v>0</v>
      </c>
      <c r="Q550" s="48" t="s">
        <v>75</v>
      </c>
      <c r="R550" s="48">
        <f>HEX2DEC(RIGHT(Table13232127535863[[#This Row],[h2]],8))</f>
        <v>0</v>
      </c>
    </row>
    <row r="551" spans="1:18">
      <c r="A551" s="15" t="str">
        <f t="shared" si="13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8" t="s">
        <v>75</v>
      </c>
      <c r="P551" s="48">
        <f>HEX2DEC(RIGHT(Table13232127535863[[#This Row],[h1]],8))</f>
        <v>0</v>
      </c>
      <c r="Q551" s="48" t="s">
        <v>75</v>
      </c>
      <c r="R551" s="48">
        <f>HEX2DEC(RIGHT(Table13232127535863[[#This Row],[h2]],8))</f>
        <v>0</v>
      </c>
    </row>
    <row r="552" spans="1:18">
      <c r="A552" s="15" t="str">
        <f t="shared" si="13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8" t="s">
        <v>75</v>
      </c>
      <c r="P552" s="48">
        <f>HEX2DEC(RIGHT(Table13232127535863[[#This Row],[h1]],8))</f>
        <v>0</v>
      </c>
      <c r="Q552" s="48" t="s">
        <v>75</v>
      </c>
      <c r="R552" s="48">
        <f>HEX2DEC(RIGHT(Table13232127535863[[#This Row],[h2]],8))</f>
        <v>0</v>
      </c>
    </row>
    <row r="553" spans="1:18">
      <c r="A553" s="15" t="str">
        <f t="shared" si="13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8" t="s">
        <v>75</v>
      </c>
      <c r="P553" s="48">
        <f>HEX2DEC(RIGHT(Table13232127535863[[#This Row],[h1]],8))</f>
        <v>0</v>
      </c>
      <c r="Q553" s="48" t="s">
        <v>75</v>
      </c>
      <c r="R553" s="48">
        <f>HEX2DEC(RIGHT(Table13232127535863[[#This Row],[h2]],8))</f>
        <v>0</v>
      </c>
    </row>
    <row r="554" spans="1:18">
      <c r="A554" s="15" t="str">
        <f t="shared" si="13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8" t="s">
        <v>75</v>
      </c>
      <c r="P554" s="48">
        <f>HEX2DEC(RIGHT(Table13232127535863[[#This Row],[h1]],8))</f>
        <v>0</v>
      </c>
      <c r="Q554" s="48" t="s">
        <v>75</v>
      </c>
      <c r="R554" s="48">
        <f>HEX2DEC(RIGHT(Table13232127535863[[#This Row],[h2]],8))</f>
        <v>0</v>
      </c>
    </row>
    <row r="555" spans="1:18">
      <c r="A555" s="15" t="str">
        <f t="shared" si="13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8" t="s">
        <v>75</v>
      </c>
      <c r="P555" s="48">
        <f>HEX2DEC(RIGHT(Table13232127535863[[#This Row],[h1]],8))</f>
        <v>0</v>
      </c>
      <c r="Q555" s="48" t="s">
        <v>75</v>
      </c>
      <c r="R555" s="48">
        <f>HEX2DEC(RIGHT(Table13232127535863[[#This Row],[h2]],8))</f>
        <v>0</v>
      </c>
    </row>
    <row r="556" spans="1:18">
      <c r="A556" s="15" t="str">
        <f t="shared" si="13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8" t="s">
        <v>75</v>
      </c>
      <c r="P556" s="48">
        <f>HEX2DEC(RIGHT(Table13232127535863[[#This Row],[h1]],8))</f>
        <v>0</v>
      </c>
      <c r="Q556" s="48" t="s">
        <v>75</v>
      </c>
      <c r="R556" s="48">
        <f>HEX2DEC(RIGHT(Table13232127535863[[#This Row],[h2]],8))</f>
        <v>0</v>
      </c>
    </row>
    <row r="557" spans="1:18">
      <c r="A557" s="15" t="str">
        <f t="shared" si="13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8" t="s">
        <v>75</v>
      </c>
      <c r="P557" s="48">
        <f>HEX2DEC(RIGHT(Table13232127535863[[#This Row],[h1]],8))</f>
        <v>0</v>
      </c>
      <c r="Q557" s="48" t="s">
        <v>75</v>
      </c>
      <c r="R557" s="48">
        <f>HEX2DEC(RIGHT(Table13232127535863[[#This Row],[h2]],8))</f>
        <v>0</v>
      </c>
    </row>
    <row r="558" spans="1:18">
      <c r="A558" s="15" t="str">
        <f t="shared" si="13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8" t="s">
        <v>75</v>
      </c>
      <c r="P558" s="48">
        <f>HEX2DEC(RIGHT(Table13232127535863[[#This Row],[h1]],8))</f>
        <v>0</v>
      </c>
      <c r="Q558" s="48" t="s">
        <v>75</v>
      </c>
      <c r="R558" s="48">
        <f>HEX2DEC(RIGHT(Table13232127535863[[#This Row],[h2]],8))</f>
        <v>0</v>
      </c>
    </row>
    <row r="559" spans="1:18">
      <c r="A559" s="15" t="str">
        <f t="shared" si="13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8" t="s">
        <v>75</v>
      </c>
      <c r="P559" s="48">
        <f>HEX2DEC(RIGHT(Table13232127535863[[#This Row],[h1]],8))</f>
        <v>0</v>
      </c>
      <c r="Q559" s="48" t="s">
        <v>75</v>
      </c>
      <c r="R559" s="48">
        <f>HEX2DEC(RIGHT(Table13232127535863[[#This Row],[h2]],8))</f>
        <v>0</v>
      </c>
    </row>
    <row r="560" spans="1:18">
      <c r="A560" s="15" t="str">
        <f t="shared" si="13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8" t="s">
        <v>75</v>
      </c>
      <c r="P560" s="48">
        <f>HEX2DEC(RIGHT(Table13232127535863[[#This Row],[h1]],8))</f>
        <v>0</v>
      </c>
      <c r="Q560" s="48" t="s">
        <v>75</v>
      </c>
      <c r="R560" s="48">
        <f>HEX2DEC(RIGHT(Table13232127535863[[#This Row],[h2]],8))</f>
        <v>0</v>
      </c>
    </row>
    <row r="561" spans="1:18">
      <c r="A561" s="15" t="str">
        <f t="shared" si="13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8" t="s">
        <v>75</v>
      </c>
      <c r="P561" s="48">
        <f>HEX2DEC(RIGHT(Table13232127535863[[#This Row],[h1]],8))</f>
        <v>0</v>
      </c>
      <c r="Q561" s="48" t="s">
        <v>75</v>
      </c>
      <c r="R561" s="48">
        <f>HEX2DEC(RIGHT(Table13232127535863[[#This Row],[h2]],8))</f>
        <v>0</v>
      </c>
    </row>
    <row r="562" spans="1:18">
      <c r="A562" s="15" t="str">
        <f t="shared" si="13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8" t="s">
        <v>75</v>
      </c>
      <c r="P562" s="48">
        <f>HEX2DEC(RIGHT(Table13232127535863[[#This Row],[h1]],8))</f>
        <v>0</v>
      </c>
      <c r="Q562" s="48" t="s">
        <v>75</v>
      </c>
      <c r="R562" s="48">
        <f>HEX2DEC(RIGHT(Table13232127535863[[#This Row],[h2]],8))</f>
        <v>0</v>
      </c>
    </row>
    <row r="563" spans="1:18">
      <c r="A563" s="15" t="str">
        <f t="shared" si="13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8" t="s">
        <v>75</v>
      </c>
      <c r="P563" s="48">
        <f>HEX2DEC(RIGHT(Table13232127535863[[#This Row],[h1]],8))</f>
        <v>0</v>
      </c>
      <c r="Q563" s="48" t="s">
        <v>75</v>
      </c>
      <c r="R563" s="48">
        <f>HEX2DEC(RIGHT(Table13232127535863[[#This Row],[h2]],8))</f>
        <v>0</v>
      </c>
    </row>
    <row r="564" spans="1:18">
      <c r="A564" s="15" t="str">
        <f t="shared" si="13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8" t="s">
        <v>75</v>
      </c>
      <c r="P564" s="48">
        <f>HEX2DEC(RIGHT(Table13232127535863[[#This Row],[h1]],8))</f>
        <v>0</v>
      </c>
      <c r="Q564" s="48" t="s">
        <v>75</v>
      </c>
      <c r="R564" s="48">
        <f>HEX2DEC(RIGHT(Table13232127535863[[#This Row],[h2]],8))</f>
        <v>0</v>
      </c>
    </row>
    <row r="565" spans="1:18">
      <c r="A565" s="15" t="str">
        <f t="shared" si="13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8" t="s">
        <v>75</v>
      </c>
      <c r="P565" s="48">
        <f>HEX2DEC(RIGHT(Table13232127535863[[#This Row],[h1]],8))</f>
        <v>0</v>
      </c>
      <c r="Q565" s="48" t="s">
        <v>75</v>
      </c>
      <c r="R565" s="48">
        <f>HEX2DEC(RIGHT(Table13232127535863[[#This Row],[h2]],8))</f>
        <v>0</v>
      </c>
    </row>
    <row r="566" spans="1:18">
      <c r="A566" s="15" t="str">
        <f t="shared" si="13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8" t="s">
        <v>75</v>
      </c>
      <c r="P566" s="48">
        <f>HEX2DEC(RIGHT(Table13232127535863[[#This Row],[h1]],8))</f>
        <v>0</v>
      </c>
      <c r="Q566" s="48" t="s">
        <v>75</v>
      </c>
      <c r="R566" s="48">
        <f>HEX2DEC(RIGHT(Table13232127535863[[#This Row],[h2]],8))</f>
        <v>0</v>
      </c>
    </row>
    <row r="567" spans="1:18">
      <c r="A567" s="15" t="str">
        <f t="shared" si="13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8" t="s">
        <v>75</v>
      </c>
      <c r="P567" s="48">
        <f>HEX2DEC(RIGHT(Table13232127535863[[#This Row],[h1]],8))</f>
        <v>0</v>
      </c>
      <c r="Q567" s="48" t="s">
        <v>75</v>
      </c>
      <c r="R567" s="48">
        <f>HEX2DEC(RIGHT(Table13232127535863[[#This Row],[h2]],8))</f>
        <v>0</v>
      </c>
    </row>
    <row r="568" spans="1:18">
      <c r="A568" s="15" t="str">
        <f t="shared" si="13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8" t="s">
        <v>75</v>
      </c>
      <c r="P568" s="48">
        <f>HEX2DEC(RIGHT(Table13232127535863[[#This Row],[h1]],8))</f>
        <v>0</v>
      </c>
      <c r="Q568" s="48" t="s">
        <v>75</v>
      </c>
      <c r="R568" s="48">
        <f>HEX2DEC(RIGHT(Table13232127535863[[#This Row],[h2]],8))</f>
        <v>0</v>
      </c>
    </row>
    <row r="569" spans="1:18">
      <c r="A569" s="15" t="str">
        <f t="shared" si="13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8" t="s">
        <v>75</v>
      </c>
      <c r="P569" s="48">
        <f>HEX2DEC(RIGHT(Table13232127535863[[#This Row],[h1]],8))</f>
        <v>0</v>
      </c>
      <c r="Q569" s="48" t="s">
        <v>75</v>
      </c>
      <c r="R569" s="48">
        <f>HEX2DEC(RIGHT(Table13232127535863[[#This Row],[h2]],8))</f>
        <v>0</v>
      </c>
    </row>
    <row r="570" spans="1:18">
      <c r="A570" s="15" t="str">
        <f t="shared" si="13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8" t="s">
        <v>75</v>
      </c>
      <c r="P570" s="48">
        <f>HEX2DEC(RIGHT(Table13232127535863[[#This Row],[h1]],8))</f>
        <v>0</v>
      </c>
      <c r="Q570" s="48" t="s">
        <v>75</v>
      </c>
      <c r="R570" s="48">
        <f>HEX2DEC(RIGHT(Table13232127535863[[#This Row],[h2]],8))</f>
        <v>0</v>
      </c>
    </row>
    <row r="571" spans="1:18">
      <c r="A571" s="15" t="str">
        <f t="shared" si="13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8" t="s">
        <v>75</v>
      </c>
      <c r="P571" s="48">
        <f>HEX2DEC(RIGHT(Table13232127535863[[#This Row],[h1]],8))</f>
        <v>0</v>
      </c>
      <c r="Q571" s="48" t="s">
        <v>75</v>
      </c>
      <c r="R571" s="48">
        <f>HEX2DEC(RIGHT(Table13232127535863[[#This Row],[h2]],8))</f>
        <v>0</v>
      </c>
    </row>
    <row r="572" spans="1:18">
      <c r="A572" s="15" t="str">
        <f t="shared" si="13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8" t="s">
        <v>75</v>
      </c>
      <c r="P572" s="48">
        <f>HEX2DEC(RIGHT(Table13232127535863[[#This Row],[h1]],8))</f>
        <v>0</v>
      </c>
      <c r="Q572" s="48" t="s">
        <v>75</v>
      </c>
      <c r="R572" s="48">
        <f>HEX2DEC(RIGHT(Table13232127535863[[#This Row],[h2]],8))</f>
        <v>0</v>
      </c>
    </row>
    <row r="573" spans="1:18">
      <c r="A573" s="15" t="str">
        <f t="shared" si="13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8" t="s">
        <v>75</v>
      </c>
      <c r="P573" s="48">
        <f>HEX2DEC(RIGHT(Table13232127535863[[#This Row],[h1]],8))</f>
        <v>0</v>
      </c>
      <c r="Q573" s="48" t="s">
        <v>75</v>
      </c>
      <c r="R573" s="48">
        <f>HEX2DEC(RIGHT(Table13232127535863[[#This Row],[h2]],8))</f>
        <v>0</v>
      </c>
    </row>
    <row r="574" spans="1:18">
      <c r="A574" s="15" t="str">
        <f t="shared" si="13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8" t="s">
        <v>75</v>
      </c>
      <c r="P574" s="48">
        <f>HEX2DEC(RIGHT(Table13232127535863[[#This Row],[h1]],8))</f>
        <v>0</v>
      </c>
      <c r="Q574" s="48" t="s">
        <v>75</v>
      </c>
      <c r="R574" s="48">
        <f>HEX2DEC(RIGHT(Table13232127535863[[#This Row],[h2]],8))</f>
        <v>0</v>
      </c>
    </row>
    <row r="575" spans="1:18">
      <c r="A575" s="15" t="str">
        <f t="shared" si="13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8" t="s">
        <v>75</v>
      </c>
      <c r="P575" s="48">
        <f>HEX2DEC(RIGHT(Table13232127535863[[#This Row],[h1]],8))</f>
        <v>0</v>
      </c>
      <c r="Q575" s="48" t="s">
        <v>75</v>
      </c>
      <c r="R575" s="48">
        <f>HEX2DEC(RIGHT(Table13232127535863[[#This Row],[h2]],8))</f>
        <v>0</v>
      </c>
    </row>
    <row r="576" spans="1:18">
      <c r="A576" s="15" t="str">
        <f t="shared" si="13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8" t="s">
        <v>75</v>
      </c>
      <c r="P576" s="48">
        <f>HEX2DEC(RIGHT(Table13232127535863[[#This Row],[h1]],8))</f>
        <v>0</v>
      </c>
      <c r="Q576" s="48" t="s">
        <v>75</v>
      </c>
      <c r="R576" s="48">
        <f>HEX2DEC(RIGHT(Table13232127535863[[#This Row],[h2]],8))</f>
        <v>0</v>
      </c>
    </row>
    <row r="577" spans="1:18">
      <c r="A577" s="15" t="str">
        <f t="shared" si="13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8" t="s">
        <v>75</v>
      </c>
      <c r="P577" s="48">
        <f>HEX2DEC(RIGHT(Table13232127535863[[#This Row],[h1]],8))</f>
        <v>0</v>
      </c>
      <c r="Q577" s="48" t="s">
        <v>75</v>
      </c>
      <c r="R577" s="48">
        <f>HEX2DEC(RIGHT(Table13232127535863[[#This Row],[h2]],8))</f>
        <v>0</v>
      </c>
    </row>
    <row r="578" spans="1:18">
      <c r="A578" s="15" t="str">
        <f t="shared" si="13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8" t="s">
        <v>75</v>
      </c>
      <c r="P578" s="48">
        <f>HEX2DEC(RIGHT(Table13232127535863[[#This Row],[h1]],8))</f>
        <v>0</v>
      </c>
      <c r="Q578" s="48" t="s">
        <v>75</v>
      </c>
      <c r="R578" s="48">
        <f>HEX2DEC(RIGHT(Table13232127535863[[#This Row],[h2]],8))</f>
        <v>0</v>
      </c>
    </row>
    <row r="579" spans="1:18">
      <c r="A579" s="15" t="str">
        <f t="shared" si="13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8" t="s">
        <v>75</v>
      </c>
      <c r="P579" s="48">
        <f>HEX2DEC(RIGHT(Table13232127535863[[#This Row],[h1]],8))</f>
        <v>0</v>
      </c>
      <c r="Q579" s="48" t="s">
        <v>75</v>
      </c>
      <c r="R579" s="48">
        <f>HEX2DEC(RIGHT(Table13232127535863[[#This Row],[h2]],8))</f>
        <v>0</v>
      </c>
    </row>
    <row r="580" spans="1:18">
      <c r="A580" s="15" t="str">
        <f t="shared" si="13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8" t="s">
        <v>75</v>
      </c>
      <c r="P580" s="48">
        <f>HEX2DEC(RIGHT(Table13232127535863[[#This Row],[h1]],8))</f>
        <v>0</v>
      </c>
      <c r="Q580" s="48" t="s">
        <v>75</v>
      </c>
      <c r="R580" s="48">
        <f>HEX2DEC(RIGHT(Table13232127535863[[#This Row],[h2]],8))</f>
        <v>0</v>
      </c>
    </row>
    <row r="581" spans="1:18">
      <c r="A581" s="15" t="str">
        <f t="shared" si="13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8" t="s">
        <v>75</v>
      </c>
      <c r="P581" s="48">
        <f>HEX2DEC(RIGHT(Table13232127535863[[#This Row],[h1]],8))</f>
        <v>0</v>
      </c>
      <c r="Q581" s="48" t="s">
        <v>75</v>
      </c>
      <c r="R581" s="48">
        <f>HEX2DEC(RIGHT(Table13232127535863[[#This Row],[h2]],8))</f>
        <v>0</v>
      </c>
    </row>
    <row r="582" spans="1:18">
      <c r="A582" s="15" t="str">
        <f t="shared" si="13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8" t="s">
        <v>75</v>
      </c>
      <c r="P582" s="48">
        <f>HEX2DEC(RIGHT(Table13232127535863[[#This Row],[h1]],8))</f>
        <v>0</v>
      </c>
      <c r="Q582" s="48" t="s">
        <v>75</v>
      </c>
      <c r="R582" s="48">
        <f>HEX2DEC(RIGHT(Table13232127535863[[#This Row],[h2]],8))</f>
        <v>0</v>
      </c>
    </row>
    <row r="583" spans="1:18">
      <c r="A583" s="15" t="str">
        <f t="shared" si="13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8" t="s">
        <v>75</v>
      </c>
      <c r="P583" s="48">
        <f>HEX2DEC(RIGHT(Table13232127535863[[#This Row],[h1]],8))</f>
        <v>0</v>
      </c>
      <c r="Q583" s="48" t="s">
        <v>75</v>
      </c>
      <c r="R583" s="48">
        <f>HEX2DEC(RIGHT(Table13232127535863[[#This Row],[h2]],8))</f>
        <v>0</v>
      </c>
    </row>
    <row r="584" spans="1:18">
      <c r="A584" s="15" t="str">
        <f t="shared" si="13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8" t="s">
        <v>75</v>
      </c>
      <c r="P584" s="48">
        <f>HEX2DEC(RIGHT(Table13232127535863[[#This Row],[h1]],8))</f>
        <v>0</v>
      </c>
      <c r="Q584" s="48" t="s">
        <v>75</v>
      </c>
      <c r="R584" s="48">
        <f>HEX2DEC(RIGHT(Table13232127535863[[#This Row],[h2]],8))</f>
        <v>0</v>
      </c>
    </row>
    <row r="585" spans="1:18">
      <c r="A585" s="15" t="str">
        <f t="shared" si="13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8" t="s">
        <v>75</v>
      </c>
      <c r="P585" s="48">
        <f>HEX2DEC(RIGHT(Table13232127535863[[#This Row],[h1]],8))</f>
        <v>0</v>
      </c>
      <c r="Q585" s="48" t="s">
        <v>75</v>
      </c>
      <c r="R585" s="48">
        <f>HEX2DEC(RIGHT(Table13232127535863[[#This Row],[h2]],8))</f>
        <v>0</v>
      </c>
    </row>
    <row r="586" spans="1:18">
      <c r="A586" s="15" t="str">
        <f t="shared" si="13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8" t="s">
        <v>75</v>
      </c>
      <c r="P586" s="48">
        <f>HEX2DEC(RIGHT(Table13232127535863[[#This Row],[h1]],8))</f>
        <v>0</v>
      </c>
      <c r="Q586" s="48" t="s">
        <v>75</v>
      </c>
      <c r="R586" s="48">
        <f>HEX2DEC(RIGHT(Table13232127535863[[#This Row],[h2]],8))</f>
        <v>0</v>
      </c>
    </row>
    <row r="587" spans="1:18">
      <c r="A587" s="15" t="str">
        <f t="shared" ref="A587:A650" si="14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8" t="s">
        <v>75</v>
      </c>
      <c r="P587" s="48">
        <f>HEX2DEC(RIGHT(Table13232127535863[[#This Row],[h1]],8))</f>
        <v>0</v>
      </c>
      <c r="Q587" s="48" t="s">
        <v>75</v>
      </c>
      <c r="R587" s="48">
        <f>HEX2DEC(RIGHT(Table13232127535863[[#This Row],[h2]],8))</f>
        <v>0</v>
      </c>
    </row>
    <row r="588" spans="1:18">
      <c r="A588" s="15" t="str">
        <f t="shared" si="14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8" t="s">
        <v>75</v>
      </c>
      <c r="P588" s="48">
        <f>HEX2DEC(RIGHT(Table13232127535863[[#This Row],[h1]],8))</f>
        <v>0</v>
      </c>
      <c r="Q588" s="48" t="s">
        <v>75</v>
      </c>
      <c r="R588" s="48">
        <f>HEX2DEC(RIGHT(Table13232127535863[[#This Row],[h2]],8))</f>
        <v>0</v>
      </c>
    </row>
    <row r="589" spans="1:18">
      <c r="A589" s="15" t="str">
        <f t="shared" si="14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8" t="s">
        <v>75</v>
      </c>
      <c r="P589" s="48">
        <f>HEX2DEC(RIGHT(Table13232127535863[[#This Row],[h1]],8))</f>
        <v>0</v>
      </c>
      <c r="Q589" s="48" t="s">
        <v>75</v>
      </c>
      <c r="R589" s="48">
        <f>HEX2DEC(RIGHT(Table13232127535863[[#This Row],[h2]],8))</f>
        <v>0</v>
      </c>
    </row>
    <row r="590" spans="1:18">
      <c r="A590" s="15" t="str">
        <f t="shared" si="14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8" t="s">
        <v>75</v>
      </c>
      <c r="P590" s="48">
        <f>HEX2DEC(RIGHT(Table13232127535863[[#This Row],[h1]],8))</f>
        <v>0</v>
      </c>
      <c r="Q590" s="48" t="s">
        <v>75</v>
      </c>
      <c r="R590" s="48">
        <f>HEX2DEC(RIGHT(Table13232127535863[[#This Row],[h2]],8))</f>
        <v>0</v>
      </c>
    </row>
    <row r="591" spans="1:18">
      <c r="A591" s="15" t="str">
        <f t="shared" si="14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8" t="s">
        <v>75</v>
      </c>
      <c r="P591" s="48">
        <f>HEX2DEC(RIGHT(Table13232127535863[[#This Row],[h1]],8))</f>
        <v>0</v>
      </c>
      <c r="Q591" s="48" t="s">
        <v>75</v>
      </c>
      <c r="R591" s="48">
        <f>HEX2DEC(RIGHT(Table13232127535863[[#This Row],[h2]],8))</f>
        <v>0</v>
      </c>
    </row>
    <row r="592" spans="1:18">
      <c r="A592" s="15" t="str">
        <f t="shared" si="14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8" t="s">
        <v>75</v>
      </c>
      <c r="P592" s="48">
        <f>HEX2DEC(RIGHT(Table13232127535863[[#This Row],[h1]],8))</f>
        <v>0</v>
      </c>
      <c r="Q592" s="48" t="s">
        <v>75</v>
      </c>
      <c r="R592" s="48">
        <f>HEX2DEC(RIGHT(Table13232127535863[[#This Row],[h2]],8))</f>
        <v>0</v>
      </c>
    </row>
    <row r="593" spans="1:18">
      <c r="A593" s="15" t="str">
        <f t="shared" si="14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8" t="s">
        <v>75</v>
      </c>
      <c r="P593" s="48">
        <f>HEX2DEC(RIGHT(Table13232127535863[[#This Row],[h1]],8))</f>
        <v>0</v>
      </c>
      <c r="Q593" s="48" t="s">
        <v>75</v>
      </c>
      <c r="R593" s="48">
        <f>HEX2DEC(RIGHT(Table13232127535863[[#This Row],[h2]],8))</f>
        <v>0</v>
      </c>
    </row>
    <row r="594" spans="1:18">
      <c r="A594" s="15" t="str">
        <f t="shared" si="14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8" t="s">
        <v>75</v>
      </c>
      <c r="P594" s="48">
        <f>HEX2DEC(RIGHT(Table13232127535863[[#This Row],[h1]],8))</f>
        <v>0</v>
      </c>
      <c r="Q594" s="48" t="s">
        <v>75</v>
      </c>
      <c r="R594" s="48">
        <f>HEX2DEC(RIGHT(Table13232127535863[[#This Row],[h2]],8))</f>
        <v>0</v>
      </c>
    </row>
    <row r="595" spans="1:18">
      <c r="A595" s="15" t="str">
        <f t="shared" si="14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8" t="s">
        <v>75</v>
      </c>
      <c r="P595" s="48">
        <f>HEX2DEC(RIGHT(Table13232127535863[[#This Row],[h1]],8))</f>
        <v>0</v>
      </c>
      <c r="Q595" s="48" t="s">
        <v>75</v>
      </c>
      <c r="R595" s="48">
        <f>HEX2DEC(RIGHT(Table13232127535863[[#This Row],[h2]],8))</f>
        <v>0</v>
      </c>
    </row>
    <row r="596" spans="1:18">
      <c r="A596" s="15" t="str">
        <f t="shared" si="14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8" t="s">
        <v>75</v>
      </c>
      <c r="P596" s="48">
        <f>HEX2DEC(RIGHT(Table13232127535863[[#This Row],[h1]],8))</f>
        <v>0</v>
      </c>
      <c r="Q596" s="48" t="s">
        <v>75</v>
      </c>
      <c r="R596" s="48">
        <f>HEX2DEC(RIGHT(Table13232127535863[[#This Row],[h2]],8))</f>
        <v>0</v>
      </c>
    </row>
    <row r="597" spans="1:18">
      <c r="A597" s="15" t="str">
        <f t="shared" si="14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8" t="s">
        <v>75</v>
      </c>
      <c r="P597" s="48">
        <f>HEX2DEC(RIGHT(Table13232127535863[[#This Row],[h1]],8))</f>
        <v>0</v>
      </c>
      <c r="Q597" s="48" t="s">
        <v>75</v>
      </c>
      <c r="R597" s="48">
        <f>HEX2DEC(RIGHT(Table13232127535863[[#This Row],[h2]],8))</f>
        <v>0</v>
      </c>
    </row>
    <row r="598" spans="1:18">
      <c r="A598" s="15" t="str">
        <f t="shared" si="14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8" t="s">
        <v>75</v>
      </c>
      <c r="P598" s="48">
        <f>HEX2DEC(RIGHT(Table13232127535863[[#This Row],[h1]],8))</f>
        <v>0</v>
      </c>
      <c r="Q598" s="48" t="s">
        <v>75</v>
      </c>
      <c r="R598" s="48">
        <f>HEX2DEC(RIGHT(Table13232127535863[[#This Row],[h2]],8))</f>
        <v>0</v>
      </c>
    </row>
    <row r="599" spans="1:18">
      <c r="A599" s="15" t="str">
        <f t="shared" si="14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8" t="s">
        <v>75</v>
      </c>
      <c r="P599" s="48">
        <f>HEX2DEC(RIGHT(Table13232127535863[[#This Row],[h1]],8))</f>
        <v>0</v>
      </c>
      <c r="Q599" s="48" t="s">
        <v>75</v>
      </c>
      <c r="R599" s="48">
        <f>HEX2DEC(RIGHT(Table13232127535863[[#This Row],[h2]],8))</f>
        <v>0</v>
      </c>
    </row>
    <row r="600" spans="1:18">
      <c r="A600" s="15" t="str">
        <f t="shared" si="14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8" t="s">
        <v>75</v>
      </c>
      <c r="P600" s="48">
        <f>HEX2DEC(RIGHT(Table13232127535863[[#This Row],[h1]],8))</f>
        <v>0</v>
      </c>
      <c r="Q600" s="48" t="s">
        <v>75</v>
      </c>
      <c r="R600" s="48">
        <f>HEX2DEC(RIGHT(Table13232127535863[[#This Row],[h2]],8))</f>
        <v>0</v>
      </c>
    </row>
    <row r="601" spans="1:18">
      <c r="A601" s="15" t="str">
        <f t="shared" si="14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8" t="s">
        <v>75</v>
      </c>
      <c r="P601" s="48">
        <f>HEX2DEC(RIGHT(Table13232127535863[[#This Row],[h1]],8))</f>
        <v>0</v>
      </c>
      <c r="Q601" s="48" t="s">
        <v>75</v>
      </c>
      <c r="R601" s="48">
        <f>HEX2DEC(RIGHT(Table13232127535863[[#This Row],[h2]],8))</f>
        <v>0</v>
      </c>
    </row>
    <row r="602" spans="1:18">
      <c r="A602" s="15" t="str">
        <f t="shared" si="14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8" t="s">
        <v>75</v>
      </c>
      <c r="P602" s="48">
        <f>HEX2DEC(RIGHT(Table13232127535863[[#This Row],[h1]],8))</f>
        <v>0</v>
      </c>
      <c r="Q602" s="48" t="s">
        <v>75</v>
      </c>
      <c r="R602" s="48">
        <f>HEX2DEC(RIGHT(Table13232127535863[[#This Row],[h2]],8))</f>
        <v>0</v>
      </c>
    </row>
    <row r="603" spans="1:18">
      <c r="A603" s="15" t="str">
        <f t="shared" si="14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8" t="s">
        <v>75</v>
      </c>
      <c r="P603" s="48">
        <f>HEX2DEC(RIGHT(Table13232127535863[[#This Row],[h1]],8))</f>
        <v>0</v>
      </c>
      <c r="Q603" s="48" t="s">
        <v>75</v>
      </c>
      <c r="R603" s="48">
        <f>HEX2DEC(RIGHT(Table13232127535863[[#This Row],[h2]],8))</f>
        <v>0</v>
      </c>
    </row>
    <row r="604" spans="1:18">
      <c r="A604" s="15" t="str">
        <f t="shared" si="14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8" t="s">
        <v>75</v>
      </c>
      <c r="P604" s="48">
        <f>HEX2DEC(RIGHT(Table13232127535863[[#This Row],[h1]],8))</f>
        <v>0</v>
      </c>
      <c r="Q604" s="48" t="s">
        <v>75</v>
      </c>
      <c r="R604" s="48">
        <f>HEX2DEC(RIGHT(Table13232127535863[[#This Row],[h2]],8))</f>
        <v>0</v>
      </c>
    </row>
    <row r="605" spans="1:18">
      <c r="A605" s="15" t="str">
        <f t="shared" si="14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8" t="s">
        <v>75</v>
      </c>
      <c r="P605" s="48">
        <f>HEX2DEC(RIGHT(Table13232127535863[[#This Row],[h1]],8))</f>
        <v>0</v>
      </c>
      <c r="Q605" s="48" t="s">
        <v>75</v>
      </c>
      <c r="R605" s="48">
        <f>HEX2DEC(RIGHT(Table13232127535863[[#This Row],[h2]],8))</f>
        <v>0</v>
      </c>
    </row>
    <row r="606" spans="1:18">
      <c r="A606" s="15" t="str">
        <f t="shared" si="14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8" t="s">
        <v>75</v>
      </c>
      <c r="P606" s="48">
        <f>HEX2DEC(RIGHT(Table13232127535863[[#This Row],[h1]],8))</f>
        <v>0</v>
      </c>
      <c r="Q606" s="48" t="s">
        <v>75</v>
      </c>
      <c r="R606" s="48">
        <f>HEX2DEC(RIGHT(Table13232127535863[[#This Row],[h2]],8))</f>
        <v>0</v>
      </c>
    </row>
    <row r="607" spans="1:18">
      <c r="A607" s="15" t="str">
        <f t="shared" si="14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8" t="s">
        <v>75</v>
      </c>
      <c r="P607" s="48">
        <f>HEX2DEC(RIGHT(Table13232127535863[[#This Row],[h1]],8))</f>
        <v>0</v>
      </c>
      <c r="Q607" s="48" t="s">
        <v>75</v>
      </c>
      <c r="R607" s="48">
        <f>HEX2DEC(RIGHT(Table13232127535863[[#This Row],[h2]],8))</f>
        <v>0</v>
      </c>
    </row>
    <row r="608" spans="1:18">
      <c r="A608" s="15" t="str">
        <f t="shared" si="14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8" t="s">
        <v>75</v>
      </c>
      <c r="P608" s="48">
        <f>HEX2DEC(RIGHT(Table13232127535863[[#This Row],[h1]],8))</f>
        <v>0</v>
      </c>
      <c r="Q608" s="48" t="s">
        <v>75</v>
      </c>
      <c r="R608" s="48">
        <f>HEX2DEC(RIGHT(Table13232127535863[[#This Row],[h2]],8))</f>
        <v>0</v>
      </c>
    </row>
    <row r="609" spans="1:18">
      <c r="A609" s="15" t="str">
        <f t="shared" si="14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8" t="s">
        <v>75</v>
      </c>
      <c r="P609" s="48">
        <f>HEX2DEC(RIGHT(Table13232127535863[[#This Row],[h1]],8))</f>
        <v>0</v>
      </c>
      <c r="Q609" s="48" t="s">
        <v>75</v>
      </c>
      <c r="R609" s="48">
        <f>HEX2DEC(RIGHT(Table13232127535863[[#This Row],[h2]],8))</f>
        <v>0</v>
      </c>
    </row>
    <row r="610" spans="1:18">
      <c r="A610" s="15" t="str">
        <f t="shared" si="14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8" t="s">
        <v>75</v>
      </c>
      <c r="P610" s="48">
        <f>HEX2DEC(RIGHT(Table13232127535863[[#This Row],[h1]],8))</f>
        <v>0</v>
      </c>
      <c r="Q610" s="48" t="s">
        <v>75</v>
      </c>
      <c r="R610" s="48">
        <f>HEX2DEC(RIGHT(Table13232127535863[[#This Row],[h2]],8))</f>
        <v>0</v>
      </c>
    </row>
    <row r="611" spans="1:18">
      <c r="A611" s="15" t="str">
        <f t="shared" si="14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8" t="s">
        <v>75</v>
      </c>
      <c r="P611" s="48">
        <f>HEX2DEC(RIGHT(Table13232127535863[[#This Row],[h1]],8))</f>
        <v>0</v>
      </c>
      <c r="Q611" s="48" t="s">
        <v>75</v>
      </c>
      <c r="R611" s="48">
        <f>HEX2DEC(RIGHT(Table13232127535863[[#This Row],[h2]],8))</f>
        <v>0</v>
      </c>
    </row>
    <row r="612" spans="1:18">
      <c r="A612" s="15" t="str">
        <f t="shared" si="14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8" t="s">
        <v>75</v>
      </c>
      <c r="P612" s="48">
        <f>HEX2DEC(RIGHT(Table13232127535863[[#This Row],[h1]],8))</f>
        <v>0</v>
      </c>
      <c r="Q612" s="48" t="s">
        <v>75</v>
      </c>
      <c r="R612" s="48">
        <f>HEX2DEC(RIGHT(Table13232127535863[[#This Row],[h2]],8))</f>
        <v>0</v>
      </c>
    </row>
    <row r="613" spans="1:18">
      <c r="A613" s="15" t="str">
        <f t="shared" si="14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8" t="s">
        <v>75</v>
      </c>
      <c r="P613" s="48">
        <f>HEX2DEC(RIGHT(Table13232127535863[[#This Row],[h1]],8))</f>
        <v>0</v>
      </c>
      <c r="Q613" s="48" t="s">
        <v>75</v>
      </c>
      <c r="R613" s="48">
        <f>HEX2DEC(RIGHT(Table13232127535863[[#This Row],[h2]],8))</f>
        <v>0</v>
      </c>
    </row>
    <row r="614" spans="1:18">
      <c r="A614" s="15" t="str">
        <f t="shared" si="14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8" t="s">
        <v>75</v>
      </c>
      <c r="P614" s="48">
        <f>HEX2DEC(RIGHT(Table13232127535863[[#This Row],[h1]],8))</f>
        <v>0</v>
      </c>
      <c r="Q614" s="48" t="s">
        <v>75</v>
      </c>
      <c r="R614" s="48">
        <f>HEX2DEC(RIGHT(Table13232127535863[[#This Row],[h2]],8))</f>
        <v>0</v>
      </c>
    </row>
    <row r="615" spans="1:18">
      <c r="A615" s="15" t="str">
        <f t="shared" si="14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8" t="s">
        <v>75</v>
      </c>
      <c r="P615" s="48">
        <f>HEX2DEC(RIGHT(Table13232127535863[[#This Row],[h1]],8))</f>
        <v>0</v>
      </c>
      <c r="Q615" s="48" t="s">
        <v>75</v>
      </c>
      <c r="R615" s="48">
        <f>HEX2DEC(RIGHT(Table13232127535863[[#This Row],[h2]],8))</f>
        <v>0</v>
      </c>
    </row>
    <row r="616" spans="1:18">
      <c r="A616" s="15" t="str">
        <f t="shared" si="14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8" t="s">
        <v>75</v>
      </c>
      <c r="P616" s="48">
        <f>HEX2DEC(RIGHT(Table13232127535863[[#This Row],[h1]],8))</f>
        <v>0</v>
      </c>
      <c r="Q616" s="48" t="s">
        <v>75</v>
      </c>
      <c r="R616" s="48">
        <f>HEX2DEC(RIGHT(Table13232127535863[[#This Row],[h2]],8))</f>
        <v>0</v>
      </c>
    </row>
    <row r="617" spans="1:18">
      <c r="A617" s="15" t="str">
        <f t="shared" si="14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8" t="s">
        <v>75</v>
      </c>
      <c r="P617" s="48">
        <f>HEX2DEC(RIGHT(Table13232127535863[[#This Row],[h1]],8))</f>
        <v>0</v>
      </c>
      <c r="Q617" s="48" t="s">
        <v>75</v>
      </c>
      <c r="R617" s="48">
        <f>HEX2DEC(RIGHT(Table13232127535863[[#This Row],[h2]],8))</f>
        <v>0</v>
      </c>
    </row>
    <row r="618" spans="1:18">
      <c r="A618" s="15" t="str">
        <f t="shared" si="14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8" t="s">
        <v>75</v>
      </c>
      <c r="P618" s="48">
        <f>HEX2DEC(RIGHT(Table13232127535863[[#This Row],[h1]],8))</f>
        <v>0</v>
      </c>
      <c r="Q618" s="48" t="s">
        <v>75</v>
      </c>
      <c r="R618" s="48">
        <f>HEX2DEC(RIGHT(Table13232127535863[[#This Row],[h2]],8))</f>
        <v>0</v>
      </c>
    </row>
    <row r="619" spans="1:18">
      <c r="A619" s="15" t="str">
        <f t="shared" si="14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8" t="s">
        <v>75</v>
      </c>
      <c r="P619" s="48">
        <f>HEX2DEC(RIGHT(Table13232127535863[[#This Row],[h1]],8))</f>
        <v>0</v>
      </c>
      <c r="Q619" s="48" t="s">
        <v>75</v>
      </c>
      <c r="R619" s="48">
        <f>HEX2DEC(RIGHT(Table13232127535863[[#This Row],[h2]],8))</f>
        <v>0</v>
      </c>
    </row>
    <row r="620" spans="1:18">
      <c r="A620" s="15" t="str">
        <f t="shared" si="14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8" t="s">
        <v>75</v>
      </c>
      <c r="P620" s="48">
        <f>HEX2DEC(RIGHT(Table13232127535863[[#This Row],[h1]],8))</f>
        <v>0</v>
      </c>
      <c r="Q620" s="48" t="s">
        <v>75</v>
      </c>
      <c r="R620" s="48">
        <f>HEX2DEC(RIGHT(Table13232127535863[[#This Row],[h2]],8))</f>
        <v>0</v>
      </c>
    </row>
    <row r="621" spans="1:18">
      <c r="A621" s="15" t="str">
        <f t="shared" si="14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8" t="s">
        <v>75</v>
      </c>
      <c r="P621" s="48">
        <f>HEX2DEC(RIGHT(Table13232127535863[[#This Row],[h1]],8))</f>
        <v>0</v>
      </c>
      <c r="Q621" s="48" t="s">
        <v>75</v>
      </c>
      <c r="R621" s="48">
        <f>HEX2DEC(RIGHT(Table13232127535863[[#This Row],[h2]],8))</f>
        <v>0</v>
      </c>
    </row>
    <row r="622" spans="1:18">
      <c r="A622" s="15" t="str">
        <f t="shared" si="14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8" t="s">
        <v>75</v>
      </c>
      <c r="P622" s="48">
        <f>HEX2DEC(RIGHT(Table13232127535863[[#This Row],[h1]],8))</f>
        <v>0</v>
      </c>
      <c r="Q622" s="48" t="s">
        <v>75</v>
      </c>
      <c r="R622" s="48">
        <f>HEX2DEC(RIGHT(Table13232127535863[[#This Row],[h2]],8))</f>
        <v>0</v>
      </c>
    </row>
    <row r="623" spans="1:18">
      <c r="A623" s="15" t="str">
        <f t="shared" si="14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8" t="s">
        <v>75</v>
      </c>
      <c r="P623" s="48">
        <f>HEX2DEC(RIGHT(Table13232127535863[[#This Row],[h1]],8))</f>
        <v>0</v>
      </c>
      <c r="Q623" s="48" t="s">
        <v>75</v>
      </c>
      <c r="R623" s="48">
        <f>HEX2DEC(RIGHT(Table13232127535863[[#This Row],[h2]],8))</f>
        <v>0</v>
      </c>
    </row>
    <row r="624" spans="1:18">
      <c r="A624" s="15" t="str">
        <f t="shared" si="14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8" t="s">
        <v>75</v>
      </c>
      <c r="P624" s="48">
        <f>HEX2DEC(RIGHT(Table13232127535863[[#This Row],[h1]],8))</f>
        <v>0</v>
      </c>
      <c r="Q624" s="48" t="s">
        <v>75</v>
      </c>
      <c r="R624" s="48">
        <f>HEX2DEC(RIGHT(Table13232127535863[[#This Row],[h2]],8))</f>
        <v>0</v>
      </c>
    </row>
    <row r="625" spans="1:18">
      <c r="A625" s="15" t="str">
        <f t="shared" si="14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8" t="s">
        <v>75</v>
      </c>
      <c r="P625" s="48">
        <f>HEX2DEC(RIGHT(Table13232127535863[[#This Row],[h1]],8))</f>
        <v>0</v>
      </c>
      <c r="Q625" s="48" t="s">
        <v>75</v>
      </c>
      <c r="R625" s="48">
        <f>HEX2DEC(RIGHT(Table13232127535863[[#This Row],[h2]],8))</f>
        <v>0</v>
      </c>
    </row>
    <row r="626" spans="1:18">
      <c r="A626" s="15" t="str">
        <f t="shared" si="14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8" t="s">
        <v>75</v>
      </c>
      <c r="P626" s="48">
        <f>HEX2DEC(RIGHT(Table13232127535863[[#This Row],[h1]],8))</f>
        <v>0</v>
      </c>
      <c r="Q626" s="48" t="s">
        <v>75</v>
      </c>
      <c r="R626" s="48">
        <f>HEX2DEC(RIGHT(Table13232127535863[[#This Row],[h2]],8))</f>
        <v>0</v>
      </c>
    </row>
    <row r="627" spans="1:18">
      <c r="A627" s="15" t="str">
        <f t="shared" si="14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8" t="s">
        <v>75</v>
      </c>
      <c r="P627" s="48">
        <f>HEX2DEC(RIGHT(Table13232127535863[[#This Row],[h1]],8))</f>
        <v>0</v>
      </c>
      <c r="Q627" s="48" t="s">
        <v>75</v>
      </c>
      <c r="R627" s="48">
        <f>HEX2DEC(RIGHT(Table13232127535863[[#This Row],[h2]],8))</f>
        <v>0</v>
      </c>
    </row>
    <row r="628" spans="1:18">
      <c r="A628" s="15" t="str">
        <f t="shared" si="14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8" t="s">
        <v>75</v>
      </c>
      <c r="P628" s="48">
        <f>HEX2DEC(RIGHT(Table13232127535863[[#This Row],[h1]],8))</f>
        <v>0</v>
      </c>
      <c r="Q628" s="48" t="s">
        <v>75</v>
      </c>
      <c r="R628" s="48">
        <f>HEX2DEC(RIGHT(Table13232127535863[[#This Row],[h2]],8))</f>
        <v>0</v>
      </c>
    </row>
    <row r="629" spans="1:18">
      <c r="A629" s="15" t="str">
        <f t="shared" si="14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8" t="s">
        <v>75</v>
      </c>
      <c r="P629" s="48">
        <f>HEX2DEC(RIGHT(Table13232127535863[[#This Row],[h1]],8))</f>
        <v>0</v>
      </c>
      <c r="Q629" s="48" t="s">
        <v>75</v>
      </c>
      <c r="R629" s="48">
        <f>HEX2DEC(RIGHT(Table13232127535863[[#This Row],[h2]],8))</f>
        <v>0</v>
      </c>
    </row>
    <row r="630" spans="1:18">
      <c r="A630" s="15" t="str">
        <f t="shared" si="14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8" t="s">
        <v>75</v>
      </c>
      <c r="P630" s="48">
        <f>HEX2DEC(RIGHT(Table13232127535863[[#This Row],[h1]],8))</f>
        <v>0</v>
      </c>
      <c r="Q630" s="48" t="s">
        <v>75</v>
      </c>
      <c r="R630" s="48">
        <f>HEX2DEC(RIGHT(Table13232127535863[[#This Row],[h2]],8))</f>
        <v>0</v>
      </c>
    </row>
    <row r="631" spans="1:18">
      <c r="A631" s="15" t="str">
        <f t="shared" si="14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8" t="s">
        <v>75</v>
      </c>
      <c r="P631" s="48">
        <f>HEX2DEC(RIGHT(Table13232127535863[[#This Row],[h1]],8))</f>
        <v>0</v>
      </c>
      <c r="Q631" s="48" t="s">
        <v>75</v>
      </c>
      <c r="R631" s="48">
        <f>HEX2DEC(RIGHT(Table13232127535863[[#This Row],[h2]],8))</f>
        <v>0</v>
      </c>
    </row>
    <row r="632" spans="1:18">
      <c r="A632" s="15" t="str">
        <f t="shared" si="14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8" t="s">
        <v>75</v>
      </c>
      <c r="P632" s="48">
        <f>HEX2DEC(RIGHT(Table13232127535863[[#This Row],[h1]],8))</f>
        <v>0</v>
      </c>
      <c r="Q632" s="48" t="s">
        <v>75</v>
      </c>
      <c r="R632" s="48">
        <f>HEX2DEC(RIGHT(Table13232127535863[[#This Row],[h2]],8))</f>
        <v>0</v>
      </c>
    </row>
    <row r="633" spans="1:18">
      <c r="A633" s="15" t="str">
        <f t="shared" si="14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8" t="s">
        <v>75</v>
      </c>
      <c r="P633" s="48">
        <f>HEX2DEC(RIGHT(Table13232127535863[[#This Row],[h1]],8))</f>
        <v>0</v>
      </c>
      <c r="Q633" s="48" t="s">
        <v>75</v>
      </c>
      <c r="R633" s="48">
        <f>HEX2DEC(RIGHT(Table13232127535863[[#This Row],[h2]],8))</f>
        <v>0</v>
      </c>
    </row>
    <row r="634" spans="1:18">
      <c r="A634" s="15" t="str">
        <f t="shared" si="14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8" t="s">
        <v>75</v>
      </c>
      <c r="P634" s="48">
        <f>HEX2DEC(RIGHT(Table13232127535863[[#This Row],[h1]],8))</f>
        <v>0</v>
      </c>
      <c r="Q634" s="48" t="s">
        <v>75</v>
      </c>
      <c r="R634" s="48">
        <f>HEX2DEC(RIGHT(Table13232127535863[[#This Row],[h2]],8))</f>
        <v>0</v>
      </c>
    </row>
    <row r="635" spans="1:18">
      <c r="A635" s="15" t="str">
        <f t="shared" si="14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8" t="s">
        <v>75</v>
      </c>
      <c r="P635" s="48">
        <f>HEX2DEC(RIGHT(Table13232127535863[[#This Row],[h1]],8))</f>
        <v>0</v>
      </c>
      <c r="Q635" s="48" t="s">
        <v>75</v>
      </c>
      <c r="R635" s="48">
        <f>HEX2DEC(RIGHT(Table13232127535863[[#This Row],[h2]],8))</f>
        <v>0</v>
      </c>
    </row>
    <row r="636" spans="1:18">
      <c r="A636" s="15" t="str">
        <f t="shared" si="14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8" t="s">
        <v>75</v>
      </c>
      <c r="P636" s="48">
        <f>HEX2DEC(RIGHT(Table13232127535863[[#This Row],[h1]],8))</f>
        <v>0</v>
      </c>
      <c r="Q636" s="48" t="s">
        <v>75</v>
      </c>
      <c r="R636" s="48">
        <f>HEX2DEC(RIGHT(Table13232127535863[[#This Row],[h2]],8))</f>
        <v>0</v>
      </c>
    </row>
    <row r="637" spans="1:18">
      <c r="A637" s="15" t="str">
        <f t="shared" si="14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8" t="s">
        <v>75</v>
      </c>
      <c r="P637" s="48">
        <f>HEX2DEC(RIGHT(Table13232127535863[[#This Row],[h1]],8))</f>
        <v>0</v>
      </c>
      <c r="Q637" s="48" t="s">
        <v>75</v>
      </c>
      <c r="R637" s="48">
        <f>HEX2DEC(RIGHT(Table13232127535863[[#This Row],[h2]],8))</f>
        <v>0</v>
      </c>
    </row>
    <row r="638" spans="1:18">
      <c r="A638" s="15" t="str">
        <f t="shared" si="14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8" t="s">
        <v>75</v>
      </c>
      <c r="P638" s="48">
        <f>HEX2DEC(RIGHT(Table13232127535863[[#This Row],[h1]],8))</f>
        <v>0</v>
      </c>
      <c r="Q638" s="48" t="s">
        <v>75</v>
      </c>
      <c r="R638" s="48">
        <f>HEX2DEC(RIGHT(Table13232127535863[[#This Row],[h2]],8))</f>
        <v>0</v>
      </c>
    </row>
    <row r="639" spans="1:18">
      <c r="A639" s="15" t="str">
        <f t="shared" si="14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8" t="s">
        <v>75</v>
      </c>
      <c r="P639" s="48">
        <f>HEX2DEC(RIGHT(Table13232127535863[[#This Row],[h1]],8))</f>
        <v>0</v>
      </c>
      <c r="Q639" s="48" t="s">
        <v>75</v>
      </c>
      <c r="R639" s="48">
        <f>HEX2DEC(RIGHT(Table13232127535863[[#This Row],[h2]],8))</f>
        <v>0</v>
      </c>
    </row>
    <row r="640" spans="1:18">
      <c r="A640" s="15" t="str">
        <f t="shared" si="14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8" t="s">
        <v>75</v>
      </c>
      <c r="P640" s="48">
        <f>HEX2DEC(RIGHT(Table13232127535863[[#This Row],[h1]],8))</f>
        <v>0</v>
      </c>
      <c r="Q640" s="48" t="s">
        <v>75</v>
      </c>
      <c r="R640" s="48">
        <f>HEX2DEC(RIGHT(Table13232127535863[[#This Row],[h2]],8))</f>
        <v>0</v>
      </c>
    </row>
    <row r="641" spans="1:18">
      <c r="A641" s="15" t="str">
        <f t="shared" si="14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8" t="s">
        <v>75</v>
      </c>
      <c r="P641" s="48">
        <f>HEX2DEC(RIGHT(Table13232127535863[[#This Row],[h1]],8))</f>
        <v>0</v>
      </c>
      <c r="Q641" s="48" t="s">
        <v>75</v>
      </c>
      <c r="R641" s="48">
        <f>HEX2DEC(RIGHT(Table13232127535863[[#This Row],[h2]],8))</f>
        <v>0</v>
      </c>
    </row>
    <row r="642" spans="1:18">
      <c r="A642" s="15" t="str">
        <f t="shared" si="14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8" t="s">
        <v>75</v>
      </c>
      <c r="P642" s="48">
        <f>HEX2DEC(RIGHT(Table13232127535863[[#This Row],[h1]],8))</f>
        <v>0</v>
      </c>
      <c r="Q642" s="48" t="s">
        <v>75</v>
      </c>
      <c r="R642" s="48">
        <f>HEX2DEC(RIGHT(Table13232127535863[[#This Row],[h2]],8))</f>
        <v>0</v>
      </c>
    </row>
    <row r="643" spans="1:18">
      <c r="A643" s="15" t="str">
        <f t="shared" si="14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8" t="s">
        <v>75</v>
      </c>
      <c r="P643" s="48">
        <f>HEX2DEC(RIGHT(Table13232127535863[[#This Row],[h1]],8))</f>
        <v>0</v>
      </c>
      <c r="Q643" s="48" t="s">
        <v>75</v>
      </c>
      <c r="R643" s="48">
        <f>HEX2DEC(RIGHT(Table13232127535863[[#This Row],[h2]],8))</f>
        <v>0</v>
      </c>
    </row>
    <row r="644" spans="1:18">
      <c r="A644" s="15" t="str">
        <f t="shared" si="14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8" t="s">
        <v>75</v>
      </c>
      <c r="P644" s="48">
        <f>HEX2DEC(RIGHT(Table13232127535863[[#This Row],[h1]],8))</f>
        <v>0</v>
      </c>
      <c r="Q644" s="48" t="s">
        <v>75</v>
      </c>
      <c r="R644" s="48">
        <f>HEX2DEC(RIGHT(Table13232127535863[[#This Row],[h2]],8))</f>
        <v>0</v>
      </c>
    </row>
    <row r="645" spans="1:18">
      <c r="A645" s="15" t="str">
        <f t="shared" si="14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8" t="s">
        <v>75</v>
      </c>
      <c r="P645" s="48">
        <f>HEX2DEC(RIGHT(Table13232127535863[[#This Row],[h1]],8))</f>
        <v>0</v>
      </c>
      <c r="Q645" s="48" t="s">
        <v>75</v>
      </c>
      <c r="R645" s="48">
        <f>HEX2DEC(RIGHT(Table13232127535863[[#This Row],[h2]],8))</f>
        <v>0</v>
      </c>
    </row>
    <row r="646" spans="1:18">
      <c r="A646" s="15" t="str">
        <f t="shared" si="14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8" t="s">
        <v>75</v>
      </c>
      <c r="P646" s="48">
        <f>HEX2DEC(RIGHT(Table13232127535863[[#This Row],[h1]],8))</f>
        <v>0</v>
      </c>
      <c r="Q646" s="48" t="s">
        <v>75</v>
      </c>
      <c r="R646" s="48">
        <f>HEX2DEC(RIGHT(Table13232127535863[[#This Row],[h2]],8))</f>
        <v>0</v>
      </c>
    </row>
    <row r="647" spans="1:18">
      <c r="A647" s="15" t="str">
        <f t="shared" si="14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8" t="s">
        <v>75</v>
      </c>
      <c r="P647" s="48">
        <f>HEX2DEC(RIGHT(Table13232127535863[[#This Row],[h1]],8))</f>
        <v>0</v>
      </c>
      <c r="Q647" s="48" t="s">
        <v>75</v>
      </c>
      <c r="R647" s="48">
        <f>HEX2DEC(RIGHT(Table13232127535863[[#This Row],[h2]],8))</f>
        <v>0</v>
      </c>
    </row>
    <row r="648" spans="1:18">
      <c r="A648" s="15" t="str">
        <f t="shared" si="14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8" t="s">
        <v>75</v>
      </c>
      <c r="P648" s="48">
        <f>HEX2DEC(RIGHT(Table13232127535863[[#This Row],[h1]],8))</f>
        <v>0</v>
      </c>
      <c r="Q648" s="48" t="s">
        <v>75</v>
      </c>
      <c r="R648" s="48">
        <f>HEX2DEC(RIGHT(Table13232127535863[[#This Row],[h2]],8))</f>
        <v>0</v>
      </c>
    </row>
    <row r="649" spans="1:18">
      <c r="A649" s="15" t="str">
        <f t="shared" si="14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8" t="s">
        <v>75</v>
      </c>
      <c r="P649" s="48">
        <f>HEX2DEC(RIGHT(Table13232127535863[[#This Row],[h1]],8))</f>
        <v>0</v>
      </c>
      <c r="Q649" s="48" t="s">
        <v>75</v>
      </c>
      <c r="R649" s="48">
        <f>HEX2DEC(RIGHT(Table13232127535863[[#This Row],[h2]],8))</f>
        <v>0</v>
      </c>
    </row>
    <row r="650" spans="1:18">
      <c r="A650" s="15" t="str">
        <f t="shared" si="14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8" t="s">
        <v>75</v>
      </c>
      <c r="P650" s="48">
        <f>HEX2DEC(RIGHT(Table13232127535863[[#This Row],[h1]],8))</f>
        <v>0</v>
      </c>
      <c r="Q650" s="48" t="s">
        <v>75</v>
      </c>
      <c r="R650" s="48">
        <f>HEX2DEC(RIGHT(Table13232127535863[[#This Row],[h2]],8))</f>
        <v>0</v>
      </c>
    </row>
    <row r="651" spans="1:18">
      <c r="A651" s="15" t="str">
        <f t="shared" ref="A651:A714" si="15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8" t="s">
        <v>75</v>
      </c>
      <c r="P651" s="48">
        <f>HEX2DEC(RIGHT(Table13232127535863[[#This Row],[h1]],8))</f>
        <v>0</v>
      </c>
      <c r="Q651" s="48" t="s">
        <v>75</v>
      </c>
      <c r="R651" s="48">
        <f>HEX2DEC(RIGHT(Table13232127535863[[#This Row],[h2]],8))</f>
        <v>0</v>
      </c>
    </row>
    <row r="652" spans="1:18">
      <c r="A652" s="15" t="str">
        <f t="shared" si="15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8" t="s">
        <v>75</v>
      </c>
      <c r="P652" s="48">
        <f>HEX2DEC(RIGHT(Table13232127535863[[#This Row],[h1]],8))</f>
        <v>0</v>
      </c>
      <c r="Q652" s="48" t="s">
        <v>75</v>
      </c>
      <c r="R652" s="48">
        <f>HEX2DEC(RIGHT(Table13232127535863[[#This Row],[h2]],8))</f>
        <v>0</v>
      </c>
    </row>
    <row r="653" spans="1:18">
      <c r="A653" s="15" t="str">
        <f t="shared" si="15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8" t="s">
        <v>75</v>
      </c>
      <c r="P653" s="48">
        <f>HEX2DEC(RIGHT(Table13232127535863[[#This Row],[h1]],8))</f>
        <v>0</v>
      </c>
      <c r="Q653" s="48" t="s">
        <v>75</v>
      </c>
      <c r="R653" s="48">
        <f>HEX2DEC(RIGHT(Table13232127535863[[#This Row],[h2]],8))</f>
        <v>0</v>
      </c>
    </row>
    <row r="654" spans="1:18">
      <c r="A654" s="15" t="str">
        <f t="shared" si="15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8" t="s">
        <v>75</v>
      </c>
      <c r="P654" s="48">
        <f>HEX2DEC(RIGHT(Table13232127535863[[#This Row],[h1]],8))</f>
        <v>0</v>
      </c>
      <c r="Q654" s="48" t="s">
        <v>75</v>
      </c>
      <c r="R654" s="48">
        <f>HEX2DEC(RIGHT(Table13232127535863[[#This Row],[h2]],8))</f>
        <v>0</v>
      </c>
    </row>
    <row r="655" spans="1:18">
      <c r="A655" s="15" t="str">
        <f t="shared" si="15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8" t="s">
        <v>75</v>
      </c>
      <c r="P655" s="48">
        <f>HEX2DEC(RIGHT(Table13232127535863[[#This Row],[h1]],8))</f>
        <v>0</v>
      </c>
      <c r="Q655" s="48" t="s">
        <v>75</v>
      </c>
      <c r="R655" s="48">
        <f>HEX2DEC(RIGHT(Table13232127535863[[#This Row],[h2]],8))</f>
        <v>0</v>
      </c>
    </row>
    <row r="656" spans="1:18">
      <c r="A656" s="15" t="str">
        <f t="shared" si="15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8" t="s">
        <v>75</v>
      </c>
      <c r="P656" s="48">
        <f>HEX2DEC(RIGHT(Table13232127535863[[#This Row],[h1]],8))</f>
        <v>0</v>
      </c>
      <c r="Q656" s="48" t="s">
        <v>75</v>
      </c>
      <c r="R656" s="48">
        <f>HEX2DEC(RIGHT(Table13232127535863[[#This Row],[h2]],8))</f>
        <v>0</v>
      </c>
    </row>
    <row r="657" spans="1:18">
      <c r="A657" s="15" t="str">
        <f t="shared" si="15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8" t="s">
        <v>75</v>
      </c>
      <c r="P657" s="48">
        <f>HEX2DEC(RIGHT(Table13232127535863[[#This Row],[h1]],8))</f>
        <v>0</v>
      </c>
      <c r="Q657" s="48" t="s">
        <v>75</v>
      </c>
      <c r="R657" s="48">
        <f>HEX2DEC(RIGHT(Table13232127535863[[#This Row],[h2]],8))</f>
        <v>0</v>
      </c>
    </row>
    <row r="658" spans="1:18">
      <c r="A658" s="15" t="str">
        <f t="shared" si="15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8" t="s">
        <v>75</v>
      </c>
      <c r="P658" s="48">
        <f>HEX2DEC(RIGHT(Table13232127535863[[#This Row],[h1]],8))</f>
        <v>0</v>
      </c>
      <c r="Q658" s="48" t="s">
        <v>75</v>
      </c>
      <c r="R658" s="48">
        <f>HEX2DEC(RIGHT(Table13232127535863[[#This Row],[h2]],8))</f>
        <v>0</v>
      </c>
    </row>
    <row r="659" spans="1:18">
      <c r="A659" s="15" t="str">
        <f t="shared" si="15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8" t="s">
        <v>75</v>
      </c>
      <c r="P659" s="48">
        <f>HEX2DEC(RIGHT(Table13232127535863[[#This Row],[h1]],8))</f>
        <v>0</v>
      </c>
      <c r="Q659" s="48" t="s">
        <v>75</v>
      </c>
      <c r="R659" s="48">
        <f>HEX2DEC(RIGHT(Table13232127535863[[#This Row],[h2]],8))</f>
        <v>0</v>
      </c>
    </row>
    <row r="660" spans="1:18">
      <c r="A660" s="15" t="str">
        <f t="shared" si="15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8" t="s">
        <v>75</v>
      </c>
      <c r="P660" s="48">
        <f>HEX2DEC(RIGHT(Table13232127535863[[#This Row],[h1]],8))</f>
        <v>0</v>
      </c>
      <c r="Q660" s="48" t="s">
        <v>75</v>
      </c>
      <c r="R660" s="48">
        <f>HEX2DEC(RIGHT(Table13232127535863[[#This Row],[h2]],8))</f>
        <v>0</v>
      </c>
    </row>
    <row r="661" spans="1:18">
      <c r="A661" s="15" t="str">
        <f t="shared" si="15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8" t="s">
        <v>75</v>
      </c>
      <c r="P661" s="48">
        <f>HEX2DEC(RIGHT(Table13232127535863[[#This Row],[h1]],8))</f>
        <v>0</v>
      </c>
      <c r="Q661" s="48" t="s">
        <v>75</v>
      </c>
      <c r="R661" s="48">
        <f>HEX2DEC(RIGHT(Table13232127535863[[#This Row],[h2]],8))</f>
        <v>0</v>
      </c>
    </row>
    <row r="662" spans="1:18">
      <c r="A662" s="15" t="str">
        <f t="shared" si="15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8" t="s">
        <v>75</v>
      </c>
      <c r="P662" s="48">
        <f>HEX2DEC(RIGHT(Table13232127535863[[#This Row],[h1]],8))</f>
        <v>0</v>
      </c>
      <c r="Q662" s="48" t="s">
        <v>75</v>
      </c>
      <c r="R662" s="48">
        <f>HEX2DEC(RIGHT(Table13232127535863[[#This Row],[h2]],8))</f>
        <v>0</v>
      </c>
    </row>
    <row r="663" spans="1:18">
      <c r="A663" s="15" t="str">
        <f t="shared" si="15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8" t="s">
        <v>75</v>
      </c>
      <c r="P663" s="48">
        <f>HEX2DEC(RIGHT(Table13232127535863[[#This Row],[h1]],8))</f>
        <v>0</v>
      </c>
      <c r="Q663" s="48" t="s">
        <v>75</v>
      </c>
      <c r="R663" s="48">
        <f>HEX2DEC(RIGHT(Table13232127535863[[#This Row],[h2]],8))</f>
        <v>0</v>
      </c>
    </row>
    <row r="664" spans="1:18">
      <c r="A664" s="15" t="str">
        <f t="shared" si="15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8" t="s">
        <v>75</v>
      </c>
      <c r="P664" s="48">
        <f>HEX2DEC(RIGHT(Table13232127535863[[#This Row],[h1]],8))</f>
        <v>0</v>
      </c>
      <c r="Q664" s="48" t="s">
        <v>75</v>
      </c>
      <c r="R664" s="48">
        <f>HEX2DEC(RIGHT(Table13232127535863[[#This Row],[h2]],8))</f>
        <v>0</v>
      </c>
    </row>
    <row r="665" spans="1:18">
      <c r="A665" s="15" t="str">
        <f t="shared" si="15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8" t="s">
        <v>75</v>
      </c>
      <c r="P665" s="48">
        <f>HEX2DEC(RIGHT(Table13232127535863[[#This Row],[h1]],8))</f>
        <v>0</v>
      </c>
      <c r="Q665" s="48" t="s">
        <v>75</v>
      </c>
      <c r="R665" s="48">
        <f>HEX2DEC(RIGHT(Table13232127535863[[#This Row],[h2]],8))</f>
        <v>0</v>
      </c>
    </row>
    <row r="666" spans="1:18">
      <c r="A666" s="15" t="str">
        <f t="shared" si="15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8" t="s">
        <v>75</v>
      </c>
      <c r="P666" s="48">
        <f>HEX2DEC(RIGHT(Table13232127535863[[#This Row],[h1]],8))</f>
        <v>0</v>
      </c>
      <c r="Q666" s="48" t="s">
        <v>75</v>
      </c>
      <c r="R666" s="48">
        <f>HEX2DEC(RIGHT(Table13232127535863[[#This Row],[h2]],8))</f>
        <v>0</v>
      </c>
    </row>
    <row r="667" spans="1:18">
      <c r="A667" s="15" t="str">
        <f t="shared" si="15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8" t="s">
        <v>75</v>
      </c>
      <c r="P667" s="48">
        <f>HEX2DEC(RIGHT(Table13232127535863[[#This Row],[h1]],8))</f>
        <v>0</v>
      </c>
      <c r="Q667" s="48" t="s">
        <v>75</v>
      </c>
      <c r="R667" s="48">
        <f>HEX2DEC(RIGHT(Table13232127535863[[#This Row],[h2]],8))</f>
        <v>0</v>
      </c>
    </row>
    <row r="668" spans="1:18">
      <c r="A668" s="15" t="str">
        <f t="shared" si="15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8" t="s">
        <v>75</v>
      </c>
      <c r="P668" s="48">
        <f>HEX2DEC(RIGHT(Table13232127535863[[#This Row],[h1]],8))</f>
        <v>0</v>
      </c>
      <c r="Q668" s="48" t="s">
        <v>75</v>
      </c>
      <c r="R668" s="48">
        <f>HEX2DEC(RIGHT(Table13232127535863[[#This Row],[h2]],8))</f>
        <v>0</v>
      </c>
    </row>
    <row r="669" spans="1:18">
      <c r="A669" s="15" t="str">
        <f t="shared" si="15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8" t="s">
        <v>75</v>
      </c>
      <c r="P669" s="48">
        <f>HEX2DEC(RIGHT(Table13232127535863[[#This Row],[h1]],8))</f>
        <v>0</v>
      </c>
      <c r="Q669" s="48" t="s">
        <v>75</v>
      </c>
      <c r="R669" s="48">
        <f>HEX2DEC(RIGHT(Table13232127535863[[#This Row],[h2]],8))</f>
        <v>0</v>
      </c>
    </row>
    <row r="670" spans="1:18">
      <c r="A670" s="15" t="str">
        <f t="shared" si="15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8" t="s">
        <v>75</v>
      </c>
      <c r="P670" s="48">
        <f>HEX2DEC(RIGHT(Table13232127535863[[#This Row],[h1]],8))</f>
        <v>0</v>
      </c>
      <c r="Q670" s="48" t="s">
        <v>75</v>
      </c>
      <c r="R670" s="48">
        <f>HEX2DEC(RIGHT(Table13232127535863[[#This Row],[h2]],8))</f>
        <v>0</v>
      </c>
    </row>
    <row r="671" spans="1:18">
      <c r="A671" s="15" t="str">
        <f t="shared" si="15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8" t="s">
        <v>75</v>
      </c>
      <c r="P671" s="48">
        <f>HEX2DEC(RIGHT(Table13232127535863[[#This Row],[h1]],8))</f>
        <v>0</v>
      </c>
      <c r="Q671" s="48" t="s">
        <v>75</v>
      </c>
      <c r="R671" s="48">
        <f>HEX2DEC(RIGHT(Table13232127535863[[#This Row],[h2]],8))</f>
        <v>0</v>
      </c>
    </row>
    <row r="672" spans="1:18">
      <c r="A672" s="15" t="str">
        <f t="shared" si="15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8" t="s">
        <v>75</v>
      </c>
      <c r="P672" s="48">
        <f>HEX2DEC(RIGHT(Table13232127535863[[#This Row],[h1]],8))</f>
        <v>0</v>
      </c>
      <c r="Q672" s="48" t="s">
        <v>75</v>
      </c>
      <c r="R672" s="48">
        <f>HEX2DEC(RIGHT(Table13232127535863[[#This Row],[h2]],8))</f>
        <v>0</v>
      </c>
    </row>
    <row r="673" spans="1:18">
      <c r="A673" s="15" t="str">
        <f t="shared" si="15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8" t="s">
        <v>75</v>
      </c>
      <c r="P673" s="48">
        <f>HEX2DEC(RIGHT(Table13232127535863[[#This Row],[h1]],8))</f>
        <v>0</v>
      </c>
      <c r="Q673" s="48" t="s">
        <v>75</v>
      </c>
      <c r="R673" s="48">
        <f>HEX2DEC(RIGHT(Table13232127535863[[#This Row],[h2]],8))</f>
        <v>0</v>
      </c>
    </row>
    <row r="674" spans="1:18">
      <c r="A674" s="15" t="str">
        <f t="shared" si="15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8" t="s">
        <v>75</v>
      </c>
      <c r="P674" s="48">
        <f>HEX2DEC(RIGHT(Table13232127535863[[#This Row],[h1]],8))</f>
        <v>0</v>
      </c>
      <c r="Q674" s="48" t="s">
        <v>75</v>
      </c>
      <c r="R674" s="48">
        <f>HEX2DEC(RIGHT(Table13232127535863[[#This Row],[h2]],8))</f>
        <v>0</v>
      </c>
    </row>
    <row r="675" spans="1:18">
      <c r="A675" s="15" t="str">
        <f t="shared" si="15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8" t="s">
        <v>75</v>
      </c>
      <c r="P675" s="48">
        <f>HEX2DEC(RIGHT(Table13232127535863[[#This Row],[h1]],8))</f>
        <v>0</v>
      </c>
      <c r="Q675" s="48" t="s">
        <v>75</v>
      </c>
      <c r="R675" s="48">
        <f>HEX2DEC(RIGHT(Table13232127535863[[#This Row],[h2]],8))</f>
        <v>0</v>
      </c>
    </row>
    <row r="676" spans="1:18">
      <c r="A676" s="15" t="str">
        <f t="shared" si="15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8" t="s">
        <v>75</v>
      </c>
      <c r="P676" s="48">
        <f>HEX2DEC(RIGHT(Table13232127535863[[#This Row],[h1]],8))</f>
        <v>0</v>
      </c>
      <c r="Q676" s="48" t="s">
        <v>75</v>
      </c>
      <c r="R676" s="48">
        <f>HEX2DEC(RIGHT(Table13232127535863[[#This Row],[h2]],8))</f>
        <v>0</v>
      </c>
    </row>
    <row r="677" spans="1:18">
      <c r="A677" s="15" t="str">
        <f t="shared" si="15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8" t="s">
        <v>75</v>
      </c>
      <c r="P677" s="48">
        <f>HEX2DEC(RIGHT(Table13232127535863[[#This Row],[h1]],8))</f>
        <v>0</v>
      </c>
      <c r="Q677" s="48" t="s">
        <v>75</v>
      </c>
      <c r="R677" s="48">
        <f>HEX2DEC(RIGHT(Table13232127535863[[#This Row],[h2]],8))</f>
        <v>0</v>
      </c>
    </row>
    <row r="678" spans="1:18">
      <c r="A678" s="15" t="str">
        <f t="shared" si="15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8" t="s">
        <v>75</v>
      </c>
      <c r="P678" s="48">
        <f>HEX2DEC(RIGHT(Table13232127535863[[#This Row],[h1]],8))</f>
        <v>0</v>
      </c>
      <c r="Q678" s="48" t="s">
        <v>75</v>
      </c>
      <c r="R678" s="48">
        <f>HEX2DEC(RIGHT(Table13232127535863[[#This Row],[h2]],8))</f>
        <v>0</v>
      </c>
    </row>
    <row r="679" spans="1:18">
      <c r="A679" s="15" t="str">
        <f t="shared" si="15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8" t="s">
        <v>75</v>
      </c>
      <c r="P679" s="48">
        <f>HEX2DEC(RIGHT(Table13232127535863[[#This Row],[h1]],8))</f>
        <v>0</v>
      </c>
      <c r="Q679" s="48" t="s">
        <v>75</v>
      </c>
      <c r="R679" s="48">
        <f>HEX2DEC(RIGHT(Table13232127535863[[#This Row],[h2]],8))</f>
        <v>0</v>
      </c>
    </row>
    <row r="680" spans="1:18">
      <c r="A680" s="15" t="str">
        <f t="shared" si="15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8" t="s">
        <v>75</v>
      </c>
      <c r="P680" s="48">
        <f>HEX2DEC(RIGHT(Table13232127535863[[#This Row],[h1]],8))</f>
        <v>0</v>
      </c>
      <c r="Q680" s="48" t="s">
        <v>75</v>
      </c>
      <c r="R680" s="48">
        <f>HEX2DEC(RIGHT(Table13232127535863[[#This Row],[h2]],8))</f>
        <v>0</v>
      </c>
    </row>
    <row r="681" spans="1:18">
      <c r="A681" s="15" t="str">
        <f t="shared" si="15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8" t="s">
        <v>75</v>
      </c>
      <c r="P681" s="48">
        <f>HEX2DEC(RIGHT(Table13232127535863[[#This Row],[h1]],8))</f>
        <v>0</v>
      </c>
      <c r="Q681" s="48" t="s">
        <v>75</v>
      </c>
      <c r="R681" s="48">
        <f>HEX2DEC(RIGHT(Table13232127535863[[#This Row],[h2]],8))</f>
        <v>0</v>
      </c>
    </row>
    <row r="682" spans="1:18">
      <c r="A682" s="15" t="str">
        <f t="shared" si="15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8" t="s">
        <v>75</v>
      </c>
      <c r="P682" s="48">
        <f>HEX2DEC(RIGHT(Table13232127535863[[#This Row],[h1]],8))</f>
        <v>0</v>
      </c>
      <c r="Q682" s="48" t="s">
        <v>75</v>
      </c>
      <c r="R682" s="48">
        <f>HEX2DEC(RIGHT(Table13232127535863[[#This Row],[h2]],8))</f>
        <v>0</v>
      </c>
    </row>
    <row r="683" spans="1:18">
      <c r="A683" s="15" t="str">
        <f t="shared" si="15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8" t="s">
        <v>75</v>
      </c>
      <c r="P683" s="48">
        <f>HEX2DEC(RIGHT(Table13232127535863[[#This Row],[h1]],8))</f>
        <v>0</v>
      </c>
      <c r="Q683" s="48" t="s">
        <v>75</v>
      </c>
      <c r="R683" s="48">
        <f>HEX2DEC(RIGHT(Table13232127535863[[#This Row],[h2]],8))</f>
        <v>0</v>
      </c>
    </row>
    <row r="684" spans="1:18">
      <c r="A684" s="15" t="str">
        <f t="shared" si="15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8" t="s">
        <v>75</v>
      </c>
      <c r="P684" s="48">
        <f>HEX2DEC(RIGHT(Table13232127535863[[#This Row],[h1]],8))</f>
        <v>0</v>
      </c>
      <c r="Q684" s="48" t="s">
        <v>75</v>
      </c>
      <c r="R684" s="48">
        <f>HEX2DEC(RIGHT(Table13232127535863[[#This Row],[h2]],8))</f>
        <v>0</v>
      </c>
    </row>
    <row r="685" spans="1:18">
      <c r="A685" s="15" t="str">
        <f t="shared" si="15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8" t="s">
        <v>75</v>
      </c>
      <c r="P685" s="48">
        <f>HEX2DEC(RIGHT(Table13232127535863[[#This Row],[h1]],8))</f>
        <v>0</v>
      </c>
      <c r="Q685" s="48" t="s">
        <v>75</v>
      </c>
      <c r="R685" s="48">
        <f>HEX2DEC(RIGHT(Table13232127535863[[#This Row],[h2]],8))</f>
        <v>0</v>
      </c>
    </row>
    <row r="686" spans="1:18">
      <c r="A686" s="15" t="str">
        <f t="shared" si="15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8" t="s">
        <v>75</v>
      </c>
      <c r="P686" s="48">
        <f>HEX2DEC(RIGHT(Table13232127535863[[#This Row],[h1]],8))</f>
        <v>0</v>
      </c>
      <c r="Q686" s="48" t="s">
        <v>75</v>
      </c>
      <c r="R686" s="48">
        <f>HEX2DEC(RIGHT(Table13232127535863[[#This Row],[h2]],8))</f>
        <v>0</v>
      </c>
    </row>
    <row r="687" spans="1:18">
      <c r="A687" s="15" t="str">
        <f t="shared" si="15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8" t="s">
        <v>75</v>
      </c>
      <c r="P687" s="48">
        <f>HEX2DEC(RIGHT(Table13232127535863[[#This Row],[h1]],8))</f>
        <v>0</v>
      </c>
      <c r="Q687" s="48" t="s">
        <v>75</v>
      </c>
      <c r="R687" s="48">
        <f>HEX2DEC(RIGHT(Table13232127535863[[#This Row],[h2]],8))</f>
        <v>0</v>
      </c>
    </row>
    <row r="688" spans="1:18">
      <c r="A688" s="15" t="str">
        <f t="shared" si="15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8" t="s">
        <v>75</v>
      </c>
      <c r="P688" s="48">
        <f>HEX2DEC(RIGHT(Table13232127535863[[#This Row],[h1]],8))</f>
        <v>0</v>
      </c>
      <c r="Q688" s="48" t="s">
        <v>75</v>
      </c>
      <c r="R688" s="48">
        <f>HEX2DEC(RIGHT(Table13232127535863[[#This Row],[h2]],8))</f>
        <v>0</v>
      </c>
    </row>
    <row r="689" spans="1:18">
      <c r="A689" s="15" t="str">
        <f t="shared" si="15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8" t="s">
        <v>75</v>
      </c>
      <c r="P689" s="48">
        <f>HEX2DEC(RIGHT(Table13232127535863[[#This Row],[h1]],8))</f>
        <v>0</v>
      </c>
      <c r="Q689" s="48" t="s">
        <v>75</v>
      </c>
      <c r="R689" s="48">
        <f>HEX2DEC(RIGHT(Table13232127535863[[#This Row],[h2]],8))</f>
        <v>0</v>
      </c>
    </row>
    <row r="690" spans="1:18">
      <c r="A690" s="15" t="str">
        <f t="shared" si="15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8" t="s">
        <v>75</v>
      </c>
      <c r="P690" s="48">
        <f>HEX2DEC(RIGHT(Table13232127535863[[#This Row],[h1]],8))</f>
        <v>0</v>
      </c>
      <c r="Q690" s="48" t="s">
        <v>75</v>
      </c>
      <c r="R690" s="48">
        <f>HEX2DEC(RIGHT(Table13232127535863[[#This Row],[h2]],8))</f>
        <v>0</v>
      </c>
    </row>
    <row r="691" spans="1:18">
      <c r="A691" s="15" t="str">
        <f t="shared" si="15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8" t="s">
        <v>75</v>
      </c>
      <c r="P691" s="48">
        <f>HEX2DEC(RIGHT(Table13232127535863[[#This Row],[h1]],8))</f>
        <v>0</v>
      </c>
      <c r="Q691" s="48" t="s">
        <v>75</v>
      </c>
      <c r="R691" s="48">
        <f>HEX2DEC(RIGHT(Table13232127535863[[#This Row],[h2]],8))</f>
        <v>0</v>
      </c>
    </row>
    <row r="692" spans="1:18">
      <c r="A692" s="15" t="str">
        <f t="shared" si="15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8" t="s">
        <v>75</v>
      </c>
      <c r="P692" s="48">
        <f>HEX2DEC(RIGHT(Table13232127535863[[#This Row],[h1]],8))</f>
        <v>0</v>
      </c>
      <c r="Q692" s="48" t="s">
        <v>75</v>
      </c>
      <c r="R692" s="48">
        <f>HEX2DEC(RIGHT(Table13232127535863[[#This Row],[h2]],8))</f>
        <v>0</v>
      </c>
    </row>
    <row r="693" spans="1:18">
      <c r="A693" s="15" t="str">
        <f t="shared" si="15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8" t="s">
        <v>75</v>
      </c>
      <c r="P693" s="48">
        <f>HEX2DEC(RIGHT(Table13232127535863[[#This Row],[h1]],8))</f>
        <v>0</v>
      </c>
      <c r="Q693" s="48" t="s">
        <v>75</v>
      </c>
      <c r="R693" s="48">
        <f>HEX2DEC(RIGHT(Table13232127535863[[#This Row],[h2]],8))</f>
        <v>0</v>
      </c>
    </row>
    <row r="694" spans="1:18">
      <c r="A694" s="15" t="str">
        <f t="shared" si="15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8" t="s">
        <v>75</v>
      </c>
      <c r="P694" s="48">
        <f>HEX2DEC(RIGHT(Table13232127535863[[#This Row],[h1]],8))</f>
        <v>0</v>
      </c>
      <c r="Q694" s="48" t="s">
        <v>75</v>
      </c>
      <c r="R694" s="48">
        <f>HEX2DEC(RIGHT(Table13232127535863[[#This Row],[h2]],8))</f>
        <v>0</v>
      </c>
    </row>
    <row r="695" spans="1:18">
      <c r="A695" s="15" t="str">
        <f t="shared" si="15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8" t="s">
        <v>75</v>
      </c>
      <c r="P695" s="48">
        <f>HEX2DEC(RIGHT(Table13232127535863[[#This Row],[h1]],8))</f>
        <v>0</v>
      </c>
      <c r="Q695" s="48" t="s">
        <v>75</v>
      </c>
      <c r="R695" s="48">
        <f>HEX2DEC(RIGHT(Table13232127535863[[#This Row],[h2]],8))</f>
        <v>0</v>
      </c>
    </row>
    <row r="696" spans="1:18">
      <c r="A696" s="15" t="str">
        <f t="shared" si="15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8" t="s">
        <v>75</v>
      </c>
      <c r="P696" s="48">
        <f>HEX2DEC(RIGHT(Table13232127535863[[#This Row],[h1]],8))</f>
        <v>0</v>
      </c>
      <c r="Q696" s="48" t="s">
        <v>75</v>
      </c>
      <c r="R696" s="48">
        <f>HEX2DEC(RIGHT(Table13232127535863[[#This Row],[h2]],8))</f>
        <v>0</v>
      </c>
    </row>
    <row r="697" spans="1:18">
      <c r="A697" s="15" t="str">
        <f t="shared" si="15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8" t="s">
        <v>75</v>
      </c>
      <c r="P697" s="48">
        <f>HEX2DEC(RIGHT(Table13232127535863[[#This Row],[h1]],8))</f>
        <v>0</v>
      </c>
      <c r="Q697" s="48" t="s">
        <v>75</v>
      </c>
      <c r="R697" s="48">
        <f>HEX2DEC(RIGHT(Table13232127535863[[#This Row],[h2]],8))</f>
        <v>0</v>
      </c>
    </row>
    <row r="698" spans="1:18">
      <c r="A698" s="15" t="str">
        <f t="shared" si="15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8" t="s">
        <v>75</v>
      </c>
      <c r="P698" s="48">
        <f>HEX2DEC(RIGHT(Table13232127535863[[#This Row],[h1]],8))</f>
        <v>0</v>
      </c>
      <c r="Q698" s="48" t="s">
        <v>75</v>
      </c>
      <c r="R698" s="48">
        <f>HEX2DEC(RIGHT(Table13232127535863[[#This Row],[h2]],8))</f>
        <v>0</v>
      </c>
    </row>
    <row r="699" spans="1:18">
      <c r="A699" s="15" t="str">
        <f t="shared" si="15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8" t="s">
        <v>75</v>
      </c>
      <c r="P699" s="48">
        <f>HEX2DEC(RIGHT(Table13232127535863[[#This Row],[h1]],8))</f>
        <v>0</v>
      </c>
      <c r="Q699" s="48" t="s">
        <v>75</v>
      </c>
      <c r="R699" s="48">
        <f>HEX2DEC(RIGHT(Table13232127535863[[#This Row],[h2]],8))</f>
        <v>0</v>
      </c>
    </row>
    <row r="700" spans="1:18">
      <c r="A700" s="15" t="str">
        <f t="shared" si="15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8" t="s">
        <v>75</v>
      </c>
      <c r="P700" s="48">
        <f>HEX2DEC(RIGHT(Table13232127535863[[#This Row],[h1]],8))</f>
        <v>0</v>
      </c>
      <c r="Q700" s="48" t="s">
        <v>75</v>
      </c>
      <c r="R700" s="48">
        <f>HEX2DEC(RIGHT(Table13232127535863[[#This Row],[h2]],8))</f>
        <v>0</v>
      </c>
    </row>
    <row r="701" spans="1:18">
      <c r="A701" s="15" t="str">
        <f t="shared" si="15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8" t="s">
        <v>75</v>
      </c>
      <c r="P701" s="48">
        <f>HEX2DEC(RIGHT(Table13232127535863[[#This Row],[h1]],8))</f>
        <v>0</v>
      </c>
      <c r="Q701" s="48" t="s">
        <v>75</v>
      </c>
      <c r="R701" s="48">
        <f>HEX2DEC(RIGHT(Table13232127535863[[#This Row],[h2]],8))</f>
        <v>0</v>
      </c>
    </row>
    <row r="702" spans="1:18">
      <c r="A702" s="15" t="str">
        <f t="shared" si="15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8" t="s">
        <v>75</v>
      </c>
      <c r="P702" s="48">
        <f>HEX2DEC(RIGHT(Table13232127535863[[#This Row],[h1]],8))</f>
        <v>0</v>
      </c>
      <c r="Q702" s="48" t="s">
        <v>75</v>
      </c>
      <c r="R702" s="48">
        <f>HEX2DEC(RIGHT(Table13232127535863[[#This Row],[h2]],8))</f>
        <v>0</v>
      </c>
    </row>
    <row r="703" spans="1:18">
      <c r="A703" s="15" t="str">
        <f t="shared" si="15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8" t="s">
        <v>75</v>
      </c>
      <c r="P703" s="48">
        <f>HEX2DEC(RIGHT(Table13232127535863[[#This Row],[h1]],8))</f>
        <v>0</v>
      </c>
      <c r="Q703" s="48" t="s">
        <v>75</v>
      </c>
      <c r="R703" s="48">
        <f>HEX2DEC(RIGHT(Table13232127535863[[#This Row],[h2]],8))</f>
        <v>0</v>
      </c>
    </row>
    <row r="704" spans="1:18">
      <c r="A704" s="15" t="str">
        <f t="shared" si="15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8" t="s">
        <v>75</v>
      </c>
      <c r="P704" s="48">
        <f>HEX2DEC(RIGHT(Table13232127535863[[#This Row],[h1]],8))</f>
        <v>0</v>
      </c>
      <c r="Q704" s="48" t="s">
        <v>75</v>
      </c>
      <c r="R704" s="48">
        <f>HEX2DEC(RIGHT(Table13232127535863[[#This Row],[h2]],8))</f>
        <v>0</v>
      </c>
    </row>
    <row r="705" spans="1:18">
      <c r="A705" s="15" t="str">
        <f t="shared" si="15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8" t="s">
        <v>75</v>
      </c>
      <c r="P705" s="48">
        <f>HEX2DEC(RIGHT(Table13232127535863[[#This Row],[h1]],8))</f>
        <v>0</v>
      </c>
      <c r="Q705" s="48" t="s">
        <v>75</v>
      </c>
      <c r="R705" s="48">
        <f>HEX2DEC(RIGHT(Table13232127535863[[#This Row],[h2]],8))</f>
        <v>0</v>
      </c>
    </row>
    <row r="706" spans="1:18">
      <c r="A706" s="15" t="str">
        <f t="shared" si="15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8" t="s">
        <v>75</v>
      </c>
      <c r="P706" s="48">
        <f>HEX2DEC(RIGHT(Table13232127535863[[#This Row],[h1]],8))</f>
        <v>0</v>
      </c>
      <c r="Q706" s="48" t="s">
        <v>75</v>
      </c>
      <c r="R706" s="48">
        <f>HEX2DEC(RIGHT(Table13232127535863[[#This Row],[h2]],8))</f>
        <v>0</v>
      </c>
    </row>
    <row r="707" spans="1:18">
      <c r="A707" s="15" t="str">
        <f t="shared" si="15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8" t="s">
        <v>75</v>
      </c>
      <c r="P707" s="48">
        <f>HEX2DEC(RIGHT(Table13232127535863[[#This Row],[h1]],8))</f>
        <v>0</v>
      </c>
      <c r="Q707" s="48" t="s">
        <v>75</v>
      </c>
      <c r="R707" s="48">
        <f>HEX2DEC(RIGHT(Table13232127535863[[#This Row],[h2]],8))</f>
        <v>0</v>
      </c>
    </row>
    <row r="708" spans="1:18">
      <c r="A708" s="15" t="str">
        <f t="shared" si="15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8" t="s">
        <v>75</v>
      </c>
      <c r="P708" s="48">
        <f>HEX2DEC(RIGHT(Table13232127535863[[#This Row],[h1]],8))</f>
        <v>0</v>
      </c>
      <c r="Q708" s="48" t="s">
        <v>75</v>
      </c>
      <c r="R708" s="48">
        <f>HEX2DEC(RIGHT(Table13232127535863[[#This Row],[h2]],8))</f>
        <v>0</v>
      </c>
    </row>
    <row r="709" spans="1:18">
      <c r="A709" s="15" t="str">
        <f t="shared" si="15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8" t="s">
        <v>75</v>
      </c>
      <c r="P709" s="48">
        <f>HEX2DEC(RIGHT(Table13232127535863[[#This Row],[h1]],8))</f>
        <v>0</v>
      </c>
      <c r="Q709" s="48" t="s">
        <v>75</v>
      </c>
      <c r="R709" s="48">
        <f>HEX2DEC(RIGHT(Table13232127535863[[#This Row],[h2]],8))</f>
        <v>0</v>
      </c>
    </row>
    <row r="710" spans="1:18">
      <c r="A710" s="15" t="str">
        <f t="shared" si="15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8" t="s">
        <v>75</v>
      </c>
      <c r="P710" s="48">
        <f>HEX2DEC(RIGHT(Table13232127535863[[#This Row],[h1]],8))</f>
        <v>0</v>
      </c>
      <c r="Q710" s="48" t="s">
        <v>75</v>
      </c>
      <c r="R710" s="48">
        <f>HEX2DEC(RIGHT(Table13232127535863[[#This Row],[h2]],8))</f>
        <v>0</v>
      </c>
    </row>
    <row r="711" spans="1:18">
      <c r="A711" s="15" t="str">
        <f t="shared" si="15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8" t="s">
        <v>75</v>
      </c>
      <c r="P711" s="48">
        <f>HEX2DEC(RIGHT(Table13232127535863[[#This Row],[h1]],8))</f>
        <v>0</v>
      </c>
      <c r="Q711" s="48" t="s">
        <v>75</v>
      </c>
      <c r="R711" s="48">
        <f>HEX2DEC(RIGHT(Table13232127535863[[#This Row],[h2]],8))</f>
        <v>0</v>
      </c>
    </row>
    <row r="712" spans="1:18">
      <c r="A712" s="15" t="str">
        <f t="shared" si="15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8" t="s">
        <v>75</v>
      </c>
      <c r="P712" s="48">
        <f>HEX2DEC(RIGHT(Table13232127535863[[#This Row],[h1]],8))</f>
        <v>0</v>
      </c>
      <c r="Q712" s="48" t="s">
        <v>75</v>
      </c>
      <c r="R712" s="48">
        <f>HEX2DEC(RIGHT(Table13232127535863[[#This Row],[h2]],8))</f>
        <v>0</v>
      </c>
    </row>
    <row r="713" spans="1:18">
      <c r="A713" s="15" t="str">
        <f t="shared" si="15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8" t="s">
        <v>75</v>
      </c>
      <c r="P713" s="48">
        <f>HEX2DEC(RIGHT(Table13232127535863[[#This Row],[h1]],8))</f>
        <v>0</v>
      </c>
      <c r="Q713" s="48" t="s">
        <v>75</v>
      </c>
      <c r="R713" s="48">
        <f>HEX2DEC(RIGHT(Table13232127535863[[#This Row],[h2]],8))</f>
        <v>0</v>
      </c>
    </row>
    <row r="714" spans="1:18">
      <c r="A714" s="15" t="str">
        <f t="shared" si="15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8" t="s">
        <v>75</v>
      </c>
      <c r="P714" s="48">
        <f>HEX2DEC(RIGHT(Table13232127535863[[#This Row],[h1]],8))</f>
        <v>0</v>
      </c>
      <c r="Q714" s="48" t="s">
        <v>75</v>
      </c>
      <c r="R714" s="48">
        <f>HEX2DEC(RIGHT(Table13232127535863[[#This Row],[h2]],8))</f>
        <v>0</v>
      </c>
    </row>
    <row r="715" spans="1:18">
      <c r="A715" s="15" t="str">
        <f t="shared" ref="A715:A778" si="16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8" t="s">
        <v>75</v>
      </c>
      <c r="P715" s="48">
        <f>HEX2DEC(RIGHT(Table13232127535863[[#This Row],[h1]],8))</f>
        <v>0</v>
      </c>
      <c r="Q715" s="48" t="s">
        <v>75</v>
      </c>
      <c r="R715" s="48">
        <f>HEX2DEC(RIGHT(Table13232127535863[[#This Row],[h2]],8))</f>
        <v>0</v>
      </c>
    </row>
    <row r="716" spans="1:18">
      <c r="A716" s="15" t="str">
        <f t="shared" si="16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8" t="s">
        <v>75</v>
      </c>
      <c r="P716" s="48">
        <f>HEX2DEC(RIGHT(Table13232127535863[[#This Row],[h1]],8))</f>
        <v>0</v>
      </c>
      <c r="Q716" s="48" t="s">
        <v>75</v>
      </c>
      <c r="R716" s="48">
        <f>HEX2DEC(RIGHT(Table13232127535863[[#This Row],[h2]],8))</f>
        <v>0</v>
      </c>
    </row>
    <row r="717" spans="1:18">
      <c r="A717" s="15" t="str">
        <f t="shared" si="16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8" t="s">
        <v>75</v>
      </c>
      <c r="P717" s="48">
        <f>HEX2DEC(RIGHT(Table13232127535863[[#This Row],[h1]],8))</f>
        <v>0</v>
      </c>
      <c r="Q717" s="48" t="s">
        <v>75</v>
      </c>
      <c r="R717" s="48">
        <f>HEX2DEC(RIGHT(Table13232127535863[[#This Row],[h2]],8))</f>
        <v>0</v>
      </c>
    </row>
    <row r="718" spans="1:18">
      <c r="A718" s="15" t="str">
        <f t="shared" si="16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8" t="s">
        <v>75</v>
      </c>
      <c r="P718" s="48">
        <f>HEX2DEC(RIGHT(Table13232127535863[[#This Row],[h1]],8))</f>
        <v>0</v>
      </c>
      <c r="Q718" s="48" t="s">
        <v>75</v>
      </c>
      <c r="R718" s="48">
        <f>HEX2DEC(RIGHT(Table13232127535863[[#This Row],[h2]],8))</f>
        <v>0</v>
      </c>
    </row>
    <row r="719" spans="1:18">
      <c r="A719" s="15" t="str">
        <f t="shared" si="16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8" t="s">
        <v>75</v>
      </c>
      <c r="P719" s="48">
        <f>HEX2DEC(RIGHT(Table13232127535863[[#This Row],[h1]],8))</f>
        <v>0</v>
      </c>
      <c r="Q719" s="48" t="s">
        <v>75</v>
      </c>
      <c r="R719" s="48">
        <f>HEX2DEC(RIGHT(Table13232127535863[[#This Row],[h2]],8))</f>
        <v>0</v>
      </c>
    </row>
    <row r="720" spans="1:18">
      <c r="A720" s="15" t="str">
        <f t="shared" si="16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8" t="s">
        <v>75</v>
      </c>
      <c r="P720" s="48">
        <f>HEX2DEC(RIGHT(Table13232127535863[[#This Row],[h1]],8))</f>
        <v>0</v>
      </c>
      <c r="Q720" s="48" t="s">
        <v>75</v>
      </c>
      <c r="R720" s="48">
        <f>HEX2DEC(RIGHT(Table13232127535863[[#This Row],[h2]],8))</f>
        <v>0</v>
      </c>
    </row>
    <row r="721" spans="1:18">
      <c r="A721" s="15" t="str">
        <f t="shared" si="16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8" t="s">
        <v>75</v>
      </c>
      <c r="P721" s="48">
        <f>HEX2DEC(RIGHT(Table13232127535863[[#This Row],[h1]],8))</f>
        <v>0</v>
      </c>
      <c r="Q721" s="48" t="s">
        <v>75</v>
      </c>
      <c r="R721" s="48">
        <f>HEX2DEC(RIGHT(Table13232127535863[[#This Row],[h2]],8))</f>
        <v>0</v>
      </c>
    </row>
    <row r="722" spans="1:18">
      <c r="A722" s="15" t="str">
        <f t="shared" si="16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8" t="s">
        <v>75</v>
      </c>
      <c r="P722" s="48">
        <f>HEX2DEC(RIGHT(Table13232127535863[[#This Row],[h1]],8))</f>
        <v>0</v>
      </c>
      <c r="Q722" s="48" t="s">
        <v>75</v>
      </c>
      <c r="R722" s="48">
        <f>HEX2DEC(RIGHT(Table13232127535863[[#This Row],[h2]],8))</f>
        <v>0</v>
      </c>
    </row>
    <row r="723" spans="1:18">
      <c r="A723" s="15" t="str">
        <f t="shared" si="16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8" t="s">
        <v>75</v>
      </c>
      <c r="P723" s="48">
        <f>HEX2DEC(RIGHT(Table13232127535863[[#This Row],[h1]],8))</f>
        <v>0</v>
      </c>
      <c r="Q723" s="48" t="s">
        <v>75</v>
      </c>
      <c r="R723" s="48">
        <f>HEX2DEC(RIGHT(Table13232127535863[[#This Row],[h2]],8))</f>
        <v>0</v>
      </c>
    </row>
    <row r="724" spans="1:18">
      <c r="A724" s="15" t="str">
        <f t="shared" si="16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8" t="s">
        <v>75</v>
      </c>
      <c r="P724" s="48">
        <f>HEX2DEC(RIGHT(Table13232127535863[[#This Row],[h1]],8))</f>
        <v>0</v>
      </c>
      <c r="Q724" s="48" t="s">
        <v>75</v>
      </c>
      <c r="R724" s="48">
        <f>HEX2DEC(RIGHT(Table13232127535863[[#This Row],[h2]],8))</f>
        <v>0</v>
      </c>
    </row>
    <row r="725" spans="1:18">
      <c r="A725" s="15" t="str">
        <f t="shared" si="16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8" t="s">
        <v>75</v>
      </c>
      <c r="P725" s="48">
        <f>HEX2DEC(RIGHT(Table13232127535863[[#This Row],[h1]],8))</f>
        <v>0</v>
      </c>
      <c r="Q725" s="48" t="s">
        <v>75</v>
      </c>
      <c r="R725" s="48">
        <f>HEX2DEC(RIGHT(Table13232127535863[[#This Row],[h2]],8))</f>
        <v>0</v>
      </c>
    </row>
    <row r="726" spans="1:18">
      <c r="A726" s="15" t="str">
        <f t="shared" si="16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8" t="s">
        <v>75</v>
      </c>
      <c r="P726" s="48">
        <f>HEX2DEC(RIGHT(Table13232127535863[[#This Row],[h1]],8))</f>
        <v>0</v>
      </c>
      <c r="Q726" s="48" t="s">
        <v>75</v>
      </c>
      <c r="R726" s="48">
        <f>HEX2DEC(RIGHT(Table13232127535863[[#This Row],[h2]],8))</f>
        <v>0</v>
      </c>
    </row>
    <row r="727" spans="1:18">
      <c r="A727" s="15" t="str">
        <f t="shared" si="16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8" t="s">
        <v>75</v>
      </c>
      <c r="P727" s="48">
        <f>HEX2DEC(RIGHT(Table13232127535863[[#This Row],[h1]],8))</f>
        <v>0</v>
      </c>
      <c r="Q727" s="48" t="s">
        <v>75</v>
      </c>
      <c r="R727" s="48">
        <f>HEX2DEC(RIGHT(Table13232127535863[[#This Row],[h2]],8))</f>
        <v>0</v>
      </c>
    </row>
    <row r="728" spans="1:18">
      <c r="A728" s="15" t="str">
        <f t="shared" si="16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8" t="s">
        <v>75</v>
      </c>
      <c r="P728" s="48">
        <f>HEX2DEC(RIGHT(Table13232127535863[[#This Row],[h1]],8))</f>
        <v>0</v>
      </c>
      <c r="Q728" s="48" t="s">
        <v>75</v>
      </c>
      <c r="R728" s="48">
        <f>HEX2DEC(RIGHT(Table13232127535863[[#This Row],[h2]],8))</f>
        <v>0</v>
      </c>
    </row>
    <row r="729" spans="1:18">
      <c r="A729" s="15" t="str">
        <f t="shared" si="16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8" t="s">
        <v>75</v>
      </c>
      <c r="P729" s="48">
        <f>HEX2DEC(RIGHT(Table13232127535863[[#This Row],[h1]],8))</f>
        <v>0</v>
      </c>
      <c r="Q729" s="48" t="s">
        <v>75</v>
      </c>
      <c r="R729" s="48">
        <f>HEX2DEC(RIGHT(Table13232127535863[[#This Row],[h2]],8))</f>
        <v>0</v>
      </c>
    </row>
    <row r="730" spans="1:18">
      <c r="A730" s="15" t="str">
        <f t="shared" si="16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8" t="s">
        <v>75</v>
      </c>
      <c r="P730" s="48">
        <f>HEX2DEC(RIGHT(Table13232127535863[[#This Row],[h1]],8))</f>
        <v>0</v>
      </c>
      <c r="Q730" s="48" t="s">
        <v>75</v>
      </c>
      <c r="R730" s="48">
        <f>HEX2DEC(RIGHT(Table13232127535863[[#This Row],[h2]],8))</f>
        <v>0</v>
      </c>
    </row>
    <row r="731" spans="1:18">
      <c r="A731" s="15" t="str">
        <f t="shared" si="16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8" t="s">
        <v>75</v>
      </c>
      <c r="P731" s="48">
        <f>HEX2DEC(RIGHT(Table13232127535863[[#This Row],[h1]],8))</f>
        <v>0</v>
      </c>
      <c r="Q731" s="48" t="s">
        <v>75</v>
      </c>
      <c r="R731" s="48">
        <f>HEX2DEC(RIGHT(Table13232127535863[[#This Row],[h2]],8))</f>
        <v>0</v>
      </c>
    </row>
    <row r="732" spans="1:18">
      <c r="A732" s="15" t="str">
        <f t="shared" si="16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8" t="s">
        <v>75</v>
      </c>
      <c r="P732" s="48">
        <f>HEX2DEC(RIGHT(Table13232127535863[[#This Row],[h1]],8))</f>
        <v>0</v>
      </c>
      <c r="Q732" s="48" t="s">
        <v>75</v>
      </c>
      <c r="R732" s="48">
        <f>HEX2DEC(RIGHT(Table13232127535863[[#This Row],[h2]],8))</f>
        <v>0</v>
      </c>
    </row>
    <row r="733" spans="1:18">
      <c r="A733" s="15" t="str">
        <f t="shared" si="16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8" t="s">
        <v>75</v>
      </c>
      <c r="P733" s="48">
        <f>HEX2DEC(RIGHT(Table13232127535863[[#This Row],[h1]],8))</f>
        <v>0</v>
      </c>
      <c r="Q733" s="48" t="s">
        <v>75</v>
      </c>
      <c r="R733" s="48">
        <f>HEX2DEC(RIGHT(Table13232127535863[[#This Row],[h2]],8))</f>
        <v>0</v>
      </c>
    </row>
    <row r="734" spans="1:18">
      <c r="A734" s="15" t="str">
        <f t="shared" si="16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8" t="s">
        <v>75</v>
      </c>
      <c r="P734" s="48">
        <f>HEX2DEC(RIGHT(Table13232127535863[[#This Row],[h1]],8))</f>
        <v>0</v>
      </c>
      <c r="Q734" s="48" t="s">
        <v>75</v>
      </c>
      <c r="R734" s="48">
        <f>HEX2DEC(RIGHT(Table13232127535863[[#This Row],[h2]],8))</f>
        <v>0</v>
      </c>
    </row>
    <row r="735" spans="1:18">
      <c r="A735" s="15" t="str">
        <f t="shared" si="16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8" t="s">
        <v>75</v>
      </c>
      <c r="P735" s="48">
        <f>HEX2DEC(RIGHT(Table13232127535863[[#This Row],[h1]],8))</f>
        <v>0</v>
      </c>
      <c r="Q735" s="48" t="s">
        <v>75</v>
      </c>
      <c r="R735" s="48">
        <f>HEX2DEC(RIGHT(Table13232127535863[[#This Row],[h2]],8))</f>
        <v>0</v>
      </c>
    </row>
    <row r="736" spans="1:18">
      <c r="A736" s="15" t="str">
        <f t="shared" si="16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8" t="s">
        <v>75</v>
      </c>
      <c r="P736" s="48">
        <f>HEX2DEC(RIGHT(Table13232127535863[[#This Row],[h1]],8))</f>
        <v>0</v>
      </c>
      <c r="Q736" s="48" t="s">
        <v>75</v>
      </c>
      <c r="R736" s="48">
        <f>HEX2DEC(RIGHT(Table13232127535863[[#This Row],[h2]],8))</f>
        <v>0</v>
      </c>
    </row>
    <row r="737" spans="1:18">
      <c r="A737" s="15" t="str">
        <f t="shared" si="16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8" t="s">
        <v>75</v>
      </c>
      <c r="P737" s="48">
        <f>HEX2DEC(RIGHT(Table13232127535863[[#This Row],[h1]],8))</f>
        <v>0</v>
      </c>
      <c r="Q737" s="48" t="s">
        <v>75</v>
      </c>
      <c r="R737" s="48">
        <f>HEX2DEC(RIGHT(Table13232127535863[[#This Row],[h2]],8))</f>
        <v>0</v>
      </c>
    </row>
    <row r="738" spans="1:18">
      <c r="A738" s="15" t="str">
        <f t="shared" si="16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8" t="s">
        <v>75</v>
      </c>
      <c r="P738" s="48">
        <f>HEX2DEC(RIGHT(Table13232127535863[[#This Row],[h1]],8))</f>
        <v>0</v>
      </c>
      <c r="Q738" s="48" t="s">
        <v>75</v>
      </c>
      <c r="R738" s="48">
        <f>HEX2DEC(RIGHT(Table13232127535863[[#This Row],[h2]],8))</f>
        <v>0</v>
      </c>
    </row>
    <row r="739" spans="1:18">
      <c r="A739" s="15" t="str">
        <f t="shared" si="16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8" t="s">
        <v>75</v>
      </c>
      <c r="P739" s="48">
        <f>HEX2DEC(RIGHT(Table13232127535863[[#This Row],[h1]],8))</f>
        <v>0</v>
      </c>
      <c r="Q739" s="48" t="s">
        <v>75</v>
      </c>
      <c r="R739" s="48">
        <f>HEX2DEC(RIGHT(Table13232127535863[[#This Row],[h2]],8))</f>
        <v>0</v>
      </c>
    </row>
    <row r="740" spans="1:18">
      <c r="A740" s="15" t="str">
        <f t="shared" si="16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8" t="s">
        <v>75</v>
      </c>
      <c r="P740" s="48">
        <f>HEX2DEC(RIGHT(Table13232127535863[[#This Row],[h1]],8))</f>
        <v>0</v>
      </c>
      <c r="Q740" s="48" t="s">
        <v>75</v>
      </c>
      <c r="R740" s="48">
        <f>HEX2DEC(RIGHT(Table13232127535863[[#This Row],[h2]],8))</f>
        <v>0</v>
      </c>
    </row>
    <row r="741" spans="1:18">
      <c r="A741" s="15" t="str">
        <f t="shared" si="16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8" t="s">
        <v>75</v>
      </c>
      <c r="P741" s="48">
        <f>HEX2DEC(RIGHT(Table13232127535863[[#This Row],[h1]],8))</f>
        <v>0</v>
      </c>
      <c r="Q741" s="48" t="s">
        <v>75</v>
      </c>
      <c r="R741" s="48">
        <f>HEX2DEC(RIGHT(Table13232127535863[[#This Row],[h2]],8))</f>
        <v>0</v>
      </c>
    </row>
    <row r="742" spans="1:18">
      <c r="A742" s="15" t="str">
        <f t="shared" si="16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8" t="s">
        <v>75</v>
      </c>
      <c r="P742" s="48">
        <f>HEX2DEC(RIGHT(Table13232127535863[[#This Row],[h1]],8))</f>
        <v>0</v>
      </c>
      <c r="Q742" s="48" t="s">
        <v>75</v>
      </c>
      <c r="R742" s="48">
        <f>HEX2DEC(RIGHT(Table13232127535863[[#This Row],[h2]],8))</f>
        <v>0</v>
      </c>
    </row>
    <row r="743" spans="1:18">
      <c r="A743" s="15" t="str">
        <f t="shared" si="16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8" t="s">
        <v>75</v>
      </c>
      <c r="P743" s="48">
        <f>HEX2DEC(RIGHT(Table13232127535863[[#This Row],[h1]],8))</f>
        <v>0</v>
      </c>
      <c r="Q743" s="48" t="s">
        <v>75</v>
      </c>
      <c r="R743" s="48">
        <f>HEX2DEC(RIGHT(Table13232127535863[[#This Row],[h2]],8))</f>
        <v>0</v>
      </c>
    </row>
    <row r="744" spans="1:18">
      <c r="A744" s="15" t="str">
        <f t="shared" si="16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8" t="s">
        <v>75</v>
      </c>
      <c r="P744" s="48">
        <f>HEX2DEC(RIGHT(Table13232127535863[[#This Row],[h1]],8))</f>
        <v>0</v>
      </c>
      <c r="Q744" s="48" t="s">
        <v>75</v>
      </c>
      <c r="R744" s="48">
        <f>HEX2DEC(RIGHT(Table13232127535863[[#This Row],[h2]],8))</f>
        <v>0</v>
      </c>
    </row>
    <row r="745" spans="1:18">
      <c r="A745" s="15" t="str">
        <f t="shared" si="16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8" t="s">
        <v>75</v>
      </c>
      <c r="P745" s="48">
        <f>HEX2DEC(RIGHT(Table13232127535863[[#This Row],[h1]],8))</f>
        <v>0</v>
      </c>
      <c r="Q745" s="48" t="s">
        <v>75</v>
      </c>
      <c r="R745" s="48">
        <f>HEX2DEC(RIGHT(Table13232127535863[[#This Row],[h2]],8))</f>
        <v>0</v>
      </c>
    </row>
    <row r="746" spans="1:18">
      <c r="A746" s="15" t="str">
        <f t="shared" si="16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8" t="s">
        <v>75</v>
      </c>
      <c r="P746" s="48">
        <f>HEX2DEC(RIGHT(Table13232127535863[[#This Row],[h1]],8))</f>
        <v>0</v>
      </c>
      <c r="Q746" s="48" t="s">
        <v>75</v>
      </c>
      <c r="R746" s="48">
        <f>HEX2DEC(RIGHT(Table13232127535863[[#This Row],[h2]],8))</f>
        <v>0</v>
      </c>
    </row>
    <row r="747" spans="1:18">
      <c r="A747" s="15" t="str">
        <f t="shared" si="16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8" t="s">
        <v>75</v>
      </c>
      <c r="P747" s="48">
        <f>HEX2DEC(RIGHT(Table13232127535863[[#This Row],[h1]],8))</f>
        <v>0</v>
      </c>
      <c r="Q747" s="48" t="s">
        <v>75</v>
      </c>
      <c r="R747" s="48">
        <f>HEX2DEC(RIGHT(Table13232127535863[[#This Row],[h2]],8))</f>
        <v>0</v>
      </c>
    </row>
    <row r="748" spans="1:18">
      <c r="A748" s="15" t="str">
        <f t="shared" si="16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8" t="s">
        <v>75</v>
      </c>
      <c r="P748" s="48">
        <f>HEX2DEC(RIGHT(Table13232127535863[[#This Row],[h1]],8))</f>
        <v>0</v>
      </c>
      <c r="Q748" s="48" t="s">
        <v>75</v>
      </c>
      <c r="R748" s="48">
        <f>HEX2DEC(RIGHT(Table13232127535863[[#This Row],[h2]],8))</f>
        <v>0</v>
      </c>
    </row>
    <row r="749" spans="1:18">
      <c r="A749" s="15" t="str">
        <f t="shared" si="16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8" t="s">
        <v>75</v>
      </c>
      <c r="P749" s="48">
        <f>HEX2DEC(RIGHT(Table13232127535863[[#This Row],[h1]],8))</f>
        <v>0</v>
      </c>
      <c r="Q749" s="48" t="s">
        <v>75</v>
      </c>
      <c r="R749" s="48">
        <f>HEX2DEC(RIGHT(Table13232127535863[[#This Row],[h2]],8))</f>
        <v>0</v>
      </c>
    </row>
    <row r="750" spans="1:18">
      <c r="A750" s="15" t="str">
        <f t="shared" si="16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8" t="s">
        <v>75</v>
      </c>
      <c r="P750" s="48">
        <f>HEX2DEC(RIGHT(Table13232127535863[[#This Row],[h1]],8))</f>
        <v>0</v>
      </c>
      <c r="Q750" s="48" t="s">
        <v>75</v>
      </c>
      <c r="R750" s="48">
        <f>HEX2DEC(RIGHT(Table13232127535863[[#This Row],[h2]],8))</f>
        <v>0</v>
      </c>
    </row>
    <row r="751" spans="1:18">
      <c r="A751" s="15" t="str">
        <f t="shared" si="16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8" t="s">
        <v>75</v>
      </c>
      <c r="P751" s="48">
        <f>HEX2DEC(RIGHT(Table13232127535863[[#This Row],[h1]],8))</f>
        <v>0</v>
      </c>
      <c r="Q751" s="48" t="s">
        <v>75</v>
      </c>
      <c r="R751" s="48">
        <f>HEX2DEC(RIGHT(Table13232127535863[[#This Row],[h2]],8))</f>
        <v>0</v>
      </c>
    </row>
    <row r="752" spans="1:18">
      <c r="A752" s="15" t="str">
        <f t="shared" si="16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8" t="s">
        <v>75</v>
      </c>
      <c r="P752" s="48">
        <f>HEX2DEC(RIGHT(Table13232127535863[[#This Row],[h1]],8))</f>
        <v>0</v>
      </c>
      <c r="Q752" s="48" t="s">
        <v>75</v>
      </c>
      <c r="R752" s="48">
        <f>HEX2DEC(RIGHT(Table13232127535863[[#This Row],[h2]],8))</f>
        <v>0</v>
      </c>
    </row>
    <row r="753" spans="1:18">
      <c r="A753" s="15" t="str">
        <f t="shared" si="16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8" t="s">
        <v>75</v>
      </c>
      <c r="P753" s="48">
        <f>HEX2DEC(RIGHT(Table13232127535863[[#This Row],[h1]],8))</f>
        <v>0</v>
      </c>
      <c r="Q753" s="48" t="s">
        <v>75</v>
      </c>
      <c r="R753" s="48">
        <f>HEX2DEC(RIGHT(Table13232127535863[[#This Row],[h2]],8))</f>
        <v>0</v>
      </c>
    </row>
    <row r="754" spans="1:18">
      <c r="A754" s="15" t="str">
        <f t="shared" si="16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8" t="s">
        <v>75</v>
      </c>
      <c r="P754" s="48">
        <f>HEX2DEC(RIGHT(Table13232127535863[[#This Row],[h1]],8))</f>
        <v>0</v>
      </c>
      <c r="Q754" s="48" t="s">
        <v>75</v>
      </c>
      <c r="R754" s="48">
        <f>HEX2DEC(RIGHT(Table13232127535863[[#This Row],[h2]],8))</f>
        <v>0</v>
      </c>
    </row>
    <row r="755" spans="1:18">
      <c r="A755" s="15" t="str">
        <f t="shared" si="16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8" t="s">
        <v>75</v>
      </c>
      <c r="P755" s="48">
        <f>HEX2DEC(RIGHT(Table13232127535863[[#This Row],[h1]],8))</f>
        <v>0</v>
      </c>
      <c r="Q755" s="48" t="s">
        <v>75</v>
      </c>
      <c r="R755" s="48">
        <f>HEX2DEC(RIGHT(Table13232127535863[[#This Row],[h2]],8))</f>
        <v>0</v>
      </c>
    </row>
    <row r="756" spans="1:18">
      <c r="A756" s="15" t="str">
        <f t="shared" si="16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8" t="s">
        <v>75</v>
      </c>
      <c r="P756" s="48">
        <f>HEX2DEC(RIGHT(Table13232127535863[[#This Row],[h1]],8))</f>
        <v>0</v>
      </c>
      <c r="Q756" s="48" t="s">
        <v>75</v>
      </c>
      <c r="R756" s="48">
        <f>HEX2DEC(RIGHT(Table13232127535863[[#This Row],[h2]],8))</f>
        <v>0</v>
      </c>
    </row>
    <row r="757" spans="1:18">
      <c r="A757" s="15" t="str">
        <f t="shared" si="16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8" t="s">
        <v>75</v>
      </c>
      <c r="P757" s="48">
        <f>HEX2DEC(RIGHT(Table13232127535863[[#This Row],[h1]],8))</f>
        <v>0</v>
      </c>
      <c r="Q757" s="48" t="s">
        <v>75</v>
      </c>
      <c r="R757" s="48">
        <f>HEX2DEC(RIGHT(Table13232127535863[[#This Row],[h2]],8))</f>
        <v>0</v>
      </c>
    </row>
    <row r="758" spans="1:18">
      <c r="A758" s="15" t="str">
        <f t="shared" si="16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8" t="s">
        <v>75</v>
      </c>
      <c r="P758" s="48">
        <f>HEX2DEC(RIGHT(Table13232127535863[[#This Row],[h1]],8))</f>
        <v>0</v>
      </c>
      <c r="Q758" s="48" t="s">
        <v>75</v>
      </c>
      <c r="R758" s="48">
        <f>HEX2DEC(RIGHT(Table13232127535863[[#This Row],[h2]],8))</f>
        <v>0</v>
      </c>
    </row>
    <row r="759" spans="1:18">
      <c r="A759" s="15" t="str">
        <f t="shared" si="16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8" t="s">
        <v>75</v>
      </c>
      <c r="P759" s="48">
        <f>HEX2DEC(RIGHT(Table13232127535863[[#This Row],[h1]],8))</f>
        <v>0</v>
      </c>
      <c r="Q759" s="48" t="s">
        <v>75</v>
      </c>
      <c r="R759" s="48">
        <f>HEX2DEC(RIGHT(Table13232127535863[[#This Row],[h2]],8))</f>
        <v>0</v>
      </c>
    </row>
    <row r="760" spans="1:18">
      <c r="A760" s="15" t="str">
        <f t="shared" si="16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8" t="s">
        <v>75</v>
      </c>
      <c r="P760" s="48">
        <f>HEX2DEC(RIGHT(Table13232127535863[[#This Row],[h1]],8))</f>
        <v>0</v>
      </c>
      <c r="Q760" s="48" t="s">
        <v>75</v>
      </c>
      <c r="R760" s="48">
        <f>HEX2DEC(RIGHT(Table13232127535863[[#This Row],[h2]],8))</f>
        <v>0</v>
      </c>
    </row>
    <row r="761" spans="1:18">
      <c r="A761" s="15" t="str">
        <f t="shared" si="16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8" t="s">
        <v>75</v>
      </c>
      <c r="P761" s="48">
        <f>HEX2DEC(RIGHT(Table13232127535863[[#This Row],[h1]],8))</f>
        <v>0</v>
      </c>
      <c r="Q761" s="48" t="s">
        <v>75</v>
      </c>
      <c r="R761" s="48">
        <f>HEX2DEC(RIGHT(Table13232127535863[[#This Row],[h2]],8))</f>
        <v>0</v>
      </c>
    </row>
    <row r="762" spans="1:18">
      <c r="A762" s="15" t="str">
        <f t="shared" si="16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8" t="s">
        <v>75</v>
      </c>
      <c r="P762" s="48">
        <f>HEX2DEC(RIGHT(Table13232127535863[[#This Row],[h1]],8))</f>
        <v>0</v>
      </c>
      <c r="Q762" s="48" t="s">
        <v>75</v>
      </c>
      <c r="R762" s="48">
        <f>HEX2DEC(RIGHT(Table13232127535863[[#This Row],[h2]],8))</f>
        <v>0</v>
      </c>
    </row>
    <row r="763" spans="1:18">
      <c r="A763" s="15" t="str">
        <f t="shared" si="16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8" t="s">
        <v>75</v>
      </c>
      <c r="P763" s="48">
        <f>HEX2DEC(RIGHT(Table13232127535863[[#This Row],[h1]],8))</f>
        <v>0</v>
      </c>
      <c r="Q763" s="48" t="s">
        <v>75</v>
      </c>
      <c r="R763" s="48">
        <f>HEX2DEC(RIGHT(Table13232127535863[[#This Row],[h2]],8))</f>
        <v>0</v>
      </c>
    </row>
    <row r="764" spans="1:18">
      <c r="A764" s="15" t="str">
        <f t="shared" si="16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8" t="s">
        <v>75</v>
      </c>
      <c r="P764" s="48">
        <f>HEX2DEC(RIGHT(Table13232127535863[[#This Row],[h1]],8))</f>
        <v>0</v>
      </c>
      <c r="Q764" s="48" t="s">
        <v>75</v>
      </c>
      <c r="R764" s="48">
        <f>HEX2DEC(RIGHT(Table13232127535863[[#This Row],[h2]],8))</f>
        <v>0</v>
      </c>
    </row>
    <row r="765" spans="1:18">
      <c r="A765" s="15" t="str">
        <f t="shared" si="16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8" t="s">
        <v>75</v>
      </c>
      <c r="P765" s="48">
        <f>HEX2DEC(RIGHT(Table13232127535863[[#This Row],[h1]],8))</f>
        <v>0</v>
      </c>
      <c r="Q765" s="48" t="s">
        <v>75</v>
      </c>
      <c r="R765" s="48">
        <f>HEX2DEC(RIGHT(Table13232127535863[[#This Row],[h2]],8))</f>
        <v>0</v>
      </c>
    </row>
    <row r="766" spans="1:18">
      <c r="A766" s="15" t="str">
        <f t="shared" si="16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8" t="s">
        <v>75</v>
      </c>
      <c r="P766" s="48">
        <f>HEX2DEC(RIGHT(Table13232127535863[[#This Row],[h1]],8))</f>
        <v>0</v>
      </c>
      <c r="Q766" s="48" t="s">
        <v>75</v>
      </c>
      <c r="R766" s="48">
        <f>HEX2DEC(RIGHT(Table13232127535863[[#This Row],[h2]],8))</f>
        <v>0</v>
      </c>
    </row>
    <row r="767" spans="1:18">
      <c r="A767" s="15" t="str">
        <f t="shared" si="16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8" t="s">
        <v>75</v>
      </c>
      <c r="P767" s="48">
        <f>HEX2DEC(RIGHT(Table13232127535863[[#This Row],[h1]],8))</f>
        <v>0</v>
      </c>
      <c r="Q767" s="48" t="s">
        <v>75</v>
      </c>
      <c r="R767" s="48">
        <f>HEX2DEC(RIGHT(Table13232127535863[[#This Row],[h2]],8))</f>
        <v>0</v>
      </c>
    </row>
    <row r="768" spans="1:18">
      <c r="A768" s="15" t="str">
        <f t="shared" si="16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8" t="s">
        <v>75</v>
      </c>
      <c r="P768" s="48">
        <f>HEX2DEC(RIGHT(Table13232127535863[[#This Row],[h1]],8))</f>
        <v>0</v>
      </c>
      <c r="Q768" s="48" t="s">
        <v>75</v>
      </c>
      <c r="R768" s="48">
        <f>HEX2DEC(RIGHT(Table13232127535863[[#This Row],[h2]],8))</f>
        <v>0</v>
      </c>
    </row>
    <row r="769" spans="1:18">
      <c r="A769" s="15" t="str">
        <f t="shared" si="16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8" t="s">
        <v>75</v>
      </c>
      <c r="P769" s="48">
        <f>HEX2DEC(RIGHT(Table13232127535863[[#This Row],[h1]],8))</f>
        <v>0</v>
      </c>
      <c r="Q769" s="48" t="s">
        <v>75</v>
      </c>
      <c r="R769" s="48">
        <f>HEX2DEC(RIGHT(Table13232127535863[[#This Row],[h2]],8))</f>
        <v>0</v>
      </c>
    </row>
    <row r="770" spans="1:18">
      <c r="A770" s="15" t="str">
        <f t="shared" si="16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8" t="s">
        <v>75</v>
      </c>
      <c r="P770" s="48">
        <f>HEX2DEC(RIGHT(Table13232127535863[[#This Row],[h1]],8))</f>
        <v>0</v>
      </c>
      <c r="Q770" s="48" t="s">
        <v>75</v>
      </c>
      <c r="R770" s="48">
        <f>HEX2DEC(RIGHT(Table13232127535863[[#This Row],[h2]],8))</f>
        <v>0</v>
      </c>
    </row>
    <row r="771" spans="1:18">
      <c r="A771" s="15" t="str">
        <f t="shared" si="16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8" t="s">
        <v>75</v>
      </c>
      <c r="P771" s="48">
        <f>HEX2DEC(RIGHT(Table13232127535863[[#This Row],[h1]],8))</f>
        <v>0</v>
      </c>
      <c r="Q771" s="48" t="s">
        <v>75</v>
      </c>
      <c r="R771" s="48">
        <f>HEX2DEC(RIGHT(Table13232127535863[[#This Row],[h2]],8))</f>
        <v>0</v>
      </c>
    </row>
    <row r="772" spans="1:18">
      <c r="A772" s="15" t="str">
        <f t="shared" si="16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8" t="s">
        <v>75</v>
      </c>
      <c r="P772" s="48">
        <f>HEX2DEC(RIGHT(Table13232127535863[[#This Row],[h1]],8))</f>
        <v>0</v>
      </c>
      <c r="Q772" s="48" t="s">
        <v>75</v>
      </c>
      <c r="R772" s="48">
        <f>HEX2DEC(RIGHT(Table13232127535863[[#This Row],[h2]],8))</f>
        <v>0</v>
      </c>
    </row>
    <row r="773" spans="1:18">
      <c r="A773" s="15" t="str">
        <f t="shared" si="16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8" t="s">
        <v>75</v>
      </c>
      <c r="P773" s="48">
        <f>HEX2DEC(RIGHT(Table13232127535863[[#This Row],[h1]],8))</f>
        <v>0</v>
      </c>
      <c r="Q773" s="48" t="s">
        <v>75</v>
      </c>
      <c r="R773" s="48">
        <f>HEX2DEC(RIGHT(Table13232127535863[[#This Row],[h2]],8))</f>
        <v>0</v>
      </c>
    </row>
    <row r="774" spans="1:18">
      <c r="A774" s="15" t="str">
        <f t="shared" si="16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8" t="s">
        <v>75</v>
      </c>
      <c r="P774" s="48">
        <f>HEX2DEC(RIGHT(Table13232127535863[[#This Row],[h1]],8))</f>
        <v>0</v>
      </c>
      <c r="Q774" s="48" t="s">
        <v>75</v>
      </c>
      <c r="R774" s="48">
        <f>HEX2DEC(RIGHT(Table13232127535863[[#This Row],[h2]],8))</f>
        <v>0</v>
      </c>
    </row>
    <row r="775" spans="1:18">
      <c r="A775" s="15" t="str">
        <f t="shared" si="16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8" t="s">
        <v>75</v>
      </c>
      <c r="P775" s="48">
        <f>HEX2DEC(RIGHT(Table13232127535863[[#This Row],[h1]],8))</f>
        <v>0</v>
      </c>
      <c r="Q775" s="48" t="s">
        <v>75</v>
      </c>
      <c r="R775" s="48">
        <f>HEX2DEC(RIGHT(Table13232127535863[[#This Row],[h2]],8))</f>
        <v>0</v>
      </c>
    </row>
    <row r="776" spans="1:18">
      <c r="A776" s="15" t="str">
        <f t="shared" si="16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8" t="s">
        <v>75</v>
      </c>
      <c r="P776" s="48">
        <f>HEX2DEC(RIGHT(Table13232127535863[[#This Row],[h1]],8))</f>
        <v>0</v>
      </c>
      <c r="Q776" s="48" t="s">
        <v>75</v>
      </c>
      <c r="R776" s="48">
        <f>HEX2DEC(RIGHT(Table13232127535863[[#This Row],[h2]],8))</f>
        <v>0</v>
      </c>
    </row>
    <row r="777" spans="1:18">
      <c r="A777" s="15" t="str">
        <f t="shared" si="16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8" t="s">
        <v>75</v>
      </c>
      <c r="P777" s="48">
        <f>HEX2DEC(RIGHT(Table13232127535863[[#This Row],[h1]],8))</f>
        <v>0</v>
      </c>
      <c r="Q777" s="48" t="s">
        <v>75</v>
      </c>
      <c r="R777" s="48">
        <f>HEX2DEC(RIGHT(Table13232127535863[[#This Row],[h2]],8))</f>
        <v>0</v>
      </c>
    </row>
    <row r="778" spans="1:18">
      <c r="A778" s="15" t="str">
        <f t="shared" si="16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8" t="s">
        <v>75</v>
      </c>
      <c r="P778" s="48">
        <f>HEX2DEC(RIGHT(Table13232127535863[[#This Row],[h1]],8))</f>
        <v>0</v>
      </c>
      <c r="Q778" s="48" t="s">
        <v>75</v>
      </c>
      <c r="R778" s="48">
        <f>HEX2DEC(RIGHT(Table13232127535863[[#This Row],[h2]],8))</f>
        <v>0</v>
      </c>
    </row>
    <row r="779" spans="1:18">
      <c r="A779" s="15" t="str">
        <f t="shared" ref="A779:A842" si="17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8" t="s">
        <v>75</v>
      </c>
      <c r="P779" s="48">
        <f>HEX2DEC(RIGHT(Table13232127535863[[#This Row],[h1]],8))</f>
        <v>0</v>
      </c>
      <c r="Q779" s="48" t="s">
        <v>75</v>
      </c>
      <c r="R779" s="48">
        <f>HEX2DEC(RIGHT(Table13232127535863[[#This Row],[h2]],8))</f>
        <v>0</v>
      </c>
    </row>
    <row r="780" spans="1:18">
      <c r="A780" s="15" t="str">
        <f t="shared" si="17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8" t="s">
        <v>75</v>
      </c>
      <c r="P780" s="48">
        <f>HEX2DEC(RIGHT(Table13232127535863[[#This Row],[h1]],8))</f>
        <v>0</v>
      </c>
      <c r="Q780" s="48" t="s">
        <v>75</v>
      </c>
      <c r="R780" s="48">
        <f>HEX2DEC(RIGHT(Table13232127535863[[#This Row],[h2]],8))</f>
        <v>0</v>
      </c>
    </row>
    <row r="781" spans="1:18">
      <c r="A781" s="15" t="str">
        <f t="shared" si="17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8" t="s">
        <v>75</v>
      </c>
      <c r="P781" s="48">
        <f>HEX2DEC(RIGHT(Table13232127535863[[#This Row],[h1]],8))</f>
        <v>0</v>
      </c>
      <c r="Q781" s="48" t="s">
        <v>75</v>
      </c>
      <c r="R781" s="48">
        <f>HEX2DEC(RIGHT(Table13232127535863[[#This Row],[h2]],8))</f>
        <v>0</v>
      </c>
    </row>
    <row r="782" spans="1:18">
      <c r="A782" s="15" t="str">
        <f t="shared" si="17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8" t="s">
        <v>75</v>
      </c>
      <c r="P782" s="48">
        <f>HEX2DEC(RIGHT(Table13232127535863[[#This Row],[h1]],8))</f>
        <v>0</v>
      </c>
      <c r="Q782" s="48" t="s">
        <v>75</v>
      </c>
      <c r="R782" s="48">
        <f>HEX2DEC(RIGHT(Table13232127535863[[#This Row],[h2]],8))</f>
        <v>0</v>
      </c>
    </row>
    <row r="783" spans="1:18">
      <c r="A783" s="15" t="str">
        <f t="shared" si="17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8" t="s">
        <v>75</v>
      </c>
      <c r="P783" s="48">
        <f>HEX2DEC(RIGHT(Table13232127535863[[#This Row],[h1]],8))</f>
        <v>0</v>
      </c>
      <c r="Q783" s="48" t="s">
        <v>75</v>
      </c>
      <c r="R783" s="48">
        <f>HEX2DEC(RIGHT(Table13232127535863[[#This Row],[h2]],8))</f>
        <v>0</v>
      </c>
    </row>
    <row r="784" spans="1:18">
      <c r="A784" s="15" t="str">
        <f t="shared" si="17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8" t="s">
        <v>75</v>
      </c>
      <c r="P784" s="48">
        <f>HEX2DEC(RIGHT(Table13232127535863[[#This Row],[h1]],8))</f>
        <v>0</v>
      </c>
      <c r="Q784" s="48" t="s">
        <v>75</v>
      </c>
      <c r="R784" s="48">
        <f>HEX2DEC(RIGHT(Table13232127535863[[#This Row],[h2]],8))</f>
        <v>0</v>
      </c>
    </row>
    <row r="785" spans="1:18">
      <c r="A785" s="15" t="str">
        <f t="shared" si="17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8" t="s">
        <v>75</v>
      </c>
      <c r="P785" s="48">
        <f>HEX2DEC(RIGHT(Table13232127535863[[#This Row],[h1]],8))</f>
        <v>0</v>
      </c>
      <c r="Q785" s="48" t="s">
        <v>75</v>
      </c>
      <c r="R785" s="48">
        <f>HEX2DEC(RIGHT(Table13232127535863[[#This Row],[h2]],8))</f>
        <v>0</v>
      </c>
    </row>
    <row r="786" spans="1:18">
      <c r="A786" s="15" t="str">
        <f t="shared" si="17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8" t="s">
        <v>75</v>
      </c>
      <c r="P786" s="48">
        <f>HEX2DEC(RIGHT(Table13232127535863[[#This Row],[h1]],8))</f>
        <v>0</v>
      </c>
      <c r="Q786" s="48" t="s">
        <v>75</v>
      </c>
      <c r="R786" s="48">
        <f>HEX2DEC(RIGHT(Table13232127535863[[#This Row],[h2]],8))</f>
        <v>0</v>
      </c>
    </row>
    <row r="787" spans="1:18">
      <c r="A787" s="15" t="str">
        <f t="shared" si="17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8" t="s">
        <v>75</v>
      </c>
      <c r="P787" s="48">
        <f>HEX2DEC(RIGHT(Table13232127535863[[#This Row],[h1]],8))</f>
        <v>0</v>
      </c>
      <c r="Q787" s="48" t="s">
        <v>75</v>
      </c>
      <c r="R787" s="48">
        <f>HEX2DEC(RIGHT(Table13232127535863[[#This Row],[h2]],8))</f>
        <v>0</v>
      </c>
    </row>
    <row r="788" spans="1:18">
      <c r="A788" s="15" t="str">
        <f t="shared" si="17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8" t="s">
        <v>75</v>
      </c>
      <c r="P788" s="48">
        <f>HEX2DEC(RIGHT(Table13232127535863[[#This Row],[h1]],8))</f>
        <v>0</v>
      </c>
      <c r="Q788" s="48" t="s">
        <v>75</v>
      </c>
      <c r="R788" s="48">
        <f>HEX2DEC(RIGHT(Table13232127535863[[#This Row],[h2]],8))</f>
        <v>0</v>
      </c>
    </row>
    <row r="789" spans="1:18">
      <c r="A789" s="15" t="str">
        <f t="shared" si="17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8" t="s">
        <v>75</v>
      </c>
      <c r="P789" s="48">
        <f>HEX2DEC(RIGHT(Table13232127535863[[#This Row],[h1]],8))</f>
        <v>0</v>
      </c>
      <c r="Q789" s="48" t="s">
        <v>75</v>
      </c>
      <c r="R789" s="48">
        <f>HEX2DEC(RIGHT(Table13232127535863[[#This Row],[h2]],8))</f>
        <v>0</v>
      </c>
    </row>
    <row r="790" spans="1:18">
      <c r="A790" s="15" t="str">
        <f t="shared" si="17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8" t="s">
        <v>75</v>
      </c>
      <c r="P790" s="48">
        <f>HEX2DEC(RIGHT(Table13232127535863[[#This Row],[h1]],8))</f>
        <v>0</v>
      </c>
      <c r="Q790" s="48" t="s">
        <v>75</v>
      </c>
      <c r="R790" s="48">
        <f>HEX2DEC(RIGHT(Table13232127535863[[#This Row],[h2]],8))</f>
        <v>0</v>
      </c>
    </row>
    <row r="791" spans="1:18">
      <c r="A791" s="15" t="str">
        <f t="shared" si="17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8" t="s">
        <v>75</v>
      </c>
      <c r="P791" s="48">
        <f>HEX2DEC(RIGHT(Table13232127535863[[#This Row],[h1]],8))</f>
        <v>0</v>
      </c>
      <c r="Q791" s="48" t="s">
        <v>75</v>
      </c>
      <c r="R791" s="48">
        <f>HEX2DEC(RIGHT(Table13232127535863[[#This Row],[h2]],8))</f>
        <v>0</v>
      </c>
    </row>
    <row r="792" spans="1:18">
      <c r="A792" s="15" t="str">
        <f t="shared" si="17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8" t="s">
        <v>75</v>
      </c>
      <c r="P792" s="48">
        <f>HEX2DEC(RIGHT(Table13232127535863[[#This Row],[h1]],8))</f>
        <v>0</v>
      </c>
      <c r="Q792" s="48" t="s">
        <v>75</v>
      </c>
      <c r="R792" s="48">
        <f>HEX2DEC(RIGHT(Table13232127535863[[#This Row],[h2]],8))</f>
        <v>0</v>
      </c>
    </row>
    <row r="793" spans="1:18">
      <c r="A793" s="15" t="str">
        <f t="shared" si="17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8" t="s">
        <v>75</v>
      </c>
      <c r="P793" s="48">
        <f>HEX2DEC(RIGHT(Table13232127535863[[#This Row],[h1]],8))</f>
        <v>0</v>
      </c>
      <c r="Q793" s="48" t="s">
        <v>75</v>
      </c>
      <c r="R793" s="48">
        <f>HEX2DEC(RIGHT(Table13232127535863[[#This Row],[h2]],8))</f>
        <v>0</v>
      </c>
    </row>
    <row r="794" spans="1:18">
      <c r="A794" s="15" t="str">
        <f t="shared" si="17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8" t="s">
        <v>75</v>
      </c>
      <c r="P794" s="48">
        <f>HEX2DEC(RIGHT(Table13232127535863[[#This Row],[h1]],8))</f>
        <v>0</v>
      </c>
      <c r="Q794" s="48" t="s">
        <v>75</v>
      </c>
      <c r="R794" s="48">
        <f>HEX2DEC(RIGHT(Table13232127535863[[#This Row],[h2]],8))</f>
        <v>0</v>
      </c>
    </row>
    <row r="795" spans="1:18">
      <c r="A795" s="15" t="str">
        <f t="shared" si="17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8" t="s">
        <v>75</v>
      </c>
      <c r="P795" s="48">
        <f>HEX2DEC(RIGHT(Table13232127535863[[#This Row],[h1]],8))</f>
        <v>0</v>
      </c>
      <c r="Q795" s="48" t="s">
        <v>75</v>
      </c>
      <c r="R795" s="48">
        <f>HEX2DEC(RIGHT(Table13232127535863[[#This Row],[h2]],8))</f>
        <v>0</v>
      </c>
    </row>
    <row r="796" spans="1:18">
      <c r="A796" s="15" t="str">
        <f t="shared" si="17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8" t="s">
        <v>75</v>
      </c>
      <c r="P796" s="48">
        <f>HEX2DEC(RIGHT(Table13232127535863[[#This Row],[h1]],8))</f>
        <v>0</v>
      </c>
      <c r="Q796" s="48" t="s">
        <v>75</v>
      </c>
      <c r="R796" s="48">
        <f>HEX2DEC(RIGHT(Table13232127535863[[#This Row],[h2]],8))</f>
        <v>0</v>
      </c>
    </row>
    <row r="797" spans="1:18">
      <c r="A797" s="15" t="str">
        <f t="shared" si="17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8" t="s">
        <v>75</v>
      </c>
      <c r="P797" s="48">
        <f>HEX2DEC(RIGHT(Table13232127535863[[#This Row],[h1]],8))</f>
        <v>0</v>
      </c>
      <c r="Q797" s="48" t="s">
        <v>75</v>
      </c>
      <c r="R797" s="48">
        <f>HEX2DEC(RIGHT(Table13232127535863[[#This Row],[h2]],8))</f>
        <v>0</v>
      </c>
    </row>
    <row r="798" spans="1:18">
      <c r="A798" s="15" t="str">
        <f t="shared" si="17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8" t="s">
        <v>75</v>
      </c>
      <c r="P798" s="48">
        <f>HEX2DEC(RIGHT(Table13232127535863[[#This Row],[h1]],8))</f>
        <v>0</v>
      </c>
      <c r="Q798" s="48" t="s">
        <v>75</v>
      </c>
      <c r="R798" s="48">
        <f>HEX2DEC(RIGHT(Table13232127535863[[#This Row],[h2]],8))</f>
        <v>0</v>
      </c>
    </row>
    <row r="799" spans="1:18">
      <c r="A799" s="15" t="str">
        <f t="shared" si="17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8" t="s">
        <v>75</v>
      </c>
      <c r="P799" s="48">
        <f>HEX2DEC(RIGHT(Table13232127535863[[#This Row],[h1]],8))</f>
        <v>0</v>
      </c>
      <c r="Q799" s="48" t="s">
        <v>75</v>
      </c>
      <c r="R799" s="48">
        <f>HEX2DEC(RIGHT(Table13232127535863[[#This Row],[h2]],8))</f>
        <v>0</v>
      </c>
    </row>
    <row r="800" spans="1:18">
      <c r="A800" s="15" t="str">
        <f t="shared" si="17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8" t="s">
        <v>75</v>
      </c>
      <c r="P800" s="48">
        <f>HEX2DEC(RIGHT(Table13232127535863[[#This Row],[h1]],8))</f>
        <v>0</v>
      </c>
      <c r="Q800" s="48" t="s">
        <v>75</v>
      </c>
      <c r="R800" s="48">
        <f>HEX2DEC(RIGHT(Table13232127535863[[#This Row],[h2]],8))</f>
        <v>0</v>
      </c>
    </row>
    <row r="801" spans="1:18">
      <c r="A801" s="15" t="str">
        <f t="shared" si="17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8" t="s">
        <v>75</v>
      </c>
      <c r="P801" s="48">
        <f>HEX2DEC(RIGHT(Table13232127535863[[#This Row],[h1]],8))</f>
        <v>0</v>
      </c>
      <c r="Q801" s="48" t="s">
        <v>75</v>
      </c>
      <c r="R801" s="48">
        <f>HEX2DEC(RIGHT(Table13232127535863[[#This Row],[h2]],8))</f>
        <v>0</v>
      </c>
    </row>
    <row r="802" spans="1:18">
      <c r="A802" s="15" t="str">
        <f t="shared" si="17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8" t="s">
        <v>75</v>
      </c>
      <c r="P802" s="48">
        <f>HEX2DEC(RIGHT(Table13232127535863[[#This Row],[h1]],8))</f>
        <v>0</v>
      </c>
      <c r="Q802" s="48" t="s">
        <v>75</v>
      </c>
      <c r="R802" s="48">
        <f>HEX2DEC(RIGHT(Table13232127535863[[#This Row],[h2]],8))</f>
        <v>0</v>
      </c>
    </row>
    <row r="803" spans="1:18">
      <c r="A803" s="15" t="str">
        <f t="shared" si="17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8" t="s">
        <v>75</v>
      </c>
      <c r="P803" s="48">
        <f>HEX2DEC(RIGHT(Table13232127535863[[#This Row],[h1]],8))</f>
        <v>0</v>
      </c>
      <c r="Q803" s="48" t="s">
        <v>75</v>
      </c>
      <c r="R803" s="48">
        <f>HEX2DEC(RIGHT(Table13232127535863[[#This Row],[h2]],8))</f>
        <v>0</v>
      </c>
    </row>
    <row r="804" spans="1:18">
      <c r="A804" s="15" t="str">
        <f t="shared" si="17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8" t="s">
        <v>75</v>
      </c>
      <c r="P804" s="48">
        <f>HEX2DEC(RIGHT(Table13232127535863[[#This Row],[h1]],8))</f>
        <v>0</v>
      </c>
      <c r="Q804" s="48" t="s">
        <v>75</v>
      </c>
      <c r="R804" s="48">
        <f>HEX2DEC(RIGHT(Table13232127535863[[#This Row],[h2]],8))</f>
        <v>0</v>
      </c>
    </row>
    <row r="805" spans="1:18">
      <c r="A805" s="15" t="str">
        <f t="shared" si="17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8" t="s">
        <v>75</v>
      </c>
      <c r="P805" s="48">
        <f>HEX2DEC(RIGHT(Table13232127535863[[#This Row],[h1]],8))</f>
        <v>0</v>
      </c>
      <c r="Q805" s="48" t="s">
        <v>75</v>
      </c>
      <c r="R805" s="48">
        <f>HEX2DEC(RIGHT(Table13232127535863[[#This Row],[h2]],8))</f>
        <v>0</v>
      </c>
    </row>
    <row r="806" spans="1:18">
      <c r="A806" s="15" t="str">
        <f t="shared" si="17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8" t="s">
        <v>75</v>
      </c>
      <c r="P806" s="48">
        <f>HEX2DEC(RIGHT(Table13232127535863[[#This Row],[h1]],8))</f>
        <v>0</v>
      </c>
      <c r="Q806" s="48" t="s">
        <v>75</v>
      </c>
      <c r="R806" s="48">
        <f>HEX2DEC(RIGHT(Table13232127535863[[#This Row],[h2]],8))</f>
        <v>0</v>
      </c>
    </row>
    <row r="807" spans="1:18">
      <c r="A807" s="15" t="str">
        <f t="shared" si="17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8" t="s">
        <v>75</v>
      </c>
      <c r="P807" s="48">
        <f>HEX2DEC(RIGHT(Table13232127535863[[#This Row],[h1]],8))</f>
        <v>0</v>
      </c>
      <c r="Q807" s="48" t="s">
        <v>75</v>
      </c>
      <c r="R807" s="48">
        <f>HEX2DEC(RIGHT(Table13232127535863[[#This Row],[h2]],8))</f>
        <v>0</v>
      </c>
    </row>
    <row r="808" spans="1:18">
      <c r="A808" s="15" t="str">
        <f t="shared" si="17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8" t="s">
        <v>75</v>
      </c>
      <c r="P808" s="48">
        <f>HEX2DEC(RIGHT(Table13232127535863[[#This Row],[h1]],8))</f>
        <v>0</v>
      </c>
      <c r="Q808" s="48" t="s">
        <v>75</v>
      </c>
      <c r="R808" s="48">
        <f>HEX2DEC(RIGHT(Table13232127535863[[#This Row],[h2]],8))</f>
        <v>0</v>
      </c>
    </row>
    <row r="809" spans="1:18">
      <c r="A809" s="15" t="str">
        <f t="shared" si="17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8" t="s">
        <v>75</v>
      </c>
      <c r="P809" s="48">
        <f>HEX2DEC(RIGHT(Table13232127535863[[#This Row],[h1]],8))</f>
        <v>0</v>
      </c>
      <c r="Q809" s="48" t="s">
        <v>75</v>
      </c>
      <c r="R809" s="48">
        <f>HEX2DEC(RIGHT(Table13232127535863[[#This Row],[h2]],8))</f>
        <v>0</v>
      </c>
    </row>
    <row r="810" spans="1:18">
      <c r="A810" s="15" t="str">
        <f t="shared" si="17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8" t="s">
        <v>75</v>
      </c>
      <c r="P810" s="48">
        <f>HEX2DEC(RIGHT(Table13232127535863[[#This Row],[h1]],8))</f>
        <v>0</v>
      </c>
      <c r="Q810" s="48" t="s">
        <v>75</v>
      </c>
      <c r="R810" s="48">
        <f>HEX2DEC(RIGHT(Table13232127535863[[#This Row],[h2]],8))</f>
        <v>0</v>
      </c>
    </row>
    <row r="811" spans="1:18">
      <c r="A811" s="15" t="str">
        <f t="shared" si="17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8" t="s">
        <v>75</v>
      </c>
      <c r="P811" s="48">
        <f>HEX2DEC(RIGHT(Table13232127535863[[#This Row],[h1]],8))</f>
        <v>0</v>
      </c>
      <c r="Q811" s="48" t="s">
        <v>75</v>
      </c>
      <c r="R811" s="48">
        <f>HEX2DEC(RIGHT(Table13232127535863[[#This Row],[h2]],8))</f>
        <v>0</v>
      </c>
    </row>
    <row r="812" spans="1:18">
      <c r="A812" s="15" t="str">
        <f t="shared" si="17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8" t="s">
        <v>75</v>
      </c>
      <c r="P812" s="48">
        <f>HEX2DEC(RIGHT(Table13232127535863[[#This Row],[h1]],8))</f>
        <v>0</v>
      </c>
      <c r="Q812" s="48" t="s">
        <v>75</v>
      </c>
      <c r="R812" s="48">
        <f>HEX2DEC(RIGHT(Table13232127535863[[#This Row],[h2]],8))</f>
        <v>0</v>
      </c>
    </row>
    <row r="813" spans="1:18">
      <c r="A813" s="15" t="str">
        <f t="shared" si="17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8" t="s">
        <v>75</v>
      </c>
      <c r="P813" s="48">
        <f>HEX2DEC(RIGHT(Table13232127535863[[#This Row],[h1]],8))</f>
        <v>0</v>
      </c>
      <c r="Q813" s="48" t="s">
        <v>75</v>
      </c>
      <c r="R813" s="48">
        <f>HEX2DEC(RIGHT(Table13232127535863[[#This Row],[h2]],8))</f>
        <v>0</v>
      </c>
    </row>
    <row r="814" spans="1:18">
      <c r="A814" s="15" t="str">
        <f t="shared" si="17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8" t="s">
        <v>75</v>
      </c>
      <c r="P814" s="48">
        <f>HEX2DEC(RIGHT(Table13232127535863[[#This Row],[h1]],8))</f>
        <v>0</v>
      </c>
      <c r="Q814" s="48" t="s">
        <v>75</v>
      </c>
      <c r="R814" s="48">
        <f>HEX2DEC(RIGHT(Table13232127535863[[#This Row],[h2]],8))</f>
        <v>0</v>
      </c>
    </row>
    <row r="815" spans="1:18">
      <c r="A815" s="15" t="str">
        <f t="shared" si="17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8" t="s">
        <v>75</v>
      </c>
      <c r="P815" s="48">
        <f>HEX2DEC(RIGHT(Table13232127535863[[#This Row],[h1]],8))</f>
        <v>0</v>
      </c>
      <c r="Q815" s="48" t="s">
        <v>75</v>
      </c>
      <c r="R815" s="48">
        <f>HEX2DEC(RIGHT(Table13232127535863[[#This Row],[h2]],8))</f>
        <v>0</v>
      </c>
    </row>
    <row r="816" spans="1:18">
      <c r="A816" s="15" t="str">
        <f t="shared" si="17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8" t="s">
        <v>75</v>
      </c>
      <c r="P816" s="48">
        <f>HEX2DEC(RIGHT(Table13232127535863[[#This Row],[h1]],8))</f>
        <v>0</v>
      </c>
      <c r="Q816" s="48" t="s">
        <v>75</v>
      </c>
      <c r="R816" s="48">
        <f>HEX2DEC(RIGHT(Table13232127535863[[#This Row],[h2]],8))</f>
        <v>0</v>
      </c>
    </row>
    <row r="817" spans="1:18">
      <c r="A817" s="15" t="str">
        <f t="shared" si="17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8" t="s">
        <v>75</v>
      </c>
      <c r="P817" s="48">
        <f>HEX2DEC(RIGHT(Table13232127535863[[#This Row],[h1]],8))</f>
        <v>0</v>
      </c>
      <c r="Q817" s="48" t="s">
        <v>75</v>
      </c>
      <c r="R817" s="48">
        <f>HEX2DEC(RIGHT(Table13232127535863[[#This Row],[h2]],8))</f>
        <v>0</v>
      </c>
    </row>
    <row r="818" spans="1:18">
      <c r="A818" s="15" t="str">
        <f t="shared" si="17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8" t="s">
        <v>75</v>
      </c>
      <c r="P818" s="48">
        <f>HEX2DEC(RIGHT(Table13232127535863[[#This Row],[h1]],8))</f>
        <v>0</v>
      </c>
      <c r="Q818" s="48" t="s">
        <v>75</v>
      </c>
      <c r="R818" s="48">
        <f>HEX2DEC(RIGHT(Table13232127535863[[#This Row],[h2]],8))</f>
        <v>0</v>
      </c>
    </row>
    <row r="819" spans="1:18">
      <c r="A819" s="15" t="str">
        <f t="shared" si="17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8" t="s">
        <v>75</v>
      </c>
      <c r="P819" s="48">
        <f>HEX2DEC(RIGHT(Table13232127535863[[#This Row],[h1]],8))</f>
        <v>0</v>
      </c>
      <c r="Q819" s="48" t="s">
        <v>75</v>
      </c>
      <c r="R819" s="48">
        <f>HEX2DEC(RIGHT(Table13232127535863[[#This Row],[h2]],8))</f>
        <v>0</v>
      </c>
    </row>
    <row r="820" spans="1:18">
      <c r="A820" s="15" t="str">
        <f t="shared" si="17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8" t="s">
        <v>75</v>
      </c>
      <c r="P820" s="48">
        <f>HEX2DEC(RIGHT(Table13232127535863[[#This Row],[h1]],8))</f>
        <v>0</v>
      </c>
      <c r="Q820" s="48" t="s">
        <v>75</v>
      </c>
      <c r="R820" s="48">
        <f>HEX2DEC(RIGHT(Table13232127535863[[#This Row],[h2]],8))</f>
        <v>0</v>
      </c>
    </row>
    <row r="821" spans="1:18">
      <c r="A821" s="15" t="str">
        <f t="shared" si="17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8" t="s">
        <v>75</v>
      </c>
      <c r="P821" s="48">
        <f>HEX2DEC(RIGHT(Table13232127535863[[#This Row],[h1]],8))</f>
        <v>0</v>
      </c>
      <c r="Q821" s="48" t="s">
        <v>75</v>
      </c>
      <c r="R821" s="48">
        <f>HEX2DEC(RIGHT(Table13232127535863[[#This Row],[h2]],8))</f>
        <v>0</v>
      </c>
    </row>
    <row r="822" spans="1:18">
      <c r="A822" s="15" t="str">
        <f t="shared" si="17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8" t="s">
        <v>75</v>
      </c>
      <c r="P822" s="48">
        <f>HEX2DEC(RIGHT(Table13232127535863[[#This Row],[h1]],8))</f>
        <v>0</v>
      </c>
      <c r="Q822" s="48" t="s">
        <v>75</v>
      </c>
      <c r="R822" s="48">
        <f>HEX2DEC(RIGHT(Table13232127535863[[#This Row],[h2]],8))</f>
        <v>0</v>
      </c>
    </row>
    <row r="823" spans="1:18">
      <c r="A823" s="15" t="str">
        <f t="shared" si="17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8" t="s">
        <v>75</v>
      </c>
      <c r="P823" s="48">
        <f>HEX2DEC(RIGHT(Table13232127535863[[#This Row],[h1]],8))</f>
        <v>0</v>
      </c>
      <c r="Q823" s="48" t="s">
        <v>75</v>
      </c>
      <c r="R823" s="48">
        <f>HEX2DEC(RIGHT(Table13232127535863[[#This Row],[h2]],8))</f>
        <v>0</v>
      </c>
    </row>
    <row r="824" spans="1:18">
      <c r="A824" s="15" t="str">
        <f t="shared" si="17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8" t="s">
        <v>75</v>
      </c>
      <c r="P824" s="48">
        <f>HEX2DEC(RIGHT(Table13232127535863[[#This Row],[h1]],8))</f>
        <v>0</v>
      </c>
      <c r="Q824" s="48" t="s">
        <v>75</v>
      </c>
      <c r="R824" s="48">
        <f>HEX2DEC(RIGHT(Table13232127535863[[#This Row],[h2]],8))</f>
        <v>0</v>
      </c>
    </row>
    <row r="825" spans="1:18">
      <c r="A825" s="15" t="str">
        <f t="shared" si="17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8" t="s">
        <v>75</v>
      </c>
      <c r="P825" s="48">
        <f>HEX2DEC(RIGHT(Table13232127535863[[#This Row],[h1]],8))</f>
        <v>0</v>
      </c>
      <c r="Q825" s="48" t="s">
        <v>75</v>
      </c>
      <c r="R825" s="48">
        <f>HEX2DEC(RIGHT(Table13232127535863[[#This Row],[h2]],8))</f>
        <v>0</v>
      </c>
    </row>
    <row r="826" spans="1:18">
      <c r="A826" s="15" t="str">
        <f t="shared" si="17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8" t="s">
        <v>75</v>
      </c>
      <c r="P826" s="48">
        <f>HEX2DEC(RIGHT(Table13232127535863[[#This Row],[h1]],8))</f>
        <v>0</v>
      </c>
      <c r="Q826" s="48" t="s">
        <v>75</v>
      </c>
      <c r="R826" s="48">
        <f>HEX2DEC(RIGHT(Table13232127535863[[#This Row],[h2]],8))</f>
        <v>0</v>
      </c>
    </row>
    <row r="827" spans="1:18">
      <c r="A827" s="15" t="str">
        <f t="shared" si="17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8" t="s">
        <v>75</v>
      </c>
      <c r="P827" s="48">
        <f>HEX2DEC(RIGHT(Table13232127535863[[#This Row],[h1]],8))</f>
        <v>0</v>
      </c>
      <c r="Q827" s="48" t="s">
        <v>75</v>
      </c>
      <c r="R827" s="48">
        <f>HEX2DEC(RIGHT(Table13232127535863[[#This Row],[h2]],8))</f>
        <v>0</v>
      </c>
    </row>
    <row r="828" spans="1:18">
      <c r="A828" s="15" t="str">
        <f t="shared" si="17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8" t="s">
        <v>75</v>
      </c>
      <c r="P828" s="48">
        <f>HEX2DEC(RIGHT(Table13232127535863[[#This Row],[h1]],8))</f>
        <v>0</v>
      </c>
      <c r="Q828" s="48" t="s">
        <v>75</v>
      </c>
      <c r="R828" s="48">
        <f>HEX2DEC(RIGHT(Table13232127535863[[#This Row],[h2]],8))</f>
        <v>0</v>
      </c>
    </row>
    <row r="829" spans="1:18">
      <c r="A829" s="15" t="str">
        <f t="shared" si="17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8" t="s">
        <v>75</v>
      </c>
      <c r="P829" s="48">
        <f>HEX2DEC(RIGHT(Table13232127535863[[#This Row],[h1]],8))</f>
        <v>0</v>
      </c>
      <c r="Q829" s="48" t="s">
        <v>75</v>
      </c>
      <c r="R829" s="48">
        <f>HEX2DEC(RIGHT(Table13232127535863[[#This Row],[h2]],8))</f>
        <v>0</v>
      </c>
    </row>
    <row r="830" spans="1:18">
      <c r="A830" s="15" t="str">
        <f t="shared" si="17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8" t="s">
        <v>75</v>
      </c>
      <c r="P830" s="48">
        <f>HEX2DEC(RIGHT(Table13232127535863[[#This Row],[h1]],8))</f>
        <v>0</v>
      </c>
      <c r="Q830" s="48" t="s">
        <v>75</v>
      </c>
      <c r="R830" s="48">
        <f>HEX2DEC(RIGHT(Table13232127535863[[#This Row],[h2]],8))</f>
        <v>0</v>
      </c>
    </row>
    <row r="831" spans="1:18">
      <c r="A831" s="15" t="str">
        <f t="shared" si="17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8" t="s">
        <v>75</v>
      </c>
      <c r="P831" s="48">
        <f>HEX2DEC(RIGHT(Table13232127535863[[#This Row],[h1]],8))</f>
        <v>0</v>
      </c>
      <c r="Q831" s="48" t="s">
        <v>75</v>
      </c>
      <c r="R831" s="48">
        <f>HEX2DEC(RIGHT(Table13232127535863[[#This Row],[h2]],8))</f>
        <v>0</v>
      </c>
    </row>
    <row r="832" spans="1:18">
      <c r="A832" s="15" t="str">
        <f t="shared" si="17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8" t="s">
        <v>75</v>
      </c>
      <c r="P832" s="48">
        <f>HEX2DEC(RIGHT(Table13232127535863[[#This Row],[h1]],8))</f>
        <v>0</v>
      </c>
      <c r="Q832" s="48" t="s">
        <v>75</v>
      </c>
      <c r="R832" s="48">
        <f>HEX2DEC(RIGHT(Table13232127535863[[#This Row],[h2]],8))</f>
        <v>0</v>
      </c>
    </row>
    <row r="833" spans="1:18">
      <c r="A833" s="15" t="str">
        <f t="shared" si="17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8" t="s">
        <v>75</v>
      </c>
      <c r="P833" s="48">
        <f>HEX2DEC(RIGHT(Table13232127535863[[#This Row],[h1]],8))</f>
        <v>0</v>
      </c>
      <c r="Q833" s="48" t="s">
        <v>75</v>
      </c>
      <c r="R833" s="48">
        <f>HEX2DEC(RIGHT(Table13232127535863[[#This Row],[h2]],8))</f>
        <v>0</v>
      </c>
    </row>
    <row r="834" spans="1:18">
      <c r="A834" s="15" t="str">
        <f t="shared" si="17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8" t="s">
        <v>75</v>
      </c>
      <c r="P834" s="48">
        <f>HEX2DEC(RIGHT(Table13232127535863[[#This Row],[h1]],8))</f>
        <v>0</v>
      </c>
      <c r="Q834" s="48" t="s">
        <v>75</v>
      </c>
      <c r="R834" s="48">
        <f>HEX2DEC(RIGHT(Table13232127535863[[#This Row],[h2]],8))</f>
        <v>0</v>
      </c>
    </row>
    <row r="835" spans="1:18">
      <c r="A835" s="15" t="str">
        <f t="shared" si="17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8" t="s">
        <v>75</v>
      </c>
      <c r="P835" s="48">
        <f>HEX2DEC(RIGHT(Table13232127535863[[#This Row],[h1]],8))</f>
        <v>0</v>
      </c>
      <c r="Q835" s="48" t="s">
        <v>75</v>
      </c>
      <c r="R835" s="48">
        <f>HEX2DEC(RIGHT(Table13232127535863[[#This Row],[h2]],8))</f>
        <v>0</v>
      </c>
    </row>
    <row r="836" spans="1:18">
      <c r="A836" s="15" t="str">
        <f t="shared" si="17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8" t="s">
        <v>75</v>
      </c>
      <c r="P836" s="48">
        <f>HEX2DEC(RIGHT(Table13232127535863[[#This Row],[h1]],8))</f>
        <v>0</v>
      </c>
      <c r="Q836" s="48" t="s">
        <v>75</v>
      </c>
      <c r="R836" s="48">
        <f>HEX2DEC(RIGHT(Table13232127535863[[#This Row],[h2]],8))</f>
        <v>0</v>
      </c>
    </row>
    <row r="837" spans="1:18">
      <c r="A837" s="15" t="str">
        <f t="shared" si="17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8" t="s">
        <v>75</v>
      </c>
      <c r="P837" s="48">
        <f>HEX2DEC(RIGHT(Table13232127535863[[#This Row],[h1]],8))</f>
        <v>0</v>
      </c>
      <c r="Q837" s="48" t="s">
        <v>75</v>
      </c>
      <c r="R837" s="48">
        <f>HEX2DEC(RIGHT(Table13232127535863[[#This Row],[h2]],8))</f>
        <v>0</v>
      </c>
    </row>
    <row r="838" spans="1:18">
      <c r="A838" s="15" t="str">
        <f t="shared" si="17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8" t="s">
        <v>75</v>
      </c>
      <c r="P838" s="48">
        <f>HEX2DEC(RIGHT(Table13232127535863[[#This Row],[h1]],8))</f>
        <v>0</v>
      </c>
      <c r="Q838" s="48" t="s">
        <v>75</v>
      </c>
      <c r="R838" s="48">
        <f>HEX2DEC(RIGHT(Table13232127535863[[#This Row],[h2]],8))</f>
        <v>0</v>
      </c>
    </row>
    <row r="839" spans="1:18">
      <c r="A839" s="15" t="str">
        <f t="shared" si="17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8" t="s">
        <v>75</v>
      </c>
      <c r="P839" s="48">
        <f>HEX2DEC(RIGHT(Table13232127535863[[#This Row],[h1]],8))</f>
        <v>0</v>
      </c>
      <c r="Q839" s="48" t="s">
        <v>75</v>
      </c>
      <c r="R839" s="48">
        <f>HEX2DEC(RIGHT(Table13232127535863[[#This Row],[h2]],8))</f>
        <v>0</v>
      </c>
    </row>
    <row r="840" spans="1:18">
      <c r="A840" s="15" t="str">
        <f t="shared" si="17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8" t="s">
        <v>75</v>
      </c>
      <c r="P840" s="48">
        <f>HEX2DEC(RIGHT(Table13232127535863[[#This Row],[h1]],8))</f>
        <v>0</v>
      </c>
      <c r="Q840" s="48" t="s">
        <v>75</v>
      </c>
      <c r="R840" s="48">
        <f>HEX2DEC(RIGHT(Table13232127535863[[#This Row],[h2]],8))</f>
        <v>0</v>
      </c>
    </row>
    <row r="841" spans="1:18">
      <c r="A841" s="15" t="str">
        <f t="shared" si="17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8" t="s">
        <v>75</v>
      </c>
      <c r="P841" s="48">
        <f>HEX2DEC(RIGHT(Table13232127535863[[#This Row],[h1]],8))</f>
        <v>0</v>
      </c>
      <c r="Q841" s="48" t="s">
        <v>75</v>
      </c>
      <c r="R841" s="48">
        <f>HEX2DEC(RIGHT(Table13232127535863[[#This Row],[h2]],8))</f>
        <v>0</v>
      </c>
    </row>
    <row r="842" spans="1:18">
      <c r="A842" s="15" t="str">
        <f t="shared" si="17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8" t="s">
        <v>75</v>
      </c>
      <c r="P842" s="48">
        <f>HEX2DEC(RIGHT(Table13232127535863[[#This Row],[h1]],8))</f>
        <v>0</v>
      </c>
      <c r="Q842" s="48" t="s">
        <v>75</v>
      </c>
      <c r="R842" s="48">
        <f>HEX2DEC(RIGHT(Table13232127535863[[#This Row],[h2]],8))</f>
        <v>0</v>
      </c>
    </row>
    <row r="843" spans="1:18">
      <c r="A843" s="15" t="str">
        <f t="shared" ref="A843:A906" si="18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8" t="s">
        <v>75</v>
      </c>
      <c r="P843" s="48">
        <f>HEX2DEC(RIGHT(Table13232127535863[[#This Row],[h1]],8))</f>
        <v>0</v>
      </c>
      <c r="Q843" s="48" t="s">
        <v>75</v>
      </c>
      <c r="R843" s="48">
        <f>HEX2DEC(RIGHT(Table13232127535863[[#This Row],[h2]],8))</f>
        <v>0</v>
      </c>
    </row>
    <row r="844" spans="1:18">
      <c r="A844" s="15" t="str">
        <f t="shared" si="18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8" t="s">
        <v>75</v>
      </c>
      <c r="P844" s="48">
        <f>HEX2DEC(RIGHT(Table13232127535863[[#This Row],[h1]],8))</f>
        <v>0</v>
      </c>
      <c r="Q844" s="48" t="s">
        <v>75</v>
      </c>
      <c r="R844" s="48">
        <f>HEX2DEC(RIGHT(Table13232127535863[[#This Row],[h2]],8))</f>
        <v>0</v>
      </c>
    </row>
    <row r="845" spans="1:18">
      <c r="A845" s="15" t="str">
        <f t="shared" si="18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8" t="s">
        <v>75</v>
      </c>
      <c r="P845" s="48">
        <f>HEX2DEC(RIGHT(Table13232127535863[[#This Row],[h1]],8))</f>
        <v>0</v>
      </c>
      <c r="Q845" s="48" t="s">
        <v>75</v>
      </c>
      <c r="R845" s="48">
        <f>HEX2DEC(RIGHT(Table13232127535863[[#This Row],[h2]],8))</f>
        <v>0</v>
      </c>
    </row>
    <row r="846" spans="1:18">
      <c r="A846" s="15" t="str">
        <f t="shared" si="18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8" t="s">
        <v>75</v>
      </c>
      <c r="P846" s="48">
        <f>HEX2DEC(RIGHT(Table13232127535863[[#This Row],[h1]],8))</f>
        <v>0</v>
      </c>
      <c r="Q846" s="48" t="s">
        <v>75</v>
      </c>
      <c r="R846" s="48">
        <f>HEX2DEC(RIGHT(Table13232127535863[[#This Row],[h2]],8))</f>
        <v>0</v>
      </c>
    </row>
    <row r="847" spans="1:18">
      <c r="A847" s="15" t="str">
        <f t="shared" si="18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8" t="s">
        <v>75</v>
      </c>
      <c r="P847" s="48">
        <f>HEX2DEC(RIGHT(Table13232127535863[[#This Row],[h1]],8))</f>
        <v>0</v>
      </c>
      <c r="Q847" s="48" t="s">
        <v>75</v>
      </c>
      <c r="R847" s="48">
        <f>HEX2DEC(RIGHT(Table13232127535863[[#This Row],[h2]],8))</f>
        <v>0</v>
      </c>
    </row>
    <row r="848" spans="1:18">
      <c r="A848" s="15" t="str">
        <f t="shared" si="18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8" t="s">
        <v>75</v>
      </c>
      <c r="P848" s="48">
        <f>HEX2DEC(RIGHT(Table13232127535863[[#This Row],[h1]],8))</f>
        <v>0</v>
      </c>
      <c r="Q848" s="48" t="s">
        <v>75</v>
      </c>
      <c r="R848" s="48">
        <f>HEX2DEC(RIGHT(Table13232127535863[[#This Row],[h2]],8))</f>
        <v>0</v>
      </c>
    </row>
    <row r="849" spans="1:18">
      <c r="A849" s="15" t="str">
        <f t="shared" si="18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8" t="s">
        <v>75</v>
      </c>
      <c r="P849" s="48">
        <f>HEX2DEC(RIGHT(Table13232127535863[[#This Row],[h1]],8))</f>
        <v>0</v>
      </c>
      <c r="Q849" s="48" t="s">
        <v>75</v>
      </c>
      <c r="R849" s="48">
        <f>HEX2DEC(RIGHT(Table13232127535863[[#This Row],[h2]],8))</f>
        <v>0</v>
      </c>
    </row>
    <row r="850" spans="1:18">
      <c r="A850" s="15" t="str">
        <f t="shared" si="18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8" t="s">
        <v>75</v>
      </c>
      <c r="P850" s="48">
        <f>HEX2DEC(RIGHT(Table13232127535863[[#This Row],[h1]],8))</f>
        <v>0</v>
      </c>
      <c r="Q850" s="48" t="s">
        <v>75</v>
      </c>
      <c r="R850" s="48">
        <f>HEX2DEC(RIGHT(Table13232127535863[[#This Row],[h2]],8))</f>
        <v>0</v>
      </c>
    </row>
    <row r="851" spans="1:18">
      <c r="A851" s="15" t="str">
        <f t="shared" si="18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8" t="s">
        <v>75</v>
      </c>
      <c r="P851" s="48">
        <f>HEX2DEC(RIGHT(Table13232127535863[[#This Row],[h1]],8))</f>
        <v>0</v>
      </c>
      <c r="Q851" s="48" t="s">
        <v>75</v>
      </c>
      <c r="R851" s="48">
        <f>HEX2DEC(RIGHT(Table13232127535863[[#This Row],[h2]],8))</f>
        <v>0</v>
      </c>
    </row>
    <row r="852" spans="1:18">
      <c r="A852" s="15" t="str">
        <f t="shared" si="18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8" t="s">
        <v>75</v>
      </c>
      <c r="P852" s="48">
        <f>HEX2DEC(RIGHT(Table13232127535863[[#This Row],[h1]],8))</f>
        <v>0</v>
      </c>
      <c r="Q852" s="48" t="s">
        <v>75</v>
      </c>
      <c r="R852" s="48">
        <f>HEX2DEC(RIGHT(Table13232127535863[[#This Row],[h2]],8))</f>
        <v>0</v>
      </c>
    </row>
    <row r="853" spans="1:18">
      <c r="A853" s="15" t="str">
        <f t="shared" si="18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8" t="s">
        <v>75</v>
      </c>
      <c r="P853" s="48">
        <f>HEX2DEC(RIGHT(Table13232127535863[[#This Row],[h1]],8))</f>
        <v>0</v>
      </c>
      <c r="Q853" s="48" t="s">
        <v>75</v>
      </c>
      <c r="R853" s="48">
        <f>HEX2DEC(RIGHT(Table13232127535863[[#This Row],[h2]],8))</f>
        <v>0</v>
      </c>
    </row>
    <row r="854" spans="1:18">
      <c r="A854" s="15" t="str">
        <f t="shared" si="18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8" t="s">
        <v>75</v>
      </c>
      <c r="P854" s="48">
        <f>HEX2DEC(RIGHT(Table13232127535863[[#This Row],[h1]],8))</f>
        <v>0</v>
      </c>
      <c r="Q854" s="48" t="s">
        <v>75</v>
      </c>
      <c r="R854" s="48">
        <f>HEX2DEC(RIGHT(Table13232127535863[[#This Row],[h2]],8))</f>
        <v>0</v>
      </c>
    </row>
    <row r="855" spans="1:18">
      <c r="A855" s="15" t="str">
        <f t="shared" si="18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8" t="s">
        <v>75</v>
      </c>
      <c r="P855" s="48">
        <f>HEX2DEC(RIGHT(Table13232127535863[[#This Row],[h1]],8))</f>
        <v>0</v>
      </c>
      <c r="Q855" s="48" t="s">
        <v>75</v>
      </c>
      <c r="R855" s="48">
        <f>HEX2DEC(RIGHT(Table13232127535863[[#This Row],[h2]],8))</f>
        <v>0</v>
      </c>
    </row>
    <row r="856" spans="1:18">
      <c r="A856" s="15" t="str">
        <f t="shared" si="18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8" t="s">
        <v>75</v>
      </c>
      <c r="P856" s="48">
        <f>HEX2DEC(RIGHT(Table13232127535863[[#This Row],[h1]],8))</f>
        <v>0</v>
      </c>
      <c r="Q856" s="48" t="s">
        <v>75</v>
      </c>
      <c r="R856" s="48">
        <f>HEX2DEC(RIGHT(Table13232127535863[[#This Row],[h2]],8))</f>
        <v>0</v>
      </c>
    </row>
    <row r="857" spans="1:18">
      <c r="A857" s="15" t="str">
        <f t="shared" si="18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8" t="s">
        <v>75</v>
      </c>
      <c r="P857" s="48">
        <f>HEX2DEC(RIGHT(Table13232127535863[[#This Row],[h1]],8))</f>
        <v>0</v>
      </c>
      <c r="Q857" s="48" t="s">
        <v>75</v>
      </c>
      <c r="R857" s="48">
        <f>HEX2DEC(RIGHT(Table13232127535863[[#This Row],[h2]],8))</f>
        <v>0</v>
      </c>
    </row>
    <row r="858" spans="1:18">
      <c r="A858" s="15" t="str">
        <f t="shared" si="18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8" t="s">
        <v>75</v>
      </c>
      <c r="P858" s="48">
        <f>HEX2DEC(RIGHT(Table13232127535863[[#This Row],[h1]],8))</f>
        <v>0</v>
      </c>
      <c r="Q858" s="48" t="s">
        <v>75</v>
      </c>
      <c r="R858" s="48">
        <f>HEX2DEC(RIGHT(Table13232127535863[[#This Row],[h2]],8))</f>
        <v>0</v>
      </c>
    </row>
    <row r="859" spans="1:18">
      <c r="A859" s="15" t="str">
        <f t="shared" si="18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8" t="s">
        <v>75</v>
      </c>
      <c r="P859" s="48">
        <f>HEX2DEC(RIGHT(Table13232127535863[[#This Row],[h1]],8))</f>
        <v>0</v>
      </c>
      <c r="Q859" s="48" t="s">
        <v>75</v>
      </c>
      <c r="R859" s="48">
        <f>HEX2DEC(RIGHT(Table13232127535863[[#This Row],[h2]],8))</f>
        <v>0</v>
      </c>
    </row>
    <row r="860" spans="1:18">
      <c r="A860" s="15" t="str">
        <f t="shared" si="18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8" t="s">
        <v>75</v>
      </c>
      <c r="P860" s="48">
        <f>HEX2DEC(RIGHT(Table13232127535863[[#This Row],[h1]],8))</f>
        <v>0</v>
      </c>
      <c r="Q860" s="48" t="s">
        <v>75</v>
      </c>
      <c r="R860" s="48">
        <f>HEX2DEC(RIGHT(Table13232127535863[[#This Row],[h2]],8))</f>
        <v>0</v>
      </c>
    </row>
    <row r="861" spans="1:18">
      <c r="A861" s="15" t="str">
        <f t="shared" si="18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8" t="s">
        <v>75</v>
      </c>
      <c r="P861" s="48">
        <f>HEX2DEC(RIGHT(Table13232127535863[[#This Row],[h1]],8))</f>
        <v>0</v>
      </c>
      <c r="Q861" s="48" t="s">
        <v>75</v>
      </c>
      <c r="R861" s="48">
        <f>HEX2DEC(RIGHT(Table13232127535863[[#This Row],[h2]],8))</f>
        <v>0</v>
      </c>
    </row>
    <row r="862" spans="1:18">
      <c r="A862" s="15" t="str">
        <f t="shared" si="18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8" t="s">
        <v>75</v>
      </c>
      <c r="P862" s="48">
        <f>HEX2DEC(RIGHT(Table13232127535863[[#This Row],[h1]],8))</f>
        <v>0</v>
      </c>
      <c r="Q862" s="48" t="s">
        <v>75</v>
      </c>
      <c r="R862" s="48">
        <f>HEX2DEC(RIGHT(Table13232127535863[[#This Row],[h2]],8))</f>
        <v>0</v>
      </c>
    </row>
    <row r="863" spans="1:18">
      <c r="A863" s="15" t="str">
        <f t="shared" si="18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8" t="s">
        <v>75</v>
      </c>
      <c r="P863" s="48">
        <f>HEX2DEC(RIGHT(Table13232127535863[[#This Row],[h1]],8))</f>
        <v>0</v>
      </c>
      <c r="Q863" s="48" t="s">
        <v>75</v>
      </c>
      <c r="R863" s="48">
        <f>HEX2DEC(RIGHT(Table13232127535863[[#This Row],[h2]],8))</f>
        <v>0</v>
      </c>
    </row>
    <row r="864" spans="1:18">
      <c r="A864" s="15" t="str">
        <f t="shared" si="18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8" t="s">
        <v>75</v>
      </c>
      <c r="P864" s="48">
        <f>HEX2DEC(RIGHT(Table13232127535863[[#This Row],[h1]],8))</f>
        <v>0</v>
      </c>
      <c r="Q864" s="48" t="s">
        <v>75</v>
      </c>
      <c r="R864" s="48">
        <f>HEX2DEC(RIGHT(Table13232127535863[[#This Row],[h2]],8))</f>
        <v>0</v>
      </c>
    </row>
    <row r="865" spans="1:18">
      <c r="A865" s="15" t="str">
        <f t="shared" si="18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8" t="s">
        <v>75</v>
      </c>
      <c r="P865" s="48">
        <f>HEX2DEC(RIGHT(Table13232127535863[[#This Row],[h1]],8))</f>
        <v>0</v>
      </c>
      <c r="Q865" s="48" t="s">
        <v>75</v>
      </c>
      <c r="R865" s="48">
        <f>HEX2DEC(RIGHT(Table13232127535863[[#This Row],[h2]],8))</f>
        <v>0</v>
      </c>
    </row>
    <row r="866" spans="1:18">
      <c r="A866" s="15" t="str">
        <f t="shared" si="18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8" t="s">
        <v>75</v>
      </c>
      <c r="P866" s="48">
        <f>HEX2DEC(RIGHT(Table13232127535863[[#This Row],[h1]],8))</f>
        <v>0</v>
      </c>
      <c r="Q866" s="48" t="s">
        <v>75</v>
      </c>
      <c r="R866" s="48">
        <f>HEX2DEC(RIGHT(Table13232127535863[[#This Row],[h2]],8))</f>
        <v>0</v>
      </c>
    </row>
    <row r="867" spans="1:18">
      <c r="A867" s="15" t="str">
        <f t="shared" si="18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8" t="s">
        <v>75</v>
      </c>
      <c r="P867" s="48">
        <f>HEX2DEC(RIGHT(Table13232127535863[[#This Row],[h1]],8))</f>
        <v>0</v>
      </c>
      <c r="Q867" s="48" t="s">
        <v>75</v>
      </c>
      <c r="R867" s="48">
        <f>HEX2DEC(RIGHT(Table13232127535863[[#This Row],[h2]],8))</f>
        <v>0</v>
      </c>
    </row>
    <row r="868" spans="1:18">
      <c r="A868" s="15" t="str">
        <f t="shared" si="18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8" t="s">
        <v>75</v>
      </c>
      <c r="P868" s="48">
        <f>HEX2DEC(RIGHT(Table13232127535863[[#This Row],[h1]],8))</f>
        <v>0</v>
      </c>
      <c r="Q868" s="48" t="s">
        <v>75</v>
      </c>
      <c r="R868" s="48">
        <f>HEX2DEC(RIGHT(Table13232127535863[[#This Row],[h2]],8))</f>
        <v>0</v>
      </c>
    </row>
    <row r="869" spans="1:18">
      <c r="A869" s="15" t="str">
        <f t="shared" si="18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8" t="s">
        <v>75</v>
      </c>
      <c r="P869" s="48">
        <f>HEX2DEC(RIGHT(Table13232127535863[[#This Row],[h1]],8))</f>
        <v>0</v>
      </c>
      <c r="Q869" s="48" t="s">
        <v>75</v>
      </c>
      <c r="R869" s="48">
        <f>HEX2DEC(RIGHT(Table13232127535863[[#This Row],[h2]],8))</f>
        <v>0</v>
      </c>
    </row>
    <row r="870" spans="1:18">
      <c r="A870" s="15" t="str">
        <f t="shared" si="18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8" t="s">
        <v>75</v>
      </c>
      <c r="P870" s="48">
        <f>HEX2DEC(RIGHT(Table13232127535863[[#This Row],[h1]],8))</f>
        <v>0</v>
      </c>
      <c r="Q870" s="48" t="s">
        <v>75</v>
      </c>
      <c r="R870" s="48">
        <f>HEX2DEC(RIGHT(Table13232127535863[[#This Row],[h2]],8))</f>
        <v>0</v>
      </c>
    </row>
    <row r="871" spans="1:18">
      <c r="A871" s="15" t="str">
        <f t="shared" si="18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8" t="s">
        <v>75</v>
      </c>
      <c r="P871" s="48">
        <f>HEX2DEC(RIGHT(Table13232127535863[[#This Row],[h1]],8))</f>
        <v>0</v>
      </c>
      <c r="Q871" s="48" t="s">
        <v>75</v>
      </c>
      <c r="R871" s="48">
        <f>HEX2DEC(RIGHT(Table13232127535863[[#This Row],[h2]],8))</f>
        <v>0</v>
      </c>
    </row>
    <row r="872" spans="1:18">
      <c r="A872" s="15" t="str">
        <f t="shared" si="18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8" t="s">
        <v>75</v>
      </c>
      <c r="P872" s="48">
        <f>HEX2DEC(RIGHT(Table13232127535863[[#This Row],[h1]],8))</f>
        <v>0</v>
      </c>
      <c r="Q872" s="48" t="s">
        <v>75</v>
      </c>
      <c r="R872" s="48">
        <f>HEX2DEC(RIGHT(Table13232127535863[[#This Row],[h2]],8))</f>
        <v>0</v>
      </c>
    </row>
    <row r="873" spans="1:18">
      <c r="A873" s="15" t="str">
        <f t="shared" si="18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8" t="s">
        <v>75</v>
      </c>
      <c r="P873" s="48">
        <f>HEX2DEC(RIGHT(Table13232127535863[[#This Row],[h1]],8))</f>
        <v>0</v>
      </c>
      <c r="Q873" s="48" t="s">
        <v>75</v>
      </c>
      <c r="R873" s="48">
        <f>HEX2DEC(RIGHT(Table13232127535863[[#This Row],[h2]],8))</f>
        <v>0</v>
      </c>
    </row>
    <row r="874" spans="1:18">
      <c r="A874" s="15" t="str">
        <f t="shared" si="18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8" t="s">
        <v>75</v>
      </c>
      <c r="P874" s="48">
        <f>HEX2DEC(RIGHT(Table13232127535863[[#This Row],[h1]],8))</f>
        <v>0</v>
      </c>
      <c r="Q874" s="48" t="s">
        <v>75</v>
      </c>
      <c r="R874" s="48">
        <f>HEX2DEC(RIGHT(Table13232127535863[[#This Row],[h2]],8))</f>
        <v>0</v>
      </c>
    </row>
    <row r="875" spans="1:18">
      <c r="A875" s="15" t="str">
        <f t="shared" si="18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8" t="s">
        <v>75</v>
      </c>
      <c r="P875" s="48">
        <f>HEX2DEC(RIGHT(Table13232127535863[[#This Row],[h1]],8))</f>
        <v>0</v>
      </c>
      <c r="Q875" s="48" t="s">
        <v>75</v>
      </c>
      <c r="R875" s="48">
        <f>HEX2DEC(RIGHT(Table13232127535863[[#This Row],[h2]],8))</f>
        <v>0</v>
      </c>
    </row>
    <row r="876" spans="1:18">
      <c r="A876" s="15" t="str">
        <f t="shared" si="18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8" t="s">
        <v>75</v>
      </c>
      <c r="P876" s="48">
        <f>HEX2DEC(RIGHT(Table13232127535863[[#This Row],[h1]],8))</f>
        <v>0</v>
      </c>
      <c r="Q876" s="48" t="s">
        <v>75</v>
      </c>
      <c r="R876" s="48">
        <f>HEX2DEC(RIGHT(Table13232127535863[[#This Row],[h2]],8))</f>
        <v>0</v>
      </c>
    </row>
    <row r="877" spans="1:18">
      <c r="A877" s="15" t="str">
        <f t="shared" si="18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8" t="s">
        <v>75</v>
      </c>
      <c r="P877" s="48">
        <f>HEX2DEC(RIGHT(Table13232127535863[[#This Row],[h1]],8))</f>
        <v>0</v>
      </c>
      <c r="Q877" s="48" t="s">
        <v>75</v>
      </c>
      <c r="R877" s="48">
        <f>HEX2DEC(RIGHT(Table13232127535863[[#This Row],[h2]],8))</f>
        <v>0</v>
      </c>
    </row>
    <row r="878" spans="1:18">
      <c r="A878" s="15" t="str">
        <f t="shared" si="18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8" t="s">
        <v>75</v>
      </c>
      <c r="P878" s="48">
        <f>HEX2DEC(RIGHT(Table13232127535863[[#This Row],[h1]],8))</f>
        <v>0</v>
      </c>
      <c r="Q878" s="48" t="s">
        <v>75</v>
      </c>
      <c r="R878" s="48">
        <f>HEX2DEC(RIGHT(Table13232127535863[[#This Row],[h2]],8))</f>
        <v>0</v>
      </c>
    </row>
    <row r="879" spans="1:18">
      <c r="A879" s="15" t="str">
        <f t="shared" si="18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8" t="s">
        <v>75</v>
      </c>
      <c r="P879" s="48">
        <f>HEX2DEC(RIGHT(Table13232127535863[[#This Row],[h1]],8))</f>
        <v>0</v>
      </c>
      <c r="Q879" s="48" t="s">
        <v>75</v>
      </c>
      <c r="R879" s="48">
        <f>HEX2DEC(RIGHT(Table13232127535863[[#This Row],[h2]],8))</f>
        <v>0</v>
      </c>
    </row>
    <row r="880" spans="1:18">
      <c r="A880" s="15" t="str">
        <f t="shared" si="18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8" t="s">
        <v>75</v>
      </c>
      <c r="P880" s="48">
        <f>HEX2DEC(RIGHT(Table13232127535863[[#This Row],[h1]],8))</f>
        <v>0</v>
      </c>
      <c r="Q880" s="48" t="s">
        <v>75</v>
      </c>
      <c r="R880" s="48">
        <f>HEX2DEC(RIGHT(Table13232127535863[[#This Row],[h2]],8))</f>
        <v>0</v>
      </c>
    </row>
    <row r="881" spans="1:18">
      <c r="A881" s="15" t="str">
        <f t="shared" si="18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8" t="s">
        <v>75</v>
      </c>
      <c r="P881" s="48">
        <f>HEX2DEC(RIGHT(Table13232127535863[[#This Row],[h1]],8))</f>
        <v>0</v>
      </c>
      <c r="Q881" s="48" t="s">
        <v>75</v>
      </c>
      <c r="R881" s="48">
        <f>HEX2DEC(RIGHT(Table13232127535863[[#This Row],[h2]],8))</f>
        <v>0</v>
      </c>
    </row>
    <row r="882" spans="1:18">
      <c r="A882" s="15" t="str">
        <f t="shared" si="18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8" t="s">
        <v>75</v>
      </c>
      <c r="P882" s="48">
        <f>HEX2DEC(RIGHT(Table13232127535863[[#This Row],[h1]],8))</f>
        <v>0</v>
      </c>
      <c r="Q882" s="48" t="s">
        <v>75</v>
      </c>
      <c r="R882" s="48">
        <f>HEX2DEC(RIGHT(Table13232127535863[[#This Row],[h2]],8))</f>
        <v>0</v>
      </c>
    </row>
    <row r="883" spans="1:18">
      <c r="A883" s="15" t="str">
        <f t="shared" si="18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8" t="s">
        <v>75</v>
      </c>
      <c r="P883" s="48">
        <f>HEX2DEC(RIGHT(Table13232127535863[[#This Row],[h1]],8))</f>
        <v>0</v>
      </c>
      <c r="Q883" s="48" t="s">
        <v>75</v>
      </c>
      <c r="R883" s="48">
        <f>HEX2DEC(RIGHT(Table13232127535863[[#This Row],[h2]],8))</f>
        <v>0</v>
      </c>
    </row>
    <row r="884" spans="1:18">
      <c r="A884" s="15" t="str">
        <f t="shared" si="18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8" t="s">
        <v>75</v>
      </c>
      <c r="P884" s="48">
        <f>HEX2DEC(RIGHT(Table13232127535863[[#This Row],[h1]],8))</f>
        <v>0</v>
      </c>
      <c r="Q884" s="48" t="s">
        <v>75</v>
      </c>
      <c r="R884" s="48">
        <f>HEX2DEC(RIGHT(Table13232127535863[[#This Row],[h2]],8))</f>
        <v>0</v>
      </c>
    </row>
    <row r="885" spans="1:18">
      <c r="A885" s="15" t="str">
        <f t="shared" si="18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8" t="s">
        <v>75</v>
      </c>
      <c r="P885" s="48">
        <f>HEX2DEC(RIGHT(Table13232127535863[[#This Row],[h1]],8))</f>
        <v>0</v>
      </c>
      <c r="Q885" s="48" t="s">
        <v>75</v>
      </c>
      <c r="R885" s="48">
        <f>HEX2DEC(RIGHT(Table13232127535863[[#This Row],[h2]],8))</f>
        <v>0</v>
      </c>
    </row>
    <row r="886" spans="1:18">
      <c r="A886" s="15" t="str">
        <f t="shared" si="18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8" t="s">
        <v>75</v>
      </c>
      <c r="P886" s="48">
        <f>HEX2DEC(RIGHT(Table13232127535863[[#This Row],[h1]],8))</f>
        <v>0</v>
      </c>
      <c r="Q886" s="48" t="s">
        <v>75</v>
      </c>
      <c r="R886" s="48">
        <f>HEX2DEC(RIGHT(Table13232127535863[[#This Row],[h2]],8))</f>
        <v>0</v>
      </c>
    </row>
    <row r="887" spans="1:18">
      <c r="A887" s="15" t="str">
        <f t="shared" si="18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8" t="s">
        <v>75</v>
      </c>
      <c r="P887" s="48">
        <f>HEX2DEC(RIGHT(Table13232127535863[[#This Row],[h1]],8))</f>
        <v>0</v>
      </c>
      <c r="Q887" s="48" t="s">
        <v>75</v>
      </c>
      <c r="R887" s="48">
        <f>HEX2DEC(RIGHT(Table13232127535863[[#This Row],[h2]],8))</f>
        <v>0</v>
      </c>
    </row>
    <row r="888" spans="1:18">
      <c r="A888" s="15" t="str">
        <f t="shared" si="18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8" t="s">
        <v>75</v>
      </c>
      <c r="P888" s="48">
        <f>HEX2DEC(RIGHT(Table13232127535863[[#This Row],[h1]],8))</f>
        <v>0</v>
      </c>
      <c r="Q888" s="48" t="s">
        <v>75</v>
      </c>
      <c r="R888" s="48">
        <f>HEX2DEC(RIGHT(Table13232127535863[[#This Row],[h2]],8))</f>
        <v>0</v>
      </c>
    </row>
    <row r="889" spans="1:18">
      <c r="A889" s="15" t="str">
        <f t="shared" si="18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8" t="s">
        <v>75</v>
      </c>
      <c r="P889" s="48">
        <f>HEX2DEC(RIGHT(Table13232127535863[[#This Row],[h1]],8))</f>
        <v>0</v>
      </c>
      <c r="Q889" s="48" t="s">
        <v>75</v>
      </c>
      <c r="R889" s="48">
        <f>HEX2DEC(RIGHT(Table13232127535863[[#This Row],[h2]],8))</f>
        <v>0</v>
      </c>
    </row>
    <row r="890" spans="1:18">
      <c r="A890" s="15" t="str">
        <f t="shared" si="18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8" t="s">
        <v>75</v>
      </c>
      <c r="P890" s="48">
        <f>HEX2DEC(RIGHT(Table13232127535863[[#This Row],[h1]],8))</f>
        <v>0</v>
      </c>
      <c r="Q890" s="48" t="s">
        <v>75</v>
      </c>
      <c r="R890" s="48">
        <f>HEX2DEC(RIGHT(Table13232127535863[[#This Row],[h2]],8))</f>
        <v>0</v>
      </c>
    </row>
    <row r="891" spans="1:18">
      <c r="A891" s="15" t="str">
        <f t="shared" si="18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8" t="s">
        <v>75</v>
      </c>
      <c r="P891" s="48">
        <f>HEX2DEC(RIGHT(Table13232127535863[[#This Row],[h1]],8))</f>
        <v>0</v>
      </c>
      <c r="Q891" s="48" t="s">
        <v>75</v>
      </c>
      <c r="R891" s="48">
        <f>HEX2DEC(RIGHT(Table13232127535863[[#This Row],[h2]],8))</f>
        <v>0</v>
      </c>
    </row>
    <row r="892" spans="1:18">
      <c r="A892" s="15" t="str">
        <f t="shared" si="18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8" t="s">
        <v>75</v>
      </c>
      <c r="P892" s="48">
        <f>HEX2DEC(RIGHT(Table13232127535863[[#This Row],[h1]],8))</f>
        <v>0</v>
      </c>
      <c r="Q892" s="48" t="s">
        <v>75</v>
      </c>
      <c r="R892" s="48">
        <f>HEX2DEC(RIGHT(Table13232127535863[[#This Row],[h2]],8))</f>
        <v>0</v>
      </c>
    </row>
    <row r="893" spans="1:18">
      <c r="A893" s="15" t="str">
        <f t="shared" si="18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8" t="s">
        <v>75</v>
      </c>
      <c r="P893" s="48">
        <f>HEX2DEC(RIGHT(Table13232127535863[[#This Row],[h1]],8))</f>
        <v>0</v>
      </c>
      <c r="Q893" s="48" t="s">
        <v>75</v>
      </c>
      <c r="R893" s="48">
        <f>HEX2DEC(RIGHT(Table13232127535863[[#This Row],[h2]],8))</f>
        <v>0</v>
      </c>
    </row>
    <row r="894" spans="1:18">
      <c r="A894" s="15" t="str">
        <f t="shared" si="18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8" t="s">
        <v>75</v>
      </c>
      <c r="P894" s="48">
        <f>HEX2DEC(RIGHT(Table13232127535863[[#This Row],[h1]],8))</f>
        <v>0</v>
      </c>
      <c r="Q894" s="48" t="s">
        <v>75</v>
      </c>
      <c r="R894" s="48">
        <f>HEX2DEC(RIGHT(Table13232127535863[[#This Row],[h2]],8))</f>
        <v>0</v>
      </c>
    </row>
    <row r="895" spans="1:18">
      <c r="A895" s="15" t="str">
        <f t="shared" si="18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8" t="s">
        <v>75</v>
      </c>
      <c r="P895" s="48">
        <f>HEX2DEC(RIGHT(Table13232127535863[[#This Row],[h1]],8))</f>
        <v>0</v>
      </c>
      <c r="Q895" s="48" t="s">
        <v>75</v>
      </c>
      <c r="R895" s="48">
        <f>HEX2DEC(RIGHT(Table13232127535863[[#This Row],[h2]],8))</f>
        <v>0</v>
      </c>
    </row>
    <row r="896" spans="1:18">
      <c r="A896" s="15" t="str">
        <f t="shared" si="18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8" t="s">
        <v>75</v>
      </c>
      <c r="P896" s="48">
        <f>HEX2DEC(RIGHT(Table13232127535863[[#This Row],[h1]],8))</f>
        <v>0</v>
      </c>
      <c r="Q896" s="48" t="s">
        <v>75</v>
      </c>
      <c r="R896" s="48">
        <f>HEX2DEC(RIGHT(Table13232127535863[[#This Row],[h2]],8))</f>
        <v>0</v>
      </c>
    </row>
    <row r="897" spans="1:18">
      <c r="A897" s="15" t="str">
        <f t="shared" si="18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8" t="s">
        <v>75</v>
      </c>
      <c r="P897" s="48">
        <f>HEX2DEC(RIGHT(Table13232127535863[[#This Row],[h1]],8))</f>
        <v>0</v>
      </c>
      <c r="Q897" s="48" t="s">
        <v>75</v>
      </c>
      <c r="R897" s="48">
        <f>HEX2DEC(RIGHT(Table13232127535863[[#This Row],[h2]],8))</f>
        <v>0</v>
      </c>
    </row>
    <row r="898" spans="1:18">
      <c r="A898" s="15" t="str">
        <f t="shared" si="18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8" t="s">
        <v>75</v>
      </c>
      <c r="P898" s="48">
        <f>HEX2DEC(RIGHT(Table13232127535863[[#This Row],[h1]],8))</f>
        <v>0</v>
      </c>
      <c r="Q898" s="48" t="s">
        <v>75</v>
      </c>
      <c r="R898" s="48">
        <f>HEX2DEC(RIGHT(Table13232127535863[[#This Row],[h2]],8))</f>
        <v>0</v>
      </c>
    </row>
    <row r="899" spans="1:18">
      <c r="A899" s="15" t="str">
        <f t="shared" si="18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8" t="s">
        <v>75</v>
      </c>
      <c r="P899" s="48">
        <f>HEX2DEC(RIGHT(Table13232127535863[[#This Row],[h1]],8))</f>
        <v>0</v>
      </c>
      <c r="Q899" s="48" t="s">
        <v>75</v>
      </c>
      <c r="R899" s="48">
        <f>HEX2DEC(RIGHT(Table13232127535863[[#This Row],[h2]],8))</f>
        <v>0</v>
      </c>
    </row>
    <row r="900" spans="1:18">
      <c r="A900" s="15" t="str">
        <f t="shared" si="18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8" t="s">
        <v>75</v>
      </c>
      <c r="P900" s="48">
        <f>HEX2DEC(RIGHT(Table13232127535863[[#This Row],[h1]],8))</f>
        <v>0</v>
      </c>
      <c r="Q900" s="48" t="s">
        <v>75</v>
      </c>
      <c r="R900" s="48">
        <f>HEX2DEC(RIGHT(Table13232127535863[[#This Row],[h2]],8))</f>
        <v>0</v>
      </c>
    </row>
    <row r="901" spans="1:18">
      <c r="A901" s="15" t="str">
        <f t="shared" si="18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8" t="s">
        <v>75</v>
      </c>
      <c r="P901" s="48">
        <f>HEX2DEC(RIGHT(Table13232127535863[[#This Row],[h1]],8))</f>
        <v>0</v>
      </c>
      <c r="Q901" s="48" t="s">
        <v>75</v>
      </c>
      <c r="R901" s="48">
        <f>HEX2DEC(RIGHT(Table13232127535863[[#This Row],[h2]],8))</f>
        <v>0</v>
      </c>
    </row>
    <row r="902" spans="1:18">
      <c r="A902" s="15" t="str">
        <f t="shared" si="18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8" t="s">
        <v>75</v>
      </c>
      <c r="P902" s="48">
        <f>HEX2DEC(RIGHT(Table13232127535863[[#This Row],[h1]],8))</f>
        <v>0</v>
      </c>
      <c r="Q902" s="48" t="s">
        <v>75</v>
      </c>
      <c r="R902" s="48">
        <f>HEX2DEC(RIGHT(Table13232127535863[[#This Row],[h2]],8))</f>
        <v>0</v>
      </c>
    </row>
    <row r="903" spans="1:18">
      <c r="A903" s="15" t="str">
        <f t="shared" si="18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8" t="s">
        <v>75</v>
      </c>
      <c r="P903" s="48">
        <f>HEX2DEC(RIGHT(Table13232127535863[[#This Row],[h1]],8))</f>
        <v>0</v>
      </c>
      <c r="Q903" s="48" t="s">
        <v>75</v>
      </c>
      <c r="R903" s="48">
        <f>HEX2DEC(RIGHT(Table13232127535863[[#This Row],[h2]],8))</f>
        <v>0</v>
      </c>
    </row>
    <row r="904" spans="1:18">
      <c r="A904" s="15" t="str">
        <f t="shared" si="18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8" t="s">
        <v>75</v>
      </c>
      <c r="P904" s="48">
        <f>HEX2DEC(RIGHT(Table13232127535863[[#This Row],[h1]],8))</f>
        <v>0</v>
      </c>
      <c r="Q904" s="48" t="s">
        <v>75</v>
      </c>
      <c r="R904" s="48">
        <f>HEX2DEC(RIGHT(Table13232127535863[[#This Row],[h2]],8))</f>
        <v>0</v>
      </c>
    </row>
    <row r="905" spans="1:18">
      <c r="A905" s="15" t="str">
        <f t="shared" si="18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8" t="s">
        <v>75</v>
      </c>
      <c r="P905" s="48">
        <f>HEX2DEC(RIGHT(Table13232127535863[[#This Row],[h1]],8))</f>
        <v>0</v>
      </c>
      <c r="Q905" s="48" t="s">
        <v>75</v>
      </c>
      <c r="R905" s="48">
        <f>HEX2DEC(RIGHT(Table13232127535863[[#This Row],[h2]],8))</f>
        <v>0</v>
      </c>
    </row>
    <row r="906" spans="1:18">
      <c r="A906" s="15" t="str">
        <f t="shared" si="18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8" t="s">
        <v>75</v>
      </c>
      <c r="P906" s="48">
        <f>HEX2DEC(RIGHT(Table13232127535863[[#This Row],[h1]],8))</f>
        <v>0</v>
      </c>
      <c r="Q906" s="48" t="s">
        <v>75</v>
      </c>
      <c r="R906" s="48">
        <f>HEX2DEC(RIGHT(Table13232127535863[[#This Row],[h2]],8))</f>
        <v>0</v>
      </c>
    </row>
    <row r="907" spans="1:18">
      <c r="A907" s="15" t="str">
        <f t="shared" ref="A907:A970" si="19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8" t="s">
        <v>75</v>
      </c>
      <c r="P907" s="48">
        <f>HEX2DEC(RIGHT(Table13232127535863[[#This Row],[h1]],8))</f>
        <v>0</v>
      </c>
      <c r="Q907" s="48" t="s">
        <v>75</v>
      </c>
      <c r="R907" s="48">
        <f>HEX2DEC(RIGHT(Table13232127535863[[#This Row],[h2]],8))</f>
        <v>0</v>
      </c>
    </row>
    <row r="908" spans="1:18">
      <c r="A908" s="15" t="str">
        <f t="shared" si="19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8" t="s">
        <v>75</v>
      </c>
      <c r="P908" s="48">
        <f>HEX2DEC(RIGHT(Table13232127535863[[#This Row],[h1]],8))</f>
        <v>0</v>
      </c>
      <c r="Q908" s="48" t="s">
        <v>75</v>
      </c>
      <c r="R908" s="48">
        <f>HEX2DEC(RIGHT(Table13232127535863[[#This Row],[h2]],8))</f>
        <v>0</v>
      </c>
    </row>
    <row r="909" spans="1:18">
      <c r="A909" s="15" t="str">
        <f t="shared" si="19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8" t="s">
        <v>75</v>
      </c>
      <c r="P909" s="48">
        <f>HEX2DEC(RIGHT(Table13232127535863[[#This Row],[h1]],8))</f>
        <v>0</v>
      </c>
      <c r="Q909" s="48" t="s">
        <v>75</v>
      </c>
      <c r="R909" s="48">
        <f>HEX2DEC(RIGHT(Table13232127535863[[#This Row],[h2]],8))</f>
        <v>0</v>
      </c>
    </row>
    <row r="910" spans="1:18">
      <c r="A910" s="15" t="str">
        <f t="shared" si="19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8" t="s">
        <v>75</v>
      </c>
      <c r="P910" s="48">
        <f>HEX2DEC(RIGHT(Table13232127535863[[#This Row],[h1]],8))</f>
        <v>0</v>
      </c>
      <c r="Q910" s="48" t="s">
        <v>75</v>
      </c>
      <c r="R910" s="48">
        <f>HEX2DEC(RIGHT(Table13232127535863[[#This Row],[h2]],8))</f>
        <v>0</v>
      </c>
    </row>
    <row r="911" spans="1:18">
      <c r="A911" s="15" t="str">
        <f t="shared" si="19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8" t="s">
        <v>75</v>
      </c>
      <c r="P911" s="48">
        <f>HEX2DEC(RIGHT(Table13232127535863[[#This Row],[h1]],8))</f>
        <v>0</v>
      </c>
      <c r="Q911" s="48" t="s">
        <v>75</v>
      </c>
      <c r="R911" s="48">
        <f>HEX2DEC(RIGHT(Table13232127535863[[#This Row],[h2]],8))</f>
        <v>0</v>
      </c>
    </row>
    <row r="912" spans="1:18">
      <c r="A912" s="15" t="str">
        <f t="shared" si="19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8" t="s">
        <v>75</v>
      </c>
      <c r="P912" s="48">
        <f>HEX2DEC(RIGHT(Table13232127535863[[#This Row],[h1]],8))</f>
        <v>0</v>
      </c>
      <c r="Q912" s="48" t="s">
        <v>75</v>
      </c>
      <c r="R912" s="48">
        <f>HEX2DEC(RIGHT(Table13232127535863[[#This Row],[h2]],8))</f>
        <v>0</v>
      </c>
    </row>
    <row r="913" spans="1:18">
      <c r="A913" s="15" t="str">
        <f t="shared" si="19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8" t="s">
        <v>75</v>
      </c>
      <c r="P913" s="48">
        <f>HEX2DEC(RIGHT(Table13232127535863[[#This Row],[h1]],8))</f>
        <v>0</v>
      </c>
      <c r="Q913" s="48" t="s">
        <v>75</v>
      </c>
      <c r="R913" s="48">
        <f>HEX2DEC(RIGHT(Table13232127535863[[#This Row],[h2]],8))</f>
        <v>0</v>
      </c>
    </row>
    <row r="914" spans="1:18">
      <c r="A914" s="15" t="str">
        <f t="shared" si="19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8" t="s">
        <v>75</v>
      </c>
      <c r="P914" s="48">
        <f>HEX2DEC(RIGHT(Table13232127535863[[#This Row],[h1]],8))</f>
        <v>0</v>
      </c>
      <c r="Q914" s="48" t="s">
        <v>75</v>
      </c>
      <c r="R914" s="48">
        <f>HEX2DEC(RIGHT(Table13232127535863[[#This Row],[h2]],8))</f>
        <v>0</v>
      </c>
    </row>
    <row r="915" spans="1:18">
      <c r="A915" s="15" t="str">
        <f t="shared" si="19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8" t="s">
        <v>75</v>
      </c>
      <c r="P915" s="48">
        <f>HEX2DEC(RIGHT(Table13232127535863[[#This Row],[h1]],8))</f>
        <v>0</v>
      </c>
      <c r="Q915" s="48" t="s">
        <v>75</v>
      </c>
      <c r="R915" s="48">
        <f>HEX2DEC(RIGHT(Table13232127535863[[#This Row],[h2]],8))</f>
        <v>0</v>
      </c>
    </row>
    <row r="916" spans="1:18">
      <c r="A916" s="15" t="str">
        <f t="shared" si="19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8" t="s">
        <v>75</v>
      </c>
      <c r="P916" s="48">
        <f>HEX2DEC(RIGHT(Table13232127535863[[#This Row],[h1]],8))</f>
        <v>0</v>
      </c>
      <c r="Q916" s="48" t="s">
        <v>75</v>
      </c>
      <c r="R916" s="48">
        <f>HEX2DEC(RIGHT(Table13232127535863[[#This Row],[h2]],8))</f>
        <v>0</v>
      </c>
    </row>
    <row r="917" spans="1:18">
      <c r="A917" s="15" t="str">
        <f t="shared" si="19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8" t="s">
        <v>75</v>
      </c>
      <c r="P917" s="48">
        <f>HEX2DEC(RIGHT(Table13232127535863[[#This Row],[h1]],8))</f>
        <v>0</v>
      </c>
      <c r="Q917" s="48" t="s">
        <v>75</v>
      </c>
      <c r="R917" s="48">
        <f>HEX2DEC(RIGHT(Table13232127535863[[#This Row],[h2]],8))</f>
        <v>0</v>
      </c>
    </row>
    <row r="918" spans="1:18">
      <c r="A918" s="15" t="str">
        <f t="shared" si="19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8" t="s">
        <v>75</v>
      </c>
      <c r="P918" s="48">
        <f>HEX2DEC(RIGHT(Table13232127535863[[#This Row],[h1]],8))</f>
        <v>0</v>
      </c>
      <c r="Q918" s="48" t="s">
        <v>75</v>
      </c>
      <c r="R918" s="48">
        <f>HEX2DEC(RIGHT(Table13232127535863[[#This Row],[h2]],8))</f>
        <v>0</v>
      </c>
    </row>
    <row r="919" spans="1:18">
      <c r="A919" s="15" t="str">
        <f t="shared" si="19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8" t="s">
        <v>75</v>
      </c>
      <c r="P919" s="48">
        <f>HEX2DEC(RIGHT(Table13232127535863[[#This Row],[h1]],8))</f>
        <v>0</v>
      </c>
      <c r="Q919" s="48" t="s">
        <v>75</v>
      </c>
      <c r="R919" s="48">
        <f>HEX2DEC(RIGHT(Table13232127535863[[#This Row],[h2]],8))</f>
        <v>0</v>
      </c>
    </row>
    <row r="920" spans="1:18">
      <c r="A920" s="15" t="str">
        <f t="shared" si="19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8" t="s">
        <v>75</v>
      </c>
      <c r="P920" s="48">
        <f>HEX2DEC(RIGHT(Table13232127535863[[#This Row],[h1]],8))</f>
        <v>0</v>
      </c>
      <c r="Q920" s="48" t="s">
        <v>75</v>
      </c>
      <c r="R920" s="48">
        <f>HEX2DEC(RIGHT(Table13232127535863[[#This Row],[h2]],8))</f>
        <v>0</v>
      </c>
    </row>
    <row r="921" spans="1:18">
      <c r="A921" s="15" t="str">
        <f t="shared" si="19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8" t="s">
        <v>75</v>
      </c>
      <c r="P921" s="48">
        <f>HEX2DEC(RIGHT(Table13232127535863[[#This Row],[h1]],8))</f>
        <v>0</v>
      </c>
      <c r="Q921" s="48" t="s">
        <v>75</v>
      </c>
      <c r="R921" s="48">
        <f>HEX2DEC(RIGHT(Table13232127535863[[#This Row],[h2]],8))</f>
        <v>0</v>
      </c>
    </row>
    <row r="922" spans="1:18">
      <c r="A922" s="15" t="str">
        <f t="shared" si="19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8" t="s">
        <v>75</v>
      </c>
      <c r="P922" s="48">
        <f>HEX2DEC(RIGHT(Table13232127535863[[#This Row],[h1]],8))</f>
        <v>0</v>
      </c>
      <c r="Q922" s="48" t="s">
        <v>75</v>
      </c>
      <c r="R922" s="48">
        <f>HEX2DEC(RIGHT(Table13232127535863[[#This Row],[h2]],8))</f>
        <v>0</v>
      </c>
    </row>
    <row r="923" spans="1:18">
      <c r="A923" s="15" t="str">
        <f t="shared" si="19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8" t="s">
        <v>75</v>
      </c>
      <c r="P923" s="48">
        <f>HEX2DEC(RIGHT(Table13232127535863[[#This Row],[h1]],8))</f>
        <v>0</v>
      </c>
      <c r="Q923" s="48" t="s">
        <v>75</v>
      </c>
      <c r="R923" s="48">
        <f>HEX2DEC(RIGHT(Table13232127535863[[#This Row],[h2]],8))</f>
        <v>0</v>
      </c>
    </row>
    <row r="924" spans="1:18">
      <c r="A924" s="15" t="str">
        <f t="shared" si="19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8" t="s">
        <v>75</v>
      </c>
      <c r="P924" s="48">
        <f>HEX2DEC(RIGHT(Table13232127535863[[#This Row],[h1]],8))</f>
        <v>0</v>
      </c>
      <c r="Q924" s="48" t="s">
        <v>75</v>
      </c>
      <c r="R924" s="48">
        <f>HEX2DEC(RIGHT(Table13232127535863[[#This Row],[h2]],8))</f>
        <v>0</v>
      </c>
    </row>
    <row r="925" spans="1:18">
      <c r="A925" s="15" t="str">
        <f t="shared" si="19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8" t="s">
        <v>75</v>
      </c>
      <c r="P925" s="48">
        <f>HEX2DEC(RIGHT(Table13232127535863[[#This Row],[h1]],8))</f>
        <v>0</v>
      </c>
      <c r="Q925" s="48" t="s">
        <v>75</v>
      </c>
      <c r="R925" s="48">
        <f>HEX2DEC(RIGHT(Table13232127535863[[#This Row],[h2]],8))</f>
        <v>0</v>
      </c>
    </row>
    <row r="926" spans="1:18">
      <c r="A926" s="15" t="str">
        <f t="shared" si="19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8" t="s">
        <v>75</v>
      </c>
      <c r="P926" s="48">
        <f>HEX2DEC(RIGHT(Table13232127535863[[#This Row],[h1]],8))</f>
        <v>0</v>
      </c>
      <c r="Q926" s="48" t="s">
        <v>75</v>
      </c>
      <c r="R926" s="48">
        <f>HEX2DEC(RIGHT(Table13232127535863[[#This Row],[h2]],8))</f>
        <v>0</v>
      </c>
    </row>
    <row r="927" spans="1:18">
      <c r="A927" s="15" t="str">
        <f t="shared" si="19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8" t="s">
        <v>75</v>
      </c>
      <c r="P927" s="48">
        <f>HEX2DEC(RIGHT(Table13232127535863[[#This Row],[h1]],8))</f>
        <v>0</v>
      </c>
      <c r="Q927" s="48" t="s">
        <v>75</v>
      </c>
      <c r="R927" s="48">
        <f>HEX2DEC(RIGHT(Table13232127535863[[#This Row],[h2]],8))</f>
        <v>0</v>
      </c>
    </row>
    <row r="928" spans="1:18">
      <c r="A928" s="15" t="str">
        <f t="shared" si="19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8" t="s">
        <v>75</v>
      </c>
      <c r="P928" s="48">
        <f>HEX2DEC(RIGHT(Table13232127535863[[#This Row],[h1]],8))</f>
        <v>0</v>
      </c>
      <c r="Q928" s="48" t="s">
        <v>75</v>
      </c>
      <c r="R928" s="48">
        <f>HEX2DEC(RIGHT(Table13232127535863[[#This Row],[h2]],8))</f>
        <v>0</v>
      </c>
    </row>
    <row r="929" spans="1:18">
      <c r="A929" s="15" t="str">
        <f t="shared" si="19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8" t="s">
        <v>75</v>
      </c>
      <c r="P929" s="48">
        <f>HEX2DEC(RIGHT(Table13232127535863[[#This Row],[h1]],8))</f>
        <v>0</v>
      </c>
      <c r="Q929" s="48" t="s">
        <v>75</v>
      </c>
      <c r="R929" s="48">
        <f>HEX2DEC(RIGHT(Table13232127535863[[#This Row],[h2]],8))</f>
        <v>0</v>
      </c>
    </row>
    <row r="930" spans="1:18">
      <c r="A930" s="15" t="str">
        <f t="shared" si="19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8" t="s">
        <v>75</v>
      </c>
      <c r="P930" s="48">
        <f>HEX2DEC(RIGHT(Table13232127535863[[#This Row],[h1]],8))</f>
        <v>0</v>
      </c>
      <c r="Q930" s="48" t="s">
        <v>75</v>
      </c>
      <c r="R930" s="48">
        <f>HEX2DEC(RIGHT(Table13232127535863[[#This Row],[h2]],8))</f>
        <v>0</v>
      </c>
    </row>
    <row r="931" spans="1:18">
      <c r="A931" s="15" t="str">
        <f t="shared" si="19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8" t="s">
        <v>75</v>
      </c>
      <c r="P931" s="48">
        <f>HEX2DEC(RIGHT(Table13232127535863[[#This Row],[h1]],8))</f>
        <v>0</v>
      </c>
      <c r="Q931" s="48" t="s">
        <v>75</v>
      </c>
      <c r="R931" s="48">
        <f>HEX2DEC(RIGHT(Table13232127535863[[#This Row],[h2]],8))</f>
        <v>0</v>
      </c>
    </row>
    <row r="932" spans="1:18">
      <c r="A932" s="15" t="str">
        <f t="shared" si="19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8" t="s">
        <v>75</v>
      </c>
      <c r="P932" s="48">
        <f>HEX2DEC(RIGHT(Table13232127535863[[#This Row],[h1]],8))</f>
        <v>0</v>
      </c>
      <c r="Q932" s="48" t="s">
        <v>75</v>
      </c>
      <c r="R932" s="48">
        <f>HEX2DEC(RIGHT(Table13232127535863[[#This Row],[h2]],8))</f>
        <v>0</v>
      </c>
    </row>
    <row r="933" spans="1:18">
      <c r="A933" s="15" t="str">
        <f t="shared" si="19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8" t="s">
        <v>75</v>
      </c>
      <c r="P933" s="48">
        <f>HEX2DEC(RIGHT(Table13232127535863[[#This Row],[h1]],8))</f>
        <v>0</v>
      </c>
      <c r="Q933" s="48" t="s">
        <v>75</v>
      </c>
      <c r="R933" s="48">
        <f>HEX2DEC(RIGHT(Table13232127535863[[#This Row],[h2]],8))</f>
        <v>0</v>
      </c>
    </row>
    <row r="934" spans="1:18">
      <c r="A934" s="15" t="str">
        <f t="shared" si="19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8" t="s">
        <v>75</v>
      </c>
      <c r="P934" s="48">
        <f>HEX2DEC(RIGHT(Table13232127535863[[#This Row],[h1]],8))</f>
        <v>0</v>
      </c>
      <c r="Q934" s="48" t="s">
        <v>75</v>
      </c>
      <c r="R934" s="48">
        <f>HEX2DEC(RIGHT(Table13232127535863[[#This Row],[h2]],8))</f>
        <v>0</v>
      </c>
    </row>
    <row r="935" spans="1:18">
      <c r="A935" s="15" t="str">
        <f t="shared" si="19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8" t="s">
        <v>75</v>
      </c>
      <c r="P935" s="48">
        <f>HEX2DEC(RIGHT(Table13232127535863[[#This Row],[h1]],8))</f>
        <v>0</v>
      </c>
      <c r="Q935" s="48" t="s">
        <v>75</v>
      </c>
      <c r="R935" s="48">
        <f>HEX2DEC(RIGHT(Table13232127535863[[#This Row],[h2]],8))</f>
        <v>0</v>
      </c>
    </row>
    <row r="936" spans="1:18">
      <c r="A936" s="15" t="str">
        <f t="shared" si="19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8" t="s">
        <v>75</v>
      </c>
      <c r="P936" s="48">
        <f>HEX2DEC(RIGHT(Table13232127535863[[#This Row],[h1]],8))</f>
        <v>0</v>
      </c>
      <c r="Q936" s="48" t="s">
        <v>75</v>
      </c>
      <c r="R936" s="48">
        <f>HEX2DEC(RIGHT(Table13232127535863[[#This Row],[h2]],8))</f>
        <v>0</v>
      </c>
    </row>
    <row r="937" spans="1:18">
      <c r="A937" s="15" t="str">
        <f t="shared" si="19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8" t="s">
        <v>75</v>
      </c>
      <c r="P937" s="48">
        <f>HEX2DEC(RIGHT(Table13232127535863[[#This Row],[h1]],8))</f>
        <v>0</v>
      </c>
      <c r="Q937" s="48" t="s">
        <v>75</v>
      </c>
      <c r="R937" s="48">
        <f>HEX2DEC(RIGHT(Table13232127535863[[#This Row],[h2]],8))</f>
        <v>0</v>
      </c>
    </row>
    <row r="938" spans="1:18">
      <c r="A938" s="15" t="str">
        <f t="shared" si="19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8" t="s">
        <v>75</v>
      </c>
      <c r="P938" s="48">
        <f>HEX2DEC(RIGHT(Table13232127535863[[#This Row],[h1]],8))</f>
        <v>0</v>
      </c>
      <c r="Q938" s="48" t="s">
        <v>75</v>
      </c>
      <c r="R938" s="48">
        <f>HEX2DEC(RIGHT(Table13232127535863[[#This Row],[h2]],8))</f>
        <v>0</v>
      </c>
    </row>
    <row r="939" spans="1:18">
      <c r="A939" s="15" t="str">
        <f t="shared" si="19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8" t="s">
        <v>75</v>
      </c>
      <c r="P939" s="48">
        <f>HEX2DEC(RIGHT(Table13232127535863[[#This Row],[h1]],8))</f>
        <v>0</v>
      </c>
      <c r="Q939" s="48" t="s">
        <v>75</v>
      </c>
      <c r="R939" s="48">
        <f>HEX2DEC(RIGHT(Table13232127535863[[#This Row],[h2]],8))</f>
        <v>0</v>
      </c>
    </row>
    <row r="940" spans="1:18">
      <c r="A940" s="15" t="str">
        <f t="shared" si="19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8" t="s">
        <v>75</v>
      </c>
      <c r="P940" s="48">
        <f>HEX2DEC(RIGHT(Table13232127535863[[#This Row],[h1]],8))</f>
        <v>0</v>
      </c>
      <c r="Q940" s="48" t="s">
        <v>75</v>
      </c>
      <c r="R940" s="48">
        <f>HEX2DEC(RIGHT(Table13232127535863[[#This Row],[h2]],8))</f>
        <v>0</v>
      </c>
    </row>
    <row r="941" spans="1:18">
      <c r="A941" s="15" t="str">
        <f t="shared" si="19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8" t="s">
        <v>75</v>
      </c>
      <c r="P941" s="48">
        <f>HEX2DEC(RIGHT(Table13232127535863[[#This Row],[h1]],8))</f>
        <v>0</v>
      </c>
      <c r="Q941" s="48" t="s">
        <v>75</v>
      </c>
      <c r="R941" s="48">
        <f>HEX2DEC(RIGHT(Table13232127535863[[#This Row],[h2]],8))</f>
        <v>0</v>
      </c>
    </row>
    <row r="942" spans="1:18">
      <c r="A942" s="15" t="str">
        <f t="shared" si="19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8" t="s">
        <v>75</v>
      </c>
      <c r="P942" s="48">
        <f>HEX2DEC(RIGHT(Table13232127535863[[#This Row],[h1]],8))</f>
        <v>0</v>
      </c>
      <c r="Q942" s="48" t="s">
        <v>75</v>
      </c>
      <c r="R942" s="48">
        <f>HEX2DEC(RIGHT(Table13232127535863[[#This Row],[h2]],8))</f>
        <v>0</v>
      </c>
    </row>
    <row r="943" spans="1:18">
      <c r="A943" s="15" t="str">
        <f t="shared" si="19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8" t="s">
        <v>75</v>
      </c>
      <c r="P943" s="48">
        <f>HEX2DEC(RIGHT(Table13232127535863[[#This Row],[h1]],8))</f>
        <v>0</v>
      </c>
      <c r="Q943" s="48" t="s">
        <v>75</v>
      </c>
      <c r="R943" s="48">
        <f>HEX2DEC(RIGHT(Table13232127535863[[#This Row],[h2]],8))</f>
        <v>0</v>
      </c>
    </row>
    <row r="944" spans="1:18">
      <c r="A944" s="15" t="str">
        <f t="shared" si="19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8" t="s">
        <v>75</v>
      </c>
      <c r="P944" s="48">
        <f>HEX2DEC(RIGHT(Table13232127535863[[#This Row],[h1]],8))</f>
        <v>0</v>
      </c>
      <c r="Q944" s="48" t="s">
        <v>75</v>
      </c>
      <c r="R944" s="48">
        <f>HEX2DEC(RIGHT(Table13232127535863[[#This Row],[h2]],8))</f>
        <v>0</v>
      </c>
    </row>
    <row r="945" spans="1:18">
      <c r="A945" s="15" t="str">
        <f t="shared" si="19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8" t="s">
        <v>75</v>
      </c>
      <c r="P945" s="48">
        <f>HEX2DEC(RIGHT(Table13232127535863[[#This Row],[h1]],8))</f>
        <v>0</v>
      </c>
      <c r="Q945" s="48" t="s">
        <v>75</v>
      </c>
      <c r="R945" s="48">
        <f>HEX2DEC(RIGHT(Table13232127535863[[#This Row],[h2]],8))</f>
        <v>0</v>
      </c>
    </row>
    <row r="946" spans="1:18">
      <c r="A946" s="15" t="str">
        <f t="shared" si="19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8" t="s">
        <v>75</v>
      </c>
      <c r="P946" s="48">
        <f>HEX2DEC(RIGHT(Table13232127535863[[#This Row],[h1]],8))</f>
        <v>0</v>
      </c>
      <c r="Q946" s="48" t="s">
        <v>75</v>
      </c>
      <c r="R946" s="48">
        <f>HEX2DEC(RIGHT(Table13232127535863[[#This Row],[h2]],8))</f>
        <v>0</v>
      </c>
    </row>
    <row r="947" spans="1:18">
      <c r="A947" s="15" t="str">
        <f t="shared" si="19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8" t="s">
        <v>75</v>
      </c>
      <c r="P947" s="48">
        <f>HEX2DEC(RIGHT(Table13232127535863[[#This Row],[h1]],8))</f>
        <v>0</v>
      </c>
      <c r="Q947" s="48" t="s">
        <v>75</v>
      </c>
      <c r="R947" s="48">
        <f>HEX2DEC(RIGHT(Table13232127535863[[#This Row],[h2]],8))</f>
        <v>0</v>
      </c>
    </row>
    <row r="948" spans="1:18">
      <c r="A948" s="15" t="str">
        <f t="shared" si="19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8" t="s">
        <v>75</v>
      </c>
      <c r="P948" s="48">
        <f>HEX2DEC(RIGHT(Table13232127535863[[#This Row],[h1]],8))</f>
        <v>0</v>
      </c>
      <c r="Q948" s="48" t="s">
        <v>75</v>
      </c>
      <c r="R948" s="48">
        <f>HEX2DEC(RIGHT(Table13232127535863[[#This Row],[h2]],8))</f>
        <v>0</v>
      </c>
    </row>
    <row r="949" spans="1:18">
      <c r="A949" s="15" t="str">
        <f t="shared" si="19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8" t="s">
        <v>75</v>
      </c>
      <c r="P949" s="48">
        <f>HEX2DEC(RIGHT(Table13232127535863[[#This Row],[h1]],8))</f>
        <v>0</v>
      </c>
      <c r="Q949" s="48" t="s">
        <v>75</v>
      </c>
      <c r="R949" s="48">
        <f>HEX2DEC(RIGHT(Table13232127535863[[#This Row],[h2]],8))</f>
        <v>0</v>
      </c>
    </row>
    <row r="950" spans="1:18">
      <c r="A950" s="15" t="str">
        <f t="shared" si="19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8" t="s">
        <v>75</v>
      </c>
      <c r="P950" s="48">
        <f>HEX2DEC(RIGHT(Table13232127535863[[#This Row],[h1]],8))</f>
        <v>0</v>
      </c>
      <c r="Q950" s="48" t="s">
        <v>75</v>
      </c>
      <c r="R950" s="48">
        <f>HEX2DEC(RIGHT(Table13232127535863[[#This Row],[h2]],8))</f>
        <v>0</v>
      </c>
    </row>
    <row r="951" spans="1:18">
      <c r="A951" s="15" t="str">
        <f t="shared" si="19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8" t="s">
        <v>75</v>
      </c>
      <c r="P951" s="48">
        <f>HEX2DEC(RIGHT(Table13232127535863[[#This Row],[h1]],8))</f>
        <v>0</v>
      </c>
      <c r="Q951" s="48" t="s">
        <v>75</v>
      </c>
      <c r="R951" s="48">
        <f>HEX2DEC(RIGHT(Table13232127535863[[#This Row],[h2]],8))</f>
        <v>0</v>
      </c>
    </row>
    <row r="952" spans="1:18">
      <c r="A952" s="15" t="str">
        <f t="shared" si="19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8" t="s">
        <v>75</v>
      </c>
      <c r="P952" s="48">
        <f>HEX2DEC(RIGHT(Table13232127535863[[#This Row],[h1]],8))</f>
        <v>0</v>
      </c>
      <c r="Q952" s="48" t="s">
        <v>75</v>
      </c>
      <c r="R952" s="48">
        <f>HEX2DEC(RIGHT(Table13232127535863[[#This Row],[h2]],8))</f>
        <v>0</v>
      </c>
    </row>
    <row r="953" spans="1:18">
      <c r="A953" s="15" t="str">
        <f t="shared" si="19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8" t="s">
        <v>75</v>
      </c>
      <c r="P953" s="48">
        <f>HEX2DEC(RIGHT(Table13232127535863[[#This Row],[h1]],8))</f>
        <v>0</v>
      </c>
      <c r="Q953" s="48" t="s">
        <v>75</v>
      </c>
      <c r="R953" s="48">
        <f>HEX2DEC(RIGHT(Table13232127535863[[#This Row],[h2]],8))</f>
        <v>0</v>
      </c>
    </row>
    <row r="954" spans="1:18">
      <c r="A954" s="15" t="str">
        <f t="shared" si="19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8" t="s">
        <v>75</v>
      </c>
      <c r="P954" s="48">
        <f>HEX2DEC(RIGHT(Table13232127535863[[#This Row],[h1]],8))</f>
        <v>0</v>
      </c>
      <c r="Q954" s="48" t="s">
        <v>75</v>
      </c>
      <c r="R954" s="48">
        <f>HEX2DEC(RIGHT(Table13232127535863[[#This Row],[h2]],8))</f>
        <v>0</v>
      </c>
    </row>
    <row r="955" spans="1:18">
      <c r="A955" s="15" t="str">
        <f t="shared" si="19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8" t="s">
        <v>75</v>
      </c>
      <c r="P955" s="48">
        <f>HEX2DEC(RIGHT(Table13232127535863[[#This Row],[h1]],8))</f>
        <v>0</v>
      </c>
      <c r="Q955" s="48" t="s">
        <v>75</v>
      </c>
      <c r="R955" s="48">
        <f>HEX2DEC(RIGHT(Table13232127535863[[#This Row],[h2]],8))</f>
        <v>0</v>
      </c>
    </row>
    <row r="956" spans="1:18">
      <c r="A956" s="15" t="str">
        <f t="shared" si="19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8" t="s">
        <v>75</v>
      </c>
      <c r="P956" s="48">
        <f>HEX2DEC(RIGHT(Table13232127535863[[#This Row],[h1]],8))</f>
        <v>0</v>
      </c>
      <c r="Q956" s="48" t="s">
        <v>75</v>
      </c>
      <c r="R956" s="48">
        <f>HEX2DEC(RIGHT(Table13232127535863[[#This Row],[h2]],8))</f>
        <v>0</v>
      </c>
    </row>
    <row r="957" spans="1:18">
      <c r="A957" s="15" t="str">
        <f t="shared" si="19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8" t="s">
        <v>75</v>
      </c>
      <c r="P957" s="48">
        <f>HEX2DEC(RIGHT(Table13232127535863[[#This Row],[h1]],8))</f>
        <v>0</v>
      </c>
      <c r="Q957" s="48" t="s">
        <v>75</v>
      </c>
      <c r="R957" s="48">
        <f>HEX2DEC(RIGHT(Table13232127535863[[#This Row],[h2]],8))</f>
        <v>0</v>
      </c>
    </row>
    <row r="958" spans="1:18">
      <c r="A958" s="15" t="str">
        <f t="shared" si="19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8" t="s">
        <v>75</v>
      </c>
      <c r="P958" s="48">
        <f>HEX2DEC(RIGHT(Table13232127535863[[#This Row],[h1]],8))</f>
        <v>0</v>
      </c>
      <c r="Q958" s="48" t="s">
        <v>75</v>
      </c>
      <c r="R958" s="48">
        <f>HEX2DEC(RIGHT(Table13232127535863[[#This Row],[h2]],8))</f>
        <v>0</v>
      </c>
    </row>
    <row r="959" spans="1:18">
      <c r="A959" s="15" t="str">
        <f t="shared" si="19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8" t="s">
        <v>75</v>
      </c>
      <c r="P959" s="48">
        <f>HEX2DEC(RIGHT(Table13232127535863[[#This Row],[h1]],8))</f>
        <v>0</v>
      </c>
      <c r="Q959" s="48" t="s">
        <v>75</v>
      </c>
      <c r="R959" s="48">
        <f>HEX2DEC(RIGHT(Table13232127535863[[#This Row],[h2]],8))</f>
        <v>0</v>
      </c>
    </row>
    <row r="960" spans="1:18">
      <c r="A960" s="15" t="str">
        <f t="shared" si="19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8" t="s">
        <v>75</v>
      </c>
      <c r="P960" s="48">
        <f>HEX2DEC(RIGHT(Table13232127535863[[#This Row],[h1]],8))</f>
        <v>0</v>
      </c>
      <c r="Q960" s="48" t="s">
        <v>75</v>
      </c>
      <c r="R960" s="48">
        <f>HEX2DEC(RIGHT(Table13232127535863[[#This Row],[h2]],8))</f>
        <v>0</v>
      </c>
    </row>
    <row r="961" spans="1:18">
      <c r="A961" s="15" t="str">
        <f t="shared" si="19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8" t="s">
        <v>75</v>
      </c>
      <c r="P961" s="48">
        <f>HEX2DEC(RIGHT(Table13232127535863[[#This Row],[h1]],8))</f>
        <v>0</v>
      </c>
      <c r="Q961" s="48" t="s">
        <v>75</v>
      </c>
      <c r="R961" s="48">
        <f>HEX2DEC(RIGHT(Table13232127535863[[#This Row],[h2]],8))</f>
        <v>0</v>
      </c>
    </row>
    <row r="962" spans="1:18">
      <c r="A962" s="15" t="str">
        <f t="shared" si="19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8" t="s">
        <v>75</v>
      </c>
      <c r="P962" s="48">
        <f>HEX2DEC(RIGHT(Table13232127535863[[#This Row],[h1]],8))</f>
        <v>0</v>
      </c>
      <c r="Q962" s="48" t="s">
        <v>75</v>
      </c>
      <c r="R962" s="48">
        <f>HEX2DEC(RIGHT(Table13232127535863[[#This Row],[h2]],8))</f>
        <v>0</v>
      </c>
    </row>
    <row r="963" spans="1:18">
      <c r="A963" s="15" t="str">
        <f t="shared" si="19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8" t="s">
        <v>75</v>
      </c>
      <c r="P963" s="48">
        <f>HEX2DEC(RIGHT(Table13232127535863[[#This Row],[h1]],8))</f>
        <v>0</v>
      </c>
      <c r="Q963" s="48" t="s">
        <v>75</v>
      </c>
      <c r="R963" s="48">
        <f>HEX2DEC(RIGHT(Table13232127535863[[#This Row],[h2]],8))</f>
        <v>0</v>
      </c>
    </row>
    <row r="964" spans="1:18">
      <c r="A964" s="15" t="str">
        <f t="shared" si="19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8" t="s">
        <v>75</v>
      </c>
      <c r="P964" s="48">
        <f>HEX2DEC(RIGHT(Table13232127535863[[#This Row],[h1]],8))</f>
        <v>0</v>
      </c>
      <c r="Q964" s="48" t="s">
        <v>75</v>
      </c>
      <c r="R964" s="48">
        <f>HEX2DEC(RIGHT(Table13232127535863[[#This Row],[h2]],8))</f>
        <v>0</v>
      </c>
    </row>
    <row r="965" spans="1:18">
      <c r="A965" s="15" t="str">
        <f t="shared" si="19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8" t="s">
        <v>75</v>
      </c>
      <c r="P965" s="48">
        <f>HEX2DEC(RIGHT(Table13232127535863[[#This Row],[h1]],8))</f>
        <v>0</v>
      </c>
      <c r="Q965" s="48" t="s">
        <v>75</v>
      </c>
      <c r="R965" s="48">
        <f>HEX2DEC(RIGHT(Table13232127535863[[#This Row],[h2]],8))</f>
        <v>0</v>
      </c>
    </row>
    <row r="966" spans="1:18">
      <c r="A966" s="15" t="str">
        <f t="shared" si="19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8" t="s">
        <v>75</v>
      </c>
      <c r="P966" s="48">
        <f>HEX2DEC(RIGHT(Table13232127535863[[#This Row],[h1]],8))</f>
        <v>0</v>
      </c>
      <c r="Q966" s="48" t="s">
        <v>75</v>
      </c>
      <c r="R966" s="48">
        <f>HEX2DEC(RIGHT(Table13232127535863[[#This Row],[h2]],8))</f>
        <v>0</v>
      </c>
    </row>
    <row r="967" spans="1:18">
      <c r="A967" s="15" t="str">
        <f t="shared" si="19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8" t="s">
        <v>75</v>
      </c>
      <c r="P967" s="48">
        <f>HEX2DEC(RIGHT(Table13232127535863[[#This Row],[h1]],8))</f>
        <v>0</v>
      </c>
      <c r="Q967" s="48" t="s">
        <v>75</v>
      </c>
      <c r="R967" s="48">
        <f>HEX2DEC(RIGHT(Table13232127535863[[#This Row],[h2]],8))</f>
        <v>0</v>
      </c>
    </row>
    <row r="968" spans="1:18">
      <c r="A968" s="15" t="str">
        <f t="shared" si="19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8" t="s">
        <v>75</v>
      </c>
      <c r="P968" s="48">
        <f>HEX2DEC(RIGHT(Table13232127535863[[#This Row],[h1]],8))</f>
        <v>0</v>
      </c>
      <c r="Q968" s="48" t="s">
        <v>75</v>
      </c>
      <c r="R968" s="48">
        <f>HEX2DEC(RIGHT(Table13232127535863[[#This Row],[h2]],8))</f>
        <v>0</v>
      </c>
    </row>
    <row r="969" spans="1:18">
      <c r="A969" s="15" t="str">
        <f t="shared" si="19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8" t="s">
        <v>75</v>
      </c>
      <c r="P969" s="48">
        <f>HEX2DEC(RIGHT(Table13232127535863[[#This Row],[h1]],8))</f>
        <v>0</v>
      </c>
      <c r="Q969" s="48" t="s">
        <v>75</v>
      </c>
      <c r="R969" s="48">
        <f>HEX2DEC(RIGHT(Table13232127535863[[#This Row],[h2]],8))</f>
        <v>0</v>
      </c>
    </row>
    <row r="970" spans="1:18">
      <c r="A970" s="15" t="str">
        <f t="shared" si="19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8" t="s">
        <v>75</v>
      </c>
      <c r="P970" s="48">
        <f>HEX2DEC(RIGHT(Table13232127535863[[#This Row],[h1]],8))</f>
        <v>0</v>
      </c>
      <c r="Q970" s="48" t="s">
        <v>75</v>
      </c>
      <c r="R970" s="48">
        <f>HEX2DEC(RIGHT(Table13232127535863[[#This Row],[h2]],8))</f>
        <v>0</v>
      </c>
    </row>
    <row r="971" spans="1:18">
      <c r="A971" s="15" t="str">
        <f t="shared" ref="A971:A1034" si="20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8" t="s">
        <v>75</v>
      </c>
      <c r="P971" s="48">
        <f>HEX2DEC(RIGHT(Table13232127535863[[#This Row],[h1]],8))</f>
        <v>0</v>
      </c>
      <c r="Q971" s="48" t="s">
        <v>75</v>
      </c>
      <c r="R971" s="48">
        <f>HEX2DEC(RIGHT(Table13232127535863[[#This Row],[h2]],8))</f>
        <v>0</v>
      </c>
    </row>
    <row r="972" spans="1:18">
      <c r="A972" s="15" t="str">
        <f t="shared" si="20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8" t="s">
        <v>75</v>
      </c>
      <c r="P972" s="48">
        <f>HEX2DEC(RIGHT(Table13232127535863[[#This Row],[h1]],8))</f>
        <v>0</v>
      </c>
      <c r="Q972" s="48" t="s">
        <v>75</v>
      </c>
      <c r="R972" s="48">
        <f>HEX2DEC(RIGHT(Table13232127535863[[#This Row],[h2]],8))</f>
        <v>0</v>
      </c>
    </row>
    <row r="973" spans="1:18">
      <c r="A973" s="15" t="str">
        <f t="shared" si="20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8" t="s">
        <v>75</v>
      </c>
      <c r="P973" s="48">
        <f>HEX2DEC(RIGHT(Table13232127535863[[#This Row],[h1]],8))</f>
        <v>0</v>
      </c>
      <c r="Q973" s="48" t="s">
        <v>75</v>
      </c>
      <c r="R973" s="48">
        <f>HEX2DEC(RIGHT(Table13232127535863[[#This Row],[h2]],8))</f>
        <v>0</v>
      </c>
    </row>
    <row r="974" spans="1:18">
      <c r="A974" s="15" t="str">
        <f t="shared" si="20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8" t="s">
        <v>75</v>
      </c>
      <c r="P974" s="48">
        <f>HEX2DEC(RIGHT(Table13232127535863[[#This Row],[h1]],8))</f>
        <v>0</v>
      </c>
      <c r="Q974" s="48" t="s">
        <v>75</v>
      </c>
      <c r="R974" s="48">
        <f>HEX2DEC(RIGHT(Table13232127535863[[#This Row],[h2]],8))</f>
        <v>0</v>
      </c>
    </row>
    <row r="975" spans="1:18">
      <c r="A975" s="15" t="str">
        <f t="shared" si="20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8" t="s">
        <v>75</v>
      </c>
      <c r="P975" s="48">
        <f>HEX2DEC(RIGHT(Table13232127535863[[#This Row],[h1]],8))</f>
        <v>0</v>
      </c>
      <c r="Q975" s="48" t="s">
        <v>75</v>
      </c>
      <c r="R975" s="48">
        <f>HEX2DEC(RIGHT(Table13232127535863[[#This Row],[h2]],8))</f>
        <v>0</v>
      </c>
    </row>
    <row r="976" spans="1:18">
      <c r="A976" s="15" t="str">
        <f t="shared" si="20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8" t="s">
        <v>75</v>
      </c>
      <c r="P976" s="48">
        <f>HEX2DEC(RIGHT(Table13232127535863[[#This Row],[h1]],8))</f>
        <v>0</v>
      </c>
      <c r="Q976" s="48" t="s">
        <v>75</v>
      </c>
      <c r="R976" s="48">
        <f>HEX2DEC(RIGHT(Table13232127535863[[#This Row],[h2]],8))</f>
        <v>0</v>
      </c>
    </row>
    <row r="977" spans="1:18">
      <c r="A977" s="15" t="str">
        <f t="shared" si="20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8" t="s">
        <v>75</v>
      </c>
      <c r="P977" s="48">
        <f>HEX2DEC(RIGHT(Table13232127535863[[#This Row],[h1]],8))</f>
        <v>0</v>
      </c>
      <c r="Q977" s="48" t="s">
        <v>75</v>
      </c>
      <c r="R977" s="48">
        <f>HEX2DEC(RIGHT(Table13232127535863[[#This Row],[h2]],8))</f>
        <v>0</v>
      </c>
    </row>
    <row r="978" spans="1:18">
      <c r="A978" s="15" t="str">
        <f t="shared" si="20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8" t="s">
        <v>75</v>
      </c>
      <c r="P978" s="48">
        <f>HEX2DEC(RIGHT(Table13232127535863[[#This Row],[h1]],8))</f>
        <v>0</v>
      </c>
      <c r="Q978" s="48" t="s">
        <v>75</v>
      </c>
      <c r="R978" s="48">
        <f>HEX2DEC(RIGHT(Table13232127535863[[#This Row],[h2]],8))</f>
        <v>0</v>
      </c>
    </row>
    <row r="979" spans="1:18">
      <c r="A979" s="15" t="str">
        <f t="shared" si="20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8" t="s">
        <v>75</v>
      </c>
      <c r="P979" s="48">
        <f>HEX2DEC(RIGHT(Table13232127535863[[#This Row],[h1]],8))</f>
        <v>0</v>
      </c>
      <c r="Q979" s="48" t="s">
        <v>75</v>
      </c>
      <c r="R979" s="48">
        <f>HEX2DEC(RIGHT(Table13232127535863[[#This Row],[h2]],8))</f>
        <v>0</v>
      </c>
    </row>
    <row r="980" spans="1:18">
      <c r="A980" s="15" t="str">
        <f t="shared" si="20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8" t="s">
        <v>75</v>
      </c>
      <c r="P980" s="48">
        <f>HEX2DEC(RIGHT(Table13232127535863[[#This Row],[h1]],8))</f>
        <v>0</v>
      </c>
      <c r="Q980" s="48" t="s">
        <v>75</v>
      </c>
      <c r="R980" s="48">
        <f>HEX2DEC(RIGHT(Table13232127535863[[#This Row],[h2]],8))</f>
        <v>0</v>
      </c>
    </row>
    <row r="981" spans="1:18">
      <c r="A981" s="15" t="str">
        <f t="shared" si="20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8" t="s">
        <v>75</v>
      </c>
      <c r="P981" s="48">
        <f>HEX2DEC(RIGHT(Table13232127535863[[#This Row],[h1]],8))</f>
        <v>0</v>
      </c>
      <c r="Q981" s="48" t="s">
        <v>75</v>
      </c>
      <c r="R981" s="48">
        <f>HEX2DEC(RIGHT(Table13232127535863[[#This Row],[h2]],8))</f>
        <v>0</v>
      </c>
    </row>
    <row r="982" spans="1:18">
      <c r="A982" s="15" t="str">
        <f t="shared" si="20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8" t="s">
        <v>75</v>
      </c>
      <c r="P982" s="48">
        <f>HEX2DEC(RIGHT(Table13232127535863[[#This Row],[h1]],8))</f>
        <v>0</v>
      </c>
      <c r="Q982" s="48" t="s">
        <v>75</v>
      </c>
      <c r="R982" s="48">
        <f>HEX2DEC(RIGHT(Table13232127535863[[#This Row],[h2]],8))</f>
        <v>0</v>
      </c>
    </row>
    <row r="983" spans="1:18">
      <c r="A983" s="15" t="str">
        <f t="shared" si="20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8" t="s">
        <v>75</v>
      </c>
      <c r="P983" s="48">
        <f>HEX2DEC(RIGHT(Table13232127535863[[#This Row],[h1]],8))</f>
        <v>0</v>
      </c>
      <c r="Q983" s="48" t="s">
        <v>75</v>
      </c>
      <c r="R983" s="48">
        <f>HEX2DEC(RIGHT(Table13232127535863[[#This Row],[h2]],8))</f>
        <v>0</v>
      </c>
    </row>
    <row r="984" spans="1:18">
      <c r="A984" s="15" t="str">
        <f t="shared" si="20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8" t="s">
        <v>75</v>
      </c>
      <c r="P984" s="48">
        <f>HEX2DEC(RIGHT(Table13232127535863[[#This Row],[h1]],8))</f>
        <v>0</v>
      </c>
      <c r="Q984" s="48" t="s">
        <v>75</v>
      </c>
      <c r="R984" s="48">
        <f>HEX2DEC(RIGHT(Table13232127535863[[#This Row],[h2]],8))</f>
        <v>0</v>
      </c>
    </row>
    <row r="985" spans="1:18">
      <c r="A985" s="15" t="str">
        <f t="shared" si="20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8" t="s">
        <v>75</v>
      </c>
      <c r="P985" s="48">
        <f>HEX2DEC(RIGHT(Table13232127535863[[#This Row],[h1]],8))</f>
        <v>0</v>
      </c>
      <c r="Q985" s="48" t="s">
        <v>75</v>
      </c>
      <c r="R985" s="48">
        <f>HEX2DEC(RIGHT(Table13232127535863[[#This Row],[h2]],8))</f>
        <v>0</v>
      </c>
    </row>
    <row r="986" spans="1:18">
      <c r="A986" s="15" t="str">
        <f t="shared" si="20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8" t="s">
        <v>75</v>
      </c>
      <c r="P986" s="48">
        <f>HEX2DEC(RIGHT(Table13232127535863[[#This Row],[h1]],8))</f>
        <v>0</v>
      </c>
      <c r="Q986" s="48" t="s">
        <v>75</v>
      </c>
      <c r="R986" s="48">
        <f>HEX2DEC(RIGHT(Table13232127535863[[#This Row],[h2]],8))</f>
        <v>0</v>
      </c>
    </row>
    <row r="987" spans="1:18">
      <c r="A987" s="15" t="str">
        <f t="shared" si="20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8" t="s">
        <v>75</v>
      </c>
      <c r="P987" s="48">
        <f>HEX2DEC(RIGHT(Table13232127535863[[#This Row],[h1]],8))</f>
        <v>0</v>
      </c>
      <c r="Q987" s="48" t="s">
        <v>75</v>
      </c>
      <c r="R987" s="48">
        <f>HEX2DEC(RIGHT(Table13232127535863[[#This Row],[h2]],8))</f>
        <v>0</v>
      </c>
    </row>
    <row r="988" spans="1:18">
      <c r="A988" s="15" t="str">
        <f t="shared" si="20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8" t="s">
        <v>75</v>
      </c>
      <c r="P988" s="48">
        <f>HEX2DEC(RIGHT(Table13232127535863[[#This Row],[h1]],8))</f>
        <v>0</v>
      </c>
      <c r="Q988" s="48" t="s">
        <v>75</v>
      </c>
      <c r="R988" s="48">
        <f>HEX2DEC(RIGHT(Table13232127535863[[#This Row],[h2]],8))</f>
        <v>0</v>
      </c>
    </row>
    <row r="989" spans="1:18">
      <c r="A989" s="15" t="str">
        <f t="shared" si="20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8" t="s">
        <v>75</v>
      </c>
      <c r="P989" s="48">
        <f>HEX2DEC(RIGHT(Table13232127535863[[#This Row],[h1]],8))</f>
        <v>0</v>
      </c>
      <c r="Q989" s="48" t="s">
        <v>75</v>
      </c>
      <c r="R989" s="48">
        <f>HEX2DEC(RIGHT(Table13232127535863[[#This Row],[h2]],8))</f>
        <v>0</v>
      </c>
    </row>
    <row r="990" spans="1:18">
      <c r="A990" s="15" t="str">
        <f t="shared" si="20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8" t="s">
        <v>75</v>
      </c>
      <c r="P990" s="48">
        <f>HEX2DEC(RIGHT(Table13232127535863[[#This Row],[h1]],8))</f>
        <v>0</v>
      </c>
      <c r="Q990" s="48" t="s">
        <v>75</v>
      </c>
      <c r="R990" s="48">
        <f>HEX2DEC(RIGHT(Table13232127535863[[#This Row],[h2]],8))</f>
        <v>0</v>
      </c>
    </row>
    <row r="991" spans="1:18">
      <c r="A991" s="15" t="str">
        <f t="shared" si="20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8" t="s">
        <v>75</v>
      </c>
      <c r="P991" s="48">
        <f>HEX2DEC(RIGHT(Table13232127535863[[#This Row],[h1]],8))</f>
        <v>0</v>
      </c>
      <c r="Q991" s="48" t="s">
        <v>75</v>
      </c>
      <c r="R991" s="48">
        <f>HEX2DEC(RIGHT(Table13232127535863[[#This Row],[h2]],8))</f>
        <v>0</v>
      </c>
    </row>
    <row r="992" spans="1:18">
      <c r="A992" s="15" t="str">
        <f t="shared" si="20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8" t="s">
        <v>75</v>
      </c>
      <c r="P992" s="48">
        <f>HEX2DEC(RIGHT(Table13232127535863[[#This Row],[h1]],8))</f>
        <v>0</v>
      </c>
      <c r="Q992" s="48" t="s">
        <v>75</v>
      </c>
      <c r="R992" s="48">
        <f>HEX2DEC(RIGHT(Table13232127535863[[#This Row],[h2]],8))</f>
        <v>0</v>
      </c>
    </row>
    <row r="993" spans="1:18">
      <c r="A993" s="15" t="str">
        <f t="shared" si="20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8" t="s">
        <v>75</v>
      </c>
      <c r="P993" s="48">
        <f>HEX2DEC(RIGHT(Table13232127535863[[#This Row],[h1]],8))</f>
        <v>0</v>
      </c>
      <c r="Q993" s="48" t="s">
        <v>75</v>
      </c>
      <c r="R993" s="48">
        <f>HEX2DEC(RIGHT(Table13232127535863[[#This Row],[h2]],8))</f>
        <v>0</v>
      </c>
    </row>
    <row r="994" spans="1:18">
      <c r="A994" s="15" t="str">
        <f t="shared" si="20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8" t="s">
        <v>75</v>
      </c>
      <c r="P994" s="48">
        <f>HEX2DEC(RIGHT(Table13232127535863[[#This Row],[h1]],8))</f>
        <v>0</v>
      </c>
      <c r="Q994" s="48" t="s">
        <v>75</v>
      </c>
      <c r="R994" s="48">
        <f>HEX2DEC(RIGHT(Table13232127535863[[#This Row],[h2]],8))</f>
        <v>0</v>
      </c>
    </row>
    <row r="995" spans="1:18">
      <c r="A995" s="15" t="str">
        <f t="shared" si="20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8" t="s">
        <v>75</v>
      </c>
      <c r="P995" s="48">
        <f>HEX2DEC(RIGHT(Table13232127535863[[#This Row],[h1]],8))</f>
        <v>0</v>
      </c>
      <c r="Q995" s="48" t="s">
        <v>75</v>
      </c>
      <c r="R995" s="48">
        <f>HEX2DEC(RIGHT(Table13232127535863[[#This Row],[h2]],8))</f>
        <v>0</v>
      </c>
    </row>
    <row r="996" spans="1:18">
      <c r="A996" s="15" t="str">
        <f t="shared" si="20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8" t="s">
        <v>75</v>
      </c>
      <c r="P996" s="48">
        <f>HEX2DEC(RIGHT(Table13232127535863[[#This Row],[h1]],8))</f>
        <v>0</v>
      </c>
      <c r="Q996" s="48" t="s">
        <v>75</v>
      </c>
      <c r="R996" s="48">
        <f>HEX2DEC(RIGHT(Table13232127535863[[#This Row],[h2]],8))</f>
        <v>0</v>
      </c>
    </row>
    <row r="997" spans="1:18">
      <c r="A997" s="15" t="str">
        <f t="shared" si="20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8" t="s">
        <v>75</v>
      </c>
      <c r="P997" s="48">
        <f>HEX2DEC(RIGHT(Table13232127535863[[#This Row],[h1]],8))</f>
        <v>0</v>
      </c>
      <c r="Q997" s="48" t="s">
        <v>75</v>
      </c>
      <c r="R997" s="48">
        <f>HEX2DEC(RIGHT(Table13232127535863[[#This Row],[h2]],8))</f>
        <v>0</v>
      </c>
    </row>
    <row r="998" spans="1:18">
      <c r="A998" s="15" t="str">
        <f t="shared" si="20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8" t="s">
        <v>75</v>
      </c>
      <c r="P998" s="48">
        <f>HEX2DEC(RIGHT(Table13232127535863[[#This Row],[h1]],8))</f>
        <v>0</v>
      </c>
      <c r="Q998" s="48" t="s">
        <v>75</v>
      </c>
      <c r="R998" s="48">
        <f>HEX2DEC(RIGHT(Table13232127535863[[#This Row],[h2]],8))</f>
        <v>0</v>
      </c>
    </row>
    <row r="999" spans="1:18">
      <c r="A999" s="15" t="str">
        <f t="shared" si="20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8" t="s">
        <v>75</v>
      </c>
      <c r="P999" s="48">
        <f>HEX2DEC(RIGHT(Table13232127535863[[#This Row],[h1]],8))</f>
        <v>0</v>
      </c>
      <c r="Q999" s="48" t="s">
        <v>75</v>
      </c>
      <c r="R999" s="48">
        <f>HEX2DEC(RIGHT(Table13232127535863[[#This Row],[h2]],8))</f>
        <v>0</v>
      </c>
    </row>
    <row r="1000" spans="1:18">
      <c r="A1000" s="15" t="str">
        <f t="shared" si="20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8" t="s">
        <v>75</v>
      </c>
      <c r="P1000" s="48">
        <f>HEX2DEC(RIGHT(Table13232127535863[[#This Row],[h1]],8))</f>
        <v>0</v>
      </c>
      <c r="Q1000" s="48" t="s">
        <v>75</v>
      </c>
      <c r="R1000" s="48">
        <f>HEX2DEC(RIGHT(Table13232127535863[[#This Row],[h2]],8))</f>
        <v>0</v>
      </c>
    </row>
    <row r="1001" spans="1:18">
      <c r="A1001" s="15" t="str">
        <f t="shared" si="20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8" t="s">
        <v>75</v>
      </c>
      <c r="P1001" s="48">
        <f>HEX2DEC(RIGHT(Table13232127535863[[#This Row],[h1]],8))</f>
        <v>0</v>
      </c>
      <c r="Q1001" s="48" t="s">
        <v>75</v>
      </c>
      <c r="R1001" s="48">
        <f>HEX2DEC(RIGHT(Table13232127535863[[#This Row],[h2]],8))</f>
        <v>0</v>
      </c>
    </row>
    <row r="1002" spans="1:18">
      <c r="A1002" s="15" t="str">
        <f t="shared" si="20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8" t="s">
        <v>75</v>
      </c>
      <c r="P1002" s="48">
        <f>HEX2DEC(RIGHT(Table13232127535863[[#This Row],[h1]],8))</f>
        <v>0</v>
      </c>
      <c r="Q1002" s="48" t="s">
        <v>75</v>
      </c>
      <c r="R1002" s="48">
        <f>HEX2DEC(RIGHT(Table13232127535863[[#This Row],[h2]],8))</f>
        <v>0</v>
      </c>
    </row>
    <row r="1003" spans="1:18">
      <c r="A1003" s="15" t="str">
        <f t="shared" si="20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8" t="s">
        <v>75</v>
      </c>
      <c r="P1003" s="48">
        <f>HEX2DEC(RIGHT(Table13232127535863[[#This Row],[h1]],8))</f>
        <v>0</v>
      </c>
      <c r="Q1003" s="48" t="s">
        <v>75</v>
      </c>
      <c r="R1003" s="48">
        <f>HEX2DEC(RIGHT(Table13232127535863[[#This Row],[h2]],8))</f>
        <v>0</v>
      </c>
    </row>
    <row r="1004" spans="1:18">
      <c r="A1004" s="15" t="str">
        <f t="shared" si="20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8" t="s">
        <v>75</v>
      </c>
      <c r="P1004" s="48">
        <f>HEX2DEC(RIGHT(Table13232127535863[[#This Row],[h1]],8))</f>
        <v>0</v>
      </c>
      <c r="Q1004" s="48" t="s">
        <v>75</v>
      </c>
      <c r="R1004" s="48">
        <f>HEX2DEC(RIGHT(Table13232127535863[[#This Row],[h2]],8))</f>
        <v>0</v>
      </c>
    </row>
    <row r="1005" spans="1:18">
      <c r="A1005" s="15" t="str">
        <f t="shared" si="20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8" t="s">
        <v>75</v>
      </c>
      <c r="P1005" s="48">
        <f>HEX2DEC(RIGHT(Table13232127535863[[#This Row],[h1]],8))</f>
        <v>0</v>
      </c>
      <c r="Q1005" s="48" t="s">
        <v>75</v>
      </c>
      <c r="R1005" s="48">
        <f>HEX2DEC(RIGHT(Table13232127535863[[#This Row],[h2]],8))</f>
        <v>0</v>
      </c>
    </row>
    <row r="1006" spans="1:18">
      <c r="A1006" s="15" t="str">
        <f t="shared" si="20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8" t="s">
        <v>75</v>
      </c>
      <c r="P1006" s="48">
        <f>HEX2DEC(RIGHT(Table13232127535863[[#This Row],[h1]],8))</f>
        <v>0</v>
      </c>
      <c r="Q1006" s="48" t="s">
        <v>75</v>
      </c>
      <c r="R1006" s="48">
        <f>HEX2DEC(RIGHT(Table13232127535863[[#This Row],[h2]],8))</f>
        <v>0</v>
      </c>
    </row>
    <row r="1007" spans="1:18">
      <c r="A1007" s="15" t="str">
        <f t="shared" si="20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8" t="s">
        <v>75</v>
      </c>
      <c r="P1007" s="48">
        <f>HEX2DEC(RIGHT(Table13232127535863[[#This Row],[h1]],8))</f>
        <v>0</v>
      </c>
      <c r="Q1007" s="48" t="s">
        <v>75</v>
      </c>
      <c r="R1007" s="48">
        <f>HEX2DEC(RIGHT(Table13232127535863[[#This Row],[h2]],8))</f>
        <v>0</v>
      </c>
    </row>
    <row r="1008" spans="1:18">
      <c r="A1008" s="15" t="str">
        <f t="shared" si="20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8" t="s">
        <v>75</v>
      </c>
      <c r="P1008" s="48">
        <f>HEX2DEC(RIGHT(Table13232127535863[[#This Row],[h1]],8))</f>
        <v>0</v>
      </c>
      <c r="Q1008" s="48" t="s">
        <v>75</v>
      </c>
      <c r="R1008" s="48">
        <f>HEX2DEC(RIGHT(Table13232127535863[[#This Row],[h2]],8))</f>
        <v>0</v>
      </c>
    </row>
    <row r="1009" spans="1:18">
      <c r="A1009" s="15" t="str">
        <f t="shared" si="20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8" t="s">
        <v>75</v>
      </c>
      <c r="P1009" s="48">
        <f>HEX2DEC(RIGHT(Table13232127535863[[#This Row],[h1]],8))</f>
        <v>0</v>
      </c>
      <c r="Q1009" s="48" t="s">
        <v>75</v>
      </c>
      <c r="R1009" s="48">
        <f>HEX2DEC(RIGHT(Table13232127535863[[#This Row],[h2]],8))</f>
        <v>0</v>
      </c>
    </row>
    <row r="1010" spans="1:18">
      <c r="A1010" s="15" t="str">
        <f t="shared" si="20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8" t="s">
        <v>75</v>
      </c>
      <c r="P1010" s="48">
        <f>HEX2DEC(RIGHT(Table13232127535863[[#This Row],[h1]],8))</f>
        <v>0</v>
      </c>
      <c r="Q1010" s="48" t="s">
        <v>75</v>
      </c>
      <c r="R1010" s="48">
        <f>HEX2DEC(RIGHT(Table13232127535863[[#This Row],[h2]],8))</f>
        <v>0</v>
      </c>
    </row>
    <row r="1011" spans="1:18">
      <c r="A1011" s="15" t="str">
        <f t="shared" si="20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8" t="s">
        <v>75</v>
      </c>
      <c r="P1011" s="48">
        <f>HEX2DEC(RIGHT(Table13232127535863[[#This Row],[h1]],8))</f>
        <v>0</v>
      </c>
      <c r="Q1011" s="48" t="s">
        <v>75</v>
      </c>
      <c r="R1011" s="48">
        <f>HEX2DEC(RIGHT(Table13232127535863[[#This Row],[h2]],8))</f>
        <v>0</v>
      </c>
    </row>
    <row r="1012" spans="1:18">
      <c r="A1012" s="15" t="str">
        <f t="shared" si="20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8" t="s">
        <v>75</v>
      </c>
      <c r="P1012" s="48">
        <f>HEX2DEC(RIGHT(Table13232127535863[[#This Row],[h1]],8))</f>
        <v>0</v>
      </c>
      <c r="Q1012" s="48" t="s">
        <v>75</v>
      </c>
      <c r="R1012" s="48">
        <f>HEX2DEC(RIGHT(Table13232127535863[[#This Row],[h2]],8))</f>
        <v>0</v>
      </c>
    </row>
    <row r="1013" spans="1:18">
      <c r="A1013" s="15" t="str">
        <f t="shared" si="20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8" t="s">
        <v>75</v>
      </c>
      <c r="P1013" s="48">
        <f>HEX2DEC(RIGHT(Table13232127535863[[#This Row],[h1]],8))</f>
        <v>0</v>
      </c>
      <c r="Q1013" s="48" t="s">
        <v>75</v>
      </c>
      <c r="R1013" s="48">
        <f>HEX2DEC(RIGHT(Table13232127535863[[#This Row],[h2]],8))</f>
        <v>0</v>
      </c>
    </row>
    <row r="1014" spans="1:18">
      <c r="A1014" s="15" t="str">
        <f t="shared" si="20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8" t="s">
        <v>75</v>
      </c>
      <c r="P1014" s="48">
        <f>HEX2DEC(RIGHT(Table13232127535863[[#This Row],[h1]],8))</f>
        <v>0</v>
      </c>
      <c r="Q1014" s="48" t="s">
        <v>75</v>
      </c>
      <c r="R1014" s="48">
        <f>HEX2DEC(RIGHT(Table13232127535863[[#This Row],[h2]],8))</f>
        <v>0</v>
      </c>
    </row>
    <row r="1015" spans="1:18">
      <c r="A1015" s="15" t="str">
        <f t="shared" si="20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8" t="s">
        <v>75</v>
      </c>
      <c r="P1015" s="48">
        <f>HEX2DEC(RIGHT(Table13232127535863[[#This Row],[h1]],8))</f>
        <v>0</v>
      </c>
      <c r="Q1015" s="48" t="s">
        <v>75</v>
      </c>
      <c r="R1015" s="48">
        <f>HEX2DEC(RIGHT(Table13232127535863[[#This Row],[h2]],8))</f>
        <v>0</v>
      </c>
    </row>
    <row r="1016" spans="1:18">
      <c r="A1016" s="15" t="str">
        <f t="shared" si="20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8" t="s">
        <v>75</v>
      </c>
      <c r="P1016" s="48">
        <f>HEX2DEC(RIGHT(Table13232127535863[[#This Row],[h1]],8))</f>
        <v>0</v>
      </c>
      <c r="Q1016" s="48" t="s">
        <v>75</v>
      </c>
      <c r="R1016" s="48">
        <f>HEX2DEC(RIGHT(Table13232127535863[[#This Row],[h2]],8))</f>
        <v>0</v>
      </c>
    </row>
    <row r="1017" spans="1:18">
      <c r="A1017" s="15" t="str">
        <f t="shared" si="20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8" t="s">
        <v>75</v>
      </c>
      <c r="P1017" s="48">
        <f>HEX2DEC(RIGHT(Table13232127535863[[#This Row],[h1]],8))</f>
        <v>0</v>
      </c>
      <c r="Q1017" s="48" t="s">
        <v>75</v>
      </c>
      <c r="R1017" s="48">
        <f>HEX2DEC(RIGHT(Table13232127535863[[#This Row],[h2]],8))</f>
        <v>0</v>
      </c>
    </row>
    <row r="1018" spans="1:18">
      <c r="A1018" s="15" t="str">
        <f t="shared" si="20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8" t="s">
        <v>75</v>
      </c>
      <c r="P1018" s="48">
        <f>HEX2DEC(RIGHT(Table13232127535863[[#This Row],[h1]],8))</f>
        <v>0</v>
      </c>
      <c r="Q1018" s="48" t="s">
        <v>75</v>
      </c>
      <c r="R1018" s="48">
        <f>HEX2DEC(RIGHT(Table13232127535863[[#This Row],[h2]],8))</f>
        <v>0</v>
      </c>
    </row>
    <row r="1019" spans="1:18">
      <c r="A1019" s="15" t="str">
        <f t="shared" si="20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8" t="s">
        <v>75</v>
      </c>
      <c r="P1019" s="48">
        <f>HEX2DEC(RIGHT(Table13232127535863[[#This Row],[h1]],8))</f>
        <v>0</v>
      </c>
      <c r="Q1019" s="48" t="s">
        <v>75</v>
      </c>
      <c r="R1019" s="48">
        <f>HEX2DEC(RIGHT(Table13232127535863[[#This Row],[h2]],8))</f>
        <v>0</v>
      </c>
    </row>
    <row r="1020" spans="1:18">
      <c r="A1020" s="15" t="str">
        <f t="shared" si="20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8" t="s">
        <v>75</v>
      </c>
      <c r="P1020" s="48">
        <f>HEX2DEC(RIGHT(Table13232127535863[[#This Row],[h1]],8))</f>
        <v>0</v>
      </c>
      <c r="Q1020" s="48" t="s">
        <v>75</v>
      </c>
      <c r="R1020" s="48">
        <f>HEX2DEC(RIGHT(Table13232127535863[[#This Row],[h2]],8))</f>
        <v>0</v>
      </c>
    </row>
    <row r="1021" spans="1:18">
      <c r="A1021" s="15" t="str">
        <f t="shared" si="20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8" t="s">
        <v>75</v>
      </c>
      <c r="P1021" s="48">
        <f>HEX2DEC(RIGHT(Table13232127535863[[#This Row],[h1]],8))</f>
        <v>0</v>
      </c>
      <c r="Q1021" s="48" t="s">
        <v>75</v>
      </c>
      <c r="R1021" s="48">
        <f>HEX2DEC(RIGHT(Table13232127535863[[#This Row],[h2]],8))</f>
        <v>0</v>
      </c>
    </row>
    <row r="1022" spans="1:18">
      <c r="A1022" s="15" t="str">
        <f t="shared" si="20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8" t="s">
        <v>75</v>
      </c>
      <c r="P1022" s="48">
        <f>HEX2DEC(RIGHT(Table13232127535863[[#This Row],[h1]],8))</f>
        <v>0</v>
      </c>
      <c r="Q1022" s="48" t="s">
        <v>75</v>
      </c>
      <c r="R1022" s="48">
        <f>HEX2DEC(RIGHT(Table13232127535863[[#This Row],[h2]],8))</f>
        <v>0</v>
      </c>
    </row>
    <row r="1023" spans="1:18">
      <c r="A1023" s="15" t="str">
        <f t="shared" si="20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8" t="s">
        <v>75</v>
      </c>
      <c r="P1023" s="48">
        <f>HEX2DEC(RIGHT(Table13232127535863[[#This Row],[h1]],8))</f>
        <v>0</v>
      </c>
      <c r="Q1023" s="48" t="s">
        <v>75</v>
      </c>
      <c r="R1023" s="48">
        <f>HEX2DEC(RIGHT(Table13232127535863[[#This Row],[h2]],8))</f>
        <v>0</v>
      </c>
    </row>
    <row r="1024" spans="1:18">
      <c r="A1024" s="15" t="str">
        <f t="shared" si="20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8" t="s">
        <v>75</v>
      </c>
      <c r="P1024" s="48">
        <f>HEX2DEC(RIGHT(Table13232127535863[[#This Row],[h1]],8))</f>
        <v>0</v>
      </c>
      <c r="Q1024" s="48" t="s">
        <v>75</v>
      </c>
      <c r="R1024" s="48">
        <f>HEX2DEC(RIGHT(Table13232127535863[[#This Row],[h2]],8))</f>
        <v>0</v>
      </c>
    </row>
    <row r="1025" spans="1:18">
      <c r="A1025" s="15" t="str">
        <f t="shared" si="20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8" t="s">
        <v>75</v>
      </c>
      <c r="P1025" s="48">
        <f>HEX2DEC(RIGHT(Table13232127535863[[#This Row],[h1]],8))</f>
        <v>0</v>
      </c>
      <c r="Q1025" s="48" t="s">
        <v>75</v>
      </c>
      <c r="R1025" s="48">
        <f>HEX2DEC(RIGHT(Table13232127535863[[#This Row],[h2]],8))</f>
        <v>0</v>
      </c>
    </row>
    <row r="1026" spans="1:18">
      <c r="A1026" s="15" t="str">
        <f t="shared" si="20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8" t="s">
        <v>75</v>
      </c>
      <c r="P1026" s="48">
        <f>HEX2DEC(RIGHT(Table13232127535863[[#This Row],[h1]],8))</f>
        <v>0</v>
      </c>
      <c r="Q1026" s="48" t="s">
        <v>75</v>
      </c>
      <c r="R1026" s="48">
        <f>HEX2DEC(RIGHT(Table13232127535863[[#This Row],[h2]],8))</f>
        <v>0</v>
      </c>
    </row>
    <row r="1027" spans="1:18">
      <c r="A1027" s="15" t="str">
        <f t="shared" si="20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8" t="s">
        <v>75</v>
      </c>
      <c r="P1027" s="48">
        <f>HEX2DEC(RIGHT(Table13232127535863[[#This Row],[h1]],8))</f>
        <v>0</v>
      </c>
      <c r="Q1027" s="48" t="s">
        <v>75</v>
      </c>
      <c r="R1027" s="48">
        <f>HEX2DEC(RIGHT(Table13232127535863[[#This Row],[h2]],8))</f>
        <v>0</v>
      </c>
    </row>
    <row r="1028" spans="1:18">
      <c r="A1028" s="15" t="str">
        <f t="shared" si="20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8" t="s">
        <v>75</v>
      </c>
      <c r="P1028" s="48">
        <f>HEX2DEC(RIGHT(Table13232127535863[[#This Row],[h1]],8))</f>
        <v>0</v>
      </c>
      <c r="Q1028" s="48" t="s">
        <v>75</v>
      </c>
      <c r="R1028" s="48">
        <f>HEX2DEC(RIGHT(Table13232127535863[[#This Row],[h2]],8))</f>
        <v>0</v>
      </c>
    </row>
    <row r="1029" spans="1:18">
      <c r="A1029" s="15" t="str">
        <f t="shared" si="20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8" t="s">
        <v>75</v>
      </c>
      <c r="P1029" s="48">
        <f>HEX2DEC(RIGHT(Table13232127535863[[#This Row],[h1]],8))</f>
        <v>0</v>
      </c>
      <c r="Q1029" s="48" t="s">
        <v>75</v>
      </c>
      <c r="R1029" s="48">
        <f>HEX2DEC(RIGHT(Table13232127535863[[#This Row],[h2]],8))</f>
        <v>0</v>
      </c>
    </row>
    <row r="1030" spans="1:18">
      <c r="A1030" s="15" t="str">
        <f t="shared" si="20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8" t="s">
        <v>75</v>
      </c>
      <c r="P1030" s="48">
        <f>HEX2DEC(RIGHT(Table13232127535863[[#This Row],[h1]],8))</f>
        <v>0</v>
      </c>
      <c r="Q1030" s="48" t="s">
        <v>75</v>
      </c>
      <c r="R1030" s="48">
        <f>HEX2DEC(RIGHT(Table13232127535863[[#This Row],[h2]],8))</f>
        <v>0</v>
      </c>
    </row>
    <row r="1031" spans="1:18">
      <c r="A1031" s="15" t="str">
        <f t="shared" si="20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8" t="s">
        <v>75</v>
      </c>
      <c r="P1031" s="48">
        <f>HEX2DEC(RIGHT(Table13232127535863[[#This Row],[h1]],8))</f>
        <v>0</v>
      </c>
      <c r="Q1031" s="48" t="s">
        <v>75</v>
      </c>
      <c r="R1031" s="48">
        <f>HEX2DEC(RIGHT(Table13232127535863[[#This Row],[h2]],8))</f>
        <v>0</v>
      </c>
    </row>
    <row r="1032" spans="1:18">
      <c r="A1032" s="15" t="str">
        <f t="shared" si="20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8" t="s">
        <v>75</v>
      </c>
      <c r="P1032" s="48">
        <f>HEX2DEC(RIGHT(Table13232127535863[[#This Row],[h1]],8))</f>
        <v>0</v>
      </c>
      <c r="Q1032" s="48" t="s">
        <v>75</v>
      </c>
      <c r="R1032" s="48">
        <f>HEX2DEC(RIGHT(Table13232127535863[[#This Row],[h2]],8))</f>
        <v>0</v>
      </c>
    </row>
    <row r="1033" spans="1:18">
      <c r="A1033" s="15" t="str">
        <f t="shared" si="20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8" t="s">
        <v>75</v>
      </c>
      <c r="P1033" s="48">
        <f>HEX2DEC(RIGHT(Table13232127535863[[#This Row],[h1]],8))</f>
        <v>0</v>
      </c>
      <c r="Q1033" s="48" t="s">
        <v>75</v>
      </c>
      <c r="R1033" s="48">
        <f>HEX2DEC(RIGHT(Table13232127535863[[#This Row],[h2]],8))</f>
        <v>0</v>
      </c>
    </row>
    <row r="1034" spans="1:18">
      <c r="A1034" s="15" t="str">
        <f t="shared" si="20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8" t="s">
        <v>75</v>
      </c>
      <c r="P1034" s="48">
        <f>HEX2DEC(RIGHT(Table13232127535863[[#This Row],[h1]],8))</f>
        <v>0</v>
      </c>
      <c r="Q1034" s="48" t="s">
        <v>75</v>
      </c>
      <c r="R1034" s="48">
        <f>HEX2DEC(RIGHT(Table13232127535863[[#This Row],[h2]],8))</f>
        <v>0</v>
      </c>
    </row>
    <row r="1035" spans="1:18">
      <c r="A1035" s="15" t="str">
        <f t="shared" ref="A1035:A1098" si="21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8" t="s">
        <v>75</v>
      </c>
      <c r="P1035" s="48">
        <f>HEX2DEC(RIGHT(Table13232127535863[[#This Row],[h1]],8))</f>
        <v>0</v>
      </c>
      <c r="Q1035" s="48" t="s">
        <v>75</v>
      </c>
      <c r="R1035" s="48">
        <f>HEX2DEC(RIGHT(Table13232127535863[[#This Row],[h2]],8))</f>
        <v>0</v>
      </c>
    </row>
    <row r="1036" spans="1:18">
      <c r="A1036" s="15" t="str">
        <f t="shared" si="21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8" t="s">
        <v>75</v>
      </c>
      <c r="P1036" s="48">
        <f>HEX2DEC(RIGHT(Table13232127535863[[#This Row],[h1]],8))</f>
        <v>0</v>
      </c>
      <c r="Q1036" s="48" t="s">
        <v>75</v>
      </c>
      <c r="R1036" s="48">
        <f>HEX2DEC(RIGHT(Table13232127535863[[#This Row],[h2]],8))</f>
        <v>0</v>
      </c>
    </row>
    <row r="1037" spans="1:18">
      <c r="A1037" s="15" t="str">
        <f t="shared" si="21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8" t="s">
        <v>75</v>
      </c>
      <c r="P1037" s="48">
        <f>HEX2DEC(RIGHT(Table13232127535863[[#This Row],[h1]],8))</f>
        <v>0</v>
      </c>
      <c r="Q1037" s="48" t="s">
        <v>75</v>
      </c>
      <c r="R1037" s="48">
        <f>HEX2DEC(RIGHT(Table13232127535863[[#This Row],[h2]],8))</f>
        <v>0</v>
      </c>
    </row>
    <row r="1038" spans="1:18">
      <c r="A1038" s="15" t="str">
        <f t="shared" si="21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8" t="s">
        <v>75</v>
      </c>
      <c r="P1038" s="48">
        <f>HEX2DEC(RIGHT(Table13232127535863[[#This Row],[h1]],8))</f>
        <v>0</v>
      </c>
      <c r="Q1038" s="48" t="s">
        <v>75</v>
      </c>
      <c r="R1038" s="48">
        <f>HEX2DEC(RIGHT(Table13232127535863[[#This Row],[h2]],8))</f>
        <v>0</v>
      </c>
    </row>
    <row r="1039" spans="1:18">
      <c r="A1039" s="15" t="str">
        <f t="shared" si="21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8" t="s">
        <v>75</v>
      </c>
      <c r="P1039" s="48">
        <f>HEX2DEC(RIGHT(Table13232127535863[[#This Row],[h1]],8))</f>
        <v>0</v>
      </c>
      <c r="Q1039" s="48" t="s">
        <v>75</v>
      </c>
      <c r="R1039" s="48">
        <f>HEX2DEC(RIGHT(Table13232127535863[[#This Row],[h2]],8))</f>
        <v>0</v>
      </c>
    </row>
    <row r="1040" spans="1:18">
      <c r="A1040" s="15" t="str">
        <f t="shared" si="21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8" t="s">
        <v>75</v>
      </c>
      <c r="P1040" s="48">
        <f>HEX2DEC(RIGHT(Table13232127535863[[#This Row],[h1]],8))</f>
        <v>0</v>
      </c>
      <c r="Q1040" s="48" t="s">
        <v>75</v>
      </c>
      <c r="R1040" s="48">
        <f>HEX2DEC(RIGHT(Table13232127535863[[#This Row],[h2]],8))</f>
        <v>0</v>
      </c>
    </row>
    <row r="1041" spans="1:18">
      <c r="A1041" s="15" t="str">
        <f t="shared" si="21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8" t="s">
        <v>75</v>
      </c>
      <c r="P1041" s="48">
        <f>HEX2DEC(RIGHT(Table13232127535863[[#This Row],[h1]],8))</f>
        <v>0</v>
      </c>
      <c r="Q1041" s="48" t="s">
        <v>75</v>
      </c>
      <c r="R1041" s="48">
        <f>HEX2DEC(RIGHT(Table13232127535863[[#This Row],[h2]],8))</f>
        <v>0</v>
      </c>
    </row>
    <row r="1042" spans="1:18">
      <c r="A1042" s="15" t="str">
        <f t="shared" si="21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8" t="s">
        <v>75</v>
      </c>
      <c r="P1042" s="48">
        <f>HEX2DEC(RIGHT(Table13232127535863[[#This Row],[h1]],8))</f>
        <v>0</v>
      </c>
      <c r="Q1042" s="48" t="s">
        <v>75</v>
      </c>
      <c r="R1042" s="48">
        <f>HEX2DEC(RIGHT(Table13232127535863[[#This Row],[h2]],8))</f>
        <v>0</v>
      </c>
    </row>
    <row r="1043" spans="1:18">
      <c r="A1043" s="15" t="str">
        <f t="shared" si="21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8" t="s">
        <v>75</v>
      </c>
      <c r="P1043" s="48">
        <f>HEX2DEC(RIGHT(Table13232127535863[[#This Row],[h1]],8))</f>
        <v>0</v>
      </c>
      <c r="Q1043" s="48" t="s">
        <v>75</v>
      </c>
      <c r="R1043" s="48">
        <f>HEX2DEC(RIGHT(Table13232127535863[[#This Row],[h2]],8))</f>
        <v>0</v>
      </c>
    </row>
    <row r="1044" spans="1:18">
      <c r="A1044" s="15" t="str">
        <f t="shared" si="21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8" t="s">
        <v>75</v>
      </c>
      <c r="P1044" s="48">
        <f>HEX2DEC(RIGHT(Table13232127535863[[#This Row],[h1]],8))</f>
        <v>0</v>
      </c>
      <c r="Q1044" s="48" t="s">
        <v>75</v>
      </c>
      <c r="R1044" s="48">
        <f>HEX2DEC(RIGHT(Table13232127535863[[#This Row],[h2]],8))</f>
        <v>0</v>
      </c>
    </row>
    <row r="1045" spans="1:18">
      <c r="A1045" s="15" t="str">
        <f t="shared" si="21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8" t="s">
        <v>75</v>
      </c>
      <c r="P1045" s="48">
        <f>HEX2DEC(RIGHT(Table13232127535863[[#This Row],[h1]],8))</f>
        <v>0</v>
      </c>
      <c r="Q1045" s="48" t="s">
        <v>75</v>
      </c>
      <c r="R1045" s="48">
        <f>HEX2DEC(RIGHT(Table13232127535863[[#This Row],[h2]],8))</f>
        <v>0</v>
      </c>
    </row>
    <row r="1046" spans="1:18">
      <c r="A1046" s="15" t="str">
        <f t="shared" si="21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8" t="s">
        <v>75</v>
      </c>
      <c r="P1046" s="48">
        <f>HEX2DEC(RIGHT(Table13232127535863[[#This Row],[h1]],8))</f>
        <v>0</v>
      </c>
      <c r="Q1046" s="48" t="s">
        <v>75</v>
      </c>
      <c r="R1046" s="48">
        <f>HEX2DEC(RIGHT(Table13232127535863[[#This Row],[h2]],8))</f>
        <v>0</v>
      </c>
    </row>
    <row r="1047" spans="1:18">
      <c r="A1047" s="15" t="str">
        <f t="shared" si="21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8" t="s">
        <v>75</v>
      </c>
      <c r="P1047" s="48">
        <f>HEX2DEC(RIGHT(Table13232127535863[[#This Row],[h1]],8))</f>
        <v>0</v>
      </c>
      <c r="Q1047" s="48" t="s">
        <v>75</v>
      </c>
      <c r="R1047" s="48">
        <f>HEX2DEC(RIGHT(Table13232127535863[[#This Row],[h2]],8))</f>
        <v>0</v>
      </c>
    </row>
    <row r="1048" spans="1:18">
      <c r="A1048" s="15" t="str">
        <f t="shared" si="21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8" t="s">
        <v>75</v>
      </c>
      <c r="P1048" s="48">
        <f>HEX2DEC(RIGHT(Table13232127535863[[#This Row],[h1]],8))</f>
        <v>0</v>
      </c>
      <c r="Q1048" s="48" t="s">
        <v>75</v>
      </c>
      <c r="R1048" s="48">
        <f>HEX2DEC(RIGHT(Table13232127535863[[#This Row],[h2]],8))</f>
        <v>0</v>
      </c>
    </row>
    <row r="1049" spans="1:18">
      <c r="A1049" s="15" t="str">
        <f t="shared" si="21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8" t="s">
        <v>75</v>
      </c>
      <c r="P1049" s="48">
        <f>HEX2DEC(RIGHT(Table13232127535863[[#This Row],[h1]],8))</f>
        <v>0</v>
      </c>
      <c r="Q1049" s="48" t="s">
        <v>75</v>
      </c>
      <c r="R1049" s="48">
        <f>HEX2DEC(RIGHT(Table13232127535863[[#This Row],[h2]],8))</f>
        <v>0</v>
      </c>
    </row>
    <row r="1050" spans="1:18">
      <c r="A1050" s="15" t="str">
        <f t="shared" si="21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8" t="s">
        <v>75</v>
      </c>
      <c r="P1050" s="48">
        <f>HEX2DEC(RIGHT(Table13232127535863[[#This Row],[h1]],8))</f>
        <v>0</v>
      </c>
      <c r="Q1050" s="48" t="s">
        <v>75</v>
      </c>
      <c r="R1050" s="48">
        <f>HEX2DEC(RIGHT(Table13232127535863[[#This Row],[h2]],8))</f>
        <v>0</v>
      </c>
    </row>
    <row r="1051" spans="1:18">
      <c r="A1051" s="15" t="str">
        <f t="shared" si="21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8" t="s">
        <v>75</v>
      </c>
      <c r="P1051" s="48">
        <f>HEX2DEC(RIGHT(Table13232127535863[[#This Row],[h1]],8))</f>
        <v>0</v>
      </c>
      <c r="Q1051" s="48" t="s">
        <v>75</v>
      </c>
      <c r="R1051" s="48">
        <f>HEX2DEC(RIGHT(Table13232127535863[[#This Row],[h2]],8))</f>
        <v>0</v>
      </c>
    </row>
    <row r="1052" spans="1:18">
      <c r="A1052" s="15" t="str">
        <f t="shared" si="21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8" t="s">
        <v>75</v>
      </c>
      <c r="P1052" s="48">
        <f>HEX2DEC(RIGHT(Table13232127535863[[#This Row],[h1]],8))</f>
        <v>0</v>
      </c>
      <c r="Q1052" s="48" t="s">
        <v>75</v>
      </c>
      <c r="R1052" s="48">
        <f>HEX2DEC(RIGHT(Table13232127535863[[#This Row],[h2]],8))</f>
        <v>0</v>
      </c>
    </row>
    <row r="1053" spans="1:18">
      <c r="A1053" s="15" t="str">
        <f t="shared" si="21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8" t="s">
        <v>75</v>
      </c>
      <c r="P1053" s="48">
        <f>HEX2DEC(RIGHT(Table13232127535863[[#This Row],[h1]],8))</f>
        <v>0</v>
      </c>
      <c r="Q1053" s="48" t="s">
        <v>75</v>
      </c>
      <c r="R1053" s="48">
        <f>HEX2DEC(RIGHT(Table13232127535863[[#This Row],[h2]],8))</f>
        <v>0</v>
      </c>
    </row>
    <row r="1054" spans="1:18">
      <c r="A1054" s="15" t="str">
        <f t="shared" si="21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8" t="s">
        <v>75</v>
      </c>
      <c r="P1054" s="48">
        <f>HEX2DEC(RIGHT(Table13232127535863[[#This Row],[h1]],8))</f>
        <v>0</v>
      </c>
      <c r="Q1054" s="48" t="s">
        <v>75</v>
      </c>
      <c r="R1054" s="48">
        <f>HEX2DEC(RIGHT(Table13232127535863[[#This Row],[h2]],8))</f>
        <v>0</v>
      </c>
    </row>
    <row r="1055" spans="1:18">
      <c r="A1055" s="15" t="str">
        <f t="shared" si="21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8" t="s">
        <v>75</v>
      </c>
      <c r="P1055" s="48">
        <f>HEX2DEC(RIGHT(Table13232127535863[[#This Row],[h1]],8))</f>
        <v>0</v>
      </c>
      <c r="Q1055" s="48" t="s">
        <v>75</v>
      </c>
      <c r="R1055" s="48">
        <f>HEX2DEC(RIGHT(Table13232127535863[[#This Row],[h2]],8))</f>
        <v>0</v>
      </c>
    </row>
    <row r="1056" spans="1:18">
      <c r="A1056" s="15" t="str">
        <f t="shared" si="21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8" t="s">
        <v>75</v>
      </c>
      <c r="P1056" s="48">
        <f>HEX2DEC(RIGHT(Table13232127535863[[#This Row],[h1]],8))</f>
        <v>0</v>
      </c>
      <c r="Q1056" s="48" t="s">
        <v>75</v>
      </c>
      <c r="R1056" s="48">
        <f>HEX2DEC(RIGHT(Table13232127535863[[#This Row],[h2]],8))</f>
        <v>0</v>
      </c>
    </row>
    <row r="1057" spans="1:18">
      <c r="A1057" s="15" t="str">
        <f t="shared" si="21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8" t="s">
        <v>75</v>
      </c>
      <c r="P1057" s="48">
        <f>HEX2DEC(RIGHT(Table13232127535863[[#This Row],[h1]],8))</f>
        <v>0</v>
      </c>
      <c r="Q1057" s="48" t="s">
        <v>75</v>
      </c>
      <c r="R1057" s="48">
        <f>HEX2DEC(RIGHT(Table13232127535863[[#This Row],[h2]],8))</f>
        <v>0</v>
      </c>
    </row>
    <row r="1058" spans="1:18">
      <c r="A1058" s="15" t="str">
        <f t="shared" si="21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8" t="s">
        <v>75</v>
      </c>
      <c r="P1058" s="48">
        <f>HEX2DEC(RIGHT(Table13232127535863[[#This Row],[h1]],8))</f>
        <v>0</v>
      </c>
      <c r="Q1058" s="48" t="s">
        <v>75</v>
      </c>
      <c r="R1058" s="48">
        <f>HEX2DEC(RIGHT(Table13232127535863[[#This Row],[h2]],8))</f>
        <v>0</v>
      </c>
    </row>
    <row r="1059" spans="1:18">
      <c r="A1059" s="15" t="str">
        <f t="shared" si="21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8" t="s">
        <v>75</v>
      </c>
      <c r="P1059" s="48">
        <f>HEX2DEC(RIGHT(Table13232127535863[[#This Row],[h1]],8))</f>
        <v>0</v>
      </c>
      <c r="Q1059" s="48" t="s">
        <v>75</v>
      </c>
      <c r="R1059" s="48">
        <f>HEX2DEC(RIGHT(Table13232127535863[[#This Row],[h2]],8))</f>
        <v>0</v>
      </c>
    </row>
    <row r="1060" spans="1:18">
      <c r="A1060" s="15" t="str">
        <f t="shared" si="21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8" t="s">
        <v>75</v>
      </c>
      <c r="P1060" s="48">
        <f>HEX2DEC(RIGHT(Table13232127535863[[#This Row],[h1]],8))</f>
        <v>0</v>
      </c>
      <c r="Q1060" s="48" t="s">
        <v>75</v>
      </c>
      <c r="R1060" s="48">
        <f>HEX2DEC(RIGHT(Table13232127535863[[#This Row],[h2]],8))</f>
        <v>0</v>
      </c>
    </row>
    <row r="1061" spans="1:18">
      <c r="A1061" s="15" t="str">
        <f t="shared" si="21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8" t="s">
        <v>75</v>
      </c>
      <c r="P1061" s="48">
        <f>HEX2DEC(RIGHT(Table13232127535863[[#This Row],[h1]],8))</f>
        <v>0</v>
      </c>
      <c r="Q1061" s="48" t="s">
        <v>75</v>
      </c>
      <c r="R1061" s="48">
        <f>HEX2DEC(RIGHT(Table13232127535863[[#This Row],[h2]],8))</f>
        <v>0</v>
      </c>
    </row>
    <row r="1062" spans="1:18">
      <c r="A1062" s="15" t="str">
        <f t="shared" si="21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8" t="s">
        <v>75</v>
      </c>
      <c r="P1062" s="48">
        <f>HEX2DEC(RIGHT(Table13232127535863[[#This Row],[h1]],8))</f>
        <v>0</v>
      </c>
      <c r="Q1062" s="48" t="s">
        <v>75</v>
      </c>
      <c r="R1062" s="48">
        <f>HEX2DEC(RIGHT(Table13232127535863[[#This Row],[h2]],8))</f>
        <v>0</v>
      </c>
    </row>
    <row r="1063" spans="1:18">
      <c r="A1063" s="15" t="str">
        <f t="shared" si="21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8" t="s">
        <v>75</v>
      </c>
      <c r="P1063" s="48">
        <f>HEX2DEC(RIGHT(Table13232127535863[[#This Row],[h1]],8))</f>
        <v>0</v>
      </c>
      <c r="Q1063" s="48" t="s">
        <v>75</v>
      </c>
      <c r="R1063" s="48">
        <f>HEX2DEC(RIGHT(Table13232127535863[[#This Row],[h2]],8))</f>
        <v>0</v>
      </c>
    </row>
    <row r="1064" spans="1:18">
      <c r="A1064" s="15" t="str">
        <f t="shared" si="21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8" t="s">
        <v>75</v>
      </c>
      <c r="P1064" s="48">
        <f>HEX2DEC(RIGHT(Table13232127535863[[#This Row],[h1]],8))</f>
        <v>0</v>
      </c>
      <c r="Q1064" s="48" t="s">
        <v>75</v>
      </c>
      <c r="R1064" s="48">
        <f>HEX2DEC(RIGHT(Table13232127535863[[#This Row],[h2]],8))</f>
        <v>0</v>
      </c>
    </row>
    <row r="1065" spans="1:18">
      <c r="A1065" s="15" t="str">
        <f t="shared" si="21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8" t="s">
        <v>75</v>
      </c>
      <c r="P1065" s="48">
        <f>HEX2DEC(RIGHT(Table13232127535863[[#This Row],[h1]],8))</f>
        <v>0</v>
      </c>
      <c r="Q1065" s="48" t="s">
        <v>75</v>
      </c>
      <c r="R1065" s="48">
        <f>HEX2DEC(RIGHT(Table13232127535863[[#This Row],[h2]],8))</f>
        <v>0</v>
      </c>
    </row>
    <row r="1066" spans="1:18">
      <c r="A1066" s="15" t="str">
        <f t="shared" si="21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8" t="s">
        <v>75</v>
      </c>
      <c r="P1066" s="48">
        <f>HEX2DEC(RIGHT(Table13232127535863[[#This Row],[h1]],8))</f>
        <v>0</v>
      </c>
      <c r="Q1066" s="48" t="s">
        <v>75</v>
      </c>
      <c r="R1066" s="48">
        <f>HEX2DEC(RIGHT(Table13232127535863[[#This Row],[h2]],8))</f>
        <v>0</v>
      </c>
    </row>
    <row r="1067" spans="1:18">
      <c r="A1067" s="15" t="str">
        <f t="shared" si="21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8" t="s">
        <v>75</v>
      </c>
      <c r="P1067" s="48">
        <f>HEX2DEC(RIGHT(Table13232127535863[[#This Row],[h1]],8))</f>
        <v>0</v>
      </c>
      <c r="Q1067" s="48" t="s">
        <v>75</v>
      </c>
      <c r="R1067" s="48">
        <f>HEX2DEC(RIGHT(Table13232127535863[[#This Row],[h2]],8))</f>
        <v>0</v>
      </c>
    </row>
    <row r="1068" spans="1:18">
      <c r="A1068" s="15" t="str">
        <f t="shared" si="21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8" t="s">
        <v>75</v>
      </c>
      <c r="P1068" s="48">
        <f>HEX2DEC(RIGHT(Table13232127535863[[#This Row],[h1]],8))</f>
        <v>0</v>
      </c>
      <c r="Q1068" s="48" t="s">
        <v>75</v>
      </c>
      <c r="R1068" s="48">
        <f>HEX2DEC(RIGHT(Table13232127535863[[#This Row],[h2]],8))</f>
        <v>0</v>
      </c>
    </row>
    <row r="1069" spans="1:18">
      <c r="A1069" s="15" t="str">
        <f t="shared" si="21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8" t="s">
        <v>75</v>
      </c>
      <c r="P1069" s="48">
        <f>HEX2DEC(RIGHT(Table13232127535863[[#This Row],[h1]],8))</f>
        <v>0</v>
      </c>
      <c r="Q1069" s="48" t="s">
        <v>75</v>
      </c>
      <c r="R1069" s="48">
        <f>HEX2DEC(RIGHT(Table13232127535863[[#This Row],[h2]],8))</f>
        <v>0</v>
      </c>
    </row>
    <row r="1070" spans="1:18">
      <c r="A1070" s="15" t="str">
        <f t="shared" si="21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8" t="s">
        <v>75</v>
      </c>
      <c r="P1070" s="48">
        <f>HEX2DEC(RIGHT(Table13232127535863[[#This Row],[h1]],8))</f>
        <v>0</v>
      </c>
      <c r="Q1070" s="48" t="s">
        <v>75</v>
      </c>
      <c r="R1070" s="48">
        <f>HEX2DEC(RIGHT(Table13232127535863[[#This Row],[h2]],8))</f>
        <v>0</v>
      </c>
    </row>
    <row r="1071" spans="1:18">
      <c r="A1071" s="15" t="str">
        <f t="shared" si="21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8" t="s">
        <v>75</v>
      </c>
      <c r="P1071" s="48">
        <f>HEX2DEC(RIGHT(Table13232127535863[[#This Row],[h1]],8))</f>
        <v>0</v>
      </c>
      <c r="Q1071" s="48" t="s">
        <v>75</v>
      </c>
      <c r="R1071" s="48">
        <f>HEX2DEC(RIGHT(Table13232127535863[[#This Row],[h2]],8))</f>
        <v>0</v>
      </c>
    </row>
    <row r="1072" spans="1:18">
      <c r="A1072" s="15" t="str">
        <f t="shared" si="21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8" t="s">
        <v>75</v>
      </c>
      <c r="P1072" s="48">
        <f>HEX2DEC(RIGHT(Table13232127535863[[#This Row],[h1]],8))</f>
        <v>0</v>
      </c>
      <c r="Q1072" s="48" t="s">
        <v>75</v>
      </c>
      <c r="R1072" s="48">
        <f>HEX2DEC(RIGHT(Table13232127535863[[#This Row],[h2]],8))</f>
        <v>0</v>
      </c>
    </row>
    <row r="1073" spans="1:18">
      <c r="A1073" s="15" t="str">
        <f t="shared" si="21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8" t="s">
        <v>75</v>
      </c>
      <c r="P1073" s="48">
        <f>HEX2DEC(RIGHT(Table13232127535863[[#This Row],[h1]],8))</f>
        <v>0</v>
      </c>
      <c r="Q1073" s="48" t="s">
        <v>75</v>
      </c>
      <c r="R1073" s="48">
        <f>HEX2DEC(RIGHT(Table13232127535863[[#This Row],[h2]],8))</f>
        <v>0</v>
      </c>
    </row>
    <row r="1074" spans="1:18">
      <c r="A1074" s="15" t="str">
        <f t="shared" si="21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8" t="s">
        <v>75</v>
      </c>
      <c r="P1074" s="48">
        <f>HEX2DEC(RIGHT(Table13232127535863[[#This Row],[h1]],8))</f>
        <v>0</v>
      </c>
      <c r="Q1074" s="48" t="s">
        <v>75</v>
      </c>
      <c r="R1074" s="48">
        <f>HEX2DEC(RIGHT(Table13232127535863[[#This Row],[h2]],8))</f>
        <v>0</v>
      </c>
    </row>
    <row r="1075" spans="1:18">
      <c r="A1075" s="15" t="str">
        <f t="shared" si="21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8" t="s">
        <v>75</v>
      </c>
      <c r="P1075" s="48">
        <f>HEX2DEC(RIGHT(Table13232127535863[[#This Row],[h1]],8))</f>
        <v>0</v>
      </c>
      <c r="Q1075" s="48" t="s">
        <v>75</v>
      </c>
      <c r="R1075" s="48">
        <f>HEX2DEC(RIGHT(Table13232127535863[[#This Row],[h2]],8))</f>
        <v>0</v>
      </c>
    </row>
    <row r="1076" spans="1:18">
      <c r="A1076" s="15" t="str">
        <f t="shared" si="21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8" t="s">
        <v>75</v>
      </c>
      <c r="P1076" s="48">
        <f>HEX2DEC(RIGHT(Table13232127535863[[#This Row],[h1]],8))</f>
        <v>0</v>
      </c>
      <c r="Q1076" s="48" t="s">
        <v>75</v>
      </c>
      <c r="R1076" s="48">
        <f>HEX2DEC(RIGHT(Table13232127535863[[#This Row],[h2]],8))</f>
        <v>0</v>
      </c>
    </row>
    <row r="1077" spans="1:18">
      <c r="A1077" s="15" t="str">
        <f t="shared" si="21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8" t="s">
        <v>75</v>
      </c>
      <c r="P1077" s="48">
        <f>HEX2DEC(RIGHT(Table13232127535863[[#This Row],[h1]],8))</f>
        <v>0</v>
      </c>
      <c r="Q1077" s="48" t="s">
        <v>75</v>
      </c>
      <c r="R1077" s="48">
        <f>HEX2DEC(RIGHT(Table13232127535863[[#This Row],[h2]],8))</f>
        <v>0</v>
      </c>
    </row>
    <row r="1078" spans="1:18">
      <c r="A1078" s="15" t="str">
        <f t="shared" si="21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8" t="s">
        <v>75</v>
      </c>
      <c r="P1078" s="48">
        <f>HEX2DEC(RIGHT(Table13232127535863[[#This Row],[h1]],8))</f>
        <v>0</v>
      </c>
      <c r="Q1078" s="48" t="s">
        <v>75</v>
      </c>
      <c r="R1078" s="48">
        <f>HEX2DEC(RIGHT(Table13232127535863[[#This Row],[h2]],8))</f>
        <v>0</v>
      </c>
    </row>
    <row r="1079" spans="1:18">
      <c r="A1079" s="15" t="str">
        <f t="shared" si="21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8" t="s">
        <v>75</v>
      </c>
      <c r="P1079" s="48">
        <f>HEX2DEC(RIGHT(Table13232127535863[[#This Row],[h1]],8))</f>
        <v>0</v>
      </c>
      <c r="Q1079" s="48" t="s">
        <v>75</v>
      </c>
      <c r="R1079" s="48">
        <f>HEX2DEC(RIGHT(Table13232127535863[[#This Row],[h2]],8))</f>
        <v>0</v>
      </c>
    </row>
    <row r="1080" spans="1:18">
      <c r="A1080" s="15" t="str">
        <f t="shared" si="21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8" t="s">
        <v>75</v>
      </c>
      <c r="P1080" s="48">
        <f>HEX2DEC(RIGHT(Table13232127535863[[#This Row],[h1]],8))</f>
        <v>0</v>
      </c>
      <c r="Q1080" s="48" t="s">
        <v>75</v>
      </c>
      <c r="R1080" s="48">
        <f>HEX2DEC(RIGHT(Table13232127535863[[#This Row],[h2]],8))</f>
        <v>0</v>
      </c>
    </row>
    <row r="1081" spans="1:18">
      <c r="A1081" s="15" t="str">
        <f t="shared" si="21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8" t="s">
        <v>75</v>
      </c>
      <c r="P1081" s="48">
        <f>HEX2DEC(RIGHT(Table13232127535863[[#This Row],[h1]],8))</f>
        <v>0</v>
      </c>
      <c r="Q1081" s="48" t="s">
        <v>75</v>
      </c>
      <c r="R1081" s="48">
        <f>HEX2DEC(RIGHT(Table13232127535863[[#This Row],[h2]],8))</f>
        <v>0</v>
      </c>
    </row>
    <row r="1082" spans="1:18">
      <c r="A1082" s="15" t="str">
        <f t="shared" si="21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8" t="s">
        <v>75</v>
      </c>
      <c r="P1082" s="48">
        <f>HEX2DEC(RIGHT(Table13232127535863[[#This Row],[h1]],8))</f>
        <v>0</v>
      </c>
      <c r="Q1082" s="48" t="s">
        <v>75</v>
      </c>
      <c r="R1082" s="48">
        <f>HEX2DEC(RIGHT(Table13232127535863[[#This Row],[h2]],8))</f>
        <v>0</v>
      </c>
    </row>
    <row r="1083" spans="1:18">
      <c r="A1083" s="15" t="str">
        <f t="shared" si="21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8" t="s">
        <v>75</v>
      </c>
      <c r="P1083" s="48">
        <f>HEX2DEC(RIGHT(Table13232127535863[[#This Row],[h1]],8))</f>
        <v>0</v>
      </c>
      <c r="Q1083" s="48" t="s">
        <v>75</v>
      </c>
      <c r="R1083" s="48">
        <f>HEX2DEC(RIGHT(Table13232127535863[[#This Row],[h2]],8))</f>
        <v>0</v>
      </c>
    </row>
    <row r="1084" spans="1:18">
      <c r="A1084" s="15" t="str">
        <f t="shared" si="21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8" t="s">
        <v>75</v>
      </c>
      <c r="P1084" s="48">
        <f>HEX2DEC(RIGHT(Table13232127535863[[#This Row],[h1]],8))</f>
        <v>0</v>
      </c>
      <c r="Q1084" s="48" t="s">
        <v>75</v>
      </c>
      <c r="R1084" s="48">
        <f>HEX2DEC(RIGHT(Table13232127535863[[#This Row],[h2]],8))</f>
        <v>0</v>
      </c>
    </row>
    <row r="1085" spans="1:18">
      <c r="A1085" s="15" t="str">
        <f t="shared" si="21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8" t="s">
        <v>75</v>
      </c>
      <c r="P1085" s="48">
        <f>HEX2DEC(RIGHT(Table13232127535863[[#This Row],[h1]],8))</f>
        <v>0</v>
      </c>
      <c r="Q1085" s="48" t="s">
        <v>75</v>
      </c>
      <c r="R1085" s="48">
        <f>HEX2DEC(RIGHT(Table13232127535863[[#This Row],[h2]],8))</f>
        <v>0</v>
      </c>
    </row>
    <row r="1086" spans="1:18">
      <c r="A1086" s="15" t="str">
        <f t="shared" si="21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8" t="s">
        <v>75</v>
      </c>
      <c r="P1086" s="48">
        <f>HEX2DEC(RIGHT(Table13232127535863[[#This Row],[h1]],8))</f>
        <v>0</v>
      </c>
      <c r="Q1086" s="48" t="s">
        <v>75</v>
      </c>
      <c r="R1086" s="48">
        <f>HEX2DEC(RIGHT(Table13232127535863[[#This Row],[h2]],8))</f>
        <v>0</v>
      </c>
    </row>
    <row r="1087" spans="1:18">
      <c r="A1087" s="15" t="str">
        <f t="shared" si="21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8" t="s">
        <v>75</v>
      </c>
      <c r="P1087" s="48">
        <f>HEX2DEC(RIGHT(Table13232127535863[[#This Row],[h1]],8))</f>
        <v>0</v>
      </c>
      <c r="Q1087" s="48" t="s">
        <v>75</v>
      </c>
      <c r="R1087" s="48">
        <f>HEX2DEC(RIGHT(Table13232127535863[[#This Row],[h2]],8))</f>
        <v>0</v>
      </c>
    </row>
    <row r="1088" spans="1:18">
      <c r="A1088" s="15" t="str">
        <f t="shared" si="21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8" t="s">
        <v>75</v>
      </c>
      <c r="P1088" s="48">
        <f>HEX2DEC(RIGHT(Table13232127535863[[#This Row],[h1]],8))</f>
        <v>0</v>
      </c>
      <c r="Q1088" s="48" t="s">
        <v>75</v>
      </c>
      <c r="R1088" s="48">
        <f>HEX2DEC(RIGHT(Table13232127535863[[#This Row],[h2]],8))</f>
        <v>0</v>
      </c>
    </row>
    <row r="1089" spans="1:18">
      <c r="A1089" s="15" t="str">
        <f t="shared" si="21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8" t="s">
        <v>75</v>
      </c>
      <c r="P1089" s="48">
        <f>HEX2DEC(RIGHT(Table13232127535863[[#This Row],[h1]],8))</f>
        <v>0</v>
      </c>
      <c r="Q1089" s="48" t="s">
        <v>75</v>
      </c>
      <c r="R1089" s="48">
        <f>HEX2DEC(RIGHT(Table13232127535863[[#This Row],[h2]],8))</f>
        <v>0</v>
      </c>
    </row>
    <row r="1090" spans="1:18">
      <c r="A1090" s="15" t="str">
        <f t="shared" si="21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8" t="s">
        <v>75</v>
      </c>
      <c r="P1090" s="48">
        <f>HEX2DEC(RIGHT(Table13232127535863[[#This Row],[h1]],8))</f>
        <v>0</v>
      </c>
      <c r="Q1090" s="48" t="s">
        <v>75</v>
      </c>
      <c r="R1090" s="48">
        <f>HEX2DEC(RIGHT(Table13232127535863[[#This Row],[h2]],8))</f>
        <v>0</v>
      </c>
    </row>
    <row r="1091" spans="1:18">
      <c r="A1091" s="15" t="str">
        <f t="shared" si="21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8" t="s">
        <v>75</v>
      </c>
      <c r="P1091" s="48">
        <f>HEX2DEC(RIGHT(Table13232127535863[[#This Row],[h1]],8))</f>
        <v>0</v>
      </c>
      <c r="Q1091" s="48" t="s">
        <v>75</v>
      </c>
      <c r="R1091" s="48">
        <f>HEX2DEC(RIGHT(Table13232127535863[[#This Row],[h2]],8))</f>
        <v>0</v>
      </c>
    </row>
    <row r="1092" spans="1:18">
      <c r="A1092" s="15" t="str">
        <f t="shared" si="21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8" t="s">
        <v>75</v>
      </c>
      <c r="P1092" s="48">
        <f>HEX2DEC(RIGHT(Table13232127535863[[#This Row],[h1]],8))</f>
        <v>0</v>
      </c>
      <c r="Q1092" s="48" t="s">
        <v>75</v>
      </c>
      <c r="R1092" s="48">
        <f>HEX2DEC(RIGHT(Table13232127535863[[#This Row],[h2]],8))</f>
        <v>0</v>
      </c>
    </row>
    <row r="1093" spans="1:18">
      <c r="A1093" s="15" t="str">
        <f t="shared" si="21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8" t="s">
        <v>75</v>
      </c>
      <c r="P1093" s="48">
        <f>HEX2DEC(RIGHT(Table13232127535863[[#This Row],[h1]],8))</f>
        <v>0</v>
      </c>
      <c r="Q1093" s="48" t="s">
        <v>75</v>
      </c>
      <c r="R1093" s="48">
        <f>HEX2DEC(RIGHT(Table13232127535863[[#This Row],[h2]],8))</f>
        <v>0</v>
      </c>
    </row>
    <row r="1094" spans="1:18">
      <c r="A1094" s="15" t="str">
        <f t="shared" si="21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8" t="s">
        <v>75</v>
      </c>
      <c r="P1094" s="48">
        <f>HEX2DEC(RIGHT(Table13232127535863[[#This Row],[h1]],8))</f>
        <v>0</v>
      </c>
      <c r="Q1094" s="48" t="s">
        <v>75</v>
      </c>
      <c r="R1094" s="48">
        <f>HEX2DEC(RIGHT(Table13232127535863[[#This Row],[h2]],8))</f>
        <v>0</v>
      </c>
    </row>
    <row r="1095" spans="1:18">
      <c r="A1095" s="15" t="str">
        <f t="shared" si="21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8" t="s">
        <v>75</v>
      </c>
      <c r="P1095" s="48">
        <f>HEX2DEC(RIGHT(Table13232127535863[[#This Row],[h1]],8))</f>
        <v>0</v>
      </c>
      <c r="Q1095" s="48" t="s">
        <v>75</v>
      </c>
      <c r="R1095" s="48">
        <f>HEX2DEC(RIGHT(Table13232127535863[[#This Row],[h2]],8))</f>
        <v>0</v>
      </c>
    </row>
    <row r="1096" spans="1:18">
      <c r="A1096" s="15" t="str">
        <f t="shared" si="21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8" t="s">
        <v>75</v>
      </c>
      <c r="P1096" s="48">
        <f>HEX2DEC(RIGHT(Table13232127535863[[#This Row],[h1]],8))</f>
        <v>0</v>
      </c>
      <c r="Q1096" s="48" t="s">
        <v>75</v>
      </c>
      <c r="R1096" s="48">
        <f>HEX2DEC(RIGHT(Table13232127535863[[#This Row],[h2]],8))</f>
        <v>0</v>
      </c>
    </row>
    <row r="1097" spans="1:18">
      <c r="A1097" s="15" t="str">
        <f t="shared" si="21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8" t="s">
        <v>75</v>
      </c>
      <c r="P1097" s="48">
        <f>HEX2DEC(RIGHT(Table13232127535863[[#This Row],[h1]],8))</f>
        <v>0</v>
      </c>
      <c r="Q1097" s="48" t="s">
        <v>75</v>
      </c>
      <c r="R1097" s="48">
        <f>HEX2DEC(RIGHT(Table13232127535863[[#This Row],[h2]],8))</f>
        <v>0</v>
      </c>
    </row>
    <row r="1098" spans="1:18">
      <c r="A1098" s="15" t="str">
        <f t="shared" si="21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8" t="s">
        <v>75</v>
      </c>
      <c r="P1098" s="48">
        <f>HEX2DEC(RIGHT(Table13232127535863[[#This Row],[h1]],8))</f>
        <v>0</v>
      </c>
      <c r="Q1098" s="48" t="s">
        <v>75</v>
      </c>
      <c r="R1098" s="48">
        <f>HEX2DEC(RIGHT(Table13232127535863[[#This Row],[h2]],8))</f>
        <v>0</v>
      </c>
    </row>
    <row r="1099" spans="1:18">
      <c r="A1099" s="15" t="str">
        <f t="shared" ref="A1099:A1162" si="22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8" t="s">
        <v>75</v>
      </c>
      <c r="P1099" s="48">
        <f>HEX2DEC(RIGHT(Table13232127535863[[#This Row],[h1]],8))</f>
        <v>0</v>
      </c>
      <c r="Q1099" s="48" t="s">
        <v>75</v>
      </c>
      <c r="R1099" s="48">
        <f>HEX2DEC(RIGHT(Table13232127535863[[#This Row],[h2]],8))</f>
        <v>0</v>
      </c>
    </row>
    <row r="1100" spans="1:18">
      <c r="A1100" s="15" t="str">
        <f t="shared" si="22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8" t="s">
        <v>75</v>
      </c>
      <c r="P1100" s="48">
        <f>HEX2DEC(RIGHT(Table13232127535863[[#This Row],[h1]],8))</f>
        <v>0</v>
      </c>
      <c r="Q1100" s="48" t="s">
        <v>75</v>
      </c>
      <c r="R1100" s="48">
        <f>HEX2DEC(RIGHT(Table13232127535863[[#This Row],[h2]],8))</f>
        <v>0</v>
      </c>
    </row>
    <row r="1101" spans="1:18">
      <c r="A1101" s="15" t="str">
        <f t="shared" si="22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8" t="s">
        <v>75</v>
      </c>
      <c r="P1101" s="48">
        <f>HEX2DEC(RIGHT(Table13232127535863[[#This Row],[h1]],8))</f>
        <v>0</v>
      </c>
      <c r="Q1101" s="48" t="s">
        <v>75</v>
      </c>
      <c r="R1101" s="48">
        <f>HEX2DEC(RIGHT(Table13232127535863[[#This Row],[h2]],8))</f>
        <v>0</v>
      </c>
    </row>
    <row r="1102" spans="1:18">
      <c r="A1102" s="15" t="str">
        <f t="shared" si="22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8" t="s">
        <v>75</v>
      </c>
      <c r="P1102" s="48">
        <f>HEX2DEC(RIGHT(Table13232127535863[[#This Row],[h1]],8))</f>
        <v>0</v>
      </c>
      <c r="Q1102" s="48" t="s">
        <v>75</v>
      </c>
      <c r="R1102" s="48">
        <f>HEX2DEC(RIGHT(Table13232127535863[[#This Row],[h2]],8))</f>
        <v>0</v>
      </c>
    </row>
    <row r="1103" spans="1:18">
      <c r="A1103" s="15" t="str">
        <f t="shared" si="22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8" t="s">
        <v>75</v>
      </c>
      <c r="P1103" s="48">
        <f>HEX2DEC(RIGHT(Table13232127535863[[#This Row],[h1]],8))</f>
        <v>0</v>
      </c>
      <c r="Q1103" s="48" t="s">
        <v>75</v>
      </c>
      <c r="R1103" s="48">
        <f>HEX2DEC(RIGHT(Table13232127535863[[#This Row],[h2]],8))</f>
        <v>0</v>
      </c>
    </row>
    <row r="1104" spans="1:18">
      <c r="A1104" s="15" t="str">
        <f t="shared" si="22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8" t="s">
        <v>75</v>
      </c>
      <c r="P1104" s="48">
        <f>HEX2DEC(RIGHT(Table13232127535863[[#This Row],[h1]],8))</f>
        <v>0</v>
      </c>
      <c r="Q1104" s="48" t="s">
        <v>75</v>
      </c>
      <c r="R1104" s="48">
        <f>HEX2DEC(RIGHT(Table13232127535863[[#This Row],[h2]],8))</f>
        <v>0</v>
      </c>
    </row>
    <row r="1105" spans="1:18">
      <c r="A1105" s="15" t="str">
        <f t="shared" si="22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8" t="s">
        <v>75</v>
      </c>
      <c r="P1105" s="48">
        <f>HEX2DEC(RIGHT(Table13232127535863[[#This Row],[h1]],8))</f>
        <v>0</v>
      </c>
      <c r="Q1105" s="48" t="s">
        <v>75</v>
      </c>
      <c r="R1105" s="48">
        <f>HEX2DEC(RIGHT(Table13232127535863[[#This Row],[h2]],8))</f>
        <v>0</v>
      </c>
    </row>
    <row r="1106" spans="1:18">
      <c r="A1106" s="15" t="str">
        <f t="shared" si="22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8" t="s">
        <v>75</v>
      </c>
      <c r="P1106" s="48">
        <f>HEX2DEC(RIGHT(Table13232127535863[[#This Row],[h1]],8))</f>
        <v>0</v>
      </c>
      <c r="Q1106" s="48" t="s">
        <v>75</v>
      </c>
      <c r="R1106" s="48">
        <f>HEX2DEC(RIGHT(Table13232127535863[[#This Row],[h2]],8))</f>
        <v>0</v>
      </c>
    </row>
    <row r="1107" spans="1:18">
      <c r="A1107" s="15" t="str">
        <f t="shared" si="22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8" t="s">
        <v>75</v>
      </c>
      <c r="P1107" s="48">
        <f>HEX2DEC(RIGHT(Table13232127535863[[#This Row],[h1]],8))</f>
        <v>0</v>
      </c>
      <c r="Q1107" s="48" t="s">
        <v>75</v>
      </c>
      <c r="R1107" s="48">
        <f>HEX2DEC(RIGHT(Table13232127535863[[#This Row],[h2]],8))</f>
        <v>0</v>
      </c>
    </row>
    <row r="1108" spans="1:18">
      <c r="A1108" s="15" t="str">
        <f t="shared" si="22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8" t="s">
        <v>75</v>
      </c>
      <c r="P1108" s="48">
        <f>HEX2DEC(RIGHT(Table13232127535863[[#This Row],[h1]],8))</f>
        <v>0</v>
      </c>
      <c r="Q1108" s="48" t="s">
        <v>75</v>
      </c>
      <c r="R1108" s="48">
        <f>HEX2DEC(RIGHT(Table13232127535863[[#This Row],[h2]],8))</f>
        <v>0</v>
      </c>
    </row>
    <row r="1109" spans="1:18">
      <c r="A1109" s="15" t="str">
        <f t="shared" si="22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8" t="s">
        <v>75</v>
      </c>
      <c r="P1109" s="48">
        <f>HEX2DEC(RIGHT(Table13232127535863[[#This Row],[h1]],8))</f>
        <v>0</v>
      </c>
      <c r="Q1109" s="48" t="s">
        <v>75</v>
      </c>
      <c r="R1109" s="48">
        <f>HEX2DEC(RIGHT(Table13232127535863[[#This Row],[h2]],8))</f>
        <v>0</v>
      </c>
    </row>
    <row r="1110" spans="1:18">
      <c r="A1110" s="15" t="str">
        <f t="shared" si="22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8" t="s">
        <v>75</v>
      </c>
      <c r="P1110" s="48">
        <f>HEX2DEC(RIGHT(Table13232127535863[[#This Row],[h1]],8))</f>
        <v>0</v>
      </c>
      <c r="Q1110" s="48" t="s">
        <v>75</v>
      </c>
      <c r="R1110" s="48">
        <f>HEX2DEC(RIGHT(Table13232127535863[[#This Row],[h2]],8))</f>
        <v>0</v>
      </c>
    </row>
    <row r="1111" spans="1:18">
      <c r="A1111" s="15" t="str">
        <f t="shared" si="22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8" t="s">
        <v>75</v>
      </c>
      <c r="P1111" s="48">
        <f>HEX2DEC(RIGHT(Table13232127535863[[#This Row],[h1]],8))</f>
        <v>0</v>
      </c>
      <c r="Q1111" s="48" t="s">
        <v>75</v>
      </c>
      <c r="R1111" s="48">
        <f>HEX2DEC(RIGHT(Table13232127535863[[#This Row],[h2]],8))</f>
        <v>0</v>
      </c>
    </row>
    <row r="1112" spans="1:18">
      <c r="A1112" s="15" t="str">
        <f t="shared" si="22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8" t="s">
        <v>75</v>
      </c>
      <c r="P1112" s="48">
        <f>HEX2DEC(RIGHT(Table13232127535863[[#This Row],[h1]],8))</f>
        <v>0</v>
      </c>
      <c r="Q1112" s="48" t="s">
        <v>75</v>
      </c>
      <c r="R1112" s="48">
        <f>HEX2DEC(RIGHT(Table13232127535863[[#This Row],[h2]],8))</f>
        <v>0</v>
      </c>
    </row>
    <row r="1113" spans="1:18">
      <c r="A1113" s="15" t="str">
        <f t="shared" si="22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8" t="s">
        <v>75</v>
      </c>
      <c r="P1113" s="48">
        <f>HEX2DEC(RIGHT(Table13232127535863[[#This Row],[h1]],8))</f>
        <v>0</v>
      </c>
      <c r="Q1113" s="48" t="s">
        <v>75</v>
      </c>
      <c r="R1113" s="48">
        <f>HEX2DEC(RIGHT(Table13232127535863[[#This Row],[h2]],8))</f>
        <v>0</v>
      </c>
    </row>
    <row r="1114" spans="1:18">
      <c r="A1114" s="15" t="str">
        <f t="shared" si="22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8" t="s">
        <v>75</v>
      </c>
      <c r="P1114" s="48">
        <f>HEX2DEC(RIGHT(Table13232127535863[[#This Row],[h1]],8))</f>
        <v>0</v>
      </c>
      <c r="Q1114" s="48" t="s">
        <v>75</v>
      </c>
      <c r="R1114" s="48">
        <f>HEX2DEC(RIGHT(Table13232127535863[[#This Row],[h2]],8))</f>
        <v>0</v>
      </c>
    </row>
    <row r="1115" spans="1:18">
      <c r="A1115" s="15" t="str">
        <f t="shared" si="22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8" t="s">
        <v>75</v>
      </c>
      <c r="P1115" s="48">
        <f>HEX2DEC(RIGHT(Table13232127535863[[#This Row],[h1]],8))</f>
        <v>0</v>
      </c>
      <c r="Q1115" s="48" t="s">
        <v>75</v>
      </c>
      <c r="R1115" s="48">
        <f>HEX2DEC(RIGHT(Table13232127535863[[#This Row],[h2]],8))</f>
        <v>0</v>
      </c>
    </row>
    <row r="1116" spans="1:18">
      <c r="A1116" s="15" t="str">
        <f t="shared" si="22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8" t="s">
        <v>75</v>
      </c>
      <c r="P1116" s="48">
        <f>HEX2DEC(RIGHT(Table13232127535863[[#This Row],[h1]],8))</f>
        <v>0</v>
      </c>
      <c r="Q1116" s="48" t="s">
        <v>75</v>
      </c>
      <c r="R1116" s="48">
        <f>HEX2DEC(RIGHT(Table13232127535863[[#This Row],[h2]],8))</f>
        <v>0</v>
      </c>
    </row>
    <row r="1117" spans="1:18">
      <c r="A1117" s="15" t="str">
        <f t="shared" si="22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8" t="s">
        <v>75</v>
      </c>
      <c r="P1117" s="48">
        <f>HEX2DEC(RIGHT(Table13232127535863[[#This Row],[h1]],8))</f>
        <v>0</v>
      </c>
      <c r="Q1117" s="48" t="s">
        <v>75</v>
      </c>
      <c r="R1117" s="48">
        <f>HEX2DEC(RIGHT(Table13232127535863[[#This Row],[h2]],8))</f>
        <v>0</v>
      </c>
    </row>
    <row r="1118" spans="1:18">
      <c r="A1118" s="15" t="str">
        <f t="shared" si="22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8" t="s">
        <v>75</v>
      </c>
      <c r="P1118" s="48">
        <f>HEX2DEC(RIGHT(Table13232127535863[[#This Row],[h1]],8))</f>
        <v>0</v>
      </c>
      <c r="Q1118" s="48" t="s">
        <v>75</v>
      </c>
      <c r="R1118" s="48">
        <f>HEX2DEC(RIGHT(Table13232127535863[[#This Row],[h2]],8))</f>
        <v>0</v>
      </c>
    </row>
    <row r="1119" spans="1:18">
      <c r="A1119" s="15" t="str">
        <f t="shared" si="22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8" t="s">
        <v>75</v>
      </c>
      <c r="P1119" s="48">
        <f>HEX2DEC(RIGHT(Table13232127535863[[#This Row],[h1]],8))</f>
        <v>0</v>
      </c>
      <c r="Q1119" s="48" t="s">
        <v>75</v>
      </c>
      <c r="R1119" s="48">
        <f>HEX2DEC(RIGHT(Table13232127535863[[#This Row],[h2]],8))</f>
        <v>0</v>
      </c>
    </row>
    <row r="1120" spans="1:18">
      <c r="A1120" s="15" t="str">
        <f t="shared" si="22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8" t="s">
        <v>75</v>
      </c>
      <c r="P1120" s="48">
        <f>HEX2DEC(RIGHT(Table13232127535863[[#This Row],[h1]],8))</f>
        <v>0</v>
      </c>
      <c r="Q1120" s="48" t="s">
        <v>75</v>
      </c>
      <c r="R1120" s="48">
        <f>HEX2DEC(RIGHT(Table13232127535863[[#This Row],[h2]],8))</f>
        <v>0</v>
      </c>
    </row>
    <row r="1121" spans="1:18">
      <c r="A1121" s="15" t="str">
        <f t="shared" si="22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8" t="s">
        <v>75</v>
      </c>
      <c r="P1121" s="48">
        <f>HEX2DEC(RIGHT(Table13232127535863[[#This Row],[h1]],8))</f>
        <v>0</v>
      </c>
      <c r="Q1121" s="48" t="s">
        <v>75</v>
      </c>
      <c r="R1121" s="48">
        <f>HEX2DEC(RIGHT(Table13232127535863[[#This Row],[h2]],8))</f>
        <v>0</v>
      </c>
    </row>
    <row r="1122" spans="1:18">
      <c r="A1122" s="15" t="str">
        <f t="shared" si="22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8" t="s">
        <v>75</v>
      </c>
      <c r="P1122" s="48">
        <f>HEX2DEC(RIGHT(Table13232127535863[[#This Row],[h1]],8))</f>
        <v>0</v>
      </c>
      <c r="Q1122" s="48" t="s">
        <v>75</v>
      </c>
      <c r="R1122" s="48">
        <f>HEX2DEC(RIGHT(Table13232127535863[[#This Row],[h2]],8))</f>
        <v>0</v>
      </c>
    </row>
    <row r="1123" spans="1:18">
      <c r="A1123" s="15" t="str">
        <f t="shared" si="22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8" t="s">
        <v>75</v>
      </c>
      <c r="P1123" s="48">
        <f>HEX2DEC(RIGHT(Table13232127535863[[#This Row],[h1]],8))</f>
        <v>0</v>
      </c>
      <c r="Q1123" s="48" t="s">
        <v>75</v>
      </c>
      <c r="R1123" s="48">
        <f>HEX2DEC(RIGHT(Table13232127535863[[#This Row],[h2]],8))</f>
        <v>0</v>
      </c>
    </row>
    <row r="1124" spans="1:18">
      <c r="A1124" s="15" t="str">
        <f t="shared" si="22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8" t="s">
        <v>75</v>
      </c>
      <c r="P1124" s="48">
        <f>HEX2DEC(RIGHT(Table13232127535863[[#This Row],[h1]],8))</f>
        <v>0</v>
      </c>
      <c r="Q1124" s="48" t="s">
        <v>75</v>
      </c>
      <c r="R1124" s="48">
        <f>HEX2DEC(RIGHT(Table13232127535863[[#This Row],[h2]],8))</f>
        <v>0</v>
      </c>
    </row>
    <row r="1125" spans="1:18">
      <c r="A1125" s="15" t="str">
        <f t="shared" si="22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8" t="s">
        <v>75</v>
      </c>
      <c r="P1125" s="48">
        <f>HEX2DEC(RIGHT(Table13232127535863[[#This Row],[h1]],8))</f>
        <v>0</v>
      </c>
      <c r="Q1125" s="48" t="s">
        <v>75</v>
      </c>
      <c r="R1125" s="48">
        <f>HEX2DEC(RIGHT(Table13232127535863[[#This Row],[h2]],8))</f>
        <v>0</v>
      </c>
    </row>
    <row r="1126" spans="1:18">
      <c r="A1126" s="15" t="str">
        <f t="shared" si="22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8" t="s">
        <v>75</v>
      </c>
      <c r="P1126" s="48">
        <f>HEX2DEC(RIGHT(Table13232127535863[[#This Row],[h1]],8))</f>
        <v>0</v>
      </c>
      <c r="Q1126" s="48" t="s">
        <v>75</v>
      </c>
      <c r="R1126" s="48">
        <f>HEX2DEC(RIGHT(Table13232127535863[[#This Row],[h2]],8))</f>
        <v>0</v>
      </c>
    </row>
    <row r="1127" spans="1:18">
      <c r="A1127" s="15" t="str">
        <f t="shared" si="22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8" t="s">
        <v>75</v>
      </c>
      <c r="P1127" s="48">
        <f>HEX2DEC(RIGHT(Table13232127535863[[#This Row],[h1]],8))</f>
        <v>0</v>
      </c>
      <c r="Q1127" s="48" t="s">
        <v>75</v>
      </c>
      <c r="R1127" s="48">
        <f>HEX2DEC(RIGHT(Table13232127535863[[#This Row],[h2]],8))</f>
        <v>0</v>
      </c>
    </row>
    <row r="1128" spans="1:18">
      <c r="A1128" s="15" t="str">
        <f t="shared" si="22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8" t="s">
        <v>75</v>
      </c>
      <c r="P1128" s="48">
        <f>HEX2DEC(RIGHT(Table13232127535863[[#This Row],[h1]],8))</f>
        <v>0</v>
      </c>
      <c r="Q1128" s="48" t="s">
        <v>75</v>
      </c>
      <c r="R1128" s="48">
        <f>HEX2DEC(RIGHT(Table13232127535863[[#This Row],[h2]],8))</f>
        <v>0</v>
      </c>
    </row>
    <row r="1129" spans="1:18">
      <c r="A1129" s="15" t="str">
        <f t="shared" si="22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8" t="s">
        <v>75</v>
      </c>
      <c r="P1129" s="48">
        <f>HEX2DEC(RIGHT(Table13232127535863[[#This Row],[h1]],8))</f>
        <v>0</v>
      </c>
      <c r="Q1129" s="48" t="s">
        <v>75</v>
      </c>
      <c r="R1129" s="48">
        <f>HEX2DEC(RIGHT(Table13232127535863[[#This Row],[h2]],8))</f>
        <v>0</v>
      </c>
    </row>
    <row r="1130" spans="1:18">
      <c r="A1130" s="15" t="str">
        <f t="shared" si="22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8" t="s">
        <v>75</v>
      </c>
      <c r="P1130" s="48">
        <f>HEX2DEC(RIGHT(Table13232127535863[[#This Row],[h1]],8))</f>
        <v>0</v>
      </c>
      <c r="Q1130" s="48" t="s">
        <v>75</v>
      </c>
      <c r="R1130" s="48">
        <f>HEX2DEC(RIGHT(Table13232127535863[[#This Row],[h2]],8))</f>
        <v>0</v>
      </c>
    </row>
    <row r="1131" spans="1:18">
      <c r="A1131" s="15" t="str">
        <f t="shared" si="22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8" t="s">
        <v>75</v>
      </c>
      <c r="P1131" s="48">
        <f>HEX2DEC(RIGHT(Table13232127535863[[#This Row],[h1]],8))</f>
        <v>0</v>
      </c>
      <c r="Q1131" s="48" t="s">
        <v>75</v>
      </c>
      <c r="R1131" s="48">
        <f>HEX2DEC(RIGHT(Table13232127535863[[#This Row],[h2]],8))</f>
        <v>0</v>
      </c>
    </row>
    <row r="1132" spans="1:18">
      <c r="A1132" s="15" t="str">
        <f t="shared" si="22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8" t="s">
        <v>75</v>
      </c>
      <c r="P1132" s="48">
        <f>HEX2DEC(RIGHT(Table13232127535863[[#This Row],[h1]],8))</f>
        <v>0</v>
      </c>
      <c r="Q1132" s="48" t="s">
        <v>75</v>
      </c>
      <c r="R1132" s="48">
        <f>HEX2DEC(RIGHT(Table13232127535863[[#This Row],[h2]],8))</f>
        <v>0</v>
      </c>
    </row>
    <row r="1133" spans="1:18">
      <c r="A1133" s="15" t="str">
        <f t="shared" si="22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8" t="s">
        <v>75</v>
      </c>
      <c r="P1133" s="48">
        <f>HEX2DEC(RIGHT(Table13232127535863[[#This Row],[h1]],8))</f>
        <v>0</v>
      </c>
      <c r="Q1133" s="48" t="s">
        <v>75</v>
      </c>
      <c r="R1133" s="48">
        <f>HEX2DEC(RIGHT(Table13232127535863[[#This Row],[h2]],8))</f>
        <v>0</v>
      </c>
    </row>
    <row r="1134" spans="1:18">
      <c r="A1134" s="15" t="str">
        <f t="shared" si="22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8" t="s">
        <v>75</v>
      </c>
      <c r="P1134" s="48">
        <f>HEX2DEC(RIGHT(Table13232127535863[[#This Row],[h1]],8))</f>
        <v>0</v>
      </c>
      <c r="Q1134" s="48" t="s">
        <v>75</v>
      </c>
      <c r="R1134" s="48">
        <f>HEX2DEC(RIGHT(Table13232127535863[[#This Row],[h2]],8))</f>
        <v>0</v>
      </c>
    </row>
    <row r="1135" spans="1:18">
      <c r="A1135" s="15" t="str">
        <f t="shared" si="22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8" t="s">
        <v>75</v>
      </c>
      <c r="P1135" s="48">
        <f>HEX2DEC(RIGHT(Table13232127535863[[#This Row],[h1]],8))</f>
        <v>0</v>
      </c>
      <c r="Q1135" s="48" t="s">
        <v>75</v>
      </c>
      <c r="R1135" s="48">
        <f>HEX2DEC(RIGHT(Table13232127535863[[#This Row],[h2]],8))</f>
        <v>0</v>
      </c>
    </row>
    <row r="1136" spans="1:18">
      <c r="A1136" s="15" t="str">
        <f t="shared" si="22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8" t="s">
        <v>75</v>
      </c>
      <c r="P1136" s="48">
        <f>HEX2DEC(RIGHT(Table13232127535863[[#This Row],[h1]],8))</f>
        <v>0</v>
      </c>
      <c r="Q1136" s="48" t="s">
        <v>75</v>
      </c>
      <c r="R1136" s="48">
        <f>HEX2DEC(RIGHT(Table13232127535863[[#This Row],[h2]],8))</f>
        <v>0</v>
      </c>
    </row>
    <row r="1137" spans="1:18">
      <c r="A1137" s="15" t="str">
        <f t="shared" si="22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8" t="s">
        <v>75</v>
      </c>
      <c r="P1137" s="48">
        <f>HEX2DEC(RIGHT(Table13232127535863[[#This Row],[h1]],8))</f>
        <v>0</v>
      </c>
      <c r="Q1137" s="48" t="s">
        <v>75</v>
      </c>
      <c r="R1137" s="48">
        <f>HEX2DEC(RIGHT(Table13232127535863[[#This Row],[h2]],8))</f>
        <v>0</v>
      </c>
    </row>
    <row r="1138" spans="1:18">
      <c r="A1138" s="15" t="str">
        <f t="shared" si="22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8" t="s">
        <v>75</v>
      </c>
      <c r="P1138" s="48">
        <f>HEX2DEC(RIGHT(Table13232127535863[[#This Row],[h1]],8))</f>
        <v>0</v>
      </c>
      <c r="Q1138" s="48" t="s">
        <v>75</v>
      </c>
      <c r="R1138" s="48">
        <f>HEX2DEC(RIGHT(Table13232127535863[[#This Row],[h2]],8))</f>
        <v>0</v>
      </c>
    </row>
    <row r="1139" spans="1:18">
      <c r="A1139" s="15" t="str">
        <f t="shared" si="22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8" t="s">
        <v>75</v>
      </c>
      <c r="P1139" s="48">
        <f>HEX2DEC(RIGHT(Table13232127535863[[#This Row],[h1]],8))</f>
        <v>0</v>
      </c>
      <c r="Q1139" s="48" t="s">
        <v>75</v>
      </c>
      <c r="R1139" s="48">
        <f>HEX2DEC(RIGHT(Table13232127535863[[#This Row],[h2]],8))</f>
        <v>0</v>
      </c>
    </row>
    <row r="1140" spans="1:18">
      <c r="A1140" s="15" t="str">
        <f t="shared" si="22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8" t="s">
        <v>75</v>
      </c>
      <c r="P1140" s="48">
        <f>HEX2DEC(RIGHT(Table13232127535863[[#This Row],[h1]],8))</f>
        <v>0</v>
      </c>
      <c r="Q1140" s="48" t="s">
        <v>75</v>
      </c>
      <c r="R1140" s="48">
        <f>HEX2DEC(RIGHT(Table13232127535863[[#This Row],[h2]],8))</f>
        <v>0</v>
      </c>
    </row>
    <row r="1141" spans="1:18">
      <c r="A1141" s="15" t="str">
        <f t="shared" si="22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8" t="s">
        <v>75</v>
      </c>
      <c r="P1141" s="48">
        <f>HEX2DEC(RIGHT(Table13232127535863[[#This Row],[h1]],8))</f>
        <v>0</v>
      </c>
      <c r="Q1141" s="48" t="s">
        <v>75</v>
      </c>
      <c r="R1141" s="48">
        <f>HEX2DEC(RIGHT(Table13232127535863[[#This Row],[h2]],8))</f>
        <v>0</v>
      </c>
    </row>
    <row r="1142" spans="1:18">
      <c r="A1142" s="15" t="str">
        <f t="shared" si="22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8" t="s">
        <v>75</v>
      </c>
      <c r="P1142" s="48">
        <f>HEX2DEC(RIGHT(Table13232127535863[[#This Row],[h1]],8))</f>
        <v>0</v>
      </c>
      <c r="Q1142" s="48" t="s">
        <v>75</v>
      </c>
      <c r="R1142" s="48">
        <f>HEX2DEC(RIGHT(Table13232127535863[[#This Row],[h2]],8))</f>
        <v>0</v>
      </c>
    </row>
    <row r="1143" spans="1:18">
      <c r="A1143" s="15" t="str">
        <f t="shared" si="22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8" t="s">
        <v>75</v>
      </c>
      <c r="P1143" s="48">
        <f>HEX2DEC(RIGHT(Table13232127535863[[#This Row],[h1]],8))</f>
        <v>0</v>
      </c>
      <c r="Q1143" s="48" t="s">
        <v>75</v>
      </c>
      <c r="R1143" s="48">
        <f>HEX2DEC(RIGHT(Table13232127535863[[#This Row],[h2]],8))</f>
        <v>0</v>
      </c>
    </row>
    <row r="1144" spans="1:18">
      <c r="A1144" s="15" t="str">
        <f t="shared" si="22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8" t="s">
        <v>75</v>
      </c>
      <c r="P1144" s="48">
        <f>HEX2DEC(RIGHT(Table13232127535863[[#This Row],[h1]],8))</f>
        <v>0</v>
      </c>
      <c r="Q1144" s="48" t="s">
        <v>75</v>
      </c>
      <c r="R1144" s="48">
        <f>HEX2DEC(RIGHT(Table13232127535863[[#This Row],[h2]],8))</f>
        <v>0</v>
      </c>
    </row>
    <row r="1145" spans="1:18">
      <c r="A1145" s="15" t="str">
        <f t="shared" si="22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8" t="s">
        <v>75</v>
      </c>
      <c r="P1145" s="48">
        <f>HEX2DEC(RIGHT(Table13232127535863[[#This Row],[h1]],8))</f>
        <v>0</v>
      </c>
      <c r="Q1145" s="48" t="s">
        <v>75</v>
      </c>
      <c r="R1145" s="48">
        <f>HEX2DEC(RIGHT(Table13232127535863[[#This Row],[h2]],8))</f>
        <v>0</v>
      </c>
    </row>
    <row r="1146" spans="1:18">
      <c r="A1146" s="15" t="str">
        <f t="shared" si="22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8" t="s">
        <v>75</v>
      </c>
      <c r="P1146" s="48">
        <f>HEX2DEC(RIGHT(Table13232127535863[[#This Row],[h1]],8))</f>
        <v>0</v>
      </c>
      <c r="Q1146" s="48" t="s">
        <v>75</v>
      </c>
      <c r="R1146" s="48">
        <f>HEX2DEC(RIGHT(Table13232127535863[[#This Row],[h2]],8))</f>
        <v>0</v>
      </c>
    </row>
    <row r="1147" spans="1:18">
      <c r="A1147" s="15" t="str">
        <f t="shared" si="22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8" t="s">
        <v>75</v>
      </c>
      <c r="P1147" s="48">
        <f>HEX2DEC(RIGHT(Table13232127535863[[#This Row],[h1]],8))</f>
        <v>0</v>
      </c>
      <c r="Q1147" s="48" t="s">
        <v>75</v>
      </c>
      <c r="R1147" s="48">
        <f>HEX2DEC(RIGHT(Table13232127535863[[#This Row],[h2]],8))</f>
        <v>0</v>
      </c>
    </row>
    <row r="1148" spans="1:18">
      <c r="A1148" s="15" t="str">
        <f t="shared" si="22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8" t="s">
        <v>75</v>
      </c>
      <c r="P1148" s="48">
        <f>HEX2DEC(RIGHT(Table13232127535863[[#This Row],[h1]],8))</f>
        <v>0</v>
      </c>
      <c r="Q1148" s="48" t="s">
        <v>75</v>
      </c>
      <c r="R1148" s="48">
        <f>HEX2DEC(RIGHT(Table13232127535863[[#This Row],[h2]],8))</f>
        <v>0</v>
      </c>
    </row>
    <row r="1149" spans="1:18">
      <c r="A1149" s="15" t="str">
        <f t="shared" si="22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8" t="s">
        <v>75</v>
      </c>
      <c r="P1149" s="48">
        <f>HEX2DEC(RIGHT(Table13232127535863[[#This Row],[h1]],8))</f>
        <v>0</v>
      </c>
      <c r="Q1149" s="48" t="s">
        <v>75</v>
      </c>
      <c r="R1149" s="48">
        <f>HEX2DEC(RIGHT(Table13232127535863[[#This Row],[h2]],8))</f>
        <v>0</v>
      </c>
    </row>
    <row r="1150" spans="1:18">
      <c r="A1150" s="15" t="str">
        <f t="shared" si="22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8" t="s">
        <v>75</v>
      </c>
      <c r="P1150" s="48">
        <f>HEX2DEC(RIGHT(Table13232127535863[[#This Row],[h1]],8))</f>
        <v>0</v>
      </c>
      <c r="Q1150" s="48" t="s">
        <v>75</v>
      </c>
      <c r="R1150" s="48">
        <f>HEX2DEC(RIGHT(Table13232127535863[[#This Row],[h2]],8))</f>
        <v>0</v>
      </c>
    </row>
    <row r="1151" spans="1:18">
      <c r="A1151" s="15" t="str">
        <f t="shared" si="22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8" t="s">
        <v>75</v>
      </c>
      <c r="P1151" s="48">
        <f>HEX2DEC(RIGHT(Table13232127535863[[#This Row],[h1]],8))</f>
        <v>0</v>
      </c>
      <c r="Q1151" s="48" t="s">
        <v>75</v>
      </c>
      <c r="R1151" s="48">
        <f>HEX2DEC(RIGHT(Table13232127535863[[#This Row],[h2]],8))</f>
        <v>0</v>
      </c>
    </row>
    <row r="1152" spans="1:18">
      <c r="A1152" s="15" t="str">
        <f t="shared" si="22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8" t="s">
        <v>75</v>
      </c>
      <c r="P1152" s="48">
        <f>HEX2DEC(RIGHT(Table13232127535863[[#This Row],[h1]],8))</f>
        <v>0</v>
      </c>
      <c r="Q1152" s="48" t="s">
        <v>75</v>
      </c>
      <c r="R1152" s="48">
        <f>HEX2DEC(RIGHT(Table13232127535863[[#This Row],[h2]],8))</f>
        <v>0</v>
      </c>
    </row>
    <row r="1153" spans="1:18">
      <c r="A1153" s="15" t="str">
        <f t="shared" si="22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8" t="s">
        <v>75</v>
      </c>
      <c r="P1153" s="48">
        <f>HEX2DEC(RIGHT(Table13232127535863[[#This Row],[h1]],8))</f>
        <v>0</v>
      </c>
      <c r="Q1153" s="48" t="s">
        <v>75</v>
      </c>
      <c r="R1153" s="48">
        <f>HEX2DEC(RIGHT(Table13232127535863[[#This Row],[h2]],8))</f>
        <v>0</v>
      </c>
    </row>
    <row r="1154" spans="1:18">
      <c r="A1154" s="15" t="str">
        <f t="shared" si="22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8" t="s">
        <v>75</v>
      </c>
      <c r="P1154" s="48">
        <f>HEX2DEC(RIGHT(Table13232127535863[[#This Row],[h1]],8))</f>
        <v>0</v>
      </c>
      <c r="Q1154" s="48" t="s">
        <v>75</v>
      </c>
      <c r="R1154" s="48">
        <f>HEX2DEC(RIGHT(Table13232127535863[[#This Row],[h2]],8))</f>
        <v>0</v>
      </c>
    </row>
    <row r="1155" spans="1:18">
      <c r="A1155" s="15" t="str">
        <f t="shared" si="22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8" t="s">
        <v>75</v>
      </c>
      <c r="P1155" s="48">
        <f>HEX2DEC(RIGHT(Table13232127535863[[#This Row],[h1]],8))</f>
        <v>0</v>
      </c>
      <c r="Q1155" s="48" t="s">
        <v>75</v>
      </c>
      <c r="R1155" s="48">
        <f>HEX2DEC(RIGHT(Table13232127535863[[#This Row],[h2]],8))</f>
        <v>0</v>
      </c>
    </row>
    <row r="1156" spans="1:18">
      <c r="A1156" s="15" t="str">
        <f t="shared" si="22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8" t="s">
        <v>75</v>
      </c>
      <c r="P1156" s="48">
        <f>HEX2DEC(RIGHT(Table13232127535863[[#This Row],[h1]],8))</f>
        <v>0</v>
      </c>
      <c r="Q1156" s="48" t="s">
        <v>75</v>
      </c>
      <c r="R1156" s="48">
        <f>HEX2DEC(RIGHT(Table13232127535863[[#This Row],[h2]],8))</f>
        <v>0</v>
      </c>
    </row>
    <row r="1157" spans="1:18">
      <c r="A1157" s="15" t="str">
        <f t="shared" si="22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8" t="s">
        <v>75</v>
      </c>
      <c r="P1157" s="48">
        <f>HEX2DEC(RIGHT(Table13232127535863[[#This Row],[h1]],8))</f>
        <v>0</v>
      </c>
      <c r="Q1157" s="48" t="s">
        <v>75</v>
      </c>
      <c r="R1157" s="48">
        <f>HEX2DEC(RIGHT(Table13232127535863[[#This Row],[h2]],8))</f>
        <v>0</v>
      </c>
    </row>
    <row r="1158" spans="1:18">
      <c r="A1158" s="15" t="str">
        <f t="shared" si="22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8" t="s">
        <v>75</v>
      </c>
      <c r="P1158" s="48">
        <f>HEX2DEC(RIGHT(Table13232127535863[[#This Row],[h1]],8))</f>
        <v>0</v>
      </c>
      <c r="Q1158" s="48" t="s">
        <v>75</v>
      </c>
      <c r="R1158" s="48">
        <f>HEX2DEC(RIGHT(Table13232127535863[[#This Row],[h2]],8))</f>
        <v>0</v>
      </c>
    </row>
    <row r="1159" spans="1:18">
      <c r="A1159" s="15" t="str">
        <f t="shared" si="22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8" t="s">
        <v>75</v>
      </c>
      <c r="P1159" s="48">
        <f>HEX2DEC(RIGHT(Table13232127535863[[#This Row],[h1]],8))</f>
        <v>0</v>
      </c>
      <c r="Q1159" s="48" t="s">
        <v>75</v>
      </c>
      <c r="R1159" s="48">
        <f>HEX2DEC(RIGHT(Table13232127535863[[#This Row],[h2]],8))</f>
        <v>0</v>
      </c>
    </row>
    <row r="1160" spans="1:18">
      <c r="A1160" s="15" t="str">
        <f t="shared" si="22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8" t="s">
        <v>75</v>
      </c>
      <c r="P1160" s="48">
        <f>HEX2DEC(RIGHT(Table13232127535863[[#This Row],[h1]],8))</f>
        <v>0</v>
      </c>
      <c r="Q1160" s="48" t="s">
        <v>75</v>
      </c>
      <c r="R1160" s="48">
        <f>HEX2DEC(RIGHT(Table13232127535863[[#This Row],[h2]],8))</f>
        <v>0</v>
      </c>
    </row>
    <row r="1161" spans="1:18">
      <c r="A1161" s="15" t="str">
        <f t="shared" si="22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8" t="s">
        <v>75</v>
      </c>
      <c r="P1161" s="48">
        <f>HEX2DEC(RIGHT(Table13232127535863[[#This Row],[h1]],8))</f>
        <v>0</v>
      </c>
      <c r="Q1161" s="48" t="s">
        <v>75</v>
      </c>
      <c r="R1161" s="48">
        <f>HEX2DEC(RIGHT(Table13232127535863[[#This Row],[h2]],8))</f>
        <v>0</v>
      </c>
    </row>
    <row r="1162" spans="1:18">
      <c r="A1162" s="15" t="str">
        <f t="shared" si="22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8" t="s">
        <v>75</v>
      </c>
      <c r="P1162" s="48">
        <f>HEX2DEC(RIGHT(Table13232127535863[[#This Row],[h1]],8))</f>
        <v>0</v>
      </c>
      <c r="Q1162" s="48" t="s">
        <v>75</v>
      </c>
      <c r="R1162" s="48">
        <f>HEX2DEC(RIGHT(Table13232127535863[[#This Row],[h2]],8))</f>
        <v>0</v>
      </c>
    </row>
    <row r="1163" spans="1:18">
      <c r="A1163" s="15" t="str">
        <f t="shared" ref="A1163:A1226" si="23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8" t="s">
        <v>75</v>
      </c>
      <c r="P1163" s="48">
        <f>HEX2DEC(RIGHT(Table13232127535863[[#This Row],[h1]],8))</f>
        <v>0</v>
      </c>
      <c r="Q1163" s="48" t="s">
        <v>75</v>
      </c>
      <c r="R1163" s="48">
        <f>HEX2DEC(RIGHT(Table13232127535863[[#This Row],[h2]],8))</f>
        <v>0</v>
      </c>
    </row>
    <row r="1164" spans="1:18">
      <c r="A1164" s="15" t="str">
        <f t="shared" si="23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8" t="s">
        <v>75</v>
      </c>
      <c r="P1164" s="48">
        <f>HEX2DEC(RIGHT(Table13232127535863[[#This Row],[h1]],8))</f>
        <v>0</v>
      </c>
      <c r="Q1164" s="48" t="s">
        <v>75</v>
      </c>
      <c r="R1164" s="48">
        <f>HEX2DEC(RIGHT(Table13232127535863[[#This Row],[h2]],8))</f>
        <v>0</v>
      </c>
    </row>
    <row r="1165" spans="1:18">
      <c r="A1165" s="15" t="str">
        <f t="shared" si="23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8" t="s">
        <v>75</v>
      </c>
      <c r="P1165" s="48">
        <f>HEX2DEC(RIGHT(Table13232127535863[[#This Row],[h1]],8))</f>
        <v>0</v>
      </c>
      <c r="Q1165" s="48" t="s">
        <v>75</v>
      </c>
      <c r="R1165" s="48">
        <f>HEX2DEC(RIGHT(Table13232127535863[[#This Row],[h2]],8))</f>
        <v>0</v>
      </c>
    </row>
    <row r="1166" spans="1:18">
      <c r="A1166" s="15" t="str">
        <f t="shared" si="23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8" t="s">
        <v>75</v>
      </c>
      <c r="P1166" s="48">
        <f>HEX2DEC(RIGHT(Table13232127535863[[#This Row],[h1]],8))</f>
        <v>0</v>
      </c>
      <c r="Q1166" s="48" t="s">
        <v>75</v>
      </c>
      <c r="R1166" s="48">
        <f>HEX2DEC(RIGHT(Table13232127535863[[#This Row],[h2]],8))</f>
        <v>0</v>
      </c>
    </row>
    <row r="1167" spans="1:18">
      <c r="A1167" s="15" t="str">
        <f t="shared" si="23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8" t="s">
        <v>75</v>
      </c>
      <c r="P1167" s="48">
        <f>HEX2DEC(RIGHT(Table13232127535863[[#This Row],[h1]],8))</f>
        <v>0</v>
      </c>
      <c r="Q1167" s="48" t="s">
        <v>75</v>
      </c>
      <c r="R1167" s="48">
        <f>HEX2DEC(RIGHT(Table13232127535863[[#This Row],[h2]],8))</f>
        <v>0</v>
      </c>
    </row>
    <row r="1168" spans="1:18">
      <c r="A1168" s="15" t="str">
        <f t="shared" si="23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8" t="s">
        <v>75</v>
      </c>
      <c r="P1168" s="48">
        <f>HEX2DEC(RIGHT(Table13232127535863[[#This Row],[h1]],8))</f>
        <v>0</v>
      </c>
      <c r="Q1168" s="48" t="s">
        <v>75</v>
      </c>
      <c r="R1168" s="48">
        <f>HEX2DEC(RIGHT(Table13232127535863[[#This Row],[h2]],8))</f>
        <v>0</v>
      </c>
    </row>
    <row r="1169" spans="1:18">
      <c r="A1169" s="15" t="str">
        <f t="shared" si="23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8" t="s">
        <v>75</v>
      </c>
      <c r="P1169" s="48">
        <f>HEX2DEC(RIGHT(Table13232127535863[[#This Row],[h1]],8))</f>
        <v>0</v>
      </c>
      <c r="Q1169" s="48" t="s">
        <v>75</v>
      </c>
      <c r="R1169" s="48">
        <f>HEX2DEC(RIGHT(Table13232127535863[[#This Row],[h2]],8))</f>
        <v>0</v>
      </c>
    </row>
    <row r="1170" spans="1:18">
      <c r="A1170" s="15" t="str">
        <f t="shared" si="23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8" t="s">
        <v>75</v>
      </c>
      <c r="P1170" s="48">
        <f>HEX2DEC(RIGHT(Table13232127535863[[#This Row],[h1]],8))</f>
        <v>0</v>
      </c>
      <c r="Q1170" s="48" t="s">
        <v>75</v>
      </c>
      <c r="R1170" s="48">
        <f>HEX2DEC(RIGHT(Table13232127535863[[#This Row],[h2]],8))</f>
        <v>0</v>
      </c>
    </row>
    <row r="1171" spans="1:18">
      <c r="A1171" s="15" t="str">
        <f t="shared" si="23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8" t="s">
        <v>75</v>
      </c>
      <c r="P1171" s="48">
        <f>HEX2DEC(RIGHT(Table13232127535863[[#This Row],[h1]],8))</f>
        <v>0</v>
      </c>
      <c r="Q1171" s="48" t="s">
        <v>75</v>
      </c>
      <c r="R1171" s="48">
        <f>HEX2DEC(RIGHT(Table13232127535863[[#This Row],[h2]],8))</f>
        <v>0</v>
      </c>
    </row>
    <row r="1172" spans="1:18">
      <c r="A1172" s="15" t="str">
        <f t="shared" si="23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8" t="s">
        <v>75</v>
      </c>
      <c r="P1172" s="48">
        <f>HEX2DEC(RIGHT(Table13232127535863[[#This Row],[h1]],8))</f>
        <v>0</v>
      </c>
      <c r="Q1172" s="48" t="s">
        <v>75</v>
      </c>
      <c r="R1172" s="48">
        <f>HEX2DEC(RIGHT(Table13232127535863[[#This Row],[h2]],8))</f>
        <v>0</v>
      </c>
    </row>
    <row r="1173" spans="1:18">
      <c r="A1173" s="15" t="str">
        <f t="shared" si="23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8" t="s">
        <v>75</v>
      </c>
      <c r="P1173" s="48">
        <f>HEX2DEC(RIGHT(Table13232127535863[[#This Row],[h1]],8))</f>
        <v>0</v>
      </c>
      <c r="Q1173" s="48" t="s">
        <v>75</v>
      </c>
      <c r="R1173" s="48">
        <f>HEX2DEC(RIGHT(Table13232127535863[[#This Row],[h2]],8))</f>
        <v>0</v>
      </c>
    </row>
    <row r="1174" spans="1:18">
      <c r="A1174" s="15" t="str">
        <f t="shared" si="23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8" t="s">
        <v>75</v>
      </c>
      <c r="P1174" s="48">
        <f>HEX2DEC(RIGHT(Table13232127535863[[#This Row],[h1]],8))</f>
        <v>0</v>
      </c>
      <c r="Q1174" s="48" t="s">
        <v>75</v>
      </c>
      <c r="R1174" s="48">
        <f>HEX2DEC(RIGHT(Table13232127535863[[#This Row],[h2]],8))</f>
        <v>0</v>
      </c>
    </row>
    <row r="1175" spans="1:18">
      <c r="A1175" s="15" t="str">
        <f t="shared" si="23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8" t="s">
        <v>75</v>
      </c>
      <c r="P1175" s="48">
        <f>HEX2DEC(RIGHT(Table13232127535863[[#This Row],[h1]],8))</f>
        <v>0</v>
      </c>
      <c r="Q1175" s="48" t="s">
        <v>75</v>
      </c>
      <c r="R1175" s="48">
        <f>HEX2DEC(RIGHT(Table13232127535863[[#This Row],[h2]],8))</f>
        <v>0</v>
      </c>
    </row>
    <row r="1176" spans="1:18">
      <c r="A1176" s="15" t="str">
        <f t="shared" si="23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8" t="s">
        <v>75</v>
      </c>
      <c r="P1176" s="48">
        <f>HEX2DEC(RIGHT(Table13232127535863[[#This Row],[h1]],8))</f>
        <v>0</v>
      </c>
      <c r="Q1176" s="48" t="s">
        <v>75</v>
      </c>
      <c r="R1176" s="48">
        <f>HEX2DEC(RIGHT(Table13232127535863[[#This Row],[h2]],8))</f>
        <v>0</v>
      </c>
    </row>
    <row r="1177" spans="1:18">
      <c r="A1177" s="15" t="str">
        <f t="shared" si="23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8" t="s">
        <v>75</v>
      </c>
      <c r="P1177" s="48">
        <f>HEX2DEC(RIGHT(Table13232127535863[[#This Row],[h1]],8))</f>
        <v>0</v>
      </c>
      <c r="Q1177" s="48" t="s">
        <v>75</v>
      </c>
      <c r="R1177" s="48">
        <f>HEX2DEC(RIGHT(Table13232127535863[[#This Row],[h2]],8))</f>
        <v>0</v>
      </c>
    </row>
    <row r="1178" spans="1:18">
      <c r="A1178" s="15" t="str">
        <f t="shared" si="23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8" t="s">
        <v>75</v>
      </c>
      <c r="P1178" s="48">
        <f>HEX2DEC(RIGHT(Table13232127535863[[#This Row],[h1]],8))</f>
        <v>0</v>
      </c>
      <c r="Q1178" s="48" t="s">
        <v>75</v>
      </c>
      <c r="R1178" s="48">
        <f>HEX2DEC(RIGHT(Table13232127535863[[#This Row],[h2]],8))</f>
        <v>0</v>
      </c>
    </row>
    <row r="1179" spans="1:18">
      <c r="A1179" s="15" t="str">
        <f t="shared" si="23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8" t="s">
        <v>75</v>
      </c>
      <c r="P1179" s="48">
        <f>HEX2DEC(RIGHT(Table13232127535863[[#This Row],[h1]],8))</f>
        <v>0</v>
      </c>
      <c r="Q1179" s="48" t="s">
        <v>75</v>
      </c>
      <c r="R1179" s="48">
        <f>HEX2DEC(RIGHT(Table13232127535863[[#This Row],[h2]],8))</f>
        <v>0</v>
      </c>
    </row>
    <row r="1180" spans="1:18">
      <c r="A1180" s="15" t="str">
        <f t="shared" si="23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8" t="s">
        <v>75</v>
      </c>
      <c r="P1180" s="48">
        <f>HEX2DEC(RIGHT(Table13232127535863[[#This Row],[h1]],8))</f>
        <v>0</v>
      </c>
      <c r="Q1180" s="48" t="s">
        <v>75</v>
      </c>
      <c r="R1180" s="48">
        <f>HEX2DEC(RIGHT(Table13232127535863[[#This Row],[h2]],8))</f>
        <v>0</v>
      </c>
    </row>
    <row r="1181" spans="1:18">
      <c r="A1181" s="15" t="str">
        <f t="shared" si="23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8" t="s">
        <v>75</v>
      </c>
      <c r="P1181" s="48">
        <f>HEX2DEC(RIGHT(Table13232127535863[[#This Row],[h1]],8))</f>
        <v>0</v>
      </c>
      <c r="Q1181" s="48" t="s">
        <v>75</v>
      </c>
      <c r="R1181" s="48">
        <f>HEX2DEC(RIGHT(Table13232127535863[[#This Row],[h2]],8))</f>
        <v>0</v>
      </c>
    </row>
    <row r="1182" spans="1:18">
      <c r="A1182" s="15" t="str">
        <f t="shared" si="23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8" t="s">
        <v>75</v>
      </c>
      <c r="P1182" s="48">
        <f>HEX2DEC(RIGHT(Table13232127535863[[#This Row],[h1]],8))</f>
        <v>0</v>
      </c>
      <c r="Q1182" s="48" t="s">
        <v>75</v>
      </c>
      <c r="R1182" s="48">
        <f>HEX2DEC(RIGHT(Table13232127535863[[#This Row],[h2]],8))</f>
        <v>0</v>
      </c>
    </row>
    <row r="1183" spans="1:18">
      <c r="A1183" s="15" t="str">
        <f t="shared" si="23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8" t="s">
        <v>75</v>
      </c>
      <c r="P1183" s="48">
        <f>HEX2DEC(RIGHT(Table13232127535863[[#This Row],[h1]],8))</f>
        <v>0</v>
      </c>
      <c r="Q1183" s="48" t="s">
        <v>75</v>
      </c>
      <c r="R1183" s="48">
        <f>HEX2DEC(RIGHT(Table13232127535863[[#This Row],[h2]],8))</f>
        <v>0</v>
      </c>
    </row>
    <row r="1184" spans="1:18">
      <c r="A1184" s="15" t="str">
        <f t="shared" si="23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8" t="s">
        <v>75</v>
      </c>
      <c r="P1184" s="48">
        <f>HEX2DEC(RIGHT(Table13232127535863[[#This Row],[h1]],8))</f>
        <v>0</v>
      </c>
      <c r="Q1184" s="48" t="s">
        <v>75</v>
      </c>
      <c r="R1184" s="48">
        <f>HEX2DEC(RIGHT(Table13232127535863[[#This Row],[h2]],8))</f>
        <v>0</v>
      </c>
    </row>
    <row r="1185" spans="1:18">
      <c r="A1185" s="15" t="str">
        <f t="shared" si="23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8" t="s">
        <v>75</v>
      </c>
      <c r="P1185" s="48">
        <f>HEX2DEC(RIGHT(Table13232127535863[[#This Row],[h1]],8))</f>
        <v>0</v>
      </c>
      <c r="Q1185" s="48" t="s">
        <v>75</v>
      </c>
      <c r="R1185" s="48">
        <f>HEX2DEC(RIGHT(Table13232127535863[[#This Row],[h2]],8))</f>
        <v>0</v>
      </c>
    </row>
    <row r="1186" spans="1:18">
      <c r="A1186" s="15" t="str">
        <f t="shared" si="23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8" t="s">
        <v>75</v>
      </c>
      <c r="P1186" s="48">
        <f>HEX2DEC(RIGHT(Table13232127535863[[#This Row],[h1]],8))</f>
        <v>0</v>
      </c>
      <c r="Q1186" s="48" t="s">
        <v>75</v>
      </c>
      <c r="R1186" s="48">
        <f>HEX2DEC(RIGHT(Table13232127535863[[#This Row],[h2]],8))</f>
        <v>0</v>
      </c>
    </row>
    <row r="1187" spans="1:18">
      <c r="A1187" s="15" t="str">
        <f t="shared" si="23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8" t="s">
        <v>75</v>
      </c>
      <c r="P1187" s="48">
        <f>HEX2DEC(RIGHT(Table13232127535863[[#This Row],[h1]],8))</f>
        <v>0</v>
      </c>
      <c r="Q1187" s="48" t="s">
        <v>75</v>
      </c>
      <c r="R1187" s="48">
        <f>HEX2DEC(RIGHT(Table13232127535863[[#This Row],[h2]],8))</f>
        <v>0</v>
      </c>
    </row>
    <row r="1188" spans="1:18">
      <c r="A1188" s="15" t="str">
        <f t="shared" si="23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8" t="s">
        <v>75</v>
      </c>
      <c r="P1188" s="48">
        <f>HEX2DEC(RIGHT(Table13232127535863[[#This Row],[h1]],8))</f>
        <v>0</v>
      </c>
      <c r="Q1188" s="48" t="s">
        <v>75</v>
      </c>
      <c r="R1188" s="48">
        <f>HEX2DEC(RIGHT(Table13232127535863[[#This Row],[h2]],8))</f>
        <v>0</v>
      </c>
    </row>
    <row r="1189" spans="1:18">
      <c r="A1189" s="15" t="str">
        <f t="shared" si="23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8" t="s">
        <v>75</v>
      </c>
      <c r="P1189" s="48">
        <f>HEX2DEC(RIGHT(Table13232127535863[[#This Row],[h1]],8))</f>
        <v>0</v>
      </c>
      <c r="Q1189" s="48" t="s">
        <v>75</v>
      </c>
      <c r="R1189" s="48">
        <f>HEX2DEC(RIGHT(Table13232127535863[[#This Row],[h2]],8))</f>
        <v>0</v>
      </c>
    </row>
    <row r="1190" spans="1:18">
      <c r="A1190" s="15" t="str">
        <f t="shared" si="23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8" t="s">
        <v>75</v>
      </c>
      <c r="P1190" s="48">
        <f>HEX2DEC(RIGHT(Table13232127535863[[#This Row],[h1]],8))</f>
        <v>0</v>
      </c>
      <c r="Q1190" s="48" t="s">
        <v>75</v>
      </c>
      <c r="R1190" s="48">
        <f>HEX2DEC(RIGHT(Table13232127535863[[#This Row],[h2]],8))</f>
        <v>0</v>
      </c>
    </row>
    <row r="1191" spans="1:18">
      <c r="A1191" s="15" t="str">
        <f t="shared" si="23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8" t="s">
        <v>75</v>
      </c>
      <c r="P1191" s="48">
        <f>HEX2DEC(RIGHT(Table13232127535863[[#This Row],[h1]],8))</f>
        <v>0</v>
      </c>
      <c r="Q1191" s="48" t="s">
        <v>75</v>
      </c>
      <c r="R1191" s="48">
        <f>HEX2DEC(RIGHT(Table13232127535863[[#This Row],[h2]],8))</f>
        <v>0</v>
      </c>
    </row>
    <row r="1192" spans="1:18">
      <c r="A1192" s="15" t="str">
        <f t="shared" si="23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8" t="s">
        <v>75</v>
      </c>
      <c r="P1192" s="48">
        <f>HEX2DEC(RIGHT(Table13232127535863[[#This Row],[h1]],8))</f>
        <v>0</v>
      </c>
      <c r="Q1192" s="48" t="s">
        <v>75</v>
      </c>
      <c r="R1192" s="48">
        <f>HEX2DEC(RIGHT(Table13232127535863[[#This Row],[h2]],8))</f>
        <v>0</v>
      </c>
    </row>
    <row r="1193" spans="1:18">
      <c r="A1193" s="15" t="str">
        <f t="shared" si="23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8" t="s">
        <v>75</v>
      </c>
      <c r="P1193" s="48">
        <f>HEX2DEC(RIGHT(Table13232127535863[[#This Row],[h1]],8))</f>
        <v>0</v>
      </c>
      <c r="Q1193" s="48" t="s">
        <v>75</v>
      </c>
      <c r="R1193" s="48">
        <f>HEX2DEC(RIGHT(Table13232127535863[[#This Row],[h2]],8))</f>
        <v>0</v>
      </c>
    </row>
    <row r="1194" spans="1:18">
      <c r="A1194" s="15" t="str">
        <f t="shared" si="23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8" t="s">
        <v>75</v>
      </c>
      <c r="P1194" s="48">
        <f>HEX2DEC(RIGHT(Table13232127535863[[#This Row],[h1]],8))</f>
        <v>0</v>
      </c>
      <c r="Q1194" s="48" t="s">
        <v>75</v>
      </c>
      <c r="R1194" s="48">
        <f>HEX2DEC(RIGHT(Table13232127535863[[#This Row],[h2]],8))</f>
        <v>0</v>
      </c>
    </row>
    <row r="1195" spans="1:18">
      <c r="A1195" s="15" t="str">
        <f t="shared" si="23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8" t="s">
        <v>75</v>
      </c>
      <c r="P1195" s="48">
        <f>HEX2DEC(RIGHT(Table13232127535863[[#This Row],[h1]],8))</f>
        <v>0</v>
      </c>
      <c r="Q1195" s="48" t="s">
        <v>75</v>
      </c>
      <c r="R1195" s="48">
        <f>HEX2DEC(RIGHT(Table13232127535863[[#This Row],[h2]],8))</f>
        <v>0</v>
      </c>
    </row>
    <row r="1196" spans="1:18">
      <c r="A1196" s="15" t="str">
        <f t="shared" si="23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8" t="s">
        <v>75</v>
      </c>
      <c r="P1196" s="48">
        <f>HEX2DEC(RIGHT(Table13232127535863[[#This Row],[h1]],8))</f>
        <v>0</v>
      </c>
      <c r="Q1196" s="48" t="s">
        <v>75</v>
      </c>
      <c r="R1196" s="48">
        <f>HEX2DEC(RIGHT(Table13232127535863[[#This Row],[h2]],8))</f>
        <v>0</v>
      </c>
    </row>
    <row r="1197" spans="1:18">
      <c r="A1197" s="15" t="str">
        <f t="shared" si="23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8" t="s">
        <v>75</v>
      </c>
      <c r="P1197" s="48">
        <f>HEX2DEC(RIGHT(Table13232127535863[[#This Row],[h1]],8))</f>
        <v>0</v>
      </c>
      <c r="Q1197" s="48" t="s">
        <v>75</v>
      </c>
      <c r="R1197" s="48">
        <f>HEX2DEC(RIGHT(Table13232127535863[[#This Row],[h2]],8))</f>
        <v>0</v>
      </c>
    </row>
    <row r="1198" spans="1:18">
      <c r="A1198" s="15" t="str">
        <f t="shared" si="23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8" t="s">
        <v>75</v>
      </c>
      <c r="P1198" s="48">
        <f>HEX2DEC(RIGHT(Table13232127535863[[#This Row],[h1]],8))</f>
        <v>0</v>
      </c>
      <c r="Q1198" s="48" t="s">
        <v>75</v>
      </c>
      <c r="R1198" s="48">
        <f>HEX2DEC(RIGHT(Table13232127535863[[#This Row],[h2]],8))</f>
        <v>0</v>
      </c>
    </row>
    <row r="1199" spans="1:18">
      <c r="A1199" s="15" t="str">
        <f t="shared" si="23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8" t="s">
        <v>75</v>
      </c>
      <c r="P1199" s="48">
        <f>HEX2DEC(RIGHT(Table13232127535863[[#This Row],[h1]],8))</f>
        <v>0</v>
      </c>
      <c r="Q1199" s="48" t="s">
        <v>75</v>
      </c>
      <c r="R1199" s="48">
        <f>HEX2DEC(RIGHT(Table13232127535863[[#This Row],[h2]],8))</f>
        <v>0</v>
      </c>
    </row>
    <row r="1200" spans="1:18">
      <c r="A1200" s="15" t="str">
        <f t="shared" si="23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8" t="s">
        <v>75</v>
      </c>
      <c r="P1200" s="48">
        <f>HEX2DEC(RIGHT(Table13232127535863[[#This Row],[h1]],8))</f>
        <v>0</v>
      </c>
      <c r="Q1200" s="48" t="s">
        <v>75</v>
      </c>
      <c r="R1200" s="48">
        <f>HEX2DEC(RIGHT(Table13232127535863[[#This Row],[h2]],8))</f>
        <v>0</v>
      </c>
    </row>
    <row r="1201" spans="1:18">
      <c r="A1201" s="15" t="str">
        <f t="shared" si="23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8" t="s">
        <v>75</v>
      </c>
      <c r="P1201" s="48">
        <f>HEX2DEC(RIGHT(Table13232127535863[[#This Row],[h1]],8))</f>
        <v>0</v>
      </c>
      <c r="Q1201" s="48" t="s">
        <v>75</v>
      </c>
      <c r="R1201" s="48">
        <f>HEX2DEC(RIGHT(Table13232127535863[[#This Row],[h2]],8))</f>
        <v>0</v>
      </c>
    </row>
    <row r="1202" spans="1:18">
      <c r="A1202" s="15" t="str">
        <f t="shared" si="23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8" t="s">
        <v>75</v>
      </c>
      <c r="P1202" s="48">
        <f>HEX2DEC(RIGHT(Table13232127535863[[#This Row],[h1]],8))</f>
        <v>0</v>
      </c>
      <c r="Q1202" s="48" t="s">
        <v>75</v>
      </c>
      <c r="R1202" s="48">
        <f>HEX2DEC(RIGHT(Table13232127535863[[#This Row],[h2]],8))</f>
        <v>0</v>
      </c>
    </row>
    <row r="1203" spans="1:18">
      <c r="A1203" s="15" t="str">
        <f t="shared" si="23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8" t="s">
        <v>75</v>
      </c>
      <c r="P1203" s="48">
        <f>HEX2DEC(RIGHT(Table13232127535863[[#This Row],[h1]],8))</f>
        <v>0</v>
      </c>
      <c r="Q1203" s="48" t="s">
        <v>75</v>
      </c>
      <c r="R1203" s="48">
        <f>HEX2DEC(RIGHT(Table13232127535863[[#This Row],[h2]],8))</f>
        <v>0</v>
      </c>
    </row>
    <row r="1204" spans="1:18">
      <c r="A1204" s="15" t="str">
        <f t="shared" si="23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8" t="s">
        <v>75</v>
      </c>
      <c r="P1204" s="48">
        <f>HEX2DEC(RIGHT(Table13232127535863[[#This Row],[h1]],8))</f>
        <v>0</v>
      </c>
      <c r="Q1204" s="48" t="s">
        <v>75</v>
      </c>
      <c r="R1204" s="48">
        <f>HEX2DEC(RIGHT(Table13232127535863[[#This Row],[h2]],8))</f>
        <v>0</v>
      </c>
    </row>
    <row r="1205" spans="1:18">
      <c r="A1205" s="15" t="str">
        <f t="shared" si="23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8" t="s">
        <v>75</v>
      </c>
      <c r="P1205" s="48">
        <f>HEX2DEC(RIGHT(Table13232127535863[[#This Row],[h1]],8))</f>
        <v>0</v>
      </c>
      <c r="Q1205" s="48" t="s">
        <v>75</v>
      </c>
      <c r="R1205" s="48">
        <f>HEX2DEC(RIGHT(Table13232127535863[[#This Row],[h2]],8))</f>
        <v>0</v>
      </c>
    </row>
    <row r="1206" spans="1:18">
      <c r="A1206" s="15" t="str">
        <f t="shared" si="23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8" t="s">
        <v>75</v>
      </c>
      <c r="P1206" s="48">
        <f>HEX2DEC(RIGHT(Table13232127535863[[#This Row],[h1]],8))</f>
        <v>0</v>
      </c>
      <c r="Q1206" s="48" t="s">
        <v>75</v>
      </c>
      <c r="R1206" s="48">
        <f>HEX2DEC(RIGHT(Table13232127535863[[#This Row],[h2]],8))</f>
        <v>0</v>
      </c>
    </row>
    <row r="1207" spans="1:18">
      <c r="A1207" s="15" t="str">
        <f t="shared" si="23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8" t="s">
        <v>75</v>
      </c>
      <c r="P1207" s="48">
        <f>HEX2DEC(RIGHT(Table13232127535863[[#This Row],[h1]],8))</f>
        <v>0</v>
      </c>
      <c r="Q1207" s="48" t="s">
        <v>75</v>
      </c>
      <c r="R1207" s="48">
        <f>HEX2DEC(RIGHT(Table13232127535863[[#This Row],[h2]],8))</f>
        <v>0</v>
      </c>
    </row>
    <row r="1208" spans="1:18">
      <c r="A1208" s="15" t="str">
        <f t="shared" si="23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8" t="s">
        <v>75</v>
      </c>
      <c r="P1208" s="48">
        <f>HEX2DEC(RIGHT(Table13232127535863[[#This Row],[h1]],8))</f>
        <v>0</v>
      </c>
      <c r="Q1208" s="48" t="s">
        <v>75</v>
      </c>
      <c r="R1208" s="48">
        <f>HEX2DEC(RIGHT(Table13232127535863[[#This Row],[h2]],8))</f>
        <v>0</v>
      </c>
    </row>
    <row r="1209" spans="1:18">
      <c r="A1209" s="15" t="str">
        <f t="shared" si="23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8" t="s">
        <v>75</v>
      </c>
      <c r="P1209" s="48">
        <f>HEX2DEC(RIGHT(Table13232127535863[[#This Row],[h1]],8))</f>
        <v>0</v>
      </c>
      <c r="Q1209" s="48" t="s">
        <v>75</v>
      </c>
      <c r="R1209" s="48">
        <f>HEX2DEC(RIGHT(Table13232127535863[[#This Row],[h2]],8))</f>
        <v>0</v>
      </c>
    </row>
    <row r="1210" spans="1:18">
      <c r="A1210" s="15" t="str">
        <f t="shared" si="23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8" t="s">
        <v>75</v>
      </c>
      <c r="P1210" s="48">
        <f>HEX2DEC(RIGHT(Table13232127535863[[#This Row],[h1]],8))</f>
        <v>0</v>
      </c>
      <c r="Q1210" s="48" t="s">
        <v>75</v>
      </c>
      <c r="R1210" s="48">
        <f>HEX2DEC(RIGHT(Table13232127535863[[#This Row],[h2]],8))</f>
        <v>0</v>
      </c>
    </row>
    <row r="1211" spans="1:18">
      <c r="A1211" s="15" t="str">
        <f t="shared" si="23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8" t="s">
        <v>75</v>
      </c>
      <c r="P1211" s="48">
        <f>HEX2DEC(RIGHT(Table13232127535863[[#This Row],[h1]],8))</f>
        <v>0</v>
      </c>
      <c r="Q1211" s="48" t="s">
        <v>75</v>
      </c>
      <c r="R1211" s="48">
        <f>HEX2DEC(RIGHT(Table13232127535863[[#This Row],[h2]],8))</f>
        <v>0</v>
      </c>
    </row>
    <row r="1212" spans="1:18">
      <c r="A1212" s="15" t="str">
        <f t="shared" si="23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8" t="s">
        <v>75</v>
      </c>
      <c r="P1212" s="48">
        <f>HEX2DEC(RIGHT(Table13232127535863[[#This Row],[h1]],8))</f>
        <v>0</v>
      </c>
      <c r="Q1212" s="48" t="s">
        <v>75</v>
      </c>
      <c r="R1212" s="48">
        <f>HEX2DEC(RIGHT(Table13232127535863[[#This Row],[h2]],8))</f>
        <v>0</v>
      </c>
    </row>
    <row r="1213" spans="1:18">
      <c r="A1213" s="15" t="str">
        <f t="shared" si="23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8" t="s">
        <v>75</v>
      </c>
      <c r="P1213" s="48">
        <f>HEX2DEC(RIGHT(Table13232127535863[[#This Row],[h1]],8))</f>
        <v>0</v>
      </c>
      <c r="Q1213" s="48" t="s">
        <v>75</v>
      </c>
      <c r="R1213" s="48">
        <f>HEX2DEC(RIGHT(Table13232127535863[[#This Row],[h2]],8))</f>
        <v>0</v>
      </c>
    </row>
    <row r="1214" spans="1:18">
      <c r="A1214" s="15" t="str">
        <f t="shared" si="23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8" t="s">
        <v>75</v>
      </c>
      <c r="P1214" s="48">
        <f>HEX2DEC(RIGHT(Table13232127535863[[#This Row],[h1]],8))</f>
        <v>0</v>
      </c>
      <c r="Q1214" s="48" t="s">
        <v>75</v>
      </c>
      <c r="R1214" s="48">
        <f>HEX2DEC(RIGHT(Table13232127535863[[#This Row],[h2]],8))</f>
        <v>0</v>
      </c>
    </row>
    <row r="1215" spans="1:18">
      <c r="A1215" s="15" t="str">
        <f t="shared" si="23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8" t="s">
        <v>75</v>
      </c>
      <c r="P1215" s="48">
        <f>HEX2DEC(RIGHT(Table13232127535863[[#This Row],[h1]],8))</f>
        <v>0</v>
      </c>
      <c r="Q1215" s="48" t="s">
        <v>75</v>
      </c>
      <c r="R1215" s="48">
        <f>HEX2DEC(RIGHT(Table13232127535863[[#This Row],[h2]],8))</f>
        <v>0</v>
      </c>
    </row>
    <row r="1216" spans="1:18">
      <c r="A1216" s="15" t="str">
        <f t="shared" si="23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8" t="s">
        <v>75</v>
      </c>
      <c r="P1216" s="48">
        <f>HEX2DEC(RIGHT(Table13232127535863[[#This Row],[h1]],8))</f>
        <v>0</v>
      </c>
      <c r="Q1216" s="48" t="s">
        <v>75</v>
      </c>
      <c r="R1216" s="48">
        <f>HEX2DEC(RIGHT(Table13232127535863[[#This Row],[h2]],8))</f>
        <v>0</v>
      </c>
    </row>
    <row r="1217" spans="1:18">
      <c r="A1217" s="15" t="str">
        <f t="shared" si="23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8" t="s">
        <v>75</v>
      </c>
      <c r="P1217" s="48">
        <f>HEX2DEC(RIGHT(Table13232127535863[[#This Row],[h1]],8))</f>
        <v>0</v>
      </c>
      <c r="Q1217" s="48" t="s">
        <v>75</v>
      </c>
      <c r="R1217" s="48">
        <f>HEX2DEC(RIGHT(Table13232127535863[[#This Row],[h2]],8))</f>
        <v>0</v>
      </c>
    </row>
    <row r="1218" spans="1:18">
      <c r="A1218" s="15" t="str">
        <f t="shared" si="23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8" t="s">
        <v>75</v>
      </c>
      <c r="P1218" s="48">
        <f>HEX2DEC(RIGHT(Table13232127535863[[#This Row],[h1]],8))</f>
        <v>0</v>
      </c>
      <c r="Q1218" s="48" t="s">
        <v>75</v>
      </c>
      <c r="R1218" s="48">
        <f>HEX2DEC(RIGHT(Table13232127535863[[#This Row],[h2]],8))</f>
        <v>0</v>
      </c>
    </row>
    <row r="1219" spans="1:18">
      <c r="A1219" s="15" t="str">
        <f t="shared" si="23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8" t="s">
        <v>75</v>
      </c>
      <c r="P1219" s="48">
        <f>HEX2DEC(RIGHT(Table13232127535863[[#This Row],[h1]],8))</f>
        <v>0</v>
      </c>
      <c r="Q1219" s="48" t="s">
        <v>75</v>
      </c>
      <c r="R1219" s="48">
        <f>HEX2DEC(RIGHT(Table13232127535863[[#This Row],[h2]],8))</f>
        <v>0</v>
      </c>
    </row>
    <row r="1220" spans="1:18">
      <c r="A1220" s="15" t="str">
        <f t="shared" si="23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8" t="s">
        <v>75</v>
      </c>
      <c r="P1220" s="48">
        <f>HEX2DEC(RIGHT(Table13232127535863[[#This Row],[h1]],8))</f>
        <v>0</v>
      </c>
      <c r="Q1220" s="48" t="s">
        <v>75</v>
      </c>
      <c r="R1220" s="48">
        <f>HEX2DEC(RIGHT(Table13232127535863[[#This Row],[h2]],8))</f>
        <v>0</v>
      </c>
    </row>
    <row r="1221" spans="1:18">
      <c r="A1221" s="15" t="str">
        <f t="shared" si="23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8" t="s">
        <v>75</v>
      </c>
      <c r="P1221" s="48">
        <f>HEX2DEC(RIGHT(Table13232127535863[[#This Row],[h1]],8))</f>
        <v>0</v>
      </c>
      <c r="Q1221" s="48" t="s">
        <v>75</v>
      </c>
      <c r="R1221" s="48">
        <f>HEX2DEC(RIGHT(Table13232127535863[[#This Row],[h2]],8))</f>
        <v>0</v>
      </c>
    </row>
    <row r="1222" spans="1:18">
      <c r="A1222" s="15" t="str">
        <f t="shared" si="23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8" t="s">
        <v>75</v>
      </c>
      <c r="P1222" s="48">
        <f>HEX2DEC(RIGHT(Table13232127535863[[#This Row],[h1]],8))</f>
        <v>0</v>
      </c>
      <c r="Q1222" s="48" t="s">
        <v>75</v>
      </c>
      <c r="R1222" s="48">
        <f>HEX2DEC(RIGHT(Table13232127535863[[#This Row],[h2]],8))</f>
        <v>0</v>
      </c>
    </row>
    <row r="1223" spans="1:18">
      <c r="A1223" s="15" t="str">
        <f t="shared" si="23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8" t="s">
        <v>75</v>
      </c>
      <c r="P1223" s="48">
        <f>HEX2DEC(RIGHT(Table13232127535863[[#This Row],[h1]],8))</f>
        <v>0</v>
      </c>
      <c r="Q1223" s="48" t="s">
        <v>75</v>
      </c>
      <c r="R1223" s="48">
        <f>HEX2DEC(RIGHT(Table13232127535863[[#This Row],[h2]],8))</f>
        <v>0</v>
      </c>
    </row>
    <row r="1224" spans="1:18">
      <c r="A1224" s="15" t="str">
        <f t="shared" si="23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8" t="s">
        <v>75</v>
      </c>
      <c r="P1224" s="48">
        <f>HEX2DEC(RIGHT(Table13232127535863[[#This Row],[h1]],8))</f>
        <v>0</v>
      </c>
      <c r="Q1224" s="48" t="s">
        <v>75</v>
      </c>
      <c r="R1224" s="48">
        <f>HEX2DEC(RIGHT(Table13232127535863[[#This Row],[h2]],8))</f>
        <v>0</v>
      </c>
    </row>
    <row r="1225" spans="1:18">
      <c r="A1225" s="15" t="str">
        <f t="shared" si="23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8" t="s">
        <v>75</v>
      </c>
      <c r="P1225" s="48">
        <f>HEX2DEC(RIGHT(Table13232127535863[[#This Row],[h1]],8))</f>
        <v>0</v>
      </c>
      <c r="Q1225" s="48" t="s">
        <v>75</v>
      </c>
      <c r="R1225" s="48">
        <f>HEX2DEC(RIGHT(Table13232127535863[[#This Row],[h2]],8))</f>
        <v>0</v>
      </c>
    </row>
    <row r="1226" spans="1:18">
      <c r="A1226" s="15" t="str">
        <f t="shared" si="23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8" t="s">
        <v>75</v>
      </c>
      <c r="P1226" s="48">
        <f>HEX2DEC(RIGHT(Table13232127535863[[#This Row],[h1]],8))</f>
        <v>0</v>
      </c>
      <c r="Q1226" s="48" t="s">
        <v>75</v>
      </c>
      <c r="R1226" s="48">
        <f>HEX2DEC(RIGHT(Table13232127535863[[#This Row],[h2]],8))</f>
        <v>0</v>
      </c>
    </row>
    <row r="1227" spans="1:18">
      <c r="A1227" s="15" t="str">
        <f t="shared" ref="A1227:A1290" si="24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8" t="s">
        <v>75</v>
      </c>
      <c r="P1227" s="48">
        <f>HEX2DEC(RIGHT(Table13232127535863[[#This Row],[h1]],8))</f>
        <v>0</v>
      </c>
      <c r="Q1227" s="48" t="s">
        <v>75</v>
      </c>
      <c r="R1227" s="48">
        <f>HEX2DEC(RIGHT(Table13232127535863[[#This Row],[h2]],8))</f>
        <v>0</v>
      </c>
    </row>
    <row r="1228" spans="1:18">
      <c r="A1228" s="15" t="str">
        <f t="shared" si="24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8" t="s">
        <v>75</v>
      </c>
      <c r="P1228" s="48">
        <f>HEX2DEC(RIGHT(Table13232127535863[[#This Row],[h1]],8))</f>
        <v>0</v>
      </c>
      <c r="Q1228" s="48" t="s">
        <v>75</v>
      </c>
      <c r="R1228" s="48">
        <f>HEX2DEC(RIGHT(Table13232127535863[[#This Row],[h2]],8))</f>
        <v>0</v>
      </c>
    </row>
    <row r="1229" spans="1:18">
      <c r="A1229" s="15" t="str">
        <f t="shared" si="24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8" t="s">
        <v>75</v>
      </c>
      <c r="P1229" s="48">
        <f>HEX2DEC(RIGHT(Table13232127535863[[#This Row],[h1]],8))</f>
        <v>0</v>
      </c>
      <c r="Q1229" s="48" t="s">
        <v>75</v>
      </c>
      <c r="R1229" s="48">
        <f>HEX2DEC(RIGHT(Table13232127535863[[#This Row],[h2]],8))</f>
        <v>0</v>
      </c>
    </row>
    <row r="1230" spans="1:18">
      <c r="A1230" s="15" t="str">
        <f t="shared" si="24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8" t="s">
        <v>75</v>
      </c>
      <c r="P1230" s="48">
        <f>HEX2DEC(RIGHT(Table13232127535863[[#This Row],[h1]],8))</f>
        <v>0</v>
      </c>
      <c r="Q1230" s="48" t="s">
        <v>75</v>
      </c>
      <c r="R1230" s="48">
        <f>HEX2DEC(RIGHT(Table13232127535863[[#This Row],[h2]],8))</f>
        <v>0</v>
      </c>
    </row>
    <row r="1231" spans="1:18">
      <c r="A1231" s="15" t="str">
        <f t="shared" si="24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8" t="s">
        <v>75</v>
      </c>
      <c r="P1231" s="48">
        <f>HEX2DEC(RIGHT(Table13232127535863[[#This Row],[h1]],8))</f>
        <v>0</v>
      </c>
      <c r="Q1231" s="48" t="s">
        <v>75</v>
      </c>
      <c r="R1231" s="48">
        <f>HEX2DEC(RIGHT(Table13232127535863[[#This Row],[h2]],8))</f>
        <v>0</v>
      </c>
    </row>
    <row r="1232" spans="1:18">
      <c r="A1232" s="15" t="str">
        <f t="shared" si="24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8" t="s">
        <v>75</v>
      </c>
      <c r="P1232" s="48">
        <f>HEX2DEC(RIGHT(Table13232127535863[[#This Row],[h1]],8))</f>
        <v>0</v>
      </c>
      <c r="Q1232" s="48" t="s">
        <v>75</v>
      </c>
      <c r="R1232" s="48">
        <f>HEX2DEC(RIGHT(Table13232127535863[[#This Row],[h2]],8))</f>
        <v>0</v>
      </c>
    </row>
    <row r="1233" spans="1:18">
      <c r="A1233" s="15" t="str">
        <f t="shared" si="24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8" t="s">
        <v>75</v>
      </c>
      <c r="P1233" s="48">
        <f>HEX2DEC(RIGHT(Table13232127535863[[#This Row],[h1]],8))</f>
        <v>0</v>
      </c>
      <c r="Q1233" s="48" t="s">
        <v>75</v>
      </c>
      <c r="R1233" s="48">
        <f>HEX2DEC(RIGHT(Table13232127535863[[#This Row],[h2]],8))</f>
        <v>0</v>
      </c>
    </row>
    <row r="1234" spans="1:18">
      <c r="A1234" s="15" t="str">
        <f t="shared" si="24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8" t="s">
        <v>75</v>
      </c>
      <c r="P1234" s="48">
        <f>HEX2DEC(RIGHT(Table13232127535863[[#This Row],[h1]],8))</f>
        <v>0</v>
      </c>
      <c r="Q1234" s="48" t="s">
        <v>75</v>
      </c>
      <c r="R1234" s="48">
        <f>HEX2DEC(RIGHT(Table13232127535863[[#This Row],[h2]],8))</f>
        <v>0</v>
      </c>
    </row>
    <row r="1235" spans="1:18">
      <c r="A1235" s="15" t="str">
        <f t="shared" si="24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8" t="s">
        <v>75</v>
      </c>
      <c r="P1235" s="48">
        <f>HEX2DEC(RIGHT(Table13232127535863[[#This Row],[h1]],8))</f>
        <v>0</v>
      </c>
      <c r="Q1235" s="48" t="s">
        <v>75</v>
      </c>
      <c r="R1235" s="48">
        <f>HEX2DEC(RIGHT(Table13232127535863[[#This Row],[h2]],8))</f>
        <v>0</v>
      </c>
    </row>
    <row r="1236" spans="1:18">
      <c r="A1236" s="15" t="str">
        <f t="shared" si="24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8" t="s">
        <v>75</v>
      </c>
      <c r="P1236" s="48">
        <f>HEX2DEC(RIGHT(Table13232127535863[[#This Row],[h1]],8))</f>
        <v>0</v>
      </c>
      <c r="Q1236" s="48" t="s">
        <v>75</v>
      </c>
      <c r="R1236" s="48">
        <f>HEX2DEC(RIGHT(Table13232127535863[[#This Row],[h2]],8))</f>
        <v>0</v>
      </c>
    </row>
    <row r="1237" spans="1:18">
      <c r="A1237" s="15" t="str">
        <f t="shared" si="24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8" t="s">
        <v>75</v>
      </c>
      <c r="P1237" s="48">
        <f>HEX2DEC(RIGHT(Table13232127535863[[#This Row],[h1]],8))</f>
        <v>0</v>
      </c>
      <c r="Q1237" s="48" t="s">
        <v>75</v>
      </c>
      <c r="R1237" s="48">
        <f>HEX2DEC(RIGHT(Table13232127535863[[#This Row],[h2]],8))</f>
        <v>0</v>
      </c>
    </row>
    <row r="1238" spans="1:18">
      <c r="A1238" s="15" t="str">
        <f t="shared" si="24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8" t="s">
        <v>75</v>
      </c>
      <c r="P1238" s="48">
        <f>HEX2DEC(RIGHT(Table13232127535863[[#This Row],[h1]],8))</f>
        <v>0</v>
      </c>
      <c r="Q1238" s="48" t="s">
        <v>75</v>
      </c>
      <c r="R1238" s="48">
        <f>HEX2DEC(RIGHT(Table13232127535863[[#This Row],[h2]],8))</f>
        <v>0</v>
      </c>
    </row>
    <row r="1239" spans="1:18">
      <c r="A1239" s="15" t="str">
        <f t="shared" si="24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8" t="s">
        <v>75</v>
      </c>
      <c r="P1239" s="48">
        <f>HEX2DEC(RIGHT(Table13232127535863[[#This Row],[h1]],8))</f>
        <v>0</v>
      </c>
      <c r="Q1239" s="48" t="s">
        <v>75</v>
      </c>
      <c r="R1239" s="48">
        <f>HEX2DEC(RIGHT(Table13232127535863[[#This Row],[h2]],8))</f>
        <v>0</v>
      </c>
    </row>
    <row r="1240" spans="1:18">
      <c r="A1240" s="15" t="str">
        <f t="shared" si="24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8" t="s">
        <v>75</v>
      </c>
      <c r="P1240" s="48">
        <f>HEX2DEC(RIGHT(Table13232127535863[[#This Row],[h1]],8))</f>
        <v>0</v>
      </c>
      <c r="Q1240" s="48" t="s">
        <v>75</v>
      </c>
      <c r="R1240" s="48">
        <f>HEX2DEC(RIGHT(Table13232127535863[[#This Row],[h2]],8))</f>
        <v>0</v>
      </c>
    </row>
    <row r="1241" spans="1:18">
      <c r="A1241" s="15" t="str">
        <f t="shared" si="24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8" t="s">
        <v>75</v>
      </c>
      <c r="P1241" s="48">
        <f>HEX2DEC(RIGHT(Table13232127535863[[#This Row],[h1]],8))</f>
        <v>0</v>
      </c>
      <c r="Q1241" s="48" t="s">
        <v>75</v>
      </c>
      <c r="R1241" s="48">
        <f>HEX2DEC(RIGHT(Table13232127535863[[#This Row],[h2]],8))</f>
        <v>0</v>
      </c>
    </row>
    <row r="1242" spans="1:18">
      <c r="A1242" s="15" t="str">
        <f t="shared" si="24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8" t="s">
        <v>75</v>
      </c>
      <c r="P1242" s="48">
        <f>HEX2DEC(RIGHT(Table13232127535863[[#This Row],[h1]],8))</f>
        <v>0</v>
      </c>
      <c r="Q1242" s="48" t="s">
        <v>75</v>
      </c>
      <c r="R1242" s="48">
        <f>HEX2DEC(RIGHT(Table13232127535863[[#This Row],[h2]],8))</f>
        <v>0</v>
      </c>
    </row>
    <row r="1243" spans="1:18">
      <c r="A1243" s="15" t="str">
        <f t="shared" si="24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8" t="s">
        <v>75</v>
      </c>
      <c r="P1243" s="48">
        <f>HEX2DEC(RIGHT(Table13232127535863[[#This Row],[h1]],8))</f>
        <v>0</v>
      </c>
      <c r="Q1243" s="48" t="s">
        <v>75</v>
      </c>
      <c r="R1243" s="48">
        <f>HEX2DEC(RIGHT(Table13232127535863[[#This Row],[h2]],8))</f>
        <v>0</v>
      </c>
    </row>
    <row r="1244" spans="1:18">
      <c r="A1244" s="15" t="str">
        <f t="shared" si="24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8" t="s">
        <v>75</v>
      </c>
      <c r="P1244" s="48">
        <f>HEX2DEC(RIGHT(Table13232127535863[[#This Row],[h1]],8))</f>
        <v>0</v>
      </c>
      <c r="Q1244" s="48" t="s">
        <v>75</v>
      </c>
      <c r="R1244" s="48">
        <f>HEX2DEC(RIGHT(Table13232127535863[[#This Row],[h2]],8))</f>
        <v>0</v>
      </c>
    </row>
    <row r="1245" spans="1:18">
      <c r="A1245" s="15" t="str">
        <f t="shared" si="24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8" t="s">
        <v>75</v>
      </c>
      <c r="P1245" s="48">
        <f>HEX2DEC(RIGHT(Table13232127535863[[#This Row],[h1]],8))</f>
        <v>0</v>
      </c>
      <c r="Q1245" s="48" t="s">
        <v>75</v>
      </c>
      <c r="R1245" s="48">
        <f>HEX2DEC(RIGHT(Table13232127535863[[#This Row],[h2]],8))</f>
        <v>0</v>
      </c>
    </row>
    <row r="1246" spans="1:18">
      <c r="A1246" s="15" t="str">
        <f t="shared" si="24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8" t="s">
        <v>75</v>
      </c>
      <c r="P1246" s="48">
        <f>HEX2DEC(RIGHT(Table13232127535863[[#This Row],[h1]],8))</f>
        <v>0</v>
      </c>
      <c r="Q1246" s="48" t="s">
        <v>75</v>
      </c>
      <c r="R1246" s="48">
        <f>HEX2DEC(RIGHT(Table13232127535863[[#This Row],[h2]],8))</f>
        <v>0</v>
      </c>
    </row>
    <row r="1247" spans="1:18">
      <c r="A1247" s="15" t="str">
        <f t="shared" si="24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8" t="s">
        <v>75</v>
      </c>
      <c r="P1247" s="48">
        <f>HEX2DEC(RIGHT(Table13232127535863[[#This Row],[h1]],8))</f>
        <v>0</v>
      </c>
      <c r="Q1247" s="48" t="s">
        <v>75</v>
      </c>
      <c r="R1247" s="48">
        <f>HEX2DEC(RIGHT(Table13232127535863[[#This Row],[h2]],8))</f>
        <v>0</v>
      </c>
    </row>
    <row r="1248" spans="1:18">
      <c r="A1248" s="15" t="str">
        <f t="shared" si="24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8" t="s">
        <v>75</v>
      </c>
      <c r="P1248" s="48">
        <f>HEX2DEC(RIGHT(Table13232127535863[[#This Row],[h1]],8))</f>
        <v>0</v>
      </c>
      <c r="Q1248" s="48" t="s">
        <v>75</v>
      </c>
      <c r="R1248" s="48">
        <f>HEX2DEC(RIGHT(Table13232127535863[[#This Row],[h2]],8))</f>
        <v>0</v>
      </c>
    </row>
    <row r="1249" spans="1:18">
      <c r="A1249" s="15" t="str">
        <f t="shared" si="24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8" t="s">
        <v>75</v>
      </c>
      <c r="P1249" s="48">
        <f>HEX2DEC(RIGHT(Table13232127535863[[#This Row],[h1]],8))</f>
        <v>0</v>
      </c>
      <c r="Q1249" s="48" t="s">
        <v>75</v>
      </c>
      <c r="R1249" s="48">
        <f>HEX2DEC(RIGHT(Table13232127535863[[#This Row],[h2]],8))</f>
        <v>0</v>
      </c>
    </row>
    <row r="1250" spans="1:18">
      <c r="A1250" s="15" t="str">
        <f t="shared" si="24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8" t="s">
        <v>75</v>
      </c>
      <c r="P1250" s="48">
        <f>HEX2DEC(RIGHT(Table13232127535863[[#This Row],[h1]],8))</f>
        <v>0</v>
      </c>
      <c r="Q1250" s="48" t="s">
        <v>75</v>
      </c>
      <c r="R1250" s="48">
        <f>HEX2DEC(RIGHT(Table13232127535863[[#This Row],[h2]],8))</f>
        <v>0</v>
      </c>
    </row>
    <row r="1251" spans="1:18">
      <c r="A1251" s="15" t="str">
        <f t="shared" si="24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8" t="s">
        <v>75</v>
      </c>
      <c r="P1251" s="48">
        <f>HEX2DEC(RIGHT(Table13232127535863[[#This Row],[h1]],8))</f>
        <v>0</v>
      </c>
      <c r="Q1251" s="48" t="s">
        <v>75</v>
      </c>
      <c r="R1251" s="48">
        <f>HEX2DEC(RIGHT(Table13232127535863[[#This Row],[h2]],8))</f>
        <v>0</v>
      </c>
    </row>
    <row r="1252" spans="1:18">
      <c r="A1252" s="15" t="str">
        <f t="shared" si="24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8" t="s">
        <v>75</v>
      </c>
      <c r="P1252" s="48">
        <f>HEX2DEC(RIGHT(Table13232127535863[[#This Row],[h1]],8))</f>
        <v>0</v>
      </c>
      <c r="Q1252" s="48" t="s">
        <v>75</v>
      </c>
      <c r="R1252" s="48">
        <f>HEX2DEC(RIGHT(Table13232127535863[[#This Row],[h2]],8))</f>
        <v>0</v>
      </c>
    </row>
    <row r="1253" spans="1:18">
      <c r="A1253" s="15" t="str">
        <f t="shared" si="24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8" t="s">
        <v>75</v>
      </c>
      <c r="P1253" s="48">
        <f>HEX2DEC(RIGHT(Table13232127535863[[#This Row],[h1]],8))</f>
        <v>0</v>
      </c>
      <c r="Q1253" s="48" t="s">
        <v>75</v>
      </c>
      <c r="R1253" s="48">
        <f>HEX2DEC(RIGHT(Table13232127535863[[#This Row],[h2]],8))</f>
        <v>0</v>
      </c>
    </row>
    <row r="1254" spans="1:18">
      <c r="A1254" s="15" t="str">
        <f t="shared" si="24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8" t="s">
        <v>75</v>
      </c>
      <c r="P1254" s="48">
        <f>HEX2DEC(RIGHT(Table13232127535863[[#This Row],[h1]],8))</f>
        <v>0</v>
      </c>
      <c r="Q1254" s="48" t="s">
        <v>75</v>
      </c>
      <c r="R1254" s="48">
        <f>HEX2DEC(RIGHT(Table13232127535863[[#This Row],[h2]],8))</f>
        <v>0</v>
      </c>
    </row>
    <row r="1255" spans="1:18">
      <c r="A1255" s="15" t="str">
        <f t="shared" si="24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8" t="s">
        <v>75</v>
      </c>
      <c r="P1255" s="48">
        <f>HEX2DEC(RIGHT(Table13232127535863[[#This Row],[h1]],8))</f>
        <v>0</v>
      </c>
      <c r="Q1255" s="48" t="s">
        <v>75</v>
      </c>
      <c r="R1255" s="48">
        <f>HEX2DEC(RIGHT(Table13232127535863[[#This Row],[h2]],8))</f>
        <v>0</v>
      </c>
    </row>
    <row r="1256" spans="1:18">
      <c r="A1256" s="15" t="str">
        <f t="shared" si="24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8" t="s">
        <v>75</v>
      </c>
      <c r="P1256" s="48">
        <f>HEX2DEC(RIGHT(Table13232127535863[[#This Row],[h1]],8))</f>
        <v>0</v>
      </c>
      <c r="Q1256" s="48" t="s">
        <v>75</v>
      </c>
      <c r="R1256" s="48">
        <f>HEX2DEC(RIGHT(Table13232127535863[[#This Row],[h2]],8))</f>
        <v>0</v>
      </c>
    </row>
    <row r="1257" spans="1:18">
      <c r="A1257" s="15" t="str">
        <f t="shared" si="24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8" t="s">
        <v>75</v>
      </c>
      <c r="P1257" s="48">
        <f>HEX2DEC(RIGHT(Table13232127535863[[#This Row],[h1]],8))</f>
        <v>0</v>
      </c>
      <c r="Q1257" s="48" t="s">
        <v>75</v>
      </c>
      <c r="R1257" s="48">
        <f>HEX2DEC(RIGHT(Table13232127535863[[#This Row],[h2]],8))</f>
        <v>0</v>
      </c>
    </row>
    <row r="1258" spans="1:18">
      <c r="A1258" s="15" t="str">
        <f t="shared" si="24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8" t="s">
        <v>75</v>
      </c>
      <c r="P1258" s="48">
        <f>HEX2DEC(RIGHT(Table13232127535863[[#This Row],[h1]],8))</f>
        <v>0</v>
      </c>
      <c r="Q1258" s="48" t="s">
        <v>75</v>
      </c>
      <c r="R1258" s="48">
        <f>HEX2DEC(RIGHT(Table13232127535863[[#This Row],[h2]],8))</f>
        <v>0</v>
      </c>
    </row>
    <row r="1259" spans="1:18">
      <c r="A1259" s="15" t="str">
        <f t="shared" si="24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8" t="s">
        <v>75</v>
      </c>
      <c r="P1259" s="48">
        <f>HEX2DEC(RIGHT(Table13232127535863[[#This Row],[h1]],8))</f>
        <v>0</v>
      </c>
      <c r="Q1259" s="48" t="s">
        <v>75</v>
      </c>
      <c r="R1259" s="48">
        <f>HEX2DEC(RIGHT(Table13232127535863[[#This Row],[h2]],8))</f>
        <v>0</v>
      </c>
    </row>
    <row r="1260" spans="1:18">
      <c r="A1260" s="15" t="str">
        <f t="shared" si="24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8" t="s">
        <v>75</v>
      </c>
      <c r="P1260" s="48">
        <f>HEX2DEC(RIGHT(Table13232127535863[[#This Row],[h1]],8))</f>
        <v>0</v>
      </c>
      <c r="Q1260" s="48" t="s">
        <v>75</v>
      </c>
      <c r="R1260" s="48">
        <f>HEX2DEC(RIGHT(Table13232127535863[[#This Row],[h2]],8))</f>
        <v>0</v>
      </c>
    </row>
    <row r="1261" spans="1:18">
      <c r="A1261" s="15" t="str">
        <f t="shared" si="24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8" t="s">
        <v>75</v>
      </c>
      <c r="P1261" s="48">
        <f>HEX2DEC(RIGHT(Table13232127535863[[#This Row],[h1]],8))</f>
        <v>0</v>
      </c>
      <c r="Q1261" s="48" t="s">
        <v>75</v>
      </c>
      <c r="R1261" s="48">
        <f>HEX2DEC(RIGHT(Table13232127535863[[#This Row],[h2]],8))</f>
        <v>0</v>
      </c>
    </row>
    <row r="1262" spans="1:18">
      <c r="A1262" s="15" t="str">
        <f t="shared" si="24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8" t="s">
        <v>75</v>
      </c>
      <c r="P1262" s="48">
        <f>HEX2DEC(RIGHT(Table13232127535863[[#This Row],[h1]],8))</f>
        <v>0</v>
      </c>
      <c r="Q1262" s="48" t="s">
        <v>75</v>
      </c>
      <c r="R1262" s="48">
        <f>HEX2DEC(RIGHT(Table13232127535863[[#This Row],[h2]],8))</f>
        <v>0</v>
      </c>
    </row>
    <row r="1263" spans="1:18">
      <c r="A1263" s="15" t="str">
        <f t="shared" si="24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8" t="s">
        <v>75</v>
      </c>
      <c r="P1263" s="48">
        <f>HEX2DEC(RIGHT(Table13232127535863[[#This Row],[h1]],8))</f>
        <v>0</v>
      </c>
      <c r="Q1263" s="48" t="s">
        <v>75</v>
      </c>
      <c r="R1263" s="48">
        <f>HEX2DEC(RIGHT(Table13232127535863[[#This Row],[h2]],8))</f>
        <v>0</v>
      </c>
    </row>
    <row r="1264" spans="1:18">
      <c r="A1264" s="15" t="str">
        <f t="shared" si="24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8" t="s">
        <v>75</v>
      </c>
      <c r="P1264" s="48">
        <f>HEX2DEC(RIGHT(Table13232127535863[[#This Row],[h1]],8))</f>
        <v>0</v>
      </c>
      <c r="Q1264" s="48" t="s">
        <v>75</v>
      </c>
      <c r="R1264" s="48">
        <f>HEX2DEC(RIGHT(Table13232127535863[[#This Row],[h2]],8))</f>
        <v>0</v>
      </c>
    </row>
    <row r="1265" spans="1:18">
      <c r="A1265" s="15" t="str">
        <f t="shared" si="24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8" t="s">
        <v>75</v>
      </c>
      <c r="P1265" s="48">
        <f>HEX2DEC(RIGHT(Table13232127535863[[#This Row],[h1]],8))</f>
        <v>0</v>
      </c>
      <c r="Q1265" s="48" t="s">
        <v>75</v>
      </c>
      <c r="R1265" s="48">
        <f>HEX2DEC(RIGHT(Table13232127535863[[#This Row],[h2]],8))</f>
        <v>0</v>
      </c>
    </row>
    <row r="1266" spans="1:18">
      <c r="A1266" s="15" t="str">
        <f t="shared" si="24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8" t="s">
        <v>75</v>
      </c>
      <c r="P1266" s="48">
        <f>HEX2DEC(RIGHT(Table13232127535863[[#This Row],[h1]],8))</f>
        <v>0</v>
      </c>
      <c r="Q1266" s="48" t="s">
        <v>75</v>
      </c>
      <c r="R1266" s="48">
        <f>HEX2DEC(RIGHT(Table13232127535863[[#This Row],[h2]],8))</f>
        <v>0</v>
      </c>
    </row>
    <row r="1267" spans="1:18">
      <c r="A1267" s="15" t="str">
        <f t="shared" si="24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8" t="s">
        <v>75</v>
      </c>
      <c r="P1267" s="48">
        <f>HEX2DEC(RIGHT(Table13232127535863[[#This Row],[h1]],8))</f>
        <v>0</v>
      </c>
      <c r="Q1267" s="48" t="s">
        <v>75</v>
      </c>
      <c r="R1267" s="48">
        <f>HEX2DEC(RIGHT(Table13232127535863[[#This Row],[h2]],8))</f>
        <v>0</v>
      </c>
    </row>
    <row r="1268" spans="1:18">
      <c r="A1268" s="15" t="str">
        <f t="shared" si="24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8" t="s">
        <v>75</v>
      </c>
      <c r="P1268" s="48">
        <f>HEX2DEC(RIGHT(Table13232127535863[[#This Row],[h1]],8))</f>
        <v>0</v>
      </c>
      <c r="Q1268" s="48" t="s">
        <v>75</v>
      </c>
      <c r="R1268" s="48">
        <f>HEX2DEC(RIGHT(Table13232127535863[[#This Row],[h2]],8))</f>
        <v>0</v>
      </c>
    </row>
    <row r="1269" spans="1:18">
      <c r="A1269" s="15" t="str">
        <f t="shared" si="24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8" t="s">
        <v>75</v>
      </c>
      <c r="P1269" s="48">
        <f>HEX2DEC(RIGHT(Table13232127535863[[#This Row],[h1]],8))</f>
        <v>0</v>
      </c>
      <c r="Q1269" s="48" t="s">
        <v>75</v>
      </c>
      <c r="R1269" s="48">
        <f>HEX2DEC(RIGHT(Table13232127535863[[#This Row],[h2]],8))</f>
        <v>0</v>
      </c>
    </row>
    <row r="1270" spans="1:18">
      <c r="A1270" s="15" t="str">
        <f t="shared" si="24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8" t="s">
        <v>75</v>
      </c>
      <c r="P1270" s="48">
        <f>HEX2DEC(RIGHT(Table13232127535863[[#This Row],[h1]],8))</f>
        <v>0</v>
      </c>
      <c r="Q1270" s="48" t="s">
        <v>75</v>
      </c>
      <c r="R1270" s="48">
        <f>HEX2DEC(RIGHT(Table13232127535863[[#This Row],[h2]],8))</f>
        <v>0</v>
      </c>
    </row>
    <row r="1271" spans="1:18">
      <c r="A1271" s="15" t="str">
        <f t="shared" si="24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8" t="s">
        <v>75</v>
      </c>
      <c r="P1271" s="48">
        <f>HEX2DEC(RIGHT(Table13232127535863[[#This Row],[h1]],8))</f>
        <v>0</v>
      </c>
      <c r="Q1271" s="48" t="s">
        <v>75</v>
      </c>
      <c r="R1271" s="48">
        <f>HEX2DEC(RIGHT(Table13232127535863[[#This Row],[h2]],8))</f>
        <v>0</v>
      </c>
    </row>
    <row r="1272" spans="1:18">
      <c r="A1272" s="15" t="str">
        <f t="shared" si="24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8" t="s">
        <v>75</v>
      </c>
      <c r="P1272" s="48">
        <f>HEX2DEC(RIGHT(Table13232127535863[[#This Row],[h1]],8))</f>
        <v>0</v>
      </c>
      <c r="Q1272" s="48" t="s">
        <v>75</v>
      </c>
      <c r="R1272" s="48">
        <f>HEX2DEC(RIGHT(Table13232127535863[[#This Row],[h2]],8))</f>
        <v>0</v>
      </c>
    </row>
    <row r="1273" spans="1:18">
      <c r="A1273" s="15" t="str">
        <f t="shared" si="24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8" t="s">
        <v>75</v>
      </c>
      <c r="P1273" s="48">
        <f>HEX2DEC(RIGHT(Table13232127535863[[#This Row],[h1]],8))</f>
        <v>0</v>
      </c>
      <c r="Q1273" s="48" t="s">
        <v>75</v>
      </c>
      <c r="R1273" s="48">
        <f>HEX2DEC(RIGHT(Table13232127535863[[#This Row],[h2]],8))</f>
        <v>0</v>
      </c>
    </row>
    <row r="1274" spans="1:18">
      <c r="A1274" s="15" t="str">
        <f t="shared" si="24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8" t="s">
        <v>75</v>
      </c>
      <c r="P1274" s="48">
        <f>HEX2DEC(RIGHT(Table13232127535863[[#This Row],[h1]],8))</f>
        <v>0</v>
      </c>
      <c r="Q1274" s="48" t="s">
        <v>75</v>
      </c>
      <c r="R1274" s="48">
        <f>HEX2DEC(RIGHT(Table13232127535863[[#This Row],[h2]],8))</f>
        <v>0</v>
      </c>
    </row>
    <row r="1275" spans="1:18">
      <c r="A1275" s="15" t="str">
        <f t="shared" si="24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8" t="s">
        <v>75</v>
      </c>
      <c r="P1275" s="48">
        <f>HEX2DEC(RIGHT(Table13232127535863[[#This Row],[h1]],8))</f>
        <v>0</v>
      </c>
      <c r="Q1275" s="48" t="s">
        <v>75</v>
      </c>
      <c r="R1275" s="48">
        <f>HEX2DEC(RIGHT(Table13232127535863[[#This Row],[h2]],8))</f>
        <v>0</v>
      </c>
    </row>
    <row r="1276" spans="1:18">
      <c r="A1276" s="15" t="str">
        <f t="shared" si="24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8" t="s">
        <v>75</v>
      </c>
      <c r="P1276" s="48">
        <f>HEX2DEC(RIGHT(Table13232127535863[[#This Row],[h1]],8))</f>
        <v>0</v>
      </c>
      <c r="Q1276" s="48" t="s">
        <v>75</v>
      </c>
      <c r="R1276" s="48">
        <f>HEX2DEC(RIGHT(Table13232127535863[[#This Row],[h2]],8))</f>
        <v>0</v>
      </c>
    </row>
    <row r="1277" spans="1:18">
      <c r="A1277" s="15" t="str">
        <f t="shared" si="24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8" t="s">
        <v>75</v>
      </c>
      <c r="P1277" s="48">
        <f>HEX2DEC(RIGHT(Table13232127535863[[#This Row],[h1]],8))</f>
        <v>0</v>
      </c>
      <c r="Q1277" s="48" t="s">
        <v>75</v>
      </c>
      <c r="R1277" s="48">
        <f>HEX2DEC(RIGHT(Table13232127535863[[#This Row],[h2]],8))</f>
        <v>0</v>
      </c>
    </row>
    <row r="1278" spans="1:18">
      <c r="A1278" s="15" t="str">
        <f t="shared" si="24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8" t="s">
        <v>75</v>
      </c>
      <c r="P1278" s="48">
        <f>HEX2DEC(RIGHT(Table13232127535863[[#This Row],[h1]],8))</f>
        <v>0</v>
      </c>
      <c r="Q1278" s="48" t="s">
        <v>75</v>
      </c>
      <c r="R1278" s="48">
        <f>HEX2DEC(RIGHT(Table13232127535863[[#This Row],[h2]],8))</f>
        <v>0</v>
      </c>
    </row>
    <row r="1279" spans="1:18">
      <c r="A1279" s="15" t="str">
        <f t="shared" si="24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8" t="s">
        <v>75</v>
      </c>
      <c r="P1279" s="48">
        <f>HEX2DEC(RIGHT(Table13232127535863[[#This Row],[h1]],8))</f>
        <v>0</v>
      </c>
      <c r="Q1279" s="48" t="s">
        <v>75</v>
      </c>
      <c r="R1279" s="48">
        <f>HEX2DEC(RIGHT(Table13232127535863[[#This Row],[h2]],8))</f>
        <v>0</v>
      </c>
    </row>
    <row r="1280" spans="1:18">
      <c r="A1280" s="15" t="str">
        <f t="shared" si="24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8" t="s">
        <v>75</v>
      </c>
      <c r="P1280" s="48">
        <f>HEX2DEC(RIGHT(Table13232127535863[[#This Row],[h1]],8))</f>
        <v>0</v>
      </c>
      <c r="Q1280" s="48" t="s">
        <v>75</v>
      </c>
      <c r="R1280" s="48">
        <f>HEX2DEC(RIGHT(Table13232127535863[[#This Row],[h2]],8))</f>
        <v>0</v>
      </c>
    </row>
    <row r="1281" spans="1:18">
      <c r="A1281" s="15" t="str">
        <f t="shared" si="24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8" t="s">
        <v>75</v>
      </c>
      <c r="P1281" s="48">
        <f>HEX2DEC(RIGHT(Table13232127535863[[#This Row],[h1]],8))</f>
        <v>0</v>
      </c>
      <c r="Q1281" s="48" t="s">
        <v>75</v>
      </c>
      <c r="R1281" s="48">
        <f>HEX2DEC(RIGHT(Table13232127535863[[#This Row],[h2]],8))</f>
        <v>0</v>
      </c>
    </row>
    <row r="1282" spans="1:18">
      <c r="A1282" s="15" t="str">
        <f t="shared" si="24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8" t="s">
        <v>75</v>
      </c>
      <c r="P1282" s="48">
        <f>HEX2DEC(RIGHT(Table13232127535863[[#This Row],[h1]],8))</f>
        <v>0</v>
      </c>
      <c r="Q1282" s="48" t="s">
        <v>75</v>
      </c>
      <c r="R1282" s="48">
        <f>HEX2DEC(RIGHT(Table13232127535863[[#This Row],[h2]],8))</f>
        <v>0</v>
      </c>
    </row>
    <row r="1283" spans="1:18">
      <c r="A1283" s="15" t="str">
        <f t="shared" si="24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8" t="s">
        <v>75</v>
      </c>
      <c r="P1283" s="48">
        <f>HEX2DEC(RIGHT(Table13232127535863[[#This Row],[h1]],8))</f>
        <v>0</v>
      </c>
      <c r="Q1283" s="48" t="s">
        <v>75</v>
      </c>
      <c r="R1283" s="48">
        <f>HEX2DEC(RIGHT(Table13232127535863[[#This Row],[h2]],8))</f>
        <v>0</v>
      </c>
    </row>
    <row r="1284" spans="1:18">
      <c r="A1284" s="15" t="str">
        <f t="shared" si="24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8" t="s">
        <v>75</v>
      </c>
      <c r="P1284" s="48">
        <f>HEX2DEC(RIGHT(Table13232127535863[[#This Row],[h1]],8))</f>
        <v>0</v>
      </c>
      <c r="Q1284" s="48" t="s">
        <v>75</v>
      </c>
      <c r="R1284" s="48">
        <f>HEX2DEC(RIGHT(Table13232127535863[[#This Row],[h2]],8))</f>
        <v>0</v>
      </c>
    </row>
    <row r="1285" spans="1:18">
      <c r="A1285" s="15" t="str">
        <f t="shared" si="24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8" t="s">
        <v>75</v>
      </c>
      <c r="P1285" s="48">
        <f>HEX2DEC(RIGHT(Table13232127535863[[#This Row],[h1]],8))</f>
        <v>0</v>
      </c>
      <c r="Q1285" s="48" t="s">
        <v>75</v>
      </c>
      <c r="R1285" s="48">
        <f>HEX2DEC(RIGHT(Table13232127535863[[#This Row],[h2]],8))</f>
        <v>0</v>
      </c>
    </row>
    <row r="1286" spans="1:18">
      <c r="A1286" s="15" t="str">
        <f t="shared" si="24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8" t="s">
        <v>75</v>
      </c>
      <c r="P1286" s="48">
        <f>HEX2DEC(RIGHT(Table13232127535863[[#This Row],[h1]],8))</f>
        <v>0</v>
      </c>
      <c r="Q1286" s="48" t="s">
        <v>75</v>
      </c>
      <c r="R1286" s="48">
        <f>HEX2DEC(RIGHT(Table13232127535863[[#This Row],[h2]],8))</f>
        <v>0</v>
      </c>
    </row>
    <row r="1287" spans="1:18">
      <c r="A1287" s="15" t="str">
        <f t="shared" si="24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8" t="s">
        <v>75</v>
      </c>
      <c r="P1287" s="48">
        <f>HEX2DEC(RIGHT(Table13232127535863[[#This Row],[h1]],8))</f>
        <v>0</v>
      </c>
      <c r="Q1287" s="48" t="s">
        <v>75</v>
      </c>
      <c r="R1287" s="48">
        <f>HEX2DEC(RIGHT(Table13232127535863[[#This Row],[h2]],8))</f>
        <v>0</v>
      </c>
    </row>
    <row r="1288" spans="1:18">
      <c r="A1288" s="15" t="str">
        <f t="shared" si="24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8" t="s">
        <v>75</v>
      </c>
      <c r="P1288" s="48">
        <f>HEX2DEC(RIGHT(Table13232127535863[[#This Row],[h1]],8))</f>
        <v>0</v>
      </c>
      <c r="Q1288" s="48" t="s">
        <v>75</v>
      </c>
      <c r="R1288" s="48">
        <f>HEX2DEC(RIGHT(Table13232127535863[[#This Row],[h2]],8))</f>
        <v>0</v>
      </c>
    </row>
    <row r="1289" spans="1:18">
      <c r="A1289" s="15" t="str">
        <f t="shared" si="24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8" t="s">
        <v>75</v>
      </c>
      <c r="P1289" s="48">
        <f>HEX2DEC(RIGHT(Table13232127535863[[#This Row],[h1]],8))</f>
        <v>0</v>
      </c>
      <c r="Q1289" s="48" t="s">
        <v>75</v>
      </c>
      <c r="R1289" s="48">
        <f>HEX2DEC(RIGHT(Table13232127535863[[#This Row],[h2]],8))</f>
        <v>0</v>
      </c>
    </row>
    <row r="1290" spans="1:18">
      <c r="A1290" s="15" t="str">
        <f t="shared" si="24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8" t="s">
        <v>75</v>
      </c>
      <c r="P1290" s="48">
        <f>HEX2DEC(RIGHT(Table13232127535863[[#This Row],[h1]],8))</f>
        <v>0</v>
      </c>
      <c r="Q1290" s="48" t="s">
        <v>75</v>
      </c>
      <c r="R1290" s="48">
        <f>HEX2DEC(RIGHT(Table13232127535863[[#This Row],[h2]],8))</f>
        <v>0</v>
      </c>
    </row>
    <row r="1291" spans="1:18">
      <c r="A1291" s="15" t="str">
        <f t="shared" ref="A1291:A1354" si="25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8" t="s">
        <v>75</v>
      </c>
      <c r="P1291" s="48">
        <f>HEX2DEC(RIGHT(Table13232127535863[[#This Row],[h1]],8))</f>
        <v>0</v>
      </c>
      <c r="Q1291" s="48" t="s">
        <v>75</v>
      </c>
      <c r="R1291" s="48">
        <f>HEX2DEC(RIGHT(Table13232127535863[[#This Row],[h2]],8))</f>
        <v>0</v>
      </c>
    </row>
    <row r="1292" spans="1:18">
      <c r="A1292" s="15" t="str">
        <f t="shared" si="25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8" t="s">
        <v>75</v>
      </c>
      <c r="P1292" s="48">
        <f>HEX2DEC(RIGHT(Table13232127535863[[#This Row],[h1]],8))</f>
        <v>0</v>
      </c>
      <c r="Q1292" s="48" t="s">
        <v>75</v>
      </c>
      <c r="R1292" s="48">
        <f>HEX2DEC(RIGHT(Table13232127535863[[#This Row],[h2]],8))</f>
        <v>0</v>
      </c>
    </row>
    <row r="1293" spans="1:18">
      <c r="A1293" s="15" t="str">
        <f t="shared" si="25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8" t="s">
        <v>75</v>
      </c>
      <c r="P1293" s="48">
        <f>HEX2DEC(RIGHT(Table13232127535863[[#This Row],[h1]],8))</f>
        <v>0</v>
      </c>
      <c r="Q1293" s="48" t="s">
        <v>75</v>
      </c>
      <c r="R1293" s="48">
        <f>HEX2DEC(RIGHT(Table13232127535863[[#This Row],[h2]],8))</f>
        <v>0</v>
      </c>
    </row>
    <row r="1294" spans="1:18">
      <c r="A1294" s="15" t="str">
        <f t="shared" si="25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8" t="s">
        <v>75</v>
      </c>
      <c r="P1294" s="48">
        <f>HEX2DEC(RIGHT(Table13232127535863[[#This Row],[h1]],8))</f>
        <v>0</v>
      </c>
      <c r="Q1294" s="48" t="s">
        <v>75</v>
      </c>
      <c r="R1294" s="48">
        <f>HEX2DEC(RIGHT(Table13232127535863[[#This Row],[h2]],8))</f>
        <v>0</v>
      </c>
    </row>
    <row r="1295" spans="1:18">
      <c r="A1295" s="15" t="str">
        <f t="shared" si="25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8" t="s">
        <v>75</v>
      </c>
      <c r="P1295" s="48">
        <f>HEX2DEC(RIGHT(Table13232127535863[[#This Row],[h1]],8))</f>
        <v>0</v>
      </c>
      <c r="Q1295" s="48" t="s">
        <v>75</v>
      </c>
      <c r="R1295" s="48">
        <f>HEX2DEC(RIGHT(Table13232127535863[[#This Row],[h2]],8))</f>
        <v>0</v>
      </c>
    </row>
    <row r="1296" spans="1:18">
      <c r="A1296" s="15" t="str">
        <f t="shared" si="25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8" t="s">
        <v>75</v>
      </c>
      <c r="P1296" s="48">
        <f>HEX2DEC(RIGHT(Table13232127535863[[#This Row],[h1]],8))</f>
        <v>0</v>
      </c>
      <c r="Q1296" s="48" t="s">
        <v>75</v>
      </c>
      <c r="R1296" s="48">
        <f>HEX2DEC(RIGHT(Table13232127535863[[#This Row],[h2]],8))</f>
        <v>0</v>
      </c>
    </row>
    <row r="1297" spans="1:18">
      <c r="A1297" s="15" t="str">
        <f t="shared" si="25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8" t="s">
        <v>75</v>
      </c>
      <c r="P1297" s="48">
        <f>HEX2DEC(RIGHT(Table13232127535863[[#This Row],[h1]],8))</f>
        <v>0</v>
      </c>
      <c r="Q1297" s="48" t="s">
        <v>75</v>
      </c>
      <c r="R1297" s="48">
        <f>HEX2DEC(RIGHT(Table13232127535863[[#This Row],[h2]],8))</f>
        <v>0</v>
      </c>
    </row>
    <row r="1298" spans="1:18">
      <c r="A1298" s="15" t="str">
        <f t="shared" si="25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8" t="s">
        <v>75</v>
      </c>
      <c r="P1298" s="48">
        <f>HEX2DEC(RIGHT(Table13232127535863[[#This Row],[h1]],8))</f>
        <v>0</v>
      </c>
      <c r="Q1298" s="48" t="s">
        <v>75</v>
      </c>
      <c r="R1298" s="48">
        <f>HEX2DEC(RIGHT(Table13232127535863[[#This Row],[h2]],8))</f>
        <v>0</v>
      </c>
    </row>
    <row r="1299" spans="1:18">
      <c r="A1299" s="15" t="str">
        <f t="shared" si="25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8" t="s">
        <v>75</v>
      </c>
      <c r="P1299" s="48">
        <f>HEX2DEC(RIGHT(Table13232127535863[[#This Row],[h1]],8))</f>
        <v>0</v>
      </c>
      <c r="Q1299" s="48" t="s">
        <v>75</v>
      </c>
      <c r="R1299" s="48">
        <f>HEX2DEC(RIGHT(Table13232127535863[[#This Row],[h2]],8))</f>
        <v>0</v>
      </c>
    </row>
    <row r="1300" spans="1:18">
      <c r="A1300" s="15" t="str">
        <f t="shared" si="25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8" t="s">
        <v>75</v>
      </c>
      <c r="P1300" s="48">
        <f>HEX2DEC(RIGHT(Table13232127535863[[#This Row],[h1]],8))</f>
        <v>0</v>
      </c>
      <c r="Q1300" s="48" t="s">
        <v>75</v>
      </c>
      <c r="R1300" s="48">
        <f>HEX2DEC(RIGHT(Table13232127535863[[#This Row],[h2]],8))</f>
        <v>0</v>
      </c>
    </row>
    <row r="1301" spans="1:18">
      <c r="A1301" s="15" t="str">
        <f t="shared" si="25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8" t="s">
        <v>75</v>
      </c>
      <c r="P1301" s="48">
        <f>HEX2DEC(RIGHT(Table13232127535863[[#This Row],[h1]],8))</f>
        <v>0</v>
      </c>
      <c r="Q1301" s="48" t="s">
        <v>75</v>
      </c>
      <c r="R1301" s="48">
        <f>HEX2DEC(RIGHT(Table13232127535863[[#This Row],[h2]],8))</f>
        <v>0</v>
      </c>
    </row>
    <row r="1302" spans="1:18">
      <c r="A1302" s="15" t="str">
        <f t="shared" si="25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8" t="s">
        <v>75</v>
      </c>
      <c r="P1302" s="48">
        <f>HEX2DEC(RIGHT(Table13232127535863[[#This Row],[h1]],8))</f>
        <v>0</v>
      </c>
      <c r="Q1302" s="48" t="s">
        <v>75</v>
      </c>
      <c r="R1302" s="48">
        <f>HEX2DEC(RIGHT(Table13232127535863[[#This Row],[h2]],8))</f>
        <v>0</v>
      </c>
    </row>
    <row r="1303" spans="1:18">
      <c r="A1303" s="15" t="str">
        <f t="shared" si="25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8" t="s">
        <v>75</v>
      </c>
      <c r="P1303" s="48">
        <f>HEX2DEC(RIGHT(Table13232127535863[[#This Row],[h1]],8))</f>
        <v>0</v>
      </c>
      <c r="Q1303" s="48" t="s">
        <v>75</v>
      </c>
      <c r="R1303" s="48">
        <f>HEX2DEC(RIGHT(Table13232127535863[[#This Row],[h2]],8))</f>
        <v>0</v>
      </c>
    </row>
    <row r="1304" spans="1:18">
      <c r="A1304" s="15" t="str">
        <f t="shared" si="25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8" t="s">
        <v>75</v>
      </c>
      <c r="P1304" s="48">
        <f>HEX2DEC(RIGHT(Table13232127535863[[#This Row],[h1]],8))</f>
        <v>0</v>
      </c>
      <c r="Q1304" s="48" t="s">
        <v>75</v>
      </c>
      <c r="R1304" s="48">
        <f>HEX2DEC(RIGHT(Table13232127535863[[#This Row],[h2]],8))</f>
        <v>0</v>
      </c>
    </row>
    <row r="1305" spans="1:18">
      <c r="A1305" s="15" t="str">
        <f t="shared" si="25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8" t="s">
        <v>75</v>
      </c>
      <c r="P1305" s="48">
        <f>HEX2DEC(RIGHT(Table13232127535863[[#This Row],[h1]],8))</f>
        <v>0</v>
      </c>
      <c r="Q1305" s="48" t="s">
        <v>75</v>
      </c>
      <c r="R1305" s="48">
        <f>HEX2DEC(RIGHT(Table13232127535863[[#This Row],[h2]],8))</f>
        <v>0</v>
      </c>
    </row>
    <row r="1306" spans="1:18">
      <c r="A1306" s="15" t="str">
        <f t="shared" si="25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8" t="s">
        <v>75</v>
      </c>
      <c r="P1306" s="48">
        <f>HEX2DEC(RIGHT(Table13232127535863[[#This Row],[h1]],8))</f>
        <v>0</v>
      </c>
      <c r="Q1306" s="48" t="s">
        <v>75</v>
      </c>
      <c r="R1306" s="48">
        <f>HEX2DEC(RIGHT(Table13232127535863[[#This Row],[h2]],8))</f>
        <v>0</v>
      </c>
    </row>
    <row r="1307" spans="1:18">
      <c r="A1307" s="15" t="str">
        <f t="shared" si="25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8" t="s">
        <v>75</v>
      </c>
      <c r="P1307" s="48">
        <f>HEX2DEC(RIGHT(Table13232127535863[[#This Row],[h1]],8))</f>
        <v>0</v>
      </c>
      <c r="Q1307" s="48" t="s">
        <v>75</v>
      </c>
      <c r="R1307" s="48">
        <f>HEX2DEC(RIGHT(Table13232127535863[[#This Row],[h2]],8))</f>
        <v>0</v>
      </c>
    </row>
    <row r="1308" spans="1:18">
      <c r="A1308" s="15" t="str">
        <f t="shared" si="25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8" t="s">
        <v>75</v>
      </c>
      <c r="P1308" s="48">
        <f>HEX2DEC(RIGHT(Table13232127535863[[#This Row],[h1]],8))</f>
        <v>0</v>
      </c>
      <c r="Q1308" s="48" t="s">
        <v>75</v>
      </c>
      <c r="R1308" s="48">
        <f>HEX2DEC(RIGHT(Table13232127535863[[#This Row],[h2]],8))</f>
        <v>0</v>
      </c>
    </row>
    <row r="1309" spans="1:18">
      <c r="A1309" s="15" t="str">
        <f t="shared" si="25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8" t="s">
        <v>75</v>
      </c>
      <c r="P1309" s="48">
        <f>HEX2DEC(RIGHT(Table13232127535863[[#This Row],[h1]],8))</f>
        <v>0</v>
      </c>
      <c r="Q1309" s="48" t="s">
        <v>75</v>
      </c>
      <c r="R1309" s="48">
        <f>HEX2DEC(RIGHT(Table13232127535863[[#This Row],[h2]],8))</f>
        <v>0</v>
      </c>
    </row>
    <row r="1310" spans="1:18">
      <c r="A1310" s="15" t="str">
        <f t="shared" si="25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8" t="s">
        <v>75</v>
      </c>
      <c r="P1310" s="48">
        <f>HEX2DEC(RIGHT(Table13232127535863[[#This Row],[h1]],8))</f>
        <v>0</v>
      </c>
      <c r="Q1310" s="48" t="s">
        <v>75</v>
      </c>
      <c r="R1310" s="48">
        <f>HEX2DEC(RIGHT(Table13232127535863[[#This Row],[h2]],8))</f>
        <v>0</v>
      </c>
    </row>
    <row r="1311" spans="1:18">
      <c r="A1311" s="15" t="str">
        <f t="shared" si="25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8" t="s">
        <v>75</v>
      </c>
      <c r="P1311" s="48">
        <f>HEX2DEC(RIGHT(Table13232127535863[[#This Row],[h1]],8))</f>
        <v>0</v>
      </c>
      <c r="Q1311" s="48" t="s">
        <v>75</v>
      </c>
      <c r="R1311" s="48">
        <f>HEX2DEC(RIGHT(Table13232127535863[[#This Row],[h2]],8))</f>
        <v>0</v>
      </c>
    </row>
    <row r="1312" spans="1:18">
      <c r="A1312" s="15" t="str">
        <f t="shared" si="25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8" t="s">
        <v>75</v>
      </c>
      <c r="P1312" s="48">
        <f>HEX2DEC(RIGHT(Table13232127535863[[#This Row],[h1]],8))</f>
        <v>0</v>
      </c>
      <c r="Q1312" s="48" t="s">
        <v>75</v>
      </c>
      <c r="R1312" s="48">
        <f>HEX2DEC(RIGHT(Table13232127535863[[#This Row],[h2]],8))</f>
        <v>0</v>
      </c>
    </row>
    <row r="1313" spans="1:18">
      <c r="A1313" s="15" t="str">
        <f t="shared" si="25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8" t="s">
        <v>75</v>
      </c>
      <c r="P1313" s="48">
        <f>HEX2DEC(RIGHT(Table13232127535863[[#This Row],[h1]],8))</f>
        <v>0</v>
      </c>
      <c r="Q1313" s="48" t="s">
        <v>75</v>
      </c>
      <c r="R1313" s="48">
        <f>HEX2DEC(RIGHT(Table13232127535863[[#This Row],[h2]],8))</f>
        <v>0</v>
      </c>
    </row>
    <row r="1314" spans="1:18">
      <c r="A1314" s="15" t="str">
        <f t="shared" si="25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8" t="s">
        <v>75</v>
      </c>
      <c r="P1314" s="48">
        <f>HEX2DEC(RIGHT(Table13232127535863[[#This Row],[h1]],8))</f>
        <v>0</v>
      </c>
      <c r="Q1314" s="48" t="s">
        <v>75</v>
      </c>
      <c r="R1314" s="48">
        <f>HEX2DEC(RIGHT(Table13232127535863[[#This Row],[h2]],8))</f>
        <v>0</v>
      </c>
    </row>
    <row r="1315" spans="1:18">
      <c r="A1315" s="15" t="str">
        <f t="shared" si="25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8" t="s">
        <v>75</v>
      </c>
      <c r="P1315" s="48">
        <f>HEX2DEC(RIGHT(Table13232127535863[[#This Row],[h1]],8))</f>
        <v>0</v>
      </c>
      <c r="Q1315" s="48" t="s">
        <v>75</v>
      </c>
      <c r="R1315" s="48">
        <f>HEX2DEC(RIGHT(Table13232127535863[[#This Row],[h2]],8))</f>
        <v>0</v>
      </c>
    </row>
    <row r="1316" spans="1:18">
      <c r="A1316" s="15" t="str">
        <f t="shared" si="25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8" t="s">
        <v>75</v>
      </c>
      <c r="P1316" s="48">
        <f>HEX2DEC(RIGHT(Table13232127535863[[#This Row],[h1]],8))</f>
        <v>0</v>
      </c>
      <c r="Q1316" s="48" t="s">
        <v>75</v>
      </c>
      <c r="R1316" s="48">
        <f>HEX2DEC(RIGHT(Table13232127535863[[#This Row],[h2]],8))</f>
        <v>0</v>
      </c>
    </row>
    <row r="1317" spans="1:18">
      <c r="A1317" s="15" t="str">
        <f t="shared" si="25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8" t="s">
        <v>75</v>
      </c>
      <c r="P1317" s="48">
        <f>HEX2DEC(RIGHT(Table13232127535863[[#This Row],[h1]],8))</f>
        <v>0</v>
      </c>
      <c r="Q1317" s="48" t="s">
        <v>75</v>
      </c>
      <c r="R1317" s="48">
        <f>HEX2DEC(RIGHT(Table13232127535863[[#This Row],[h2]],8))</f>
        <v>0</v>
      </c>
    </row>
    <row r="1318" spans="1:18">
      <c r="A1318" s="15" t="str">
        <f t="shared" si="25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8" t="s">
        <v>75</v>
      </c>
      <c r="P1318" s="48">
        <f>HEX2DEC(RIGHT(Table13232127535863[[#This Row],[h1]],8))</f>
        <v>0</v>
      </c>
      <c r="Q1318" s="48" t="s">
        <v>75</v>
      </c>
      <c r="R1318" s="48">
        <f>HEX2DEC(RIGHT(Table13232127535863[[#This Row],[h2]],8))</f>
        <v>0</v>
      </c>
    </row>
    <row r="1319" spans="1:18">
      <c r="A1319" s="15" t="str">
        <f t="shared" si="25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8" t="s">
        <v>75</v>
      </c>
      <c r="P1319" s="48">
        <f>HEX2DEC(RIGHT(Table13232127535863[[#This Row],[h1]],8))</f>
        <v>0</v>
      </c>
      <c r="Q1319" s="48" t="s">
        <v>75</v>
      </c>
      <c r="R1319" s="48">
        <f>HEX2DEC(RIGHT(Table13232127535863[[#This Row],[h2]],8))</f>
        <v>0</v>
      </c>
    </row>
    <row r="1320" spans="1:18">
      <c r="A1320" s="15" t="str">
        <f t="shared" si="25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8" t="s">
        <v>75</v>
      </c>
      <c r="P1320" s="48">
        <f>HEX2DEC(RIGHT(Table13232127535863[[#This Row],[h1]],8))</f>
        <v>0</v>
      </c>
      <c r="Q1320" s="48" t="s">
        <v>75</v>
      </c>
      <c r="R1320" s="48">
        <f>HEX2DEC(RIGHT(Table13232127535863[[#This Row],[h2]],8))</f>
        <v>0</v>
      </c>
    </row>
    <row r="1321" spans="1:18">
      <c r="A1321" s="15" t="str">
        <f t="shared" si="25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8" t="s">
        <v>75</v>
      </c>
      <c r="P1321" s="48">
        <f>HEX2DEC(RIGHT(Table13232127535863[[#This Row],[h1]],8))</f>
        <v>0</v>
      </c>
      <c r="Q1321" s="48" t="s">
        <v>75</v>
      </c>
      <c r="R1321" s="48">
        <f>HEX2DEC(RIGHT(Table13232127535863[[#This Row],[h2]],8))</f>
        <v>0</v>
      </c>
    </row>
    <row r="1322" spans="1:18">
      <c r="A1322" s="15" t="str">
        <f t="shared" si="25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8" t="s">
        <v>75</v>
      </c>
      <c r="P1322" s="48">
        <f>HEX2DEC(RIGHT(Table13232127535863[[#This Row],[h1]],8))</f>
        <v>0</v>
      </c>
      <c r="Q1322" s="48" t="s">
        <v>75</v>
      </c>
      <c r="R1322" s="48">
        <f>HEX2DEC(RIGHT(Table13232127535863[[#This Row],[h2]],8))</f>
        <v>0</v>
      </c>
    </row>
    <row r="1323" spans="1:18">
      <c r="A1323" s="15" t="str">
        <f t="shared" si="25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8" t="s">
        <v>75</v>
      </c>
      <c r="P1323" s="48">
        <f>HEX2DEC(RIGHT(Table13232127535863[[#This Row],[h1]],8))</f>
        <v>0</v>
      </c>
      <c r="Q1323" s="48" t="s">
        <v>75</v>
      </c>
      <c r="R1323" s="48">
        <f>HEX2DEC(RIGHT(Table13232127535863[[#This Row],[h2]],8))</f>
        <v>0</v>
      </c>
    </row>
    <row r="1324" spans="1:18">
      <c r="A1324" s="15" t="str">
        <f t="shared" si="25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8" t="s">
        <v>75</v>
      </c>
      <c r="P1324" s="48">
        <f>HEX2DEC(RIGHT(Table13232127535863[[#This Row],[h1]],8))</f>
        <v>0</v>
      </c>
      <c r="Q1324" s="48" t="s">
        <v>75</v>
      </c>
      <c r="R1324" s="48">
        <f>HEX2DEC(RIGHT(Table13232127535863[[#This Row],[h2]],8))</f>
        <v>0</v>
      </c>
    </row>
    <row r="1325" spans="1:18">
      <c r="A1325" s="15" t="str">
        <f t="shared" si="25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8" t="s">
        <v>75</v>
      </c>
      <c r="P1325" s="48">
        <f>HEX2DEC(RIGHT(Table13232127535863[[#This Row],[h1]],8))</f>
        <v>0</v>
      </c>
      <c r="Q1325" s="48" t="s">
        <v>75</v>
      </c>
      <c r="R1325" s="48">
        <f>HEX2DEC(RIGHT(Table13232127535863[[#This Row],[h2]],8))</f>
        <v>0</v>
      </c>
    </row>
    <row r="1326" spans="1:18">
      <c r="A1326" s="15" t="str">
        <f t="shared" si="25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8" t="s">
        <v>75</v>
      </c>
      <c r="P1326" s="48">
        <f>HEX2DEC(RIGHT(Table13232127535863[[#This Row],[h1]],8))</f>
        <v>0</v>
      </c>
      <c r="Q1326" s="48" t="s">
        <v>75</v>
      </c>
      <c r="R1326" s="48">
        <f>HEX2DEC(RIGHT(Table13232127535863[[#This Row],[h2]],8))</f>
        <v>0</v>
      </c>
    </row>
    <row r="1327" spans="1:18">
      <c r="A1327" s="15" t="str">
        <f t="shared" si="25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8" t="s">
        <v>75</v>
      </c>
      <c r="P1327" s="48">
        <f>HEX2DEC(RIGHT(Table13232127535863[[#This Row],[h1]],8))</f>
        <v>0</v>
      </c>
      <c r="Q1327" s="48" t="s">
        <v>75</v>
      </c>
      <c r="R1327" s="48">
        <f>HEX2DEC(RIGHT(Table13232127535863[[#This Row],[h2]],8))</f>
        <v>0</v>
      </c>
    </row>
    <row r="1328" spans="1:18">
      <c r="A1328" s="15" t="str">
        <f t="shared" si="25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8" t="s">
        <v>75</v>
      </c>
      <c r="P1328" s="48">
        <f>HEX2DEC(RIGHT(Table13232127535863[[#This Row],[h1]],8))</f>
        <v>0</v>
      </c>
      <c r="Q1328" s="48" t="s">
        <v>75</v>
      </c>
      <c r="R1328" s="48">
        <f>HEX2DEC(RIGHT(Table13232127535863[[#This Row],[h2]],8))</f>
        <v>0</v>
      </c>
    </row>
    <row r="1329" spans="1:18">
      <c r="A1329" s="15" t="str">
        <f t="shared" si="25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8" t="s">
        <v>75</v>
      </c>
      <c r="P1329" s="48">
        <f>HEX2DEC(RIGHT(Table13232127535863[[#This Row],[h1]],8))</f>
        <v>0</v>
      </c>
      <c r="Q1329" s="48" t="s">
        <v>75</v>
      </c>
      <c r="R1329" s="48">
        <f>HEX2DEC(RIGHT(Table13232127535863[[#This Row],[h2]],8))</f>
        <v>0</v>
      </c>
    </row>
    <row r="1330" spans="1:18">
      <c r="A1330" s="15" t="str">
        <f t="shared" si="25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8" t="s">
        <v>75</v>
      </c>
      <c r="P1330" s="48">
        <f>HEX2DEC(RIGHT(Table13232127535863[[#This Row],[h1]],8))</f>
        <v>0</v>
      </c>
      <c r="Q1330" s="48" t="s">
        <v>75</v>
      </c>
      <c r="R1330" s="48">
        <f>HEX2DEC(RIGHT(Table13232127535863[[#This Row],[h2]],8))</f>
        <v>0</v>
      </c>
    </row>
    <row r="1331" spans="1:18">
      <c r="A1331" s="15" t="str">
        <f t="shared" si="25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8" t="s">
        <v>75</v>
      </c>
      <c r="P1331" s="48">
        <f>HEX2DEC(RIGHT(Table13232127535863[[#This Row],[h1]],8))</f>
        <v>0</v>
      </c>
      <c r="Q1331" s="48" t="s">
        <v>75</v>
      </c>
      <c r="R1331" s="48">
        <f>HEX2DEC(RIGHT(Table13232127535863[[#This Row],[h2]],8))</f>
        <v>0</v>
      </c>
    </row>
    <row r="1332" spans="1:18">
      <c r="A1332" s="15" t="str">
        <f t="shared" si="25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8" t="s">
        <v>75</v>
      </c>
      <c r="P1332" s="48">
        <f>HEX2DEC(RIGHT(Table13232127535863[[#This Row],[h1]],8))</f>
        <v>0</v>
      </c>
      <c r="Q1332" s="48" t="s">
        <v>75</v>
      </c>
      <c r="R1332" s="48">
        <f>HEX2DEC(RIGHT(Table13232127535863[[#This Row],[h2]],8))</f>
        <v>0</v>
      </c>
    </row>
    <row r="1333" spans="1:18">
      <c r="A1333" s="15" t="str">
        <f t="shared" si="25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8" t="s">
        <v>75</v>
      </c>
      <c r="P1333" s="48">
        <f>HEX2DEC(RIGHT(Table13232127535863[[#This Row],[h1]],8))</f>
        <v>0</v>
      </c>
      <c r="Q1333" s="48" t="s">
        <v>75</v>
      </c>
      <c r="R1333" s="48">
        <f>HEX2DEC(RIGHT(Table13232127535863[[#This Row],[h2]],8))</f>
        <v>0</v>
      </c>
    </row>
    <row r="1334" spans="1:18">
      <c r="A1334" s="15" t="str">
        <f t="shared" si="25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8" t="s">
        <v>75</v>
      </c>
      <c r="P1334" s="48">
        <f>HEX2DEC(RIGHT(Table13232127535863[[#This Row],[h1]],8))</f>
        <v>0</v>
      </c>
      <c r="Q1334" s="48" t="s">
        <v>75</v>
      </c>
      <c r="R1334" s="48">
        <f>HEX2DEC(RIGHT(Table13232127535863[[#This Row],[h2]],8))</f>
        <v>0</v>
      </c>
    </row>
    <row r="1335" spans="1:18">
      <c r="A1335" s="15" t="str">
        <f t="shared" si="25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8" t="s">
        <v>75</v>
      </c>
      <c r="P1335" s="48">
        <f>HEX2DEC(RIGHT(Table13232127535863[[#This Row],[h1]],8))</f>
        <v>0</v>
      </c>
      <c r="Q1335" s="48" t="s">
        <v>75</v>
      </c>
      <c r="R1335" s="48">
        <f>HEX2DEC(RIGHT(Table13232127535863[[#This Row],[h2]],8))</f>
        <v>0</v>
      </c>
    </row>
    <row r="1336" spans="1:18">
      <c r="A1336" s="15" t="str">
        <f t="shared" si="25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8" t="s">
        <v>75</v>
      </c>
      <c r="P1336" s="48">
        <f>HEX2DEC(RIGHT(Table13232127535863[[#This Row],[h1]],8))</f>
        <v>0</v>
      </c>
      <c r="Q1336" s="48" t="s">
        <v>75</v>
      </c>
      <c r="R1336" s="48">
        <f>HEX2DEC(RIGHT(Table13232127535863[[#This Row],[h2]],8))</f>
        <v>0</v>
      </c>
    </row>
    <row r="1337" spans="1:18">
      <c r="A1337" s="15" t="str">
        <f t="shared" si="25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8" t="s">
        <v>75</v>
      </c>
      <c r="P1337" s="48">
        <f>HEX2DEC(RIGHT(Table13232127535863[[#This Row],[h1]],8))</f>
        <v>0</v>
      </c>
      <c r="Q1337" s="48" t="s">
        <v>75</v>
      </c>
      <c r="R1337" s="48">
        <f>HEX2DEC(RIGHT(Table13232127535863[[#This Row],[h2]],8))</f>
        <v>0</v>
      </c>
    </row>
    <row r="1338" spans="1:18">
      <c r="A1338" s="15" t="str">
        <f t="shared" si="25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8" t="s">
        <v>75</v>
      </c>
      <c r="P1338" s="48">
        <f>HEX2DEC(RIGHT(Table13232127535863[[#This Row],[h1]],8))</f>
        <v>0</v>
      </c>
      <c r="Q1338" s="48" t="s">
        <v>75</v>
      </c>
      <c r="R1338" s="48">
        <f>HEX2DEC(RIGHT(Table13232127535863[[#This Row],[h2]],8))</f>
        <v>0</v>
      </c>
    </row>
    <row r="1339" spans="1:18">
      <c r="A1339" s="15" t="str">
        <f t="shared" si="25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8" t="s">
        <v>75</v>
      </c>
      <c r="P1339" s="48">
        <f>HEX2DEC(RIGHT(Table13232127535863[[#This Row],[h1]],8))</f>
        <v>0</v>
      </c>
      <c r="Q1339" s="48" t="s">
        <v>75</v>
      </c>
      <c r="R1339" s="48">
        <f>HEX2DEC(RIGHT(Table13232127535863[[#This Row],[h2]],8))</f>
        <v>0</v>
      </c>
    </row>
    <row r="1340" spans="1:18">
      <c r="A1340" s="15" t="str">
        <f t="shared" si="25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8" t="s">
        <v>75</v>
      </c>
      <c r="P1340" s="48">
        <f>HEX2DEC(RIGHT(Table13232127535863[[#This Row],[h1]],8))</f>
        <v>0</v>
      </c>
      <c r="Q1340" s="48" t="s">
        <v>75</v>
      </c>
      <c r="R1340" s="48">
        <f>HEX2DEC(RIGHT(Table13232127535863[[#This Row],[h2]],8))</f>
        <v>0</v>
      </c>
    </row>
    <row r="1341" spans="1:18">
      <c r="A1341" s="15" t="str">
        <f t="shared" si="25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8" t="s">
        <v>75</v>
      </c>
      <c r="P1341" s="48">
        <f>HEX2DEC(RIGHT(Table13232127535863[[#This Row],[h1]],8))</f>
        <v>0</v>
      </c>
      <c r="Q1341" s="48" t="s">
        <v>75</v>
      </c>
      <c r="R1341" s="48">
        <f>HEX2DEC(RIGHT(Table13232127535863[[#This Row],[h2]],8))</f>
        <v>0</v>
      </c>
    </row>
    <row r="1342" spans="1:18">
      <c r="A1342" s="15" t="str">
        <f t="shared" si="25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8" t="s">
        <v>75</v>
      </c>
      <c r="P1342" s="48">
        <f>HEX2DEC(RIGHT(Table13232127535863[[#This Row],[h1]],8))</f>
        <v>0</v>
      </c>
      <c r="Q1342" s="48" t="s">
        <v>75</v>
      </c>
      <c r="R1342" s="48">
        <f>HEX2DEC(RIGHT(Table13232127535863[[#This Row],[h2]],8))</f>
        <v>0</v>
      </c>
    </row>
    <row r="1343" spans="1:18">
      <c r="A1343" s="15" t="str">
        <f t="shared" si="25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8" t="s">
        <v>75</v>
      </c>
      <c r="P1343" s="48">
        <f>HEX2DEC(RIGHT(Table13232127535863[[#This Row],[h1]],8))</f>
        <v>0</v>
      </c>
      <c r="Q1343" s="48" t="s">
        <v>75</v>
      </c>
      <c r="R1343" s="48">
        <f>HEX2DEC(RIGHT(Table13232127535863[[#This Row],[h2]],8))</f>
        <v>0</v>
      </c>
    </row>
    <row r="1344" spans="1:18">
      <c r="A1344" s="15" t="str">
        <f t="shared" si="25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8" t="s">
        <v>75</v>
      </c>
      <c r="P1344" s="48">
        <f>HEX2DEC(RIGHT(Table13232127535863[[#This Row],[h1]],8))</f>
        <v>0</v>
      </c>
      <c r="Q1344" s="48" t="s">
        <v>75</v>
      </c>
      <c r="R1344" s="48">
        <f>HEX2DEC(RIGHT(Table13232127535863[[#This Row],[h2]],8))</f>
        <v>0</v>
      </c>
    </row>
    <row r="1345" spans="1:18">
      <c r="A1345" s="15" t="str">
        <f t="shared" si="25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8" t="s">
        <v>75</v>
      </c>
      <c r="P1345" s="48">
        <f>HEX2DEC(RIGHT(Table13232127535863[[#This Row],[h1]],8))</f>
        <v>0</v>
      </c>
      <c r="Q1345" s="48" t="s">
        <v>75</v>
      </c>
      <c r="R1345" s="48">
        <f>HEX2DEC(RIGHT(Table13232127535863[[#This Row],[h2]],8))</f>
        <v>0</v>
      </c>
    </row>
    <row r="1346" spans="1:18">
      <c r="A1346" s="15" t="str">
        <f t="shared" si="25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8" t="s">
        <v>75</v>
      </c>
      <c r="P1346" s="48">
        <f>HEX2DEC(RIGHT(Table13232127535863[[#This Row],[h1]],8))</f>
        <v>0</v>
      </c>
      <c r="Q1346" s="48" t="s">
        <v>75</v>
      </c>
      <c r="R1346" s="48">
        <f>HEX2DEC(RIGHT(Table13232127535863[[#This Row],[h2]],8))</f>
        <v>0</v>
      </c>
    </row>
    <row r="1347" spans="1:18">
      <c r="A1347" s="15" t="str">
        <f t="shared" si="25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8" t="s">
        <v>75</v>
      </c>
      <c r="P1347" s="48">
        <f>HEX2DEC(RIGHT(Table13232127535863[[#This Row],[h1]],8))</f>
        <v>0</v>
      </c>
      <c r="Q1347" s="48" t="s">
        <v>75</v>
      </c>
      <c r="R1347" s="48">
        <f>HEX2DEC(RIGHT(Table13232127535863[[#This Row],[h2]],8))</f>
        <v>0</v>
      </c>
    </row>
    <row r="1348" spans="1:18">
      <c r="A1348" s="15" t="str">
        <f t="shared" si="25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8" t="s">
        <v>75</v>
      </c>
      <c r="P1348" s="48">
        <f>HEX2DEC(RIGHT(Table13232127535863[[#This Row],[h1]],8))</f>
        <v>0</v>
      </c>
      <c r="Q1348" s="48" t="s">
        <v>75</v>
      </c>
      <c r="R1348" s="48">
        <f>HEX2DEC(RIGHT(Table13232127535863[[#This Row],[h2]],8))</f>
        <v>0</v>
      </c>
    </row>
    <row r="1349" spans="1:18">
      <c r="A1349" s="15" t="str">
        <f t="shared" si="25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8" t="s">
        <v>75</v>
      </c>
      <c r="P1349" s="48">
        <f>HEX2DEC(RIGHT(Table13232127535863[[#This Row],[h1]],8))</f>
        <v>0</v>
      </c>
      <c r="Q1349" s="48" t="s">
        <v>75</v>
      </c>
      <c r="R1349" s="48">
        <f>HEX2DEC(RIGHT(Table13232127535863[[#This Row],[h2]],8))</f>
        <v>0</v>
      </c>
    </row>
    <row r="1350" spans="1:18">
      <c r="A1350" s="15" t="str">
        <f t="shared" si="25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8" t="s">
        <v>75</v>
      </c>
      <c r="P1350" s="48">
        <f>HEX2DEC(RIGHT(Table13232127535863[[#This Row],[h1]],8))</f>
        <v>0</v>
      </c>
      <c r="Q1350" s="48" t="s">
        <v>75</v>
      </c>
      <c r="R1350" s="48">
        <f>HEX2DEC(RIGHT(Table13232127535863[[#This Row],[h2]],8))</f>
        <v>0</v>
      </c>
    </row>
    <row r="1351" spans="1:18">
      <c r="A1351" s="15" t="str">
        <f t="shared" si="25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8" t="s">
        <v>75</v>
      </c>
      <c r="P1351" s="48">
        <f>HEX2DEC(RIGHT(Table13232127535863[[#This Row],[h1]],8))</f>
        <v>0</v>
      </c>
      <c r="Q1351" s="48" t="s">
        <v>75</v>
      </c>
      <c r="R1351" s="48">
        <f>HEX2DEC(RIGHT(Table13232127535863[[#This Row],[h2]],8))</f>
        <v>0</v>
      </c>
    </row>
    <row r="1352" spans="1:18">
      <c r="A1352" s="15" t="str">
        <f t="shared" si="25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8" t="s">
        <v>75</v>
      </c>
      <c r="P1352" s="48">
        <f>HEX2DEC(RIGHT(Table13232127535863[[#This Row],[h1]],8))</f>
        <v>0</v>
      </c>
      <c r="Q1352" s="48" t="s">
        <v>75</v>
      </c>
      <c r="R1352" s="48">
        <f>HEX2DEC(RIGHT(Table13232127535863[[#This Row],[h2]],8))</f>
        <v>0</v>
      </c>
    </row>
    <row r="1353" spans="1:18">
      <c r="A1353" s="15" t="str">
        <f t="shared" si="25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8" t="s">
        <v>75</v>
      </c>
      <c r="P1353" s="48">
        <f>HEX2DEC(RIGHT(Table13232127535863[[#This Row],[h1]],8))</f>
        <v>0</v>
      </c>
      <c r="Q1353" s="48" t="s">
        <v>75</v>
      </c>
      <c r="R1353" s="48">
        <f>HEX2DEC(RIGHT(Table13232127535863[[#This Row],[h2]],8))</f>
        <v>0</v>
      </c>
    </row>
    <row r="1354" spans="1:18">
      <c r="A1354" s="15" t="str">
        <f t="shared" si="25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8" t="s">
        <v>75</v>
      </c>
      <c r="P1354" s="48">
        <f>HEX2DEC(RIGHT(Table13232127535863[[#This Row],[h1]],8))</f>
        <v>0</v>
      </c>
      <c r="Q1354" s="48" t="s">
        <v>75</v>
      </c>
      <c r="R1354" s="48">
        <f>HEX2DEC(RIGHT(Table13232127535863[[#This Row],[h2]],8))</f>
        <v>0</v>
      </c>
    </row>
    <row r="1355" spans="1:18">
      <c r="A1355" s="15" t="str">
        <f t="shared" ref="A1355:A1418" si="26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8" t="s">
        <v>75</v>
      </c>
      <c r="P1355" s="48">
        <f>HEX2DEC(RIGHT(Table13232127535863[[#This Row],[h1]],8))</f>
        <v>0</v>
      </c>
      <c r="Q1355" s="48" t="s">
        <v>75</v>
      </c>
      <c r="R1355" s="48">
        <f>HEX2DEC(RIGHT(Table13232127535863[[#This Row],[h2]],8))</f>
        <v>0</v>
      </c>
    </row>
    <row r="1356" spans="1:18">
      <c r="A1356" s="15" t="str">
        <f t="shared" si="26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8" t="s">
        <v>75</v>
      </c>
      <c r="P1356" s="48">
        <f>HEX2DEC(RIGHT(Table13232127535863[[#This Row],[h1]],8))</f>
        <v>0</v>
      </c>
      <c r="Q1356" s="48" t="s">
        <v>75</v>
      </c>
      <c r="R1356" s="48">
        <f>HEX2DEC(RIGHT(Table13232127535863[[#This Row],[h2]],8))</f>
        <v>0</v>
      </c>
    </row>
    <row r="1357" spans="1:18">
      <c r="A1357" s="15" t="str">
        <f t="shared" si="26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8" t="s">
        <v>75</v>
      </c>
      <c r="P1357" s="48">
        <f>HEX2DEC(RIGHT(Table13232127535863[[#This Row],[h1]],8))</f>
        <v>0</v>
      </c>
      <c r="Q1357" s="48" t="s">
        <v>75</v>
      </c>
      <c r="R1357" s="48">
        <f>HEX2DEC(RIGHT(Table13232127535863[[#This Row],[h2]],8))</f>
        <v>0</v>
      </c>
    </row>
    <row r="1358" spans="1:18">
      <c r="A1358" s="15" t="str">
        <f t="shared" si="26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8" t="s">
        <v>75</v>
      </c>
      <c r="P1358" s="48">
        <f>HEX2DEC(RIGHT(Table13232127535863[[#This Row],[h1]],8))</f>
        <v>0</v>
      </c>
      <c r="Q1358" s="48" t="s">
        <v>75</v>
      </c>
      <c r="R1358" s="48">
        <f>HEX2DEC(RIGHT(Table13232127535863[[#This Row],[h2]],8))</f>
        <v>0</v>
      </c>
    </row>
    <row r="1359" spans="1:18">
      <c r="A1359" s="15" t="str">
        <f t="shared" si="26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8" t="s">
        <v>75</v>
      </c>
      <c r="P1359" s="48">
        <f>HEX2DEC(RIGHT(Table13232127535863[[#This Row],[h1]],8))</f>
        <v>0</v>
      </c>
      <c r="Q1359" s="48" t="s">
        <v>75</v>
      </c>
      <c r="R1359" s="48">
        <f>HEX2DEC(RIGHT(Table13232127535863[[#This Row],[h2]],8))</f>
        <v>0</v>
      </c>
    </row>
    <row r="1360" spans="1:18">
      <c r="A1360" s="15" t="str">
        <f t="shared" si="26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8" t="s">
        <v>75</v>
      </c>
      <c r="P1360" s="48">
        <f>HEX2DEC(RIGHT(Table13232127535863[[#This Row],[h1]],8))</f>
        <v>0</v>
      </c>
      <c r="Q1360" s="48" t="s">
        <v>75</v>
      </c>
      <c r="R1360" s="48">
        <f>HEX2DEC(RIGHT(Table13232127535863[[#This Row],[h2]],8))</f>
        <v>0</v>
      </c>
    </row>
    <row r="1361" spans="1:18">
      <c r="A1361" s="15" t="str">
        <f t="shared" si="26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8" t="s">
        <v>75</v>
      </c>
      <c r="P1361" s="48">
        <f>HEX2DEC(RIGHT(Table13232127535863[[#This Row],[h1]],8))</f>
        <v>0</v>
      </c>
      <c r="Q1361" s="48" t="s">
        <v>75</v>
      </c>
      <c r="R1361" s="48">
        <f>HEX2DEC(RIGHT(Table13232127535863[[#This Row],[h2]],8))</f>
        <v>0</v>
      </c>
    </row>
    <row r="1362" spans="1:18">
      <c r="A1362" s="15" t="str">
        <f t="shared" si="26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8" t="s">
        <v>75</v>
      </c>
      <c r="P1362" s="48">
        <f>HEX2DEC(RIGHT(Table13232127535863[[#This Row],[h1]],8))</f>
        <v>0</v>
      </c>
      <c r="Q1362" s="48" t="s">
        <v>75</v>
      </c>
      <c r="R1362" s="48">
        <f>HEX2DEC(RIGHT(Table13232127535863[[#This Row],[h2]],8))</f>
        <v>0</v>
      </c>
    </row>
    <row r="1363" spans="1:18">
      <c r="A1363" s="15" t="str">
        <f t="shared" si="26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8" t="s">
        <v>75</v>
      </c>
      <c r="P1363" s="48">
        <f>HEX2DEC(RIGHT(Table13232127535863[[#This Row],[h1]],8))</f>
        <v>0</v>
      </c>
      <c r="Q1363" s="48" t="s">
        <v>75</v>
      </c>
      <c r="R1363" s="48">
        <f>HEX2DEC(RIGHT(Table13232127535863[[#This Row],[h2]],8))</f>
        <v>0</v>
      </c>
    </row>
    <row r="1364" spans="1:18">
      <c r="A1364" s="15" t="str">
        <f t="shared" si="26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8" t="s">
        <v>75</v>
      </c>
      <c r="P1364" s="48">
        <f>HEX2DEC(RIGHT(Table13232127535863[[#This Row],[h1]],8))</f>
        <v>0</v>
      </c>
      <c r="Q1364" s="48" t="s">
        <v>75</v>
      </c>
      <c r="R1364" s="48">
        <f>HEX2DEC(RIGHT(Table13232127535863[[#This Row],[h2]],8))</f>
        <v>0</v>
      </c>
    </row>
    <row r="1365" spans="1:18">
      <c r="A1365" s="15" t="str">
        <f t="shared" si="26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8" t="s">
        <v>75</v>
      </c>
      <c r="P1365" s="48">
        <f>HEX2DEC(RIGHT(Table13232127535863[[#This Row],[h1]],8))</f>
        <v>0</v>
      </c>
      <c r="Q1365" s="48" t="s">
        <v>75</v>
      </c>
      <c r="R1365" s="48">
        <f>HEX2DEC(RIGHT(Table13232127535863[[#This Row],[h2]],8))</f>
        <v>0</v>
      </c>
    </row>
    <row r="1366" spans="1:18">
      <c r="A1366" s="15" t="str">
        <f t="shared" si="26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8" t="s">
        <v>75</v>
      </c>
      <c r="P1366" s="48">
        <f>HEX2DEC(RIGHT(Table13232127535863[[#This Row],[h1]],8))</f>
        <v>0</v>
      </c>
      <c r="Q1366" s="48" t="s">
        <v>75</v>
      </c>
      <c r="R1366" s="48">
        <f>HEX2DEC(RIGHT(Table13232127535863[[#This Row],[h2]],8))</f>
        <v>0</v>
      </c>
    </row>
    <row r="1367" spans="1:18">
      <c r="A1367" s="15" t="str">
        <f t="shared" si="26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8" t="s">
        <v>75</v>
      </c>
      <c r="P1367" s="48">
        <f>HEX2DEC(RIGHT(Table13232127535863[[#This Row],[h1]],8))</f>
        <v>0</v>
      </c>
      <c r="Q1367" s="48" t="s">
        <v>75</v>
      </c>
      <c r="R1367" s="48">
        <f>HEX2DEC(RIGHT(Table13232127535863[[#This Row],[h2]],8))</f>
        <v>0</v>
      </c>
    </row>
    <row r="1368" spans="1:18">
      <c r="A1368" s="15" t="str">
        <f t="shared" si="26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8" t="s">
        <v>75</v>
      </c>
      <c r="P1368" s="48">
        <f>HEX2DEC(RIGHT(Table13232127535863[[#This Row],[h1]],8))</f>
        <v>0</v>
      </c>
      <c r="Q1368" s="48" t="s">
        <v>75</v>
      </c>
      <c r="R1368" s="48">
        <f>HEX2DEC(RIGHT(Table13232127535863[[#This Row],[h2]],8))</f>
        <v>0</v>
      </c>
    </row>
    <row r="1369" spans="1:18">
      <c r="A1369" s="15" t="str">
        <f t="shared" si="26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8" t="s">
        <v>75</v>
      </c>
      <c r="P1369" s="48">
        <f>HEX2DEC(RIGHT(Table13232127535863[[#This Row],[h1]],8))</f>
        <v>0</v>
      </c>
      <c r="Q1369" s="48" t="s">
        <v>75</v>
      </c>
      <c r="R1369" s="48">
        <f>HEX2DEC(RIGHT(Table13232127535863[[#This Row],[h2]],8))</f>
        <v>0</v>
      </c>
    </row>
    <row r="1370" spans="1:18">
      <c r="A1370" s="15" t="str">
        <f t="shared" si="26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8" t="s">
        <v>75</v>
      </c>
      <c r="P1370" s="48">
        <f>HEX2DEC(RIGHT(Table13232127535863[[#This Row],[h1]],8))</f>
        <v>0</v>
      </c>
      <c r="Q1370" s="48" t="s">
        <v>75</v>
      </c>
      <c r="R1370" s="48">
        <f>HEX2DEC(RIGHT(Table13232127535863[[#This Row],[h2]],8))</f>
        <v>0</v>
      </c>
    </row>
    <row r="1371" spans="1:18">
      <c r="A1371" s="15" t="str">
        <f t="shared" si="26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8" t="s">
        <v>75</v>
      </c>
      <c r="P1371" s="48">
        <f>HEX2DEC(RIGHT(Table13232127535863[[#This Row],[h1]],8))</f>
        <v>0</v>
      </c>
      <c r="Q1371" s="48" t="s">
        <v>75</v>
      </c>
      <c r="R1371" s="48">
        <f>HEX2DEC(RIGHT(Table13232127535863[[#This Row],[h2]],8))</f>
        <v>0</v>
      </c>
    </row>
    <row r="1372" spans="1:18">
      <c r="A1372" s="15" t="str">
        <f t="shared" si="26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8" t="s">
        <v>75</v>
      </c>
      <c r="P1372" s="48">
        <f>HEX2DEC(RIGHT(Table13232127535863[[#This Row],[h1]],8))</f>
        <v>0</v>
      </c>
      <c r="Q1372" s="48" t="s">
        <v>75</v>
      </c>
      <c r="R1372" s="48">
        <f>HEX2DEC(RIGHT(Table13232127535863[[#This Row],[h2]],8))</f>
        <v>0</v>
      </c>
    </row>
    <row r="1373" spans="1:18">
      <c r="A1373" s="15" t="str">
        <f t="shared" si="26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8" t="s">
        <v>75</v>
      </c>
      <c r="P1373" s="48">
        <f>HEX2DEC(RIGHT(Table13232127535863[[#This Row],[h1]],8))</f>
        <v>0</v>
      </c>
      <c r="Q1373" s="48" t="s">
        <v>75</v>
      </c>
      <c r="R1373" s="48">
        <f>HEX2DEC(RIGHT(Table13232127535863[[#This Row],[h2]],8))</f>
        <v>0</v>
      </c>
    </row>
    <row r="1374" spans="1:18">
      <c r="A1374" s="15" t="str">
        <f t="shared" si="26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8" t="s">
        <v>75</v>
      </c>
      <c r="P1374" s="48">
        <f>HEX2DEC(RIGHT(Table13232127535863[[#This Row],[h1]],8))</f>
        <v>0</v>
      </c>
      <c r="Q1374" s="48" t="s">
        <v>75</v>
      </c>
      <c r="R1374" s="48">
        <f>HEX2DEC(RIGHT(Table13232127535863[[#This Row],[h2]],8))</f>
        <v>0</v>
      </c>
    </row>
    <row r="1375" spans="1:18">
      <c r="A1375" s="15" t="str">
        <f t="shared" si="26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8" t="s">
        <v>75</v>
      </c>
      <c r="P1375" s="48">
        <f>HEX2DEC(RIGHT(Table13232127535863[[#This Row],[h1]],8))</f>
        <v>0</v>
      </c>
      <c r="Q1375" s="48" t="s">
        <v>75</v>
      </c>
      <c r="R1375" s="48">
        <f>HEX2DEC(RIGHT(Table13232127535863[[#This Row],[h2]],8))</f>
        <v>0</v>
      </c>
    </row>
    <row r="1376" spans="1:18">
      <c r="A1376" s="15" t="str">
        <f t="shared" si="26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8" t="s">
        <v>75</v>
      </c>
      <c r="P1376" s="48">
        <f>HEX2DEC(RIGHT(Table13232127535863[[#This Row],[h1]],8))</f>
        <v>0</v>
      </c>
      <c r="Q1376" s="48" t="s">
        <v>75</v>
      </c>
      <c r="R1376" s="48">
        <f>HEX2DEC(RIGHT(Table13232127535863[[#This Row],[h2]],8))</f>
        <v>0</v>
      </c>
    </row>
    <row r="1377" spans="1:18">
      <c r="A1377" s="15" t="str">
        <f t="shared" si="26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8" t="s">
        <v>75</v>
      </c>
      <c r="P1377" s="48">
        <f>HEX2DEC(RIGHT(Table13232127535863[[#This Row],[h1]],8))</f>
        <v>0</v>
      </c>
      <c r="Q1377" s="48" t="s">
        <v>75</v>
      </c>
      <c r="R1377" s="48">
        <f>HEX2DEC(RIGHT(Table13232127535863[[#This Row],[h2]],8))</f>
        <v>0</v>
      </c>
    </row>
    <row r="1378" spans="1:18">
      <c r="A1378" s="15" t="str">
        <f t="shared" si="26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8" t="s">
        <v>75</v>
      </c>
      <c r="P1378" s="48">
        <f>HEX2DEC(RIGHT(Table13232127535863[[#This Row],[h1]],8))</f>
        <v>0</v>
      </c>
      <c r="Q1378" s="48" t="s">
        <v>75</v>
      </c>
      <c r="R1378" s="48">
        <f>HEX2DEC(RIGHT(Table13232127535863[[#This Row],[h2]],8))</f>
        <v>0</v>
      </c>
    </row>
    <row r="1379" spans="1:18">
      <c r="A1379" s="15" t="str">
        <f t="shared" si="26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8" t="s">
        <v>75</v>
      </c>
      <c r="P1379" s="48">
        <f>HEX2DEC(RIGHT(Table13232127535863[[#This Row],[h1]],8))</f>
        <v>0</v>
      </c>
      <c r="Q1379" s="48" t="s">
        <v>75</v>
      </c>
      <c r="R1379" s="48">
        <f>HEX2DEC(RIGHT(Table13232127535863[[#This Row],[h2]],8))</f>
        <v>0</v>
      </c>
    </row>
    <row r="1380" spans="1:18">
      <c r="A1380" s="15" t="str">
        <f t="shared" si="26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8" t="s">
        <v>75</v>
      </c>
      <c r="P1380" s="48">
        <f>HEX2DEC(RIGHT(Table13232127535863[[#This Row],[h1]],8))</f>
        <v>0</v>
      </c>
      <c r="Q1380" s="48" t="s">
        <v>75</v>
      </c>
      <c r="R1380" s="48">
        <f>HEX2DEC(RIGHT(Table13232127535863[[#This Row],[h2]],8))</f>
        <v>0</v>
      </c>
    </row>
    <row r="1381" spans="1:18">
      <c r="A1381" s="15" t="str">
        <f t="shared" si="26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8" t="s">
        <v>75</v>
      </c>
      <c r="P1381" s="48">
        <f>HEX2DEC(RIGHT(Table13232127535863[[#This Row],[h1]],8))</f>
        <v>0</v>
      </c>
      <c r="Q1381" s="48" t="s">
        <v>75</v>
      </c>
      <c r="R1381" s="48">
        <f>HEX2DEC(RIGHT(Table13232127535863[[#This Row],[h2]],8))</f>
        <v>0</v>
      </c>
    </row>
    <row r="1382" spans="1:18">
      <c r="A1382" s="15" t="str">
        <f t="shared" si="26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8" t="s">
        <v>75</v>
      </c>
      <c r="P1382" s="48">
        <f>HEX2DEC(RIGHT(Table13232127535863[[#This Row],[h1]],8))</f>
        <v>0</v>
      </c>
      <c r="Q1382" s="48" t="s">
        <v>75</v>
      </c>
      <c r="R1382" s="48">
        <f>HEX2DEC(RIGHT(Table13232127535863[[#This Row],[h2]],8))</f>
        <v>0</v>
      </c>
    </row>
    <row r="1383" spans="1:18">
      <c r="A1383" s="15" t="str">
        <f t="shared" si="26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8" t="s">
        <v>75</v>
      </c>
      <c r="P1383" s="48">
        <f>HEX2DEC(RIGHT(Table13232127535863[[#This Row],[h1]],8))</f>
        <v>0</v>
      </c>
      <c r="Q1383" s="48" t="s">
        <v>75</v>
      </c>
      <c r="R1383" s="48">
        <f>HEX2DEC(RIGHT(Table13232127535863[[#This Row],[h2]],8))</f>
        <v>0</v>
      </c>
    </row>
    <row r="1384" spans="1:18">
      <c r="A1384" s="15" t="str">
        <f t="shared" si="26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8" t="s">
        <v>75</v>
      </c>
      <c r="P1384" s="48">
        <f>HEX2DEC(RIGHT(Table13232127535863[[#This Row],[h1]],8))</f>
        <v>0</v>
      </c>
      <c r="Q1384" s="48" t="s">
        <v>75</v>
      </c>
      <c r="R1384" s="48">
        <f>HEX2DEC(RIGHT(Table13232127535863[[#This Row],[h2]],8))</f>
        <v>0</v>
      </c>
    </row>
    <row r="1385" spans="1:18">
      <c r="A1385" s="15" t="str">
        <f t="shared" si="26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8" t="s">
        <v>75</v>
      </c>
      <c r="P1385" s="48">
        <f>HEX2DEC(RIGHT(Table13232127535863[[#This Row],[h1]],8))</f>
        <v>0</v>
      </c>
      <c r="Q1385" s="48" t="s">
        <v>75</v>
      </c>
      <c r="R1385" s="48">
        <f>HEX2DEC(RIGHT(Table13232127535863[[#This Row],[h2]],8))</f>
        <v>0</v>
      </c>
    </row>
    <row r="1386" spans="1:18">
      <c r="A1386" s="15" t="str">
        <f t="shared" si="26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8" t="s">
        <v>75</v>
      </c>
      <c r="P1386" s="48">
        <f>HEX2DEC(RIGHT(Table13232127535863[[#This Row],[h1]],8))</f>
        <v>0</v>
      </c>
      <c r="Q1386" s="48" t="s">
        <v>75</v>
      </c>
      <c r="R1386" s="48">
        <f>HEX2DEC(RIGHT(Table13232127535863[[#This Row],[h2]],8))</f>
        <v>0</v>
      </c>
    </row>
    <row r="1387" spans="1:18">
      <c r="A1387" s="15" t="str">
        <f t="shared" si="26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8" t="s">
        <v>75</v>
      </c>
      <c r="P1387" s="48">
        <f>HEX2DEC(RIGHT(Table13232127535863[[#This Row],[h1]],8))</f>
        <v>0</v>
      </c>
      <c r="Q1387" s="48" t="s">
        <v>75</v>
      </c>
      <c r="R1387" s="48">
        <f>HEX2DEC(RIGHT(Table13232127535863[[#This Row],[h2]],8))</f>
        <v>0</v>
      </c>
    </row>
    <row r="1388" spans="1:18">
      <c r="A1388" s="15" t="str">
        <f t="shared" si="26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8" t="s">
        <v>75</v>
      </c>
      <c r="P1388" s="48">
        <f>HEX2DEC(RIGHT(Table13232127535863[[#This Row],[h1]],8))</f>
        <v>0</v>
      </c>
      <c r="Q1388" s="48" t="s">
        <v>75</v>
      </c>
      <c r="R1388" s="48">
        <f>HEX2DEC(RIGHT(Table13232127535863[[#This Row],[h2]],8))</f>
        <v>0</v>
      </c>
    </row>
    <row r="1389" spans="1:18">
      <c r="A1389" s="15" t="str">
        <f t="shared" si="26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8" t="s">
        <v>75</v>
      </c>
      <c r="P1389" s="48">
        <f>HEX2DEC(RIGHT(Table13232127535863[[#This Row],[h1]],8))</f>
        <v>0</v>
      </c>
      <c r="Q1389" s="48" t="s">
        <v>75</v>
      </c>
      <c r="R1389" s="48">
        <f>HEX2DEC(RIGHT(Table13232127535863[[#This Row],[h2]],8))</f>
        <v>0</v>
      </c>
    </row>
    <row r="1390" spans="1:18">
      <c r="A1390" s="15" t="str">
        <f t="shared" si="26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8" t="s">
        <v>75</v>
      </c>
      <c r="P1390" s="48">
        <f>HEX2DEC(RIGHT(Table13232127535863[[#This Row],[h1]],8))</f>
        <v>0</v>
      </c>
      <c r="Q1390" s="48" t="s">
        <v>75</v>
      </c>
      <c r="R1390" s="48">
        <f>HEX2DEC(RIGHT(Table13232127535863[[#This Row],[h2]],8))</f>
        <v>0</v>
      </c>
    </row>
    <row r="1391" spans="1:18">
      <c r="A1391" s="15" t="str">
        <f t="shared" si="26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8" t="s">
        <v>75</v>
      </c>
      <c r="P1391" s="48">
        <f>HEX2DEC(RIGHT(Table13232127535863[[#This Row],[h1]],8))</f>
        <v>0</v>
      </c>
      <c r="Q1391" s="48" t="s">
        <v>75</v>
      </c>
      <c r="R1391" s="48">
        <f>HEX2DEC(RIGHT(Table13232127535863[[#This Row],[h2]],8))</f>
        <v>0</v>
      </c>
    </row>
    <row r="1392" spans="1:18">
      <c r="A1392" s="15" t="str">
        <f t="shared" si="26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8" t="s">
        <v>75</v>
      </c>
      <c r="P1392" s="48">
        <f>HEX2DEC(RIGHT(Table13232127535863[[#This Row],[h1]],8))</f>
        <v>0</v>
      </c>
      <c r="Q1392" s="48" t="s">
        <v>75</v>
      </c>
      <c r="R1392" s="48">
        <f>HEX2DEC(RIGHT(Table13232127535863[[#This Row],[h2]],8))</f>
        <v>0</v>
      </c>
    </row>
    <row r="1393" spans="1:18">
      <c r="A1393" s="15" t="str">
        <f t="shared" si="26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8" t="s">
        <v>75</v>
      </c>
      <c r="P1393" s="48">
        <f>HEX2DEC(RIGHT(Table13232127535863[[#This Row],[h1]],8))</f>
        <v>0</v>
      </c>
      <c r="Q1393" s="48" t="s">
        <v>75</v>
      </c>
      <c r="R1393" s="48">
        <f>HEX2DEC(RIGHT(Table13232127535863[[#This Row],[h2]],8))</f>
        <v>0</v>
      </c>
    </row>
    <row r="1394" spans="1:18">
      <c r="A1394" s="15" t="str">
        <f t="shared" si="26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8" t="s">
        <v>75</v>
      </c>
      <c r="P1394" s="48">
        <f>HEX2DEC(RIGHT(Table13232127535863[[#This Row],[h1]],8))</f>
        <v>0</v>
      </c>
      <c r="Q1394" s="48" t="s">
        <v>75</v>
      </c>
      <c r="R1394" s="48">
        <f>HEX2DEC(RIGHT(Table13232127535863[[#This Row],[h2]],8))</f>
        <v>0</v>
      </c>
    </row>
    <row r="1395" spans="1:18">
      <c r="A1395" s="15" t="str">
        <f t="shared" si="26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8" t="s">
        <v>75</v>
      </c>
      <c r="P1395" s="48">
        <f>HEX2DEC(RIGHT(Table13232127535863[[#This Row],[h1]],8))</f>
        <v>0</v>
      </c>
      <c r="Q1395" s="48" t="s">
        <v>75</v>
      </c>
      <c r="R1395" s="48">
        <f>HEX2DEC(RIGHT(Table13232127535863[[#This Row],[h2]],8))</f>
        <v>0</v>
      </c>
    </row>
    <row r="1396" spans="1:18">
      <c r="A1396" s="15" t="str">
        <f t="shared" si="26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8" t="s">
        <v>75</v>
      </c>
      <c r="P1396" s="48">
        <f>HEX2DEC(RIGHT(Table13232127535863[[#This Row],[h1]],8))</f>
        <v>0</v>
      </c>
      <c r="Q1396" s="48" t="s">
        <v>75</v>
      </c>
      <c r="R1396" s="48">
        <f>HEX2DEC(RIGHT(Table13232127535863[[#This Row],[h2]],8))</f>
        <v>0</v>
      </c>
    </row>
    <row r="1397" spans="1:18">
      <c r="A1397" s="15" t="str">
        <f t="shared" si="26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8" t="s">
        <v>75</v>
      </c>
      <c r="P1397" s="48">
        <f>HEX2DEC(RIGHT(Table13232127535863[[#This Row],[h1]],8))</f>
        <v>0</v>
      </c>
      <c r="Q1397" s="48" t="s">
        <v>75</v>
      </c>
      <c r="R1397" s="48">
        <f>HEX2DEC(RIGHT(Table13232127535863[[#This Row],[h2]],8))</f>
        <v>0</v>
      </c>
    </row>
    <row r="1398" spans="1:18">
      <c r="A1398" s="15" t="str">
        <f t="shared" si="26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8" t="s">
        <v>75</v>
      </c>
      <c r="P1398" s="48">
        <f>HEX2DEC(RIGHT(Table13232127535863[[#This Row],[h1]],8))</f>
        <v>0</v>
      </c>
      <c r="Q1398" s="48" t="s">
        <v>75</v>
      </c>
      <c r="R1398" s="48">
        <f>HEX2DEC(RIGHT(Table13232127535863[[#This Row],[h2]],8))</f>
        <v>0</v>
      </c>
    </row>
    <row r="1399" spans="1:18">
      <c r="A1399" s="15" t="str">
        <f t="shared" si="26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8" t="s">
        <v>75</v>
      </c>
      <c r="P1399" s="48">
        <f>HEX2DEC(RIGHT(Table13232127535863[[#This Row],[h1]],8))</f>
        <v>0</v>
      </c>
      <c r="Q1399" s="48" t="s">
        <v>75</v>
      </c>
      <c r="R1399" s="48">
        <f>HEX2DEC(RIGHT(Table13232127535863[[#This Row],[h2]],8))</f>
        <v>0</v>
      </c>
    </row>
    <row r="1400" spans="1:18">
      <c r="A1400" s="15" t="str">
        <f t="shared" si="26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8" t="s">
        <v>75</v>
      </c>
      <c r="P1400" s="48">
        <f>HEX2DEC(RIGHT(Table13232127535863[[#This Row],[h1]],8))</f>
        <v>0</v>
      </c>
      <c r="Q1400" s="48" t="s">
        <v>75</v>
      </c>
      <c r="R1400" s="48">
        <f>HEX2DEC(RIGHT(Table13232127535863[[#This Row],[h2]],8))</f>
        <v>0</v>
      </c>
    </row>
    <row r="1401" spans="1:18">
      <c r="A1401" s="15" t="str">
        <f t="shared" si="26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8" t="s">
        <v>75</v>
      </c>
      <c r="P1401" s="48">
        <f>HEX2DEC(RIGHT(Table13232127535863[[#This Row],[h1]],8))</f>
        <v>0</v>
      </c>
      <c r="Q1401" s="48" t="s">
        <v>75</v>
      </c>
      <c r="R1401" s="48">
        <f>HEX2DEC(RIGHT(Table13232127535863[[#This Row],[h2]],8))</f>
        <v>0</v>
      </c>
    </row>
    <row r="1402" spans="1:18">
      <c r="A1402" s="15" t="str">
        <f t="shared" si="26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8" t="s">
        <v>75</v>
      </c>
      <c r="P1402" s="48">
        <f>HEX2DEC(RIGHT(Table13232127535863[[#This Row],[h1]],8))</f>
        <v>0</v>
      </c>
      <c r="Q1402" s="48" t="s">
        <v>75</v>
      </c>
      <c r="R1402" s="48">
        <f>HEX2DEC(RIGHT(Table13232127535863[[#This Row],[h2]],8))</f>
        <v>0</v>
      </c>
    </row>
    <row r="1403" spans="1:18">
      <c r="A1403" s="15" t="str">
        <f t="shared" si="26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8" t="s">
        <v>75</v>
      </c>
      <c r="P1403" s="48">
        <f>HEX2DEC(RIGHT(Table13232127535863[[#This Row],[h1]],8))</f>
        <v>0</v>
      </c>
      <c r="Q1403" s="48" t="s">
        <v>75</v>
      </c>
      <c r="R1403" s="48">
        <f>HEX2DEC(RIGHT(Table13232127535863[[#This Row],[h2]],8))</f>
        <v>0</v>
      </c>
    </row>
    <row r="1404" spans="1:18">
      <c r="A1404" s="15" t="str">
        <f t="shared" si="26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8" t="s">
        <v>75</v>
      </c>
      <c r="P1404" s="48">
        <f>HEX2DEC(RIGHT(Table13232127535863[[#This Row],[h1]],8))</f>
        <v>0</v>
      </c>
      <c r="Q1404" s="48" t="s">
        <v>75</v>
      </c>
      <c r="R1404" s="48">
        <f>HEX2DEC(RIGHT(Table13232127535863[[#This Row],[h2]],8))</f>
        <v>0</v>
      </c>
    </row>
    <row r="1405" spans="1:18">
      <c r="A1405" s="15" t="str">
        <f t="shared" si="26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8" t="s">
        <v>75</v>
      </c>
      <c r="P1405" s="48">
        <f>HEX2DEC(RIGHT(Table13232127535863[[#This Row],[h1]],8))</f>
        <v>0</v>
      </c>
      <c r="Q1405" s="48" t="s">
        <v>75</v>
      </c>
      <c r="R1405" s="48">
        <f>HEX2DEC(RIGHT(Table13232127535863[[#This Row],[h2]],8))</f>
        <v>0</v>
      </c>
    </row>
    <row r="1406" spans="1:18">
      <c r="A1406" s="15" t="str">
        <f t="shared" si="26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8" t="s">
        <v>75</v>
      </c>
      <c r="P1406" s="48">
        <f>HEX2DEC(RIGHT(Table13232127535863[[#This Row],[h1]],8))</f>
        <v>0</v>
      </c>
      <c r="Q1406" s="48" t="s">
        <v>75</v>
      </c>
      <c r="R1406" s="48">
        <f>HEX2DEC(RIGHT(Table13232127535863[[#This Row],[h2]],8))</f>
        <v>0</v>
      </c>
    </row>
    <row r="1407" spans="1:18">
      <c r="A1407" s="15" t="str">
        <f t="shared" si="26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8" t="s">
        <v>75</v>
      </c>
      <c r="P1407" s="48">
        <f>HEX2DEC(RIGHT(Table13232127535863[[#This Row],[h1]],8))</f>
        <v>0</v>
      </c>
      <c r="Q1407" s="48" t="s">
        <v>75</v>
      </c>
      <c r="R1407" s="48">
        <f>HEX2DEC(RIGHT(Table13232127535863[[#This Row],[h2]],8))</f>
        <v>0</v>
      </c>
    </row>
    <row r="1408" spans="1:18">
      <c r="A1408" s="15" t="str">
        <f t="shared" si="26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8" t="s">
        <v>75</v>
      </c>
      <c r="P1408" s="48">
        <f>HEX2DEC(RIGHT(Table13232127535863[[#This Row],[h1]],8))</f>
        <v>0</v>
      </c>
      <c r="Q1408" s="48" t="s">
        <v>75</v>
      </c>
      <c r="R1408" s="48">
        <f>HEX2DEC(RIGHT(Table13232127535863[[#This Row],[h2]],8))</f>
        <v>0</v>
      </c>
    </row>
    <row r="1409" spans="1:18">
      <c r="A1409" s="15" t="str">
        <f t="shared" si="26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8" t="s">
        <v>75</v>
      </c>
      <c r="P1409" s="48">
        <f>HEX2DEC(RIGHT(Table13232127535863[[#This Row],[h1]],8))</f>
        <v>0</v>
      </c>
      <c r="Q1409" s="48" t="s">
        <v>75</v>
      </c>
      <c r="R1409" s="48">
        <f>HEX2DEC(RIGHT(Table13232127535863[[#This Row],[h2]],8))</f>
        <v>0</v>
      </c>
    </row>
    <row r="1410" spans="1:18">
      <c r="A1410" s="15" t="str">
        <f t="shared" si="26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8" t="s">
        <v>75</v>
      </c>
      <c r="P1410" s="48">
        <f>HEX2DEC(RIGHT(Table13232127535863[[#This Row],[h1]],8))</f>
        <v>0</v>
      </c>
      <c r="Q1410" s="48" t="s">
        <v>75</v>
      </c>
      <c r="R1410" s="48">
        <f>HEX2DEC(RIGHT(Table13232127535863[[#This Row],[h2]],8))</f>
        <v>0</v>
      </c>
    </row>
    <row r="1411" spans="1:18">
      <c r="A1411" s="15" t="str">
        <f t="shared" si="26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8" t="s">
        <v>75</v>
      </c>
      <c r="P1411" s="48">
        <f>HEX2DEC(RIGHT(Table13232127535863[[#This Row],[h1]],8))</f>
        <v>0</v>
      </c>
      <c r="Q1411" s="48" t="s">
        <v>75</v>
      </c>
      <c r="R1411" s="48">
        <f>HEX2DEC(RIGHT(Table13232127535863[[#This Row],[h2]],8))</f>
        <v>0</v>
      </c>
    </row>
    <row r="1412" spans="1:18">
      <c r="A1412" s="15" t="str">
        <f t="shared" si="26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8" t="s">
        <v>75</v>
      </c>
      <c r="P1412" s="48">
        <f>HEX2DEC(RIGHT(Table13232127535863[[#This Row],[h1]],8))</f>
        <v>0</v>
      </c>
      <c r="Q1412" s="48" t="s">
        <v>75</v>
      </c>
      <c r="R1412" s="48">
        <f>HEX2DEC(RIGHT(Table13232127535863[[#This Row],[h2]],8))</f>
        <v>0</v>
      </c>
    </row>
    <row r="1413" spans="1:18">
      <c r="A1413" s="15" t="str">
        <f t="shared" si="26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8" t="s">
        <v>75</v>
      </c>
      <c r="P1413" s="48">
        <f>HEX2DEC(RIGHT(Table13232127535863[[#This Row],[h1]],8))</f>
        <v>0</v>
      </c>
      <c r="Q1413" s="48" t="s">
        <v>75</v>
      </c>
      <c r="R1413" s="48">
        <f>HEX2DEC(RIGHT(Table13232127535863[[#This Row],[h2]],8))</f>
        <v>0</v>
      </c>
    </row>
    <row r="1414" spans="1:18">
      <c r="A1414" s="15" t="str">
        <f t="shared" si="26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8" t="s">
        <v>75</v>
      </c>
      <c r="P1414" s="48">
        <f>HEX2DEC(RIGHT(Table13232127535863[[#This Row],[h1]],8))</f>
        <v>0</v>
      </c>
      <c r="Q1414" s="48" t="s">
        <v>75</v>
      </c>
      <c r="R1414" s="48">
        <f>HEX2DEC(RIGHT(Table13232127535863[[#This Row],[h2]],8))</f>
        <v>0</v>
      </c>
    </row>
    <row r="1415" spans="1:18">
      <c r="A1415" s="15" t="str">
        <f t="shared" si="26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8" t="s">
        <v>75</v>
      </c>
      <c r="P1415" s="48">
        <f>HEX2DEC(RIGHT(Table13232127535863[[#This Row],[h1]],8))</f>
        <v>0</v>
      </c>
      <c r="Q1415" s="48" t="s">
        <v>75</v>
      </c>
      <c r="R1415" s="48">
        <f>HEX2DEC(RIGHT(Table13232127535863[[#This Row],[h2]],8))</f>
        <v>0</v>
      </c>
    </row>
    <row r="1416" spans="1:18">
      <c r="A1416" s="15" t="str">
        <f t="shared" si="26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8" t="s">
        <v>75</v>
      </c>
      <c r="P1416" s="48">
        <f>HEX2DEC(RIGHT(Table13232127535863[[#This Row],[h1]],8))</f>
        <v>0</v>
      </c>
      <c r="Q1416" s="48" t="s">
        <v>75</v>
      </c>
      <c r="R1416" s="48">
        <f>HEX2DEC(RIGHT(Table13232127535863[[#This Row],[h2]],8))</f>
        <v>0</v>
      </c>
    </row>
    <row r="1417" spans="1:18">
      <c r="A1417" s="15" t="str">
        <f t="shared" si="26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8" t="s">
        <v>75</v>
      </c>
      <c r="P1417" s="48">
        <f>HEX2DEC(RIGHT(Table13232127535863[[#This Row],[h1]],8))</f>
        <v>0</v>
      </c>
      <c r="Q1417" s="48" t="s">
        <v>75</v>
      </c>
      <c r="R1417" s="48">
        <f>HEX2DEC(RIGHT(Table13232127535863[[#This Row],[h2]],8))</f>
        <v>0</v>
      </c>
    </row>
    <row r="1418" spans="1:18">
      <c r="A1418" s="15" t="str">
        <f t="shared" si="26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8" t="s">
        <v>75</v>
      </c>
      <c r="P1418" s="48">
        <f>HEX2DEC(RIGHT(Table13232127535863[[#This Row],[h1]],8))</f>
        <v>0</v>
      </c>
      <c r="Q1418" s="48" t="s">
        <v>75</v>
      </c>
      <c r="R1418" s="48">
        <f>HEX2DEC(RIGHT(Table13232127535863[[#This Row],[h2]],8))</f>
        <v>0</v>
      </c>
    </row>
    <row r="1419" spans="1:18">
      <c r="A1419" s="15" t="str">
        <f t="shared" ref="A1419:A1482" si="27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8" t="s">
        <v>75</v>
      </c>
      <c r="P1419" s="48">
        <f>HEX2DEC(RIGHT(Table13232127535863[[#This Row],[h1]],8))</f>
        <v>0</v>
      </c>
      <c r="Q1419" s="48" t="s">
        <v>75</v>
      </c>
      <c r="R1419" s="48">
        <f>HEX2DEC(RIGHT(Table13232127535863[[#This Row],[h2]],8))</f>
        <v>0</v>
      </c>
    </row>
    <row r="1420" spans="1:18">
      <c r="A1420" s="15" t="str">
        <f t="shared" si="27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8" t="s">
        <v>75</v>
      </c>
      <c r="P1420" s="48">
        <f>HEX2DEC(RIGHT(Table13232127535863[[#This Row],[h1]],8))</f>
        <v>0</v>
      </c>
      <c r="Q1420" s="48" t="s">
        <v>75</v>
      </c>
      <c r="R1420" s="48">
        <f>HEX2DEC(RIGHT(Table13232127535863[[#This Row],[h2]],8))</f>
        <v>0</v>
      </c>
    </row>
    <row r="1421" spans="1:18">
      <c r="A1421" s="15" t="str">
        <f t="shared" si="27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8" t="s">
        <v>75</v>
      </c>
      <c r="P1421" s="48">
        <f>HEX2DEC(RIGHT(Table13232127535863[[#This Row],[h1]],8))</f>
        <v>0</v>
      </c>
      <c r="Q1421" s="48" t="s">
        <v>75</v>
      </c>
      <c r="R1421" s="48">
        <f>HEX2DEC(RIGHT(Table13232127535863[[#This Row],[h2]],8))</f>
        <v>0</v>
      </c>
    </row>
    <row r="1422" spans="1:18">
      <c r="A1422" s="15" t="str">
        <f t="shared" si="27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8" t="s">
        <v>75</v>
      </c>
      <c r="P1422" s="48">
        <f>HEX2DEC(RIGHT(Table13232127535863[[#This Row],[h1]],8))</f>
        <v>0</v>
      </c>
      <c r="Q1422" s="48" t="s">
        <v>75</v>
      </c>
      <c r="R1422" s="48">
        <f>HEX2DEC(RIGHT(Table13232127535863[[#This Row],[h2]],8))</f>
        <v>0</v>
      </c>
    </row>
    <row r="1423" spans="1:18">
      <c r="A1423" s="15" t="str">
        <f t="shared" si="27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8" t="s">
        <v>75</v>
      </c>
      <c r="P1423" s="48">
        <f>HEX2DEC(RIGHT(Table13232127535863[[#This Row],[h1]],8))</f>
        <v>0</v>
      </c>
      <c r="Q1423" s="48" t="s">
        <v>75</v>
      </c>
      <c r="R1423" s="48">
        <f>HEX2DEC(RIGHT(Table13232127535863[[#This Row],[h2]],8))</f>
        <v>0</v>
      </c>
    </row>
    <row r="1424" spans="1:18">
      <c r="A1424" s="15" t="str">
        <f t="shared" si="27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8" t="s">
        <v>75</v>
      </c>
      <c r="P1424" s="48">
        <f>HEX2DEC(RIGHT(Table13232127535863[[#This Row],[h1]],8))</f>
        <v>0</v>
      </c>
      <c r="Q1424" s="48" t="s">
        <v>75</v>
      </c>
      <c r="R1424" s="48">
        <f>HEX2DEC(RIGHT(Table13232127535863[[#This Row],[h2]],8))</f>
        <v>0</v>
      </c>
    </row>
    <row r="1425" spans="1:18">
      <c r="A1425" s="15" t="str">
        <f t="shared" si="27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8" t="s">
        <v>75</v>
      </c>
      <c r="P1425" s="48">
        <f>HEX2DEC(RIGHT(Table13232127535863[[#This Row],[h1]],8))</f>
        <v>0</v>
      </c>
      <c r="Q1425" s="48" t="s">
        <v>75</v>
      </c>
      <c r="R1425" s="48">
        <f>HEX2DEC(RIGHT(Table13232127535863[[#This Row],[h2]],8))</f>
        <v>0</v>
      </c>
    </row>
    <row r="1426" spans="1:18">
      <c r="A1426" s="15" t="str">
        <f t="shared" si="27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8" t="s">
        <v>75</v>
      </c>
      <c r="P1426" s="48">
        <f>HEX2DEC(RIGHT(Table13232127535863[[#This Row],[h1]],8))</f>
        <v>0</v>
      </c>
      <c r="Q1426" s="48" t="s">
        <v>75</v>
      </c>
      <c r="R1426" s="48">
        <f>HEX2DEC(RIGHT(Table13232127535863[[#This Row],[h2]],8))</f>
        <v>0</v>
      </c>
    </row>
    <row r="1427" spans="1:18">
      <c r="A1427" s="15" t="str">
        <f t="shared" si="27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8" t="s">
        <v>75</v>
      </c>
      <c r="P1427" s="48">
        <f>HEX2DEC(RIGHT(Table13232127535863[[#This Row],[h1]],8))</f>
        <v>0</v>
      </c>
      <c r="Q1427" s="48" t="s">
        <v>75</v>
      </c>
      <c r="R1427" s="48">
        <f>HEX2DEC(RIGHT(Table13232127535863[[#This Row],[h2]],8))</f>
        <v>0</v>
      </c>
    </row>
    <row r="1428" spans="1:18">
      <c r="A1428" s="15" t="str">
        <f t="shared" si="27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8" t="s">
        <v>75</v>
      </c>
      <c r="P1428" s="48">
        <f>HEX2DEC(RIGHT(Table13232127535863[[#This Row],[h1]],8))</f>
        <v>0</v>
      </c>
      <c r="Q1428" s="48" t="s">
        <v>75</v>
      </c>
      <c r="R1428" s="48">
        <f>HEX2DEC(RIGHT(Table13232127535863[[#This Row],[h2]],8))</f>
        <v>0</v>
      </c>
    </row>
    <row r="1429" spans="1:18">
      <c r="A1429" s="15" t="str">
        <f t="shared" si="27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8" t="s">
        <v>75</v>
      </c>
      <c r="P1429" s="48">
        <f>HEX2DEC(RIGHT(Table13232127535863[[#This Row],[h1]],8))</f>
        <v>0</v>
      </c>
      <c r="Q1429" s="48" t="s">
        <v>75</v>
      </c>
      <c r="R1429" s="48">
        <f>HEX2DEC(RIGHT(Table13232127535863[[#This Row],[h2]],8))</f>
        <v>0</v>
      </c>
    </row>
    <row r="1430" spans="1:18">
      <c r="A1430" s="15" t="str">
        <f t="shared" si="27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8" t="s">
        <v>75</v>
      </c>
      <c r="P1430" s="48">
        <f>HEX2DEC(RIGHT(Table13232127535863[[#This Row],[h1]],8))</f>
        <v>0</v>
      </c>
      <c r="Q1430" s="48" t="s">
        <v>75</v>
      </c>
      <c r="R1430" s="48">
        <f>HEX2DEC(RIGHT(Table13232127535863[[#This Row],[h2]],8))</f>
        <v>0</v>
      </c>
    </row>
    <row r="1431" spans="1:18">
      <c r="A1431" s="15" t="str">
        <f t="shared" si="27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8" t="s">
        <v>75</v>
      </c>
      <c r="P1431" s="48">
        <f>HEX2DEC(RIGHT(Table13232127535863[[#This Row],[h1]],8))</f>
        <v>0</v>
      </c>
      <c r="Q1431" s="48" t="s">
        <v>75</v>
      </c>
      <c r="R1431" s="48">
        <f>HEX2DEC(RIGHT(Table13232127535863[[#This Row],[h2]],8))</f>
        <v>0</v>
      </c>
    </row>
    <row r="1432" spans="1:18">
      <c r="A1432" s="15" t="str">
        <f t="shared" si="27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8" t="s">
        <v>75</v>
      </c>
      <c r="P1432" s="48">
        <f>HEX2DEC(RIGHT(Table13232127535863[[#This Row],[h1]],8))</f>
        <v>0</v>
      </c>
      <c r="Q1432" s="48" t="s">
        <v>75</v>
      </c>
      <c r="R1432" s="48">
        <f>HEX2DEC(RIGHT(Table13232127535863[[#This Row],[h2]],8))</f>
        <v>0</v>
      </c>
    </row>
    <row r="1433" spans="1:18">
      <c r="A1433" s="15" t="str">
        <f t="shared" si="27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8" t="s">
        <v>75</v>
      </c>
      <c r="P1433" s="48">
        <f>HEX2DEC(RIGHT(Table13232127535863[[#This Row],[h1]],8))</f>
        <v>0</v>
      </c>
      <c r="Q1433" s="48" t="s">
        <v>75</v>
      </c>
      <c r="R1433" s="48">
        <f>HEX2DEC(RIGHT(Table13232127535863[[#This Row],[h2]],8))</f>
        <v>0</v>
      </c>
    </row>
    <row r="1434" spans="1:18">
      <c r="A1434" s="15" t="str">
        <f t="shared" si="27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8" t="s">
        <v>75</v>
      </c>
      <c r="P1434" s="48">
        <f>HEX2DEC(RIGHT(Table13232127535863[[#This Row],[h1]],8))</f>
        <v>0</v>
      </c>
      <c r="Q1434" s="48" t="s">
        <v>75</v>
      </c>
      <c r="R1434" s="48">
        <f>HEX2DEC(RIGHT(Table13232127535863[[#This Row],[h2]],8))</f>
        <v>0</v>
      </c>
    </row>
    <row r="1435" spans="1:18">
      <c r="A1435" s="15" t="str">
        <f t="shared" si="27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8" t="s">
        <v>75</v>
      </c>
      <c r="P1435" s="48">
        <f>HEX2DEC(RIGHT(Table13232127535863[[#This Row],[h1]],8))</f>
        <v>0</v>
      </c>
      <c r="Q1435" s="48" t="s">
        <v>75</v>
      </c>
      <c r="R1435" s="48">
        <f>HEX2DEC(RIGHT(Table13232127535863[[#This Row],[h2]],8))</f>
        <v>0</v>
      </c>
    </row>
    <row r="1436" spans="1:18">
      <c r="A1436" s="15" t="str">
        <f t="shared" si="27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8" t="s">
        <v>75</v>
      </c>
      <c r="P1436" s="48">
        <f>HEX2DEC(RIGHT(Table13232127535863[[#This Row],[h1]],8))</f>
        <v>0</v>
      </c>
      <c r="Q1436" s="48" t="s">
        <v>75</v>
      </c>
      <c r="R1436" s="48">
        <f>HEX2DEC(RIGHT(Table13232127535863[[#This Row],[h2]],8))</f>
        <v>0</v>
      </c>
    </row>
    <row r="1437" spans="1:18">
      <c r="A1437" s="15" t="str">
        <f t="shared" si="27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8" t="s">
        <v>75</v>
      </c>
      <c r="P1437" s="48">
        <f>HEX2DEC(RIGHT(Table13232127535863[[#This Row],[h1]],8))</f>
        <v>0</v>
      </c>
      <c r="Q1437" s="48" t="s">
        <v>75</v>
      </c>
      <c r="R1437" s="48">
        <f>HEX2DEC(RIGHT(Table13232127535863[[#This Row],[h2]],8))</f>
        <v>0</v>
      </c>
    </row>
    <row r="1438" spans="1:18">
      <c r="A1438" s="15" t="str">
        <f t="shared" si="27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8" t="s">
        <v>75</v>
      </c>
      <c r="P1438" s="48">
        <f>HEX2DEC(RIGHT(Table13232127535863[[#This Row],[h1]],8))</f>
        <v>0</v>
      </c>
      <c r="Q1438" s="48" t="s">
        <v>75</v>
      </c>
      <c r="R1438" s="48">
        <f>HEX2DEC(RIGHT(Table13232127535863[[#This Row],[h2]],8))</f>
        <v>0</v>
      </c>
    </row>
    <row r="1439" spans="1:18">
      <c r="A1439" s="15" t="str">
        <f t="shared" si="27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8" t="s">
        <v>75</v>
      </c>
      <c r="P1439" s="48">
        <f>HEX2DEC(RIGHT(Table13232127535863[[#This Row],[h1]],8))</f>
        <v>0</v>
      </c>
      <c r="Q1439" s="48" t="s">
        <v>75</v>
      </c>
      <c r="R1439" s="48">
        <f>HEX2DEC(RIGHT(Table13232127535863[[#This Row],[h2]],8))</f>
        <v>0</v>
      </c>
    </row>
    <row r="1440" spans="1:18">
      <c r="A1440" s="15" t="str">
        <f t="shared" si="27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8" t="s">
        <v>75</v>
      </c>
      <c r="P1440" s="48">
        <f>HEX2DEC(RIGHT(Table13232127535863[[#This Row],[h1]],8))</f>
        <v>0</v>
      </c>
      <c r="Q1440" s="48" t="s">
        <v>75</v>
      </c>
      <c r="R1440" s="48">
        <f>HEX2DEC(RIGHT(Table13232127535863[[#This Row],[h2]],8))</f>
        <v>0</v>
      </c>
    </row>
    <row r="1441" spans="1:18">
      <c r="A1441" s="15" t="str">
        <f t="shared" si="27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8" t="s">
        <v>75</v>
      </c>
      <c r="P1441" s="48">
        <f>HEX2DEC(RIGHT(Table13232127535863[[#This Row],[h1]],8))</f>
        <v>0</v>
      </c>
      <c r="Q1441" s="48" t="s">
        <v>75</v>
      </c>
      <c r="R1441" s="48">
        <f>HEX2DEC(RIGHT(Table13232127535863[[#This Row],[h2]],8))</f>
        <v>0</v>
      </c>
    </row>
    <row r="1442" spans="1:18">
      <c r="A1442" s="15" t="str">
        <f t="shared" si="27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8" t="s">
        <v>75</v>
      </c>
      <c r="P1442" s="48">
        <f>HEX2DEC(RIGHT(Table13232127535863[[#This Row],[h1]],8))</f>
        <v>0</v>
      </c>
      <c r="Q1442" s="48" t="s">
        <v>75</v>
      </c>
      <c r="R1442" s="48">
        <f>HEX2DEC(RIGHT(Table13232127535863[[#This Row],[h2]],8))</f>
        <v>0</v>
      </c>
    </row>
    <row r="1443" spans="1:18">
      <c r="A1443" s="15" t="str">
        <f t="shared" si="27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8" t="s">
        <v>75</v>
      </c>
      <c r="P1443" s="48">
        <f>HEX2DEC(RIGHT(Table13232127535863[[#This Row],[h1]],8))</f>
        <v>0</v>
      </c>
      <c r="Q1443" s="48" t="s">
        <v>75</v>
      </c>
      <c r="R1443" s="48">
        <f>HEX2DEC(RIGHT(Table13232127535863[[#This Row],[h2]],8))</f>
        <v>0</v>
      </c>
    </row>
    <row r="1444" spans="1:18">
      <c r="A1444" s="15" t="str">
        <f t="shared" si="27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8" t="s">
        <v>75</v>
      </c>
      <c r="P1444" s="48">
        <f>HEX2DEC(RIGHT(Table13232127535863[[#This Row],[h1]],8))</f>
        <v>0</v>
      </c>
      <c r="Q1444" s="48" t="s">
        <v>75</v>
      </c>
      <c r="R1444" s="48">
        <f>HEX2DEC(RIGHT(Table13232127535863[[#This Row],[h2]],8))</f>
        <v>0</v>
      </c>
    </row>
    <row r="1445" spans="1:18">
      <c r="A1445" s="15" t="str">
        <f t="shared" si="27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8" t="s">
        <v>75</v>
      </c>
      <c r="P1445" s="48">
        <f>HEX2DEC(RIGHT(Table13232127535863[[#This Row],[h1]],8))</f>
        <v>0</v>
      </c>
      <c r="Q1445" s="48" t="s">
        <v>75</v>
      </c>
      <c r="R1445" s="48">
        <f>HEX2DEC(RIGHT(Table13232127535863[[#This Row],[h2]],8))</f>
        <v>0</v>
      </c>
    </row>
    <row r="1446" spans="1:18">
      <c r="A1446" s="15" t="str">
        <f t="shared" si="27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8" t="s">
        <v>75</v>
      </c>
      <c r="P1446" s="48">
        <f>HEX2DEC(RIGHT(Table13232127535863[[#This Row],[h1]],8))</f>
        <v>0</v>
      </c>
      <c r="Q1446" s="48" t="s">
        <v>75</v>
      </c>
      <c r="R1446" s="48">
        <f>HEX2DEC(RIGHT(Table13232127535863[[#This Row],[h2]],8))</f>
        <v>0</v>
      </c>
    </row>
    <row r="1447" spans="1:18">
      <c r="A1447" s="15" t="str">
        <f t="shared" si="27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8" t="s">
        <v>75</v>
      </c>
      <c r="P1447" s="48">
        <f>HEX2DEC(RIGHT(Table13232127535863[[#This Row],[h1]],8))</f>
        <v>0</v>
      </c>
      <c r="Q1447" s="48" t="s">
        <v>75</v>
      </c>
      <c r="R1447" s="48">
        <f>HEX2DEC(RIGHT(Table13232127535863[[#This Row],[h2]],8))</f>
        <v>0</v>
      </c>
    </row>
    <row r="1448" spans="1:18">
      <c r="A1448" s="15" t="str">
        <f t="shared" si="27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8" t="s">
        <v>75</v>
      </c>
      <c r="P1448" s="48">
        <f>HEX2DEC(RIGHT(Table13232127535863[[#This Row],[h1]],8))</f>
        <v>0</v>
      </c>
      <c r="Q1448" s="48" t="s">
        <v>75</v>
      </c>
      <c r="R1448" s="48">
        <f>HEX2DEC(RIGHT(Table13232127535863[[#This Row],[h2]],8))</f>
        <v>0</v>
      </c>
    </row>
    <row r="1449" spans="1:18">
      <c r="A1449" s="15" t="str">
        <f t="shared" si="27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8" t="s">
        <v>75</v>
      </c>
      <c r="P1449" s="48">
        <f>HEX2DEC(RIGHT(Table13232127535863[[#This Row],[h1]],8))</f>
        <v>0</v>
      </c>
      <c r="Q1449" s="48" t="s">
        <v>75</v>
      </c>
      <c r="R1449" s="48">
        <f>HEX2DEC(RIGHT(Table13232127535863[[#This Row],[h2]],8))</f>
        <v>0</v>
      </c>
    </row>
    <row r="1450" spans="1:18">
      <c r="A1450" s="15" t="str">
        <f t="shared" si="27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8" t="s">
        <v>75</v>
      </c>
      <c r="P1450" s="48">
        <f>HEX2DEC(RIGHT(Table13232127535863[[#This Row],[h1]],8))</f>
        <v>0</v>
      </c>
      <c r="Q1450" s="48" t="s">
        <v>75</v>
      </c>
      <c r="R1450" s="48">
        <f>HEX2DEC(RIGHT(Table13232127535863[[#This Row],[h2]],8))</f>
        <v>0</v>
      </c>
    </row>
    <row r="1451" spans="1:18">
      <c r="A1451" s="15" t="str">
        <f t="shared" si="27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8" t="s">
        <v>75</v>
      </c>
      <c r="P1451" s="48">
        <f>HEX2DEC(RIGHT(Table13232127535863[[#This Row],[h1]],8))</f>
        <v>0</v>
      </c>
      <c r="Q1451" s="48" t="s">
        <v>75</v>
      </c>
      <c r="R1451" s="48">
        <f>HEX2DEC(RIGHT(Table13232127535863[[#This Row],[h2]],8))</f>
        <v>0</v>
      </c>
    </row>
    <row r="1452" spans="1:18">
      <c r="A1452" s="15" t="str">
        <f t="shared" si="27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8" t="s">
        <v>75</v>
      </c>
      <c r="P1452" s="48">
        <f>HEX2DEC(RIGHT(Table13232127535863[[#This Row],[h1]],8))</f>
        <v>0</v>
      </c>
      <c r="Q1452" s="48" t="s">
        <v>75</v>
      </c>
      <c r="R1452" s="48">
        <f>HEX2DEC(RIGHT(Table13232127535863[[#This Row],[h2]],8))</f>
        <v>0</v>
      </c>
    </row>
    <row r="1453" spans="1:18">
      <c r="A1453" s="15" t="str">
        <f t="shared" si="27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8" t="s">
        <v>75</v>
      </c>
      <c r="P1453" s="48">
        <f>HEX2DEC(RIGHT(Table13232127535863[[#This Row],[h1]],8))</f>
        <v>0</v>
      </c>
      <c r="Q1453" s="48" t="s">
        <v>75</v>
      </c>
      <c r="R1453" s="48">
        <f>HEX2DEC(RIGHT(Table13232127535863[[#This Row],[h2]],8))</f>
        <v>0</v>
      </c>
    </row>
    <row r="1454" spans="1:18">
      <c r="A1454" s="15" t="str">
        <f t="shared" si="27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8" t="s">
        <v>75</v>
      </c>
      <c r="P1454" s="48">
        <f>HEX2DEC(RIGHT(Table13232127535863[[#This Row],[h1]],8))</f>
        <v>0</v>
      </c>
      <c r="Q1454" s="48" t="s">
        <v>75</v>
      </c>
      <c r="R1454" s="48">
        <f>HEX2DEC(RIGHT(Table13232127535863[[#This Row],[h2]],8))</f>
        <v>0</v>
      </c>
    </row>
    <row r="1455" spans="1:18">
      <c r="A1455" s="15" t="str">
        <f t="shared" si="27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8" t="s">
        <v>75</v>
      </c>
      <c r="P1455" s="48">
        <f>HEX2DEC(RIGHT(Table13232127535863[[#This Row],[h1]],8))</f>
        <v>0</v>
      </c>
      <c r="Q1455" s="48" t="s">
        <v>75</v>
      </c>
      <c r="R1455" s="48">
        <f>HEX2DEC(RIGHT(Table13232127535863[[#This Row],[h2]],8))</f>
        <v>0</v>
      </c>
    </row>
    <row r="1456" spans="1:18">
      <c r="A1456" s="15" t="str">
        <f t="shared" si="27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8" t="s">
        <v>75</v>
      </c>
      <c r="P1456" s="48">
        <f>HEX2DEC(RIGHT(Table13232127535863[[#This Row],[h1]],8))</f>
        <v>0</v>
      </c>
      <c r="Q1456" s="48" t="s">
        <v>75</v>
      </c>
      <c r="R1456" s="48">
        <f>HEX2DEC(RIGHT(Table13232127535863[[#This Row],[h2]],8))</f>
        <v>0</v>
      </c>
    </row>
    <row r="1457" spans="1:18">
      <c r="A1457" s="15" t="str">
        <f t="shared" si="27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8" t="s">
        <v>75</v>
      </c>
      <c r="P1457" s="48">
        <f>HEX2DEC(RIGHT(Table13232127535863[[#This Row],[h1]],8))</f>
        <v>0</v>
      </c>
      <c r="Q1457" s="48" t="s">
        <v>75</v>
      </c>
      <c r="R1457" s="48">
        <f>HEX2DEC(RIGHT(Table13232127535863[[#This Row],[h2]],8))</f>
        <v>0</v>
      </c>
    </row>
    <row r="1458" spans="1:18">
      <c r="A1458" s="15" t="str">
        <f t="shared" si="27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8" t="s">
        <v>75</v>
      </c>
      <c r="P1458" s="48">
        <f>HEX2DEC(RIGHT(Table13232127535863[[#This Row],[h1]],8))</f>
        <v>0</v>
      </c>
      <c r="Q1458" s="48" t="s">
        <v>75</v>
      </c>
      <c r="R1458" s="48">
        <f>HEX2DEC(RIGHT(Table13232127535863[[#This Row],[h2]],8))</f>
        <v>0</v>
      </c>
    </row>
    <row r="1459" spans="1:18">
      <c r="A1459" s="15" t="str">
        <f t="shared" si="27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8" t="s">
        <v>75</v>
      </c>
      <c r="P1459" s="48">
        <f>HEX2DEC(RIGHT(Table13232127535863[[#This Row],[h1]],8))</f>
        <v>0</v>
      </c>
      <c r="Q1459" s="48" t="s">
        <v>75</v>
      </c>
      <c r="R1459" s="48">
        <f>HEX2DEC(RIGHT(Table13232127535863[[#This Row],[h2]],8))</f>
        <v>0</v>
      </c>
    </row>
    <row r="1460" spans="1:18">
      <c r="A1460" s="15" t="str">
        <f t="shared" si="27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8" t="s">
        <v>75</v>
      </c>
      <c r="P1460" s="48">
        <f>HEX2DEC(RIGHT(Table13232127535863[[#This Row],[h1]],8))</f>
        <v>0</v>
      </c>
      <c r="Q1460" s="48" t="s">
        <v>75</v>
      </c>
      <c r="R1460" s="48">
        <f>HEX2DEC(RIGHT(Table13232127535863[[#This Row],[h2]],8))</f>
        <v>0</v>
      </c>
    </row>
    <row r="1461" spans="1:18">
      <c r="A1461" s="15" t="str">
        <f t="shared" si="27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8" t="s">
        <v>75</v>
      </c>
      <c r="P1461" s="48">
        <f>HEX2DEC(RIGHT(Table13232127535863[[#This Row],[h1]],8))</f>
        <v>0</v>
      </c>
      <c r="Q1461" s="48" t="s">
        <v>75</v>
      </c>
      <c r="R1461" s="48">
        <f>HEX2DEC(RIGHT(Table13232127535863[[#This Row],[h2]],8))</f>
        <v>0</v>
      </c>
    </row>
    <row r="1462" spans="1:18">
      <c r="A1462" s="15" t="str">
        <f t="shared" si="27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8" t="s">
        <v>75</v>
      </c>
      <c r="P1462" s="48">
        <f>HEX2DEC(RIGHT(Table13232127535863[[#This Row],[h1]],8))</f>
        <v>0</v>
      </c>
      <c r="Q1462" s="48" t="s">
        <v>75</v>
      </c>
      <c r="R1462" s="48">
        <f>HEX2DEC(RIGHT(Table13232127535863[[#This Row],[h2]],8))</f>
        <v>0</v>
      </c>
    </row>
    <row r="1463" spans="1:18">
      <c r="A1463" s="15" t="str">
        <f t="shared" si="27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8" t="s">
        <v>75</v>
      </c>
      <c r="P1463" s="48">
        <f>HEX2DEC(RIGHT(Table13232127535863[[#This Row],[h1]],8))</f>
        <v>0</v>
      </c>
      <c r="Q1463" s="48" t="s">
        <v>75</v>
      </c>
      <c r="R1463" s="48">
        <f>HEX2DEC(RIGHT(Table13232127535863[[#This Row],[h2]],8))</f>
        <v>0</v>
      </c>
    </row>
    <row r="1464" spans="1:18">
      <c r="A1464" s="15" t="str">
        <f t="shared" si="27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8" t="s">
        <v>75</v>
      </c>
      <c r="P1464" s="48">
        <f>HEX2DEC(RIGHT(Table13232127535863[[#This Row],[h1]],8))</f>
        <v>0</v>
      </c>
      <c r="Q1464" s="48" t="s">
        <v>75</v>
      </c>
      <c r="R1464" s="48">
        <f>HEX2DEC(RIGHT(Table13232127535863[[#This Row],[h2]],8))</f>
        <v>0</v>
      </c>
    </row>
    <row r="1465" spans="1:18">
      <c r="A1465" s="15" t="str">
        <f t="shared" si="27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8" t="s">
        <v>75</v>
      </c>
      <c r="P1465" s="48">
        <f>HEX2DEC(RIGHT(Table13232127535863[[#This Row],[h1]],8))</f>
        <v>0</v>
      </c>
      <c r="Q1465" s="48" t="s">
        <v>75</v>
      </c>
      <c r="R1465" s="48">
        <f>HEX2DEC(RIGHT(Table13232127535863[[#This Row],[h2]],8))</f>
        <v>0</v>
      </c>
    </row>
    <row r="1466" spans="1:18">
      <c r="A1466" s="15" t="str">
        <f t="shared" si="27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8" t="s">
        <v>75</v>
      </c>
      <c r="P1466" s="48">
        <f>HEX2DEC(RIGHT(Table13232127535863[[#This Row],[h1]],8))</f>
        <v>0</v>
      </c>
      <c r="Q1466" s="48" t="s">
        <v>75</v>
      </c>
      <c r="R1466" s="48">
        <f>HEX2DEC(RIGHT(Table13232127535863[[#This Row],[h2]],8))</f>
        <v>0</v>
      </c>
    </row>
    <row r="1467" spans="1:18">
      <c r="A1467" s="15" t="str">
        <f t="shared" si="27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8" t="s">
        <v>75</v>
      </c>
      <c r="P1467" s="48">
        <f>HEX2DEC(RIGHT(Table13232127535863[[#This Row],[h1]],8))</f>
        <v>0</v>
      </c>
      <c r="Q1467" s="48" t="s">
        <v>75</v>
      </c>
      <c r="R1467" s="48">
        <f>HEX2DEC(RIGHT(Table13232127535863[[#This Row],[h2]],8))</f>
        <v>0</v>
      </c>
    </row>
    <row r="1468" spans="1:18">
      <c r="A1468" s="15" t="str">
        <f t="shared" si="27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8" t="s">
        <v>75</v>
      </c>
      <c r="P1468" s="48">
        <f>HEX2DEC(RIGHT(Table13232127535863[[#This Row],[h1]],8))</f>
        <v>0</v>
      </c>
      <c r="Q1468" s="48" t="s">
        <v>75</v>
      </c>
      <c r="R1468" s="48">
        <f>HEX2DEC(RIGHT(Table13232127535863[[#This Row],[h2]],8))</f>
        <v>0</v>
      </c>
    </row>
    <row r="1469" spans="1:18">
      <c r="A1469" s="15" t="str">
        <f t="shared" si="27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8" t="s">
        <v>75</v>
      </c>
      <c r="P1469" s="48">
        <f>HEX2DEC(RIGHT(Table13232127535863[[#This Row],[h1]],8))</f>
        <v>0</v>
      </c>
      <c r="Q1469" s="48" t="s">
        <v>75</v>
      </c>
      <c r="R1469" s="48">
        <f>HEX2DEC(RIGHT(Table13232127535863[[#This Row],[h2]],8))</f>
        <v>0</v>
      </c>
    </row>
    <row r="1470" spans="1:18">
      <c r="A1470" s="15" t="str">
        <f t="shared" si="27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8" t="s">
        <v>75</v>
      </c>
      <c r="P1470" s="48">
        <f>HEX2DEC(RIGHT(Table13232127535863[[#This Row],[h1]],8))</f>
        <v>0</v>
      </c>
      <c r="Q1470" s="48" t="s">
        <v>75</v>
      </c>
      <c r="R1470" s="48">
        <f>HEX2DEC(RIGHT(Table13232127535863[[#This Row],[h2]],8))</f>
        <v>0</v>
      </c>
    </row>
    <row r="1471" spans="1:18">
      <c r="A1471" s="15" t="str">
        <f t="shared" si="27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8" t="s">
        <v>75</v>
      </c>
      <c r="P1471" s="48">
        <f>HEX2DEC(RIGHT(Table13232127535863[[#This Row],[h1]],8))</f>
        <v>0</v>
      </c>
      <c r="Q1471" s="48" t="s">
        <v>75</v>
      </c>
      <c r="R1471" s="48">
        <f>HEX2DEC(RIGHT(Table13232127535863[[#This Row],[h2]],8))</f>
        <v>0</v>
      </c>
    </row>
    <row r="1472" spans="1:18">
      <c r="A1472" s="15" t="str">
        <f t="shared" si="27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8" t="s">
        <v>75</v>
      </c>
      <c r="P1472" s="48">
        <f>HEX2DEC(RIGHT(Table13232127535863[[#This Row],[h1]],8))</f>
        <v>0</v>
      </c>
      <c r="Q1472" s="48" t="s">
        <v>75</v>
      </c>
      <c r="R1472" s="48">
        <f>HEX2DEC(RIGHT(Table13232127535863[[#This Row],[h2]],8))</f>
        <v>0</v>
      </c>
    </row>
    <row r="1473" spans="1:18">
      <c r="A1473" s="15" t="str">
        <f t="shared" si="27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8" t="s">
        <v>75</v>
      </c>
      <c r="P1473" s="48">
        <f>HEX2DEC(RIGHT(Table13232127535863[[#This Row],[h1]],8))</f>
        <v>0</v>
      </c>
      <c r="Q1473" s="48" t="s">
        <v>75</v>
      </c>
      <c r="R1473" s="48">
        <f>HEX2DEC(RIGHT(Table13232127535863[[#This Row],[h2]],8))</f>
        <v>0</v>
      </c>
    </row>
    <row r="1474" spans="1:18">
      <c r="A1474" s="15" t="str">
        <f t="shared" si="27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8" t="s">
        <v>75</v>
      </c>
      <c r="P1474" s="48">
        <f>HEX2DEC(RIGHT(Table13232127535863[[#This Row],[h1]],8))</f>
        <v>0</v>
      </c>
      <c r="Q1474" s="48" t="s">
        <v>75</v>
      </c>
      <c r="R1474" s="48">
        <f>HEX2DEC(RIGHT(Table13232127535863[[#This Row],[h2]],8))</f>
        <v>0</v>
      </c>
    </row>
    <row r="1475" spans="1:18">
      <c r="A1475" s="15" t="str">
        <f t="shared" si="27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8" t="s">
        <v>75</v>
      </c>
      <c r="P1475" s="48">
        <f>HEX2DEC(RIGHT(Table13232127535863[[#This Row],[h1]],8))</f>
        <v>0</v>
      </c>
      <c r="Q1475" s="48" t="s">
        <v>75</v>
      </c>
      <c r="R1475" s="48">
        <f>HEX2DEC(RIGHT(Table13232127535863[[#This Row],[h2]],8))</f>
        <v>0</v>
      </c>
    </row>
    <row r="1476" spans="1:18">
      <c r="A1476" s="15" t="str">
        <f t="shared" si="27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8" t="s">
        <v>75</v>
      </c>
      <c r="P1476" s="48">
        <f>HEX2DEC(RIGHT(Table13232127535863[[#This Row],[h1]],8))</f>
        <v>0</v>
      </c>
      <c r="Q1476" s="48" t="s">
        <v>75</v>
      </c>
      <c r="R1476" s="48">
        <f>HEX2DEC(RIGHT(Table13232127535863[[#This Row],[h2]],8))</f>
        <v>0</v>
      </c>
    </row>
    <row r="1477" spans="1:18">
      <c r="A1477" s="15" t="str">
        <f t="shared" si="27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8" t="s">
        <v>75</v>
      </c>
      <c r="P1477" s="48">
        <f>HEX2DEC(RIGHT(Table13232127535863[[#This Row],[h1]],8))</f>
        <v>0</v>
      </c>
      <c r="Q1477" s="48" t="s">
        <v>75</v>
      </c>
      <c r="R1477" s="48">
        <f>HEX2DEC(RIGHT(Table13232127535863[[#This Row],[h2]],8))</f>
        <v>0</v>
      </c>
    </row>
    <row r="1478" spans="1:18">
      <c r="A1478" s="15" t="str">
        <f t="shared" si="27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8" t="s">
        <v>75</v>
      </c>
      <c r="P1478" s="48">
        <f>HEX2DEC(RIGHT(Table13232127535863[[#This Row],[h1]],8))</f>
        <v>0</v>
      </c>
      <c r="Q1478" s="48" t="s">
        <v>75</v>
      </c>
      <c r="R1478" s="48">
        <f>HEX2DEC(RIGHT(Table13232127535863[[#This Row],[h2]],8))</f>
        <v>0</v>
      </c>
    </row>
    <row r="1479" spans="1:18">
      <c r="A1479" s="15" t="str">
        <f t="shared" si="27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8" t="s">
        <v>75</v>
      </c>
      <c r="P1479" s="48">
        <f>HEX2DEC(RIGHT(Table13232127535863[[#This Row],[h1]],8))</f>
        <v>0</v>
      </c>
      <c r="Q1479" s="48" t="s">
        <v>75</v>
      </c>
      <c r="R1479" s="48">
        <f>HEX2DEC(RIGHT(Table13232127535863[[#This Row],[h2]],8))</f>
        <v>0</v>
      </c>
    </row>
    <row r="1480" spans="1:18">
      <c r="A1480" s="15" t="str">
        <f t="shared" si="27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8" t="s">
        <v>75</v>
      </c>
      <c r="P1480" s="48">
        <f>HEX2DEC(RIGHT(Table13232127535863[[#This Row],[h1]],8))</f>
        <v>0</v>
      </c>
      <c r="Q1480" s="48" t="s">
        <v>75</v>
      </c>
      <c r="R1480" s="48">
        <f>HEX2DEC(RIGHT(Table13232127535863[[#This Row],[h2]],8))</f>
        <v>0</v>
      </c>
    </row>
    <row r="1481" spans="1:18">
      <c r="A1481" s="15" t="str">
        <f t="shared" si="27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8" t="s">
        <v>75</v>
      </c>
      <c r="P1481" s="48">
        <f>HEX2DEC(RIGHT(Table13232127535863[[#This Row],[h1]],8))</f>
        <v>0</v>
      </c>
      <c r="Q1481" s="48" t="s">
        <v>75</v>
      </c>
      <c r="R1481" s="48">
        <f>HEX2DEC(RIGHT(Table13232127535863[[#This Row],[h2]],8))</f>
        <v>0</v>
      </c>
    </row>
    <row r="1482" spans="1:18">
      <c r="A1482" s="15" t="str">
        <f t="shared" si="27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8" t="s">
        <v>75</v>
      </c>
      <c r="P1482" s="48">
        <f>HEX2DEC(RIGHT(Table13232127535863[[#This Row],[h1]],8))</f>
        <v>0</v>
      </c>
      <c r="Q1482" s="48" t="s">
        <v>75</v>
      </c>
      <c r="R1482" s="48">
        <f>HEX2DEC(RIGHT(Table13232127535863[[#This Row],[h2]],8))</f>
        <v>0</v>
      </c>
    </row>
    <row r="1483" spans="1:18">
      <c r="A1483" s="15" t="str">
        <f t="shared" ref="A1483:A1546" si="28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8" t="s">
        <v>75</v>
      </c>
      <c r="P1483" s="48">
        <f>HEX2DEC(RIGHT(Table13232127535863[[#This Row],[h1]],8))</f>
        <v>0</v>
      </c>
      <c r="Q1483" s="48" t="s">
        <v>75</v>
      </c>
      <c r="R1483" s="48">
        <f>HEX2DEC(RIGHT(Table13232127535863[[#This Row],[h2]],8))</f>
        <v>0</v>
      </c>
    </row>
    <row r="1484" spans="1:18">
      <c r="A1484" s="15" t="str">
        <f t="shared" si="28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8" t="s">
        <v>75</v>
      </c>
      <c r="P1484" s="48">
        <f>HEX2DEC(RIGHT(Table13232127535863[[#This Row],[h1]],8))</f>
        <v>0</v>
      </c>
      <c r="Q1484" s="48" t="s">
        <v>75</v>
      </c>
      <c r="R1484" s="48">
        <f>HEX2DEC(RIGHT(Table13232127535863[[#This Row],[h2]],8))</f>
        <v>0</v>
      </c>
    </row>
    <row r="1485" spans="1:18">
      <c r="A1485" s="15" t="str">
        <f t="shared" si="28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8" t="s">
        <v>75</v>
      </c>
      <c r="P1485" s="48">
        <f>HEX2DEC(RIGHT(Table13232127535863[[#This Row],[h1]],8))</f>
        <v>0</v>
      </c>
      <c r="Q1485" s="48" t="s">
        <v>75</v>
      </c>
      <c r="R1485" s="48">
        <f>HEX2DEC(RIGHT(Table13232127535863[[#This Row],[h2]],8))</f>
        <v>0</v>
      </c>
    </row>
    <row r="1486" spans="1:18">
      <c r="A1486" s="15" t="str">
        <f t="shared" si="28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8" t="s">
        <v>75</v>
      </c>
      <c r="P1486" s="48">
        <f>HEX2DEC(RIGHT(Table13232127535863[[#This Row],[h1]],8))</f>
        <v>0</v>
      </c>
      <c r="Q1486" s="48" t="s">
        <v>75</v>
      </c>
      <c r="R1486" s="48">
        <f>HEX2DEC(RIGHT(Table13232127535863[[#This Row],[h2]],8))</f>
        <v>0</v>
      </c>
    </row>
    <row r="1487" spans="1:18">
      <c r="A1487" s="15" t="str">
        <f t="shared" si="28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8" t="s">
        <v>75</v>
      </c>
      <c r="P1487" s="48">
        <f>HEX2DEC(RIGHT(Table13232127535863[[#This Row],[h1]],8))</f>
        <v>0</v>
      </c>
      <c r="Q1487" s="48" t="s">
        <v>75</v>
      </c>
      <c r="R1487" s="48">
        <f>HEX2DEC(RIGHT(Table13232127535863[[#This Row],[h2]],8))</f>
        <v>0</v>
      </c>
    </row>
    <row r="1488" spans="1:18">
      <c r="A1488" s="15" t="str">
        <f t="shared" si="28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8" t="s">
        <v>75</v>
      </c>
      <c r="P1488" s="48">
        <f>HEX2DEC(RIGHT(Table13232127535863[[#This Row],[h1]],8))</f>
        <v>0</v>
      </c>
      <c r="Q1488" s="48" t="s">
        <v>75</v>
      </c>
      <c r="R1488" s="48">
        <f>HEX2DEC(RIGHT(Table13232127535863[[#This Row],[h2]],8))</f>
        <v>0</v>
      </c>
    </row>
    <row r="1489" spans="1:18">
      <c r="A1489" s="15" t="str">
        <f t="shared" si="28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8" t="s">
        <v>75</v>
      </c>
      <c r="P1489" s="48">
        <f>HEX2DEC(RIGHT(Table13232127535863[[#This Row],[h1]],8))</f>
        <v>0</v>
      </c>
      <c r="Q1489" s="48" t="s">
        <v>75</v>
      </c>
      <c r="R1489" s="48">
        <f>HEX2DEC(RIGHT(Table13232127535863[[#This Row],[h2]],8))</f>
        <v>0</v>
      </c>
    </row>
    <row r="1490" spans="1:18">
      <c r="A1490" s="15" t="str">
        <f t="shared" si="28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8" t="s">
        <v>75</v>
      </c>
      <c r="P1490" s="48">
        <f>HEX2DEC(RIGHT(Table13232127535863[[#This Row],[h1]],8))</f>
        <v>0</v>
      </c>
      <c r="Q1490" s="48" t="s">
        <v>75</v>
      </c>
      <c r="R1490" s="48">
        <f>HEX2DEC(RIGHT(Table13232127535863[[#This Row],[h2]],8))</f>
        <v>0</v>
      </c>
    </row>
    <row r="1491" spans="1:18">
      <c r="A1491" s="15" t="str">
        <f t="shared" si="28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8" t="s">
        <v>75</v>
      </c>
      <c r="P1491" s="48">
        <f>HEX2DEC(RIGHT(Table13232127535863[[#This Row],[h1]],8))</f>
        <v>0</v>
      </c>
      <c r="Q1491" s="48" t="s">
        <v>75</v>
      </c>
      <c r="R1491" s="48">
        <f>HEX2DEC(RIGHT(Table13232127535863[[#This Row],[h2]],8))</f>
        <v>0</v>
      </c>
    </row>
    <row r="1492" spans="1:18">
      <c r="A1492" s="15" t="str">
        <f t="shared" si="28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8" t="s">
        <v>75</v>
      </c>
      <c r="P1492" s="48">
        <f>HEX2DEC(RIGHT(Table13232127535863[[#This Row],[h1]],8))</f>
        <v>0</v>
      </c>
      <c r="Q1492" s="48" t="s">
        <v>75</v>
      </c>
      <c r="R1492" s="48">
        <f>HEX2DEC(RIGHT(Table13232127535863[[#This Row],[h2]],8))</f>
        <v>0</v>
      </c>
    </row>
    <row r="1493" spans="1:18">
      <c r="A1493" s="15" t="str">
        <f t="shared" si="28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8" t="s">
        <v>75</v>
      </c>
      <c r="P1493" s="48">
        <f>HEX2DEC(RIGHT(Table13232127535863[[#This Row],[h1]],8))</f>
        <v>0</v>
      </c>
      <c r="Q1493" s="48" t="s">
        <v>75</v>
      </c>
      <c r="R1493" s="48">
        <f>HEX2DEC(RIGHT(Table13232127535863[[#This Row],[h2]],8))</f>
        <v>0</v>
      </c>
    </row>
    <row r="1494" spans="1:18">
      <c r="A1494" s="15" t="str">
        <f t="shared" si="28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8" t="s">
        <v>75</v>
      </c>
      <c r="P1494" s="48">
        <f>HEX2DEC(RIGHT(Table13232127535863[[#This Row],[h1]],8))</f>
        <v>0</v>
      </c>
      <c r="Q1494" s="48" t="s">
        <v>75</v>
      </c>
      <c r="R1494" s="48">
        <f>HEX2DEC(RIGHT(Table13232127535863[[#This Row],[h2]],8))</f>
        <v>0</v>
      </c>
    </row>
    <row r="1495" spans="1:18">
      <c r="A1495" s="15" t="str">
        <f t="shared" si="28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8" t="s">
        <v>75</v>
      </c>
      <c r="P1495" s="48">
        <f>HEX2DEC(RIGHT(Table13232127535863[[#This Row],[h1]],8))</f>
        <v>0</v>
      </c>
      <c r="Q1495" s="48" t="s">
        <v>75</v>
      </c>
      <c r="R1495" s="48">
        <f>HEX2DEC(RIGHT(Table13232127535863[[#This Row],[h2]],8))</f>
        <v>0</v>
      </c>
    </row>
    <row r="1496" spans="1:18">
      <c r="A1496" s="15" t="str">
        <f t="shared" si="28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8" t="s">
        <v>75</v>
      </c>
      <c r="P1496" s="48">
        <f>HEX2DEC(RIGHT(Table13232127535863[[#This Row],[h1]],8))</f>
        <v>0</v>
      </c>
      <c r="Q1496" s="48" t="s">
        <v>75</v>
      </c>
      <c r="R1496" s="48">
        <f>HEX2DEC(RIGHT(Table13232127535863[[#This Row],[h2]],8))</f>
        <v>0</v>
      </c>
    </row>
    <row r="1497" spans="1:18">
      <c r="A1497" s="15" t="str">
        <f t="shared" si="28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8" t="s">
        <v>75</v>
      </c>
      <c r="P1497" s="48">
        <f>HEX2DEC(RIGHT(Table13232127535863[[#This Row],[h1]],8))</f>
        <v>0</v>
      </c>
      <c r="Q1497" s="48" t="s">
        <v>75</v>
      </c>
      <c r="R1497" s="48">
        <f>HEX2DEC(RIGHT(Table13232127535863[[#This Row],[h2]],8))</f>
        <v>0</v>
      </c>
    </row>
    <row r="1498" spans="1:18">
      <c r="A1498" s="15" t="str">
        <f t="shared" si="28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8" t="s">
        <v>75</v>
      </c>
      <c r="P1498" s="48">
        <f>HEX2DEC(RIGHT(Table13232127535863[[#This Row],[h1]],8))</f>
        <v>0</v>
      </c>
      <c r="Q1498" s="48" t="s">
        <v>75</v>
      </c>
      <c r="R1498" s="48">
        <f>HEX2DEC(RIGHT(Table13232127535863[[#This Row],[h2]],8))</f>
        <v>0</v>
      </c>
    </row>
    <row r="1499" spans="1:18">
      <c r="A1499" s="15" t="str">
        <f t="shared" si="28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8" t="s">
        <v>75</v>
      </c>
      <c r="P1499" s="48">
        <f>HEX2DEC(RIGHT(Table13232127535863[[#This Row],[h1]],8))</f>
        <v>0</v>
      </c>
      <c r="Q1499" s="48" t="s">
        <v>75</v>
      </c>
      <c r="R1499" s="48">
        <f>HEX2DEC(RIGHT(Table13232127535863[[#This Row],[h2]],8))</f>
        <v>0</v>
      </c>
    </row>
    <row r="1500" spans="1:18">
      <c r="A1500" s="15" t="str">
        <f t="shared" si="28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8" t="s">
        <v>75</v>
      </c>
      <c r="P1500" s="48">
        <f>HEX2DEC(RIGHT(Table13232127535863[[#This Row],[h1]],8))</f>
        <v>0</v>
      </c>
      <c r="Q1500" s="48" t="s">
        <v>75</v>
      </c>
      <c r="R1500" s="48">
        <f>HEX2DEC(RIGHT(Table13232127535863[[#This Row],[h2]],8))</f>
        <v>0</v>
      </c>
    </row>
    <row r="1501" spans="1:18">
      <c r="A1501" s="15" t="str">
        <f t="shared" si="28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8" t="s">
        <v>75</v>
      </c>
      <c r="P1501" s="48">
        <f>HEX2DEC(RIGHT(Table13232127535863[[#This Row],[h1]],8))</f>
        <v>0</v>
      </c>
      <c r="Q1501" s="48" t="s">
        <v>75</v>
      </c>
      <c r="R1501" s="48">
        <f>HEX2DEC(RIGHT(Table13232127535863[[#This Row],[h2]],8))</f>
        <v>0</v>
      </c>
    </row>
    <row r="1502" spans="1:18">
      <c r="A1502" s="15" t="str">
        <f t="shared" si="28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8" t="s">
        <v>75</v>
      </c>
      <c r="P1502" s="48">
        <f>HEX2DEC(RIGHT(Table13232127535863[[#This Row],[h1]],8))</f>
        <v>0</v>
      </c>
      <c r="Q1502" s="48" t="s">
        <v>75</v>
      </c>
      <c r="R1502" s="48">
        <f>HEX2DEC(RIGHT(Table13232127535863[[#This Row],[h2]],8))</f>
        <v>0</v>
      </c>
    </row>
    <row r="1503" spans="1:18">
      <c r="A1503" s="15" t="str">
        <f t="shared" si="28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8" t="s">
        <v>75</v>
      </c>
      <c r="P1503" s="48">
        <f>HEX2DEC(RIGHT(Table13232127535863[[#This Row],[h1]],8))</f>
        <v>0</v>
      </c>
      <c r="Q1503" s="48" t="s">
        <v>75</v>
      </c>
      <c r="R1503" s="48">
        <f>HEX2DEC(RIGHT(Table13232127535863[[#This Row],[h2]],8))</f>
        <v>0</v>
      </c>
    </row>
    <row r="1504" spans="1:18">
      <c r="A1504" s="15" t="str">
        <f t="shared" si="28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8" t="s">
        <v>75</v>
      </c>
      <c r="P1504" s="48">
        <f>HEX2DEC(RIGHT(Table13232127535863[[#This Row],[h1]],8))</f>
        <v>0</v>
      </c>
      <c r="Q1504" s="48" t="s">
        <v>75</v>
      </c>
      <c r="R1504" s="48">
        <f>HEX2DEC(RIGHT(Table13232127535863[[#This Row],[h2]],8))</f>
        <v>0</v>
      </c>
    </row>
    <row r="1505" spans="1:18">
      <c r="A1505" s="15" t="str">
        <f t="shared" si="28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8" t="s">
        <v>75</v>
      </c>
      <c r="P1505" s="48">
        <f>HEX2DEC(RIGHT(Table13232127535863[[#This Row],[h1]],8))</f>
        <v>0</v>
      </c>
      <c r="Q1505" s="48" t="s">
        <v>75</v>
      </c>
      <c r="R1505" s="48">
        <f>HEX2DEC(RIGHT(Table13232127535863[[#This Row],[h2]],8))</f>
        <v>0</v>
      </c>
    </row>
    <row r="1506" spans="1:18">
      <c r="A1506" s="15" t="str">
        <f t="shared" si="28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8" t="s">
        <v>75</v>
      </c>
      <c r="P1506" s="48">
        <f>HEX2DEC(RIGHT(Table13232127535863[[#This Row],[h1]],8))</f>
        <v>0</v>
      </c>
      <c r="Q1506" s="48" t="s">
        <v>75</v>
      </c>
      <c r="R1506" s="48">
        <f>HEX2DEC(RIGHT(Table13232127535863[[#This Row],[h2]],8))</f>
        <v>0</v>
      </c>
    </row>
    <row r="1507" spans="1:18">
      <c r="A1507" s="15" t="str">
        <f t="shared" si="28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8" t="s">
        <v>75</v>
      </c>
      <c r="P1507" s="48">
        <f>HEX2DEC(RIGHT(Table13232127535863[[#This Row],[h1]],8))</f>
        <v>0</v>
      </c>
      <c r="Q1507" s="48" t="s">
        <v>75</v>
      </c>
      <c r="R1507" s="48">
        <f>HEX2DEC(RIGHT(Table13232127535863[[#This Row],[h2]],8))</f>
        <v>0</v>
      </c>
    </row>
    <row r="1508" spans="1:18">
      <c r="A1508" s="15" t="str">
        <f t="shared" si="28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8" t="s">
        <v>75</v>
      </c>
      <c r="P1508" s="48">
        <f>HEX2DEC(RIGHT(Table13232127535863[[#This Row],[h1]],8))</f>
        <v>0</v>
      </c>
      <c r="Q1508" s="48" t="s">
        <v>75</v>
      </c>
      <c r="R1508" s="48">
        <f>HEX2DEC(RIGHT(Table13232127535863[[#This Row],[h2]],8))</f>
        <v>0</v>
      </c>
    </row>
    <row r="1509" spans="1:18">
      <c r="A1509" s="15" t="str">
        <f t="shared" si="28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8" t="s">
        <v>75</v>
      </c>
      <c r="P1509" s="48">
        <f>HEX2DEC(RIGHT(Table13232127535863[[#This Row],[h1]],8))</f>
        <v>0</v>
      </c>
      <c r="Q1509" s="48" t="s">
        <v>75</v>
      </c>
      <c r="R1509" s="48">
        <f>HEX2DEC(RIGHT(Table13232127535863[[#This Row],[h2]],8))</f>
        <v>0</v>
      </c>
    </row>
    <row r="1510" spans="1:18">
      <c r="A1510" s="15" t="str">
        <f t="shared" si="28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8" t="s">
        <v>75</v>
      </c>
      <c r="P1510" s="48">
        <f>HEX2DEC(RIGHT(Table13232127535863[[#This Row],[h1]],8))</f>
        <v>0</v>
      </c>
      <c r="Q1510" s="48" t="s">
        <v>75</v>
      </c>
      <c r="R1510" s="48">
        <f>HEX2DEC(RIGHT(Table13232127535863[[#This Row],[h2]],8))</f>
        <v>0</v>
      </c>
    </row>
    <row r="1511" spans="1:18">
      <c r="A1511" s="15" t="str">
        <f t="shared" si="28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8" t="s">
        <v>75</v>
      </c>
      <c r="P1511" s="48">
        <f>HEX2DEC(RIGHT(Table13232127535863[[#This Row],[h1]],8))</f>
        <v>0</v>
      </c>
      <c r="Q1511" s="48" t="s">
        <v>75</v>
      </c>
      <c r="R1511" s="48">
        <f>HEX2DEC(RIGHT(Table13232127535863[[#This Row],[h2]],8))</f>
        <v>0</v>
      </c>
    </row>
    <row r="1512" spans="1:18">
      <c r="A1512" s="15" t="str">
        <f t="shared" si="28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8" t="s">
        <v>75</v>
      </c>
      <c r="P1512" s="48">
        <f>HEX2DEC(RIGHT(Table13232127535863[[#This Row],[h1]],8))</f>
        <v>0</v>
      </c>
      <c r="Q1512" s="48" t="s">
        <v>75</v>
      </c>
      <c r="R1512" s="48">
        <f>HEX2DEC(RIGHT(Table13232127535863[[#This Row],[h2]],8))</f>
        <v>0</v>
      </c>
    </row>
    <row r="1513" spans="1:18">
      <c r="A1513" s="15" t="str">
        <f t="shared" si="28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8" t="s">
        <v>75</v>
      </c>
      <c r="P1513" s="48">
        <f>HEX2DEC(RIGHT(Table13232127535863[[#This Row],[h1]],8))</f>
        <v>0</v>
      </c>
      <c r="Q1513" s="48" t="s">
        <v>75</v>
      </c>
      <c r="R1513" s="48">
        <f>HEX2DEC(RIGHT(Table13232127535863[[#This Row],[h2]],8))</f>
        <v>0</v>
      </c>
    </row>
    <row r="1514" spans="1:18">
      <c r="A1514" s="15" t="str">
        <f t="shared" si="28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8" t="s">
        <v>75</v>
      </c>
      <c r="P1514" s="48">
        <f>HEX2DEC(RIGHT(Table13232127535863[[#This Row],[h1]],8))</f>
        <v>0</v>
      </c>
      <c r="Q1514" s="48" t="s">
        <v>75</v>
      </c>
      <c r="R1514" s="48">
        <f>HEX2DEC(RIGHT(Table13232127535863[[#This Row],[h2]],8))</f>
        <v>0</v>
      </c>
    </row>
    <row r="1515" spans="1:18">
      <c r="A1515" s="15" t="str">
        <f t="shared" si="28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8" t="s">
        <v>75</v>
      </c>
      <c r="P1515" s="48">
        <f>HEX2DEC(RIGHT(Table13232127535863[[#This Row],[h1]],8))</f>
        <v>0</v>
      </c>
      <c r="Q1515" s="48" t="s">
        <v>75</v>
      </c>
      <c r="R1515" s="48">
        <f>HEX2DEC(RIGHT(Table13232127535863[[#This Row],[h2]],8))</f>
        <v>0</v>
      </c>
    </row>
    <row r="1516" spans="1:18">
      <c r="A1516" s="15" t="str">
        <f t="shared" si="28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8" t="s">
        <v>75</v>
      </c>
      <c r="P1516" s="48">
        <f>HEX2DEC(RIGHT(Table13232127535863[[#This Row],[h1]],8))</f>
        <v>0</v>
      </c>
      <c r="Q1516" s="48" t="s">
        <v>75</v>
      </c>
      <c r="R1516" s="48">
        <f>HEX2DEC(RIGHT(Table13232127535863[[#This Row],[h2]],8))</f>
        <v>0</v>
      </c>
    </row>
    <row r="1517" spans="1:18">
      <c r="A1517" s="15" t="str">
        <f t="shared" si="28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8" t="s">
        <v>75</v>
      </c>
      <c r="P1517" s="48">
        <f>HEX2DEC(RIGHT(Table13232127535863[[#This Row],[h1]],8))</f>
        <v>0</v>
      </c>
      <c r="Q1517" s="48" t="s">
        <v>75</v>
      </c>
      <c r="R1517" s="48">
        <f>HEX2DEC(RIGHT(Table13232127535863[[#This Row],[h2]],8))</f>
        <v>0</v>
      </c>
    </row>
    <row r="1518" spans="1:18">
      <c r="A1518" s="15" t="str">
        <f t="shared" si="28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8" t="s">
        <v>75</v>
      </c>
      <c r="P1518" s="48">
        <f>HEX2DEC(RIGHT(Table13232127535863[[#This Row],[h1]],8))</f>
        <v>0</v>
      </c>
      <c r="Q1518" s="48" t="s">
        <v>75</v>
      </c>
      <c r="R1518" s="48">
        <f>HEX2DEC(RIGHT(Table13232127535863[[#This Row],[h2]],8))</f>
        <v>0</v>
      </c>
    </row>
    <row r="1519" spans="1:18">
      <c r="A1519" s="15" t="str">
        <f t="shared" si="28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8" t="s">
        <v>75</v>
      </c>
      <c r="P1519" s="48">
        <f>HEX2DEC(RIGHT(Table13232127535863[[#This Row],[h1]],8))</f>
        <v>0</v>
      </c>
      <c r="Q1519" s="48" t="s">
        <v>75</v>
      </c>
      <c r="R1519" s="48">
        <f>HEX2DEC(RIGHT(Table13232127535863[[#This Row],[h2]],8))</f>
        <v>0</v>
      </c>
    </row>
    <row r="1520" spans="1:18">
      <c r="A1520" s="15" t="str">
        <f t="shared" si="28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8" t="s">
        <v>75</v>
      </c>
      <c r="P1520" s="48">
        <f>HEX2DEC(RIGHT(Table13232127535863[[#This Row],[h1]],8))</f>
        <v>0</v>
      </c>
      <c r="Q1520" s="48" t="s">
        <v>75</v>
      </c>
      <c r="R1520" s="48">
        <f>HEX2DEC(RIGHT(Table13232127535863[[#This Row],[h2]],8))</f>
        <v>0</v>
      </c>
    </row>
    <row r="1521" spans="1:18">
      <c r="A1521" s="15" t="str">
        <f t="shared" si="28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8" t="s">
        <v>75</v>
      </c>
      <c r="P1521" s="48">
        <f>HEX2DEC(RIGHT(Table13232127535863[[#This Row],[h1]],8))</f>
        <v>0</v>
      </c>
      <c r="Q1521" s="48" t="s">
        <v>75</v>
      </c>
      <c r="R1521" s="48">
        <f>HEX2DEC(RIGHT(Table13232127535863[[#This Row],[h2]],8))</f>
        <v>0</v>
      </c>
    </row>
    <row r="1522" spans="1:18">
      <c r="A1522" s="15" t="str">
        <f t="shared" si="28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8" t="s">
        <v>75</v>
      </c>
      <c r="P1522" s="48">
        <f>HEX2DEC(RIGHT(Table13232127535863[[#This Row],[h1]],8))</f>
        <v>0</v>
      </c>
      <c r="Q1522" s="48" t="s">
        <v>75</v>
      </c>
      <c r="R1522" s="48">
        <f>HEX2DEC(RIGHT(Table13232127535863[[#This Row],[h2]],8))</f>
        <v>0</v>
      </c>
    </row>
    <row r="1523" spans="1:18">
      <c r="A1523" s="15" t="str">
        <f t="shared" si="28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8" t="s">
        <v>75</v>
      </c>
      <c r="P1523" s="48">
        <f>HEX2DEC(RIGHT(Table13232127535863[[#This Row],[h1]],8))</f>
        <v>0</v>
      </c>
      <c r="Q1523" s="48" t="s">
        <v>75</v>
      </c>
      <c r="R1523" s="48">
        <f>HEX2DEC(RIGHT(Table13232127535863[[#This Row],[h2]],8))</f>
        <v>0</v>
      </c>
    </row>
    <row r="1524" spans="1:18">
      <c r="A1524" s="15" t="str">
        <f t="shared" si="28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8" t="s">
        <v>75</v>
      </c>
      <c r="P1524" s="48">
        <f>HEX2DEC(RIGHT(Table13232127535863[[#This Row],[h1]],8))</f>
        <v>0</v>
      </c>
      <c r="Q1524" s="48" t="s">
        <v>75</v>
      </c>
      <c r="R1524" s="48">
        <f>HEX2DEC(RIGHT(Table13232127535863[[#This Row],[h2]],8))</f>
        <v>0</v>
      </c>
    </row>
    <row r="1525" spans="1:18">
      <c r="A1525" s="15" t="str">
        <f t="shared" si="28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8" t="s">
        <v>75</v>
      </c>
      <c r="P1525" s="48">
        <f>HEX2DEC(RIGHT(Table13232127535863[[#This Row],[h1]],8))</f>
        <v>0</v>
      </c>
      <c r="Q1525" s="48" t="s">
        <v>75</v>
      </c>
      <c r="R1525" s="48">
        <f>HEX2DEC(RIGHT(Table13232127535863[[#This Row],[h2]],8))</f>
        <v>0</v>
      </c>
    </row>
    <row r="1526" spans="1:18">
      <c r="A1526" s="15" t="str">
        <f t="shared" si="28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8" t="s">
        <v>75</v>
      </c>
      <c r="P1526" s="48">
        <f>HEX2DEC(RIGHT(Table13232127535863[[#This Row],[h1]],8))</f>
        <v>0</v>
      </c>
      <c r="Q1526" s="48" t="s">
        <v>75</v>
      </c>
      <c r="R1526" s="48">
        <f>HEX2DEC(RIGHT(Table13232127535863[[#This Row],[h2]],8))</f>
        <v>0</v>
      </c>
    </row>
    <row r="1527" spans="1:18">
      <c r="A1527" s="15" t="str">
        <f t="shared" si="28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8" t="s">
        <v>75</v>
      </c>
      <c r="P1527" s="48">
        <f>HEX2DEC(RIGHT(Table13232127535863[[#This Row],[h1]],8))</f>
        <v>0</v>
      </c>
      <c r="Q1527" s="48" t="s">
        <v>75</v>
      </c>
      <c r="R1527" s="48">
        <f>HEX2DEC(RIGHT(Table13232127535863[[#This Row],[h2]],8))</f>
        <v>0</v>
      </c>
    </row>
    <row r="1528" spans="1:18">
      <c r="A1528" s="15" t="str">
        <f t="shared" si="28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8" t="s">
        <v>75</v>
      </c>
      <c r="P1528" s="48">
        <f>HEX2DEC(RIGHT(Table13232127535863[[#This Row],[h1]],8))</f>
        <v>0</v>
      </c>
      <c r="Q1528" s="48" t="s">
        <v>75</v>
      </c>
      <c r="R1528" s="48">
        <f>HEX2DEC(RIGHT(Table13232127535863[[#This Row],[h2]],8))</f>
        <v>0</v>
      </c>
    </row>
    <row r="1529" spans="1:18">
      <c r="A1529" s="15" t="str">
        <f t="shared" si="28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8" t="s">
        <v>75</v>
      </c>
      <c r="P1529" s="48">
        <f>HEX2DEC(RIGHT(Table13232127535863[[#This Row],[h1]],8))</f>
        <v>0</v>
      </c>
      <c r="Q1529" s="48" t="s">
        <v>75</v>
      </c>
      <c r="R1529" s="48">
        <f>HEX2DEC(RIGHT(Table13232127535863[[#This Row],[h2]],8))</f>
        <v>0</v>
      </c>
    </row>
    <row r="1530" spans="1:18">
      <c r="A1530" s="15" t="str">
        <f t="shared" si="28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8" t="s">
        <v>75</v>
      </c>
      <c r="P1530" s="48">
        <f>HEX2DEC(RIGHT(Table13232127535863[[#This Row],[h1]],8))</f>
        <v>0</v>
      </c>
      <c r="Q1530" s="48" t="s">
        <v>75</v>
      </c>
      <c r="R1530" s="48">
        <f>HEX2DEC(RIGHT(Table13232127535863[[#This Row],[h2]],8))</f>
        <v>0</v>
      </c>
    </row>
    <row r="1531" spans="1:18">
      <c r="A1531" s="15" t="str">
        <f t="shared" si="28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8" t="s">
        <v>75</v>
      </c>
      <c r="P1531" s="48">
        <f>HEX2DEC(RIGHT(Table13232127535863[[#This Row],[h1]],8))</f>
        <v>0</v>
      </c>
      <c r="Q1531" s="48" t="s">
        <v>75</v>
      </c>
      <c r="R1531" s="48">
        <f>HEX2DEC(RIGHT(Table13232127535863[[#This Row],[h2]],8))</f>
        <v>0</v>
      </c>
    </row>
    <row r="1532" spans="1:18">
      <c r="A1532" s="15" t="str">
        <f t="shared" si="28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8" t="s">
        <v>75</v>
      </c>
      <c r="P1532" s="48">
        <f>HEX2DEC(RIGHT(Table13232127535863[[#This Row],[h1]],8))</f>
        <v>0</v>
      </c>
      <c r="Q1532" s="48" t="s">
        <v>75</v>
      </c>
      <c r="R1532" s="48">
        <f>HEX2DEC(RIGHT(Table13232127535863[[#This Row],[h2]],8))</f>
        <v>0</v>
      </c>
    </row>
    <row r="1533" spans="1:18">
      <c r="A1533" s="15" t="str">
        <f t="shared" si="28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8" t="s">
        <v>75</v>
      </c>
      <c r="P1533" s="48">
        <f>HEX2DEC(RIGHT(Table13232127535863[[#This Row],[h1]],8))</f>
        <v>0</v>
      </c>
      <c r="Q1533" s="48" t="s">
        <v>75</v>
      </c>
      <c r="R1533" s="48">
        <f>HEX2DEC(RIGHT(Table13232127535863[[#This Row],[h2]],8))</f>
        <v>0</v>
      </c>
    </row>
    <row r="1534" spans="1:18">
      <c r="A1534" s="15" t="str">
        <f t="shared" si="28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8" t="s">
        <v>75</v>
      </c>
      <c r="P1534" s="48">
        <f>HEX2DEC(RIGHT(Table13232127535863[[#This Row],[h1]],8))</f>
        <v>0</v>
      </c>
      <c r="Q1534" s="48" t="s">
        <v>75</v>
      </c>
      <c r="R1534" s="48">
        <f>HEX2DEC(RIGHT(Table13232127535863[[#This Row],[h2]],8))</f>
        <v>0</v>
      </c>
    </row>
    <row r="1535" spans="1:18">
      <c r="A1535" s="15" t="str">
        <f t="shared" si="28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8" t="s">
        <v>75</v>
      </c>
      <c r="P1535" s="48">
        <f>HEX2DEC(RIGHT(Table13232127535863[[#This Row],[h1]],8))</f>
        <v>0</v>
      </c>
      <c r="Q1535" s="48" t="s">
        <v>75</v>
      </c>
      <c r="R1535" s="48">
        <f>HEX2DEC(RIGHT(Table13232127535863[[#This Row],[h2]],8))</f>
        <v>0</v>
      </c>
    </row>
    <row r="1536" spans="1:18">
      <c r="A1536" s="15" t="str">
        <f t="shared" si="28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8" t="s">
        <v>75</v>
      </c>
      <c r="P1536" s="48">
        <f>HEX2DEC(RIGHT(Table13232127535863[[#This Row],[h1]],8))</f>
        <v>0</v>
      </c>
      <c r="Q1536" s="48" t="s">
        <v>75</v>
      </c>
      <c r="R1536" s="48">
        <f>HEX2DEC(RIGHT(Table13232127535863[[#This Row],[h2]],8))</f>
        <v>0</v>
      </c>
    </row>
    <row r="1537" spans="1:18">
      <c r="A1537" s="15" t="str">
        <f t="shared" si="28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8" t="s">
        <v>75</v>
      </c>
      <c r="P1537" s="48">
        <f>HEX2DEC(RIGHT(Table13232127535863[[#This Row],[h1]],8))</f>
        <v>0</v>
      </c>
      <c r="Q1537" s="48" t="s">
        <v>75</v>
      </c>
      <c r="R1537" s="48">
        <f>HEX2DEC(RIGHT(Table13232127535863[[#This Row],[h2]],8))</f>
        <v>0</v>
      </c>
    </row>
    <row r="1538" spans="1:18">
      <c r="A1538" s="15" t="str">
        <f t="shared" si="28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8" t="s">
        <v>75</v>
      </c>
      <c r="P1538" s="48">
        <f>HEX2DEC(RIGHT(Table13232127535863[[#This Row],[h1]],8))</f>
        <v>0</v>
      </c>
      <c r="Q1538" s="48" t="s">
        <v>75</v>
      </c>
      <c r="R1538" s="48">
        <f>HEX2DEC(RIGHT(Table13232127535863[[#This Row],[h2]],8))</f>
        <v>0</v>
      </c>
    </row>
    <row r="1539" spans="1:18">
      <c r="A1539" s="15" t="str">
        <f t="shared" si="28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8" t="s">
        <v>75</v>
      </c>
      <c r="P1539" s="48">
        <f>HEX2DEC(RIGHT(Table13232127535863[[#This Row],[h1]],8))</f>
        <v>0</v>
      </c>
      <c r="Q1539" s="48" t="s">
        <v>75</v>
      </c>
      <c r="R1539" s="48">
        <f>HEX2DEC(RIGHT(Table13232127535863[[#This Row],[h2]],8))</f>
        <v>0</v>
      </c>
    </row>
    <row r="1540" spans="1:18">
      <c r="A1540" s="15" t="str">
        <f t="shared" si="28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8" t="s">
        <v>75</v>
      </c>
      <c r="P1540" s="48">
        <f>HEX2DEC(RIGHT(Table13232127535863[[#This Row],[h1]],8))</f>
        <v>0</v>
      </c>
      <c r="Q1540" s="48" t="s">
        <v>75</v>
      </c>
      <c r="R1540" s="48">
        <f>HEX2DEC(RIGHT(Table13232127535863[[#This Row],[h2]],8))</f>
        <v>0</v>
      </c>
    </row>
    <row r="1541" spans="1:18">
      <c r="A1541" s="15" t="str">
        <f t="shared" si="28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8" t="s">
        <v>75</v>
      </c>
      <c r="P1541" s="48">
        <f>HEX2DEC(RIGHT(Table13232127535863[[#This Row],[h1]],8))</f>
        <v>0</v>
      </c>
      <c r="Q1541" s="48" t="s">
        <v>75</v>
      </c>
      <c r="R1541" s="48">
        <f>HEX2DEC(RIGHT(Table13232127535863[[#This Row],[h2]],8))</f>
        <v>0</v>
      </c>
    </row>
    <row r="1542" spans="1:18">
      <c r="A1542" s="15" t="str">
        <f t="shared" si="28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8" t="s">
        <v>75</v>
      </c>
      <c r="P1542" s="48">
        <f>HEX2DEC(RIGHT(Table13232127535863[[#This Row],[h1]],8))</f>
        <v>0</v>
      </c>
      <c r="Q1542" s="48" t="s">
        <v>75</v>
      </c>
      <c r="R1542" s="48">
        <f>HEX2DEC(RIGHT(Table13232127535863[[#This Row],[h2]],8))</f>
        <v>0</v>
      </c>
    </row>
    <row r="1543" spans="1:18">
      <c r="A1543" s="15" t="str">
        <f t="shared" si="28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8" t="s">
        <v>75</v>
      </c>
      <c r="P1543" s="48">
        <f>HEX2DEC(RIGHT(Table13232127535863[[#This Row],[h1]],8))</f>
        <v>0</v>
      </c>
      <c r="Q1543" s="48" t="s">
        <v>75</v>
      </c>
      <c r="R1543" s="48">
        <f>HEX2DEC(RIGHT(Table13232127535863[[#This Row],[h2]],8))</f>
        <v>0</v>
      </c>
    </row>
    <row r="1544" spans="1:18">
      <c r="A1544" s="15" t="str">
        <f t="shared" si="28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8" t="s">
        <v>75</v>
      </c>
      <c r="P1544" s="48">
        <f>HEX2DEC(RIGHT(Table13232127535863[[#This Row],[h1]],8))</f>
        <v>0</v>
      </c>
      <c r="Q1544" s="48" t="s">
        <v>75</v>
      </c>
      <c r="R1544" s="48">
        <f>HEX2DEC(RIGHT(Table13232127535863[[#This Row],[h2]],8))</f>
        <v>0</v>
      </c>
    </row>
    <row r="1545" spans="1:18">
      <c r="A1545" s="15" t="str">
        <f t="shared" si="28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8" t="s">
        <v>75</v>
      </c>
      <c r="P1545" s="48">
        <f>HEX2DEC(RIGHT(Table13232127535863[[#This Row],[h1]],8))</f>
        <v>0</v>
      </c>
      <c r="Q1545" s="48" t="s">
        <v>75</v>
      </c>
      <c r="R1545" s="48">
        <f>HEX2DEC(RIGHT(Table13232127535863[[#This Row],[h2]],8))</f>
        <v>0</v>
      </c>
    </row>
    <row r="1546" spans="1:18">
      <c r="A1546" s="15" t="str">
        <f t="shared" si="28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8" t="s">
        <v>75</v>
      </c>
      <c r="P1546" s="48">
        <f>HEX2DEC(RIGHT(Table13232127535863[[#This Row],[h1]],8))</f>
        <v>0</v>
      </c>
      <c r="Q1546" s="48" t="s">
        <v>75</v>
      </c>
      <c r="R1546" s="48">
        <f>HEX2DEC(RIGHT(Table13232127535863[[#This Row],[h2]],8))</f>
        <v>0</v>
      </c>
    </row>
    <row r="1547" spans="1:18">
      <c r="A1547" s="15" t="str">
        <f t="shared" ref="A1547:A1610" si="29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8" t="s">
        <v>75</v>
      </c>
      <c r="P1547" s="48">
        <f>HEX2DEC(RIGHT(Table13232127535863[[#This Row],[h1]],8))</f>
        <v>0</v>
      </c>
      <c r="Q1547" s="48" t="s">
        <v>75</v>
      </c>
      <c r="R1547" s="48">
        <f>HEX2DEC(RIGHT(Table13232127535863[[#This Row],[h2]],8))</f>
        <v>0</v>
      </c>
    </row>
    <row r="1548" spans="1:18">
      <c r="A1548" s="15" t="str">
        <f t="shared" si="29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8" t="s">
        <v>75</v>
      </c>
      <c r="P1548" s="48">
        <f>HEX2DEC(RIGHT(Table13232127535863[[#This Row],[h1]],8))</f>
        <v>0</v>
      </c>
      <c r="Q1548" s="48" t="s">
        <v>75</v>
      </c>
      <c r="R1548" s="48">
        <f>HEX2DEC(RIGHT(Table13232127535863[[#This Row],[h2]],8))</f>
        <v>0</v>
      </c>
    </row>
    <row r="1549" spans="1:18">
      <c r="A1549" s="15" t="str">
        <f t="shared" si="29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8" t="s">
        <v>75</v>
      </c>
      <c r="P1549" s="48">
        <f>HEX2DEC(RIGHT(Table13232127535863[[#This Row],[h1]],8))</f>
        <v>0</v>
      </c>
      <c r="Q1549" s="48" t="s">
        <v>75</v>
      </c>
      <c r="R1549" s="48">
        <f>HEX2DEC(RIGHT(Table13232127535863[[#This Row],[h2]],8))</f>
        <v>0</v>
      </c>
    </row>
    <row r="1550" spans="1:18">
      <c r="A1550" s="15" t="str">
        <f t="shared" si="29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8" t="s">
        <v>75</v>
      </c>
      <c r="P1550" s="48">
        <f>HEX2DEC(RIGHT(Table13232127535863[[#This Row],[h1]],8))</f>
        <v>0</v>
      </c>
      <c r="Q1550" s="48" t="s">
        <v>75</v>
      </c>
      <c r="R1550" s="48">
        <f>HEX2DEC(RIGHT(Table13232127535863[[#This Row],[h2]],8))</f>
        <v>0</v>
      </c>
    </row>
    <row r="1551" spans="1:18">
      <c r="A1551" s="15" t="str">
        <f t="shared" si="29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8" t="s">
        <v>75</v>
      </c>
      <c r="P1551" s="48">
        <f>HEX2DEC(RIGHT(Table13232127535863[[#This Row],[h1]],8))</f>
        <v>0</v>
      </c>
      <c r="Q1551" s="48" t="s">
        <v>75</v>
      </c>
      <c r="R1551" s="48">
        <f>HEX2DEC(RIGHT(Table13232127535863[[#This Row],[h2]],8))</f>
        <v>0</v>
      </c>
    </row>
    <row r="1552" spans="1:18">
      <c r="A1552" s="15" t="str">
        <f t="shared" si="29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8" t="s">
        <v>75</v>
      </c>
      <c r="P1552" s="48">
        <f>HEX2DEC(RIGHT(Table13232127535863[[#This Row],[h1]],8))</f>
        <v>0</v>
      </c>
      <c r="Q1552" s="48" t="s">
        <v>75</v>
      </c>
      <c r="R1552" s="48">
        <f>HEX2DEC(RIGHT(Table13232127535863[[#This Row],[h2]],8))</f>
        <v>0</v>
      </c>
    </row>
    <row r="1553" spans="1:18">
      <c r="A1553" s="15" t="str">
        <f t="shared" si="29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8" t="s">
        <v>75</v>
      </c>
      <c r="P1553" s="48">
        <f>HEX2DEC(RIGHT(Table13232127535863[[#This Row],[h1]],8))</f>
        <v>0</v>
      </c>
      <c r="Q1553" s="48" t="s">
        <v>75</v>
      </c>
      <c r="R1553" s="48">
        <f>HEX2DEC(RIGHT(Table13232127535863[[#This Row],[h2]],8))</f>
        <v>0</v>
      </c>
    </row>
    <row r="1554" spans="1:18">
      <c r="A1554" s="15" t="str">
        <f t="shared" si="29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8" t="s">
        <v>75</v>
      </c>
      <c r="P1554" s="48">
        <f>HEX2DEC(RIGHT(Table13232127535863[[#This Row],[h1]],8))</f>
        <v>0</v>
      </c>
      <c r="Q1554" s="48" t="s">
        <v>75</v>
      </c>
      <c r="R1554" s="48">
        <f>HEX2DEC(RIGHT(Table13232127535863[[#This Row],[h2]],8))</f>
        <v>0</v>
      </c>
    </row>
    <row r="1555" spans="1:18">
      <c r="A1555" s="15" t="str">
        <f t="shared" si="29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8" t="s">
        <v>75</v>
      </c>
      <c r="P1555" s="48">
        <f>HEX2DEC(RIGHT(Table13232127535863[[#This Row],[h1]],8))</f>
        <v>0</v>
      </c>
      <c r="Q1555" s="48" t="s">
        <v>75</v>
      </c>
      <c r="R1555" s="48">
        <f>HEX2DEC(RIGHT(Table13232127535863[[#This Row],[h2]],8))</f>
        <v>0</v>
      </c>
    </row>
    <row r="1556" spans="1:18">
      <c r="A1556" s="15" t="str">
        <f t="shared" si="29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8" t="s">
        <v>75</v>
      </c>
      <c r="P1556" s="48">
        <f>HEX2DEC(RIGHT(Table13232127535863[[#This Row],[h1]],8))</f>
        <v>0</v>
      </c>
      <c r="Q1556" s="48" t="s">
        <v>75</v>
      </c>
      <c r="R1556" s="48">
        <f>HEX2DEC(RIGHT(Table13232127535863[[#This Row],[h2]],8))</f>
        <v>0</v>
      </c>
    </row>
    <row r="1557" spans="1:18">
      <c r="A1557" s="15" t="str">
        <f t="shared" si="29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8" t="s">
        <v>75</v>
      </c>
      <c r="P1557" s="48">
        <f>HEX2DEC(RIGHT(Table13232127535863[[#This Row],[h1]],8))</f>
        <v>0</v>
      </c>
      <c r="Q1557" s="48" t="s">
        <v>75</v>
      </c>
      <c r="R1557" s="48">
        <f>HEX2DEC(RIGHT(Table13232127535863[[#This Row],[h2]],8))</f>
        <v>0</v>
      </c>
    </row>
    <row r="1558" spans="1:18">
      <c r="A1558" s="15" t="str">
        <f t="shared" si="29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8" t="s">
        <v>75</v>
      </c>
      <c r="P1558" s="48">
        <f>HEX2DEC(RIGHT(Table13232127535863[[#This Row],[h1]],8))</f>
        <v>0</v>
      </c>
      <c r="Q1558" s="48" t="s">
        <v>75</v>
      </c>
      <c r="R1558" s="48">
        <f>HEX2DEC(RIGHT(Table13232127535863[[#This Row],[h2]],8))</f>
        <v>0</v>
      </c>
    </row>
    <row r="1559" spans="1:18">
      <c r="A1559" s="15" t="str">
        <f t="shared" si="29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8" t="s">
        <v>75</v>
      </c>
      <c r="P1559" s="48">
        <f>HEX2DEC(RIGHT(Table13232127535863[[#This Row],[h1]],8))</f>
        <v>0</v>
      </c>
      <c r="Q1559" s="48" t="s">
        <v>75</v>
      </c>
      <c r="R1559" s="48">
        <f>HEX2DEC(RIGHT(Table13232127535863[[#This Row],[h2]],8))</f>
        <v>0</v>
      </c>
    </row>
    <row r="1560" spans="1:18">
      <c r="A1560" s="15" t="str">
        <f t="shared" si="29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8" t="s">
        <v>75</v>
      </c>
      <c r="P1560" s="48">
        <f>HEX2DEC(RIGHT(Table13232127535863[[#This Row],[h1]],8))</f>
        <v>0</v>
      </c>
      <c r="Q1560" s="48" t="s">
        <v>75</v>
      </c>
      <c r="R1560" s="48">
        <f>HEX2DEC(RIGHT(Table13232127535863[[#This Row],[h2]],8))</f>
        <v>0</v>
      </c>
    </row>
    <row r="1561" spans="1:18">
      <c r="A1561" s="15" t="str">
        <f t="shared" si="29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8" t="s">
        <v>75</v>
      </c>
      <c r="P1561" s="48">
        <f>HEX2DEC(RIGHT(Table13232127535863[[#This Row],[h1]],8))</f>
        <v>0</v>
      </c>
      <c r="Q1561" s="48" t="s">
        <v>75</v>
      </c>
      <c r="R1561" s="48">
        <f>HEX2DEC(RIGHT(Table13232127535863[[#This Row],[h2]],8))</f>
        <v>0</v>
      </c>
    </row>
    <row r="1562" spans="1:18">
      <c r="A1562" s="15" t="str">
        <f t="shared" si="29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8" t="s">
        <v>75</v>
      </c>
      <c r="P1562" s="48">
        <f>HEX2DEC(RIGHT(Table13232127535863[[#This Row],[h1]],8))</f>
        <v>0</v>
      </c>
      <c r="Q1562" s="48" t="s">
        <v>75</v>
      </c>
      <c r="R1562" s="48">
        <f>HEX2DEC(RIGHT(Table13232127535863[[#This Row],[h2]],8))</f>
        <v>0</v>
      </c>
    </row>
    <row r="1563" spans="1:18">
      <c r="A1563" s="15" t="str">
        <f t="shared" si="29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8" t="s">
        <v>75</v>
      </c>
      <c r="P1563" s="48">
        <f>HEX2DEC(RIGHT(Table13232127535863[[#This Row],[h1]],8))</f>
        <v>0</v>
      </c>
      <c r="Q1563" s="48" t="s">
        <v>75</v>
      </c>
      <c r="R1563" s="48">
        <f>HEX2DEC(RIGHT(Table13232127535863[[#This Row],[h2]],8))</f>
        <v>0</v>
      </c>
    </row>
    <row r="1564" spans="1:18">
      <c r="A1564" s="15" t="str">
        <f t="shared" si="29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8" t="s">
        <v>75</v>
      </c>
      <c r="P1564" s="48">
        <f>HEX2DEC(RIGHT(Table13232127535863[[#This Row],[h1]],8))</f>
        <v>0</v>
      </c>
      <c r="Q1564" s="48" t="s">
        <v>75</v>
      </c>
      <c r="R1564" s="48">
        <f>HEX2DEC(RIGHT(Table13232127535863[[#This Row],[h2]],8))</f>
        <v>0</v>
      </c>
    </row>
    <row r="1565" spans="1:18">
      <c r="A1565" s="15" t="str">
        <f t="shared" si="29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8" t="s">
        <v>75</v>
      </c>
      <c r="P1565" s="48">
        <f>HEX2DEC(RIGHT(Table13232127535863[[#This Row],[h1]],8))</f>
        <v>0</v>
      </c>
      <c r="Q1565" s="48" t="s">
        <v>75</v>
      </c>
      <c r="R1565" s="48">
        <f>HEX2DEC(RIGHT(Table13232127535863[[#This Row],[h2]],8))</f>
        <v>0</v>
      </c>
    </row>
    <row r="1566" spans="1:18">
      <c r="A1566" s="15" t="str">
        <f t="shared" si="29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8" t="s">
        <v>75</v>
      </c>
      <c r="P1566" s="48">
        <f>HEX2DEC(RIGHT(Table13232127535863[[#This Row],[h1]],8))</f>
        <v>0</v>
      </c>
      <c r="Q1566" s="48" t="s">
        <v>75</v>
      </c>
      <c r="R1566" s="48">
        <f>HEX2DEC(RIGHT(Table13232127535863[[#This Row],[h2]],8))</f>
        <v>0</v>
      </c>
    </row>
    <row r="1567" spans="1:18">
      <c r="A1567" s="15" t="str">
        <f t="shared" si="29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8" t="s">
        <v>75</v>
      </c>
      <c r="P1567" s="48">
        <f>HEX2DEC(RIGHT(Table13232127535863[[#This Row],[h1]],8))</f>
        <v>0</v>
      </c>
      <c r="Q1567" s="48" t="s">
        <v>75</v>
      </c>
      <c r="R1567" s="48">
        <f>HEX2DEC(RIGHT(Table13232127535863[[#This Row],[h2]],8))</f>
        <v>0</v>
      </c>
    </row>
    <row r="1568" spans="1:18">
      <c r="A1568" s="15" t="str">
        <f t="shared" si="29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8" t="s">
        <v>75</v>
      </c>
      <c r="P1568" s="48">
        <f>HEX2DEC(RIGHT(Table13232127535863[[#This Row],[h1]],8))</f>
        <v>0</v>
      </c>
      <c r="Q1568" s="48" t="s">
        <v>75</v>
      </c>
      <c r="R1568" s="48">
        <f>HEX2DEC(RIGHT(Table13232127535863[[#This Row],[h2]],8))</f>
        <v>0</v>
      </c>
    </row>
    <row r="1569" spans="1:18">
      <c r="A1569" s="15" t="str">
        <f t="shared" si="29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8" t="s">
        <v>75</v>
      </c>
      <c r="P1569" s="48">
        <f>HEX2DEC(RIGHT(Table13232127535863[[#This Row],[h1]],8))</f>
        <v>0</v>
      </c>
      <c r="Q1569" s="48" t="s">
        <v>75</v>
      </c>
      <c r="R1569" s="48">
        <f>HEX2DEC(RIGHT(Table13232127535863[[#This Row],[h2]],8))</f>
        <v>0</v>
      </c>
    </row>
    <row r="1570" spans="1:18">
      <c r="A1570" s="15" t="str">
        <f t="shared" si="29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8" t="s">
        <v>75</v>
      </c>
      <c r="P1570" s="48">
        <f>HEX2DEC(RIGHT(Table13232127535863[[#This Row],[h1]],8))</f>
        <v>0</v>
      </c>
      <c r="Q1570" s="48" t="s">
        <v>75</v>
      </c>
      <c r="R1570" s="48">
        <f>HEX2DEC(RIGHT(Table13232127535863[[#This Row],[h2]],8))</f>
        <v>0</v>
      </c>
    </row>
    <row r="1571" spans="1:18">
      <c r="A1571" s="15" t="str">
        <f t="shared" si="29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8" t="s">
        <v>75</v>
      </c>
      <c r="P1571" s="48">
        <f>HEX2DEC(RIGHT(Table13232127535863[[#This Row],[h1]],8))</f>
        <v>0</v>
      </c>
      <c r="Q1571" s="48" t="s">
        <v>75</v>
      </c>
      <c r="R1571" s="48">
        <f>HEX2DEC(RIGHT(Table13232127535863[[#This Row],[h2]],8))</f>
        <v>0</v>
      </c>
    </row>
    <row r="1572" spans="1:18">
      <c r="A1572" s="15" t="str">
        <f t="shared" si="29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8" t="s">
        <v>75</v>
      </c>
      <c r="P1572" s="48">
        <f>HEX2DEC(RIGHT(Table13232127535863[[#This Row],[h1]],8))</f>
        <v>0</v>
      </c>
      <c r="Q1572" s="48" t="s">
        <v>75</v>
      </c>
      <c r="R1572" s="48">
        <f>HEX2DEC(RIGHT(Table13232127535863[[#This Row],[h2]],8))</f>
        <v>0</v>
      </c>
    </row>
    <row r="1573" spans="1:18">
      <c r="A1573" s="15" t="str">
        <f t="shared" si="29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8" t="s">
        <v>75</v>
      </c>
      <c r="P1573" s="48">
        <f>HEX2DEC(RIGHT(Table13232127535863[[#This Row],[h1]],8))</f>
        <v>0</v>
      </c>
      <c r="Q1573" s="48" t="s">
        <v>75</v>
      </c>
      <c r="R1573" s="48">
        <f>HEX2DEC(RIGHT(Table13232127535863[[#This Row],[h2]],8))</f>
        <v>0</v>
      </c>
    </row>
    <row r="1574" spans="1:18">
      <c r="A1574" s="15" t="str">
        <f t="shared" si="29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8" t="s">
        <v>75</v>
      </c>
      <c r="P1574" s="48">
        <f>HEX2DEC(RIGHT(Table13232127535863[[#This Row],[h1]],8))</f>
        <v>0</v>
      </c>
      <c r="Q1574" s="48" t="s">
        <v>75</v>
      </c>
      <c r="R1574" s="48">
        <f>HEX2DEC(RIGHT(Table13232127535863[[#This Row],[h2]],8))</f>
        <v>0</v>
      </c>
    </row>
    <row r="1575" spans="1:18">
      <c r="A1575" s="15" t="str">
        <f t="shared" si="29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8" t="s">
        <v>75</v>
      </c>
      <c r="P1575" s="48">
        <f>HEX2DEC(RIGHT(Table13232127535863[[#This Row],[h1]],8))</f>
        <v>0</v>
      </c>
      <c r="Q1575" s="48" t="s">
        <v>75</v>
      </c>
      <c r="R1575" s="48">
        <f>HEX2DEC(RIGHT(Table13232127535863[[#This Row],[h2]],8))</f>
        <v>0</v>
      </c>
    </row>
    <row r="1576" spans="1:18">
      <c r="A1576" s="15" t="str">
        <f t="shared" si="29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8" t="s">
        <v>75</v>
      </c>
      <c r="P1576" s="48">
        <f>HEX2DEC(RIGHT(Table13232127535863[[#This Row],[h1]],8))</f>
        <v>0</v>
      </c>
      <c r="Q1576" s="48" t="s">
        <v>75</v>
      </c>
      <c r="R1576" s="48">
        <f>HEX2DEC(RIGHT(Table13232127535863[[#This Row],[h2]],8))</f>
        <v>0</v>
      </c>
    </row>
    <row r="1577" spans="1:18">
      <c r="A1577" s="15" t="str">
        <f t="shared" si="29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8" t="s">
        <v>75</v>
      </c>
      <c r="P1577" s="48">
        <f>HEX2DEC(RIGHT(Table13232127535863[[#This Row],[h1]],8))</f>
        <v>0</v>
      </c>
      <c r="Q1577" s="48" t="s">
        <v>75</v>
      </c>
      <c r="R1577" s="48">
        <f>HEX2DEC(RIGHT(Table13232127535863[[#This Row],[h2]],8))</f>
        <v>0</v>
      </c>
    </row>
    <row r="1578" spans="1:18">
      <c r="A1578" s="15" t="str">
        <f t="shared" si="29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8" t="s">
        <v>75</v>
      </c>
      <c r="P1578" s="48">
        <f>HEX2DEC(RIGHT(Table13232127535863[[#This Row],[h1]],8))</f>
        <v>0</v>
      </c>
      <c r="Q1578" s="48" t="s">
        <v>75</v>
      </c>
      <c r="R1578" s="48">
        <f>HEX2DEC(RIGHT(Table13232127535863[[#This Row],[h2]],8))</f>
        <v>0</v>
      </c>
    </row>
    <row r="1579" spans="1:18">
      <c r="A1579" s="15" t="str">
        <f t="shared" si="29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8" t="s">
        <v>75</v>
      </c>
      <c r="P1579" s="48">
        <f>HEX2DEC(RIGHT(Table13232127535863[[#This Row],[h1]],8))</f>
        <v>0</v>
      </c>
      <c r="Q1579" s="48" t="s">
        <v>75</v>
      </c>
      <c r="R1579" s="48">
        <f>HEX2DEC(RIGHT(Table13232127535863[[#This Row],[h2]],8))</f>
        <v>0</v>
      </c>
    </row>
    <row r="1580" spans="1:18">
      <c r="A1580" s="15" t="str">
        <f t="shared" si="29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8" t="s">
        <v>75</v>
      </c>
      <c r="P1580" s="48">
        <f>HEX2DEC(RIGHT(Table13232127535863[[#This Row],[h1]],8))</f>
        <v>0</v>
      </c>
      <c r="Q1580" s="48" t="s">
        <v>75</v>
      </c>
      <c r="R1580" s="48">
        <f>HEX2DEC(RIGHT(Table13232127535863[[#This Row],[h2]],8))</f>
        <v>0</v>
      </c>
    </row>
    <row r="1581" spans="1:18">
      <c r="A1581" s="15" t="str">
        <f t="shared" si="29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8" t="s">
        <v>75</v>
      </c>
      <c r="P1581" s="48">
        <f>HEX2DEC(RIGHT(Table13232127535863[[#This Row],[h1]],8))</f>
        <v>0</v>
      </c>
      <c r="Q1581" s="48" t="s">
        <v>75</v>
      </c>
      <c r="R1581" s="48">
        <f>HEX2DEC(RIGHT(Table13232127535863[[#This Row],[h2]],8))</f>
        <v>0</v>
      </c>
    </row>
    <row r="1582" spans="1:18">
      <c r="A1582" s="15" t="str">
        <f t="shared" si="29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8" t="s">
        <v>75</v>
      </c>
      <c r="P1582" s="48">
        <f>HEX2DEC(RIGHT(Table13232127535863[[#This Row],[h1]],8))</f>
        <v>0</v>
      </c>
      <c r="Q1582" s="48" t="s">
        <v>75</v>
      </c>
      <c r="R1582" s="48">
        <f>HEX2DEC(RIGHT(Table13232127535863[[#This Row],[h2]],8))</f>
        <v>0</v>
      </c>
    </row>
    <row r="1583" spans="1:18">
      <c r="A1583" s="15" t="str">
        <f t="shared" si="29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8" t="s">
        <v>75</v>
      </c>
      <c r="P1583" s="48">
        <f>HEX2DEC(RIGHT(Table13232127535863[[#This Row],[h1]],8))</f>
        <v>0</v>
      </c>
      <c r="Q1583" s="48" t="s">
        <v>75</v>
      </c>
      <c r="R1583" s="48">
        <f>HEX2DEC(RIGHT(Table13232127535863[[#This Row],[h2]],8))</f>
        <v>0</v>
      </c>
    </row>
    <row r="1584" spans="1:18">
      <c r="A1584" s="15" t="str">
        <f t="shared" si="29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8" t="s">
        <v>75</v>
      </c>
      <c r="P1584" s="48">
        <f>HEX2DEC(RIGHT(Table13232127535863[[#This Row],[h1]],8))</f>
        <v>0</v>
      </c>
      <c r="Q1584" s="48" t="s">
        <v>75</v>
      </c>
      <c r="R1584" s="48">
        <f>HEX2DEC(RIGHT(Table13232127535863[[#This Row],[h2]],8))</f>
        <v>0</v>
      </c>
    </row>
    <row r="1585" spans="1:18">
      <c r="A1585" s="15" t="str">
        <f t="shared" si="29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8" t="s">
        <v>75</v>
      </c>
      <c r="P1585" s="48">
        <f>HEX2DEC(RIGHT(Table13232127535863[[#This Row],[h1]],8))</f>
        <v>0</v>
      </c>
      <c r="Q1585" s="48" t="s">
        <v>75</v>
      </c>
      <c r="R1585" s="48">
        <f>HEX2DEC(RIGHT(Table13232127535863[[#This Row],[h2]],8))</f>
        <v>0</v>
      </c>
    </row>
    <row r="1586" spans="1:18">
      <c r="A1586" s="15" t="str">
        <f t="shared" si="29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8" t="s">
        <v>75</v>
      </c>
      <c r="P1586" s="48">
        <f>HEX2DEC(RIGHT(Table13232127535863[[#This Row],[h1]],8))</f>
        <v>0</v>
      </c>
      <c r="Q1586" s="48" t="s">
        <v>75</v>
      </c>
      <c r="R1586" s="48">
        <f>HEX2DEC(RIGHT(Table13232127535863[[#This Row],[h2]],8))</f>
        <v>0</v>
      </c>
    </row>
    <row r="1587" spans="1:18">
      <c r="A1587" s="15" t="str">
        <f t="shared" si="29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8" t="s">
        <v>75</v>
      </c>
      <c r="P1587" s="48">
        <f>HEX2DEC(RIGHT(Table13232127535863[[#This Row],[h1]],8))</f>
        <v>0</v>
      </c>
      <c r="Q1587" s="48" t="s">
        <v>75</v>
      </c>
      <c r="R1587" s="48">
        <f>HEX2DEC(RIGHT(Table13232127535863[[#This Row],[h2]],8))</f>
        <v>0</v>
      </c>
    </row>
    <row r="1588" spans="1:18">
      <c r="A1588" s="15" t="str">
        <f t="shared" si="29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8" t="s">
        <v>75</v>
      </c>
      <c r="P1588" s="48">
        <f>HEX2DEC(RIGHT(Table13232127535863[[#This Row],[h1]],8))</f>
        <v>0</v>
      </c>
      <c r="Q1588" s="48" t="s">
        <v>75</v>
      </c>
      <c r="R1588" s="48">
        <f>HEX2DEC(RIGHT(Table13232127535863[[#This Row],[h2]],8))</f>
        <v>0</v>
      </c>
    </row>
    <row r="1589" spans="1:18">
      <c r="A1589" s="15" t="str">
        <f t="shared" si="29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8" t="s">
        <v>75</v>
      </c>
      <c r="P1589" s="48">
        <f>HEX2DEC(RIGHT(Table13232127535863[[#This Row],[h1]],8))</f>
        <v>0</v>
      </c>
      <c r="Q1589" s="48" t="s">
        <v>75</v>
      </c>
      <c r="R1589" s="48">
        <f>HEX2DEC(RIGHT(Table13232127535863[[#This Row],[h2]],8))</f>
        <v>0</v>
      </c>
    </row>
    <row r="1590" spans="1:18">
      <c r="A1590" s="15" t="str">
        <f t="shared" si="29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8" t="s">
        <v>75</v>
      </c>
      <c r="P1590" s="48">
        <f>HEX2DEC(RIGHT(Table13232127535863[[#This Row],[h1]],8))</f>
        <v>0</v>
      </c>
      <c r="Q1590" s="48" t="s">
        <v>75</v>
      </c>
      <c r="R1590" s="48">
        <f>HEX2DEC(RIGHT(Table13232127535863[[#This Row],[h2]],8))</f>
        <v>0</v>
      </c>
    </row>
    <row r="1591" spans="1:18">
      <c r="A1591" s="15" t="str">
        <f t="shared" si="29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8" t="s">
        <v>75</v>
      </c>
      <c r="P1591" s="48">
        <f>HEX2DEC(RIGHT(Table13232127535863[[#This Row],[h1]],8))</f>
        <v>0</v>
      </c>
      <c r="Q1591" s="48" t="s">
        <v>75</v>
      </c>
      <c r="R1591" s="48">
        <f>HEX2DEC(RIGHT(Table13232127535863[[#This Row],[h2]],8))</f>
        <v>0</v>
      </c>
    </row>
    <row r="1592" spans="1:18">
      <c r="A1592" s="15" t="str">
        <f t="shared" si="29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8" t="s">
        <v>75</v>
      </c>
      <c r="P1592" s="48">
        <f>HEX2DEC(RIGHT(Table13232127535863[[#This Row],[h1]],8))</f>
        <v>0</v>
      </c>
      <c r="Q1592" s="48" t="s">
        <v>75</v>
      </c>
      <c r="R1592" s="48">
        <f>HEX2DEC(RIGHT(Table13232127535863[[#This Row],[h2]],8))</f>
        <v>0</v>
      </c>
    </row>
    <row r="1593" spans="1:18">
      <c r="A1593" s="15" t="str">
        <f t="shared" si="29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8" t="s">
        <v>75</v>
      </c>
      <c r="P1593" s="48">
        <f>HEX2DEC(RIGHT(Table13232127535863[[#This Row],[h1]],8))</f>
        <v>0</v>
      </c>
      <c r="Q1593" s="48" t="s">
        <v>75</v>
      </c>
      <c r="R1593" s="48">
        <f>HEX2DEC(RIGHT(Table13232127535863[[#This Row],[h2]],8))</f>
        <v>0</v>
      </c>
    </row>
    <row r="1594" spans="1:18">
      <c r="A1594" s="15" t="str">
        <f t="shared" si="29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8" t="s">
        <v>75</v>
      </c>
      <c r="P1594" s="48">
        <f>HEX2DEC(RIGHT(Table13232127535863[[#This Row],[h1]],8))</f>
        <v>0</v>
      </c>
      <c r="Q1594" s="48" t="s">
        <v>75</v>
      </c>
      <c r="R1594" s="48">
        <f>HEX2DEC(RIGHT(Table13232127535863[[#This Row],[h2]],8))</f>
        <v>0</v>
      </c>
    </row>
    <row r="1595" spans="1:18">
      <c r="A1595" s="15" t="str">
        <f t="shared" si="29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8" t="s">
        <v>75</v>
      </c>
      <c r="P1595" s="48">
        <f>HEX2DEC(RIGHT(Table13232127535863[[#This Row],[h1]],8))</f>
        <v>0</v>
      </c>
      <c r="Q1595" s="48" t="s">
        <v>75</v>
      </c>
      <c r="R1595" s="48">
        <f>HEX2DEC(RIGHT(Table13232127535863[[#This Row],[h2]],8))</f>
        <v>0</v>
      </c>
    </row>
    <row r="1596" spans="1:18">
      <c r="A1596" s="15" t="str">
        <f t="shared" si="29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8" t="s">
        <v>75</v>
      </c>
      <c r="P1596" s="48">
        <f>HEX2DEC(RIGHT(Table13232127535863[[#This Row],[h1]],8))</f>
        <v>0</v>
      </c>
      <c r="Q1596" s="48" t="s">
        <v>75</v>
      </c>
      <c r="R1596" s="48">
        <f>HEX2DEC(RIGHT(Table13232127535863[[#This Row],[h2]],8))</f>
        <v>0</v>
      </c>
    </row>
    <row r="1597" spans="1:18">
      <c r="A1597" s="15" t="str">
        <f t="shared" si="29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8" t="s">
        <v>75</v>
      </c>
      <c r="P1597" s="48">
        <f>HEX2DEC(RIGHT(Table13232127535863[[#This Row],[h1]],8))</f>
        <v>0</v>
      </c>
      <c r="Q1597" s="48" t="s">
        <v>75</v>
      </c>
      <c r="R1597" s="48">
        <f>HEX2DEC(RIGHT(Table13232127535863[[#This Row],[h2]],8))</f>
        <v>0</v>
      </c>
    </row>
    <row r="1598" spans="1:18">
      <c r="A1598" s="15" t="str">
        <f t="shared" si="29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8" t="s">
        <v>75</v>
      </c>
      <c r="P1598" s="48">
        <f>HEX2DEC(RIGHT(Table13232127535863[[#This Row],[h1]],8))</f>
        <v>0</v>
      </c>
      <c r="Q1598" s="48" t="s">
        <v>75</v>
      </c>
      <c r="R1598" s="48">
        <f>HEX2DEC(RIGHT(Table13232127535863[[#This Row],[h2]],8))</f>
        <v>0</v>
      </c>
    </row>
    <row r="1599" spans="1:18">
      <c r="A1599" s="15" t="str">
        <f t="shared" si="29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8" t="s">
        <v>75</v>
      </c>
      <c r="P1599" s="48">
        <f>HEX2DEC(RIGHT(Table13232127535863[[#This Row],[h1]],8))</f>
        <v>0</v>
      </c>
      <c r="Q1599" s="48" t="s">
        <v>75</v>
      </c>
      <c r="R1599" s="48">
        <f>HEX2DEC(RIGHT(Table13232127535863[[#This Row],[h2]],8))</f>
        <v>0</v>
      </c>
    </row>
    <row r="1600" spans="1:18">
      <c r="A1600" s="15" t="str">
        <f t="shared" si="29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8" t="s">
        <v>75</v>
      </c>
      <c r="P1600" s="48">
        <f>HEX2DEC(RIGHT(Table13232127535863[[#This Row],[h1]],8))</f>
        <v>0</v>
      </c>
      <c r="Q1600" s="48" t="s">
        <v>75</v>
      </c>
      <c r="R1600" s="48">
        <f>HEX2DEC(RIGHT(Table13232127535863[[#This Row],[h2]],8))</f>
        <v>0</v>
      </c>
    </row>
    <row r="1601" spans="1:18">
      <c r="A1601" s="15" t="str">
        <f t="shared" si="29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8" t="s">
        <v>75</v>
      </c>
      <c r="P1601" s="48">
        <f>HEX2DEC(RIGHT(Table13232127535863[[#This Row],[h1]],8))</f>
        <v>0</v>
      </c>
      <c r="Q1601" s="48" t="s">
        <v>75</v>
      </c>
      <c r="R1601" s="48">
        <f>HEX2DEC(RIGHT(Table13232127535863[[#This Row],[h2]],8))</f>
        <v>0</v>
      </c>
    </row>
    <row r="1602" spans="1:18">
      <c r="A1602" s="15" t="str">
        <f t="shared" si="29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8" t="s">
        <v>75</v>
      </c>
      <c r="P1602" s="48">
        <f>HEX2DEC(RIGHT(Table13232127535863[[#This Row],[h1]],8))</f>
        <v>0</v>
      </c>
      <c r="Q1602" s="48" t="s">
        <v>75</v>
      </c>
      <c r="R1602" s="48">
        <f>HEX2DEC(RIGHT(Table13232127535863[[#This Row],[h2]],8))</f>
        <v>0</v>
      </c>
    </row>
    <row r="1603" spans="1:18">
      <c r="A1603" s="15" t="str">
        <f t="shared" si="29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8" t="s">
        <v>75</v>
      </c>
      <c r="P1603" s="48">
        <f>HEX2DEC(RIGHT(Table13232127535863[[#This Row],[h1]],8))</f>
        <v>0</v>
      </c>
      <c r="Q1603" s="48" t="s">
        <v>75</v>
      </c>
      <c r="R1603" s="48">
        <f>HEX2DEC(RIGHT(Table13232127535863[[#This Row],[h2]],8))</f>
        <v>0</v>
      </c>
    </row>
    <row r="1604" spans="1:18">
      <c r="A1604" s="15" t="str">
        <f t="shared" si="29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8" t="s">
        <v>75</v>
      </c>
      <c r="P1604" s="48">
        <f>HEX2DEC(RIGHT(Table13232127535863[[#This Row],[h1]],8))</f>
        <v>0</v>
      </c>
      <c r="Q1604" s="48" t="s">
        <v>75</v>
      </c>
      <c r="R1604" s="48">
        <f>HEX2DEC(RIGHT(Table13232127535863[[#This Row],[h2]],8))</f>
        <v>0</v>
      </c>
    </row>
    <row r="1605" spans="1:18">
      <c r="A1605" s="15" t="str">
        <f t="shared" si="29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8" t="s">
        <v>75</v>
      </c>
      <c r="P1605" s="48">
        <f>HEX2DEC(RIGHT(Table13232127535863[[#This Row],[h1]],8))</f>
        <v>0</v>
      </c>
      <c r="Q1605" s="48" t="s">
        <v>75</v>
      </c>
      <c r="R1605" s="48">
        <f>HEX2DEC(RIGHT(Table13232127535863[[#This Row],[h2]],8))</f>
        <v>0</v>
      </c>
    </row>
    <row r="1606" spans="1:18">
      <c r="A1606" s="15" t="str">
        <f t="shared" si="29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8" t="s">
        <v>75</v>
      </c>
      <c r="P1606" s="48">
        <f>HEX2DEC(RIGHT(Table13232127535863[[#This Row],[h1]],8))</f>
        <v>0</v>
      </c>
      <c r="Q1606" s="48" t="s">
        <v>75</v>
      </c>
      <c r="R1606" s="48">
        <f>HEX2DEC(RIGHT(Table13232127535863[[#This Row],[h2]],8))</f>
        <v>0</v>
      </c>
    </row>
    <row r="1607" spans="1:18">
      <c r="A1607" s="15" t="str">
        <f t="shared" si="29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8" t="s">
        <v>75</v>
      </c>
      <c r="P1607" s="48">
        <f>HEX2DEC(RIGHT(Table13232127535863[[#This Row],[h1]],8))</f>
        <v>0</v>
      </c>
      <c r="Q1607" s="48" t="s">
        <v>75</v>
      </c>
      <c r="R1607" s="48">
        <f>HEX2DEC(RIGHT(Table13232127535863[[#This Row],[h2]],8))</f>
        <v>0</v>
      </c>
    </row>
    <row r="1608" spans="1:18">
      <c r="A1608" s="15" t="str">
        <f t="shared" si="29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8" t="s">
        <v>75</v>
      </c>
      <c r="P1608" s="48">
        <f>HEX2DEC(RIGHT(Table13232127535863[[#This Row],[h1]],8))</f>
        <v>0</v>
      </c>
      <c r="Q1608" s="48" t="s">
        <v>75</v>
      </c>
      <c r="R1608" s="48">
        <f>HEX2DEC(RIGHT(Table13232127535863[[#This Row],[h2]],8))</f>
        <v>0</v>
      </c>
    </row>
    <row r="1609" spans="1:18">
      <c r="A1609" s="15" t="str">
        <f t="shared" si="29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8" t="s">
        <v>75</v>
      </c>
      <c r="P1609" s="48">
        <f>HEX2DEC(RIGHT(Table13232127535863[[#This Row],[h1]],8))</f>
        <v>0</v>
      </c>
      <c r="Q1609" s="48" t="s">
        <v>75</v>
      </c>
      <c r="R1609" s="48">
        <f>HEX2DEC(RIGHT(Table13232127535863[[#This Row],[h2]],8))</f>
        <v>0</v>
      </c>
    </row>
    <row r="1610" spans="1:18">
      <c r="A1610" s="15" t="str">
        <f t="shared" si="29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8" t="s">
        <v>75</v>
      </c>
      <c r="P1610" s="48">
        <f>HEX2DEC(RIGHT(Table13232127535863[[#This Row],[h1]],8))</f>
        <v>0</v>
      </c>
      <c r="Q1610" s="48" t="s">
        <v>75</v>
      </c>
      <c r="R1610" s="48">
        <f>HEX2DEC(RIGHT(Table13232127535863[[#This Row],[h2]],8))</f>
        <v>0</v>
      </c>
    </row>
    <row r="1611" spans="1:18">
      <c r="A1611" s="15" t="str">
        <f t="shared" ref="A1611:A1674" si="30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8" t="s">
        <v>75</v>
      </c>
      <c r="P1611" s="48">
        <f>HEX2DEC(RIGHT(Table13232127535863[[#This Row],[h1]],8))</f>
        <v>0</v>
      </c>
      <c r="Q1611" s="48" t="s">
        <v>75</v>
      </c>
      <c r="R1611" s="48">
        <f>HEX2DEC(RIGHT(Table13232127535863[[#This Row],[h2]],8))</f>
        <v>0</v>
      </c>
    </row>
    <row r="1612" spans="1:18">
      <c r="A1612" s="15" t="str">
        <f t="shared" si="30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8" t="s">
        <v>75</v>
      </c>
      <c r="P1612" s="48">
        <f>HEX2DEC(RIGHT(Table13232127535863[[#This Row],[h1]],8))</f>
        <v>0</v>
      </c>
      <c r="Q1612" s="48" t="s">
        <v>75</v>
      </c>
      <c r="R1612" s="48">
        <f>HEX2DEC(RIGHT(Table13232127535863[[#This Row],[h2]],8))</f>
        <v>0</v>
      </c>
    </row>
    <row r="1613" spans="1:18">
      <c r="A1613" s="15" t="str">
        <f t="shared" si="30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8" t="s">
        <v>75</v>
      </c>
      <c r="P1613" s="48">
        <f>HEX2DEC(RIGHT(Table13232127535863[[#This Row],[h1]],8))</f>
        <v>0</v>
      </c>
      <c r="Q1613" s="48" t="s">
        <v>75</v>
      </c>
      <c r="R1613" s="48">
        <f>HEX2DEC(RIGHT(Table13232127535863[[#This Row],[h2]],8))</f>
        <v>0</v>
      </c>
    </row>
    <row r="1614" spans="1:18">
      <c r="A1614" s="15" t="str">
        <f t="shared" si="30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8" t="s">
        <v>75</v>
      </c>
      <c r="P1614" s="48">
        <f>HEX2DEC(RIGHT(Table13232127535863[[#This Row],[h1]],8))</f>
        <v>0</v>
      </c>
      <c r="Q1614" s="48" t="s">
        <v>75</v>
      </c>
      <c r="R1614" s="48">
        <f>HEX2DEC(RIGHT(Table13232127535863[[#This Row],[h2]],8))</f>
        <v>0</v>
      </c>
    </row>
    <row r="1615" spans="1:18">
      <c r="A1615" s="15" t="str">
        <f t="shared" si="30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8" t="s">
        <v>75</v>
      </c>
      <c r="P1615" s="48">
        <f>HEX2DEC(RIGHT(Table13232127535863[[#This Row],[h1]],8))</f>
        <v>0</v>
      </c>
      <c r="Q1615" s="48" t="s">
        <v>75</v>
      </c>
      <c r="R1615" s="48">
        <f>HEX2DEC(RIGHT(Table13232127535863[[#This Row],[h2]],8))</f>
        <v>0</v>
      </c>
    </row>
    <row r="1616" spans="1:18">
      <c r="A1616" s="15" t="str">
        <f t="shared" si="30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8" t="s">
        <v>75</v>
      </c>
      <c r="P1616" s="48">
        <f>HEX2DEC(RIGHT(Table13232127535863[[#This Row],[h1]],8))</f>
        <v>0</v>
      </c>
      <c r="Q1616" s="48" t="s">
        <v>75</v>
      </c>
      <c r="R1616" s="48">
        <f>HEX2DEC(RIGHT(Table13232127535863[[#This Row],[h2]],8))</f>
        <v>0</v>
      </c>
    </row>
    <row r="1617" spans="1:18">
      <c r="A1617" s="15" t="str">
        <f t="shared" si="30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8" t="s">
        <v>75</v>
      </c>
      <c r="P1617" s="48">
        <f>HEX2DEC(RIGHT(Table13232127535863[[#This Row],[h1]],8))</f>
        <v>0</v>
      </c>
      <c r="Q1617" s="48" t="s">
        <v>75</v>
      </c>
      <c r="R1617" s="48">
        <f>HEX2DEC(RIGHT(Table13232127535863[[#This Row],[h2]],8))</f>
        <v>0</v>
      </c>
    </row>
    <row r="1618" spans="1:18">
      <c r="A1618" s="15" t="str">
        <f t="shared" si="30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8" t="s">
        <v>75</v>
      </c>
      <c r="P1618" s="48">
        <f>HEX2DEC(RIGHT(Table13232127535863[[#This Row],[h1]],8))</f>
        <v>0</v>
      </c>
      <c r="Q1618" s="48" t="s">
        <v>75</v>
      </c>
      <c r="R1618" s="48">
        <f>HEX2DEC(RIGHT(Table13232127535863[[#This Row],[h2]],8))</f>
        <v>0</v>
      </c>
    </row>
    <row r="1619" spans="1:18">
      <c r="A1619" s="15" t="str">
        <f t="shared" si="30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8" t="s">
        <v>75</v>
      </c>
      <c r="P1619" s="48">
        <f>HEX2DEC(RIGHT(Table13232127535863[[#This Row],[h1]],8))</f>
        <v>0</v>
      </c>
      <c r="Q1619" s="48" t="s">
        <v>75</v>
      </c>
      <c r="R1619" s="48">
        <f>HEX2DEC(RIGHT(Table13232127535863[[#This Row],[h2]],8))</f>
        <v>0</v>
      </c>
    </row>
    <row r="1620" spans="1:18">
      <c r="A1620" s="15" t="str">
        <f t="shared" si="30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8" t="s">
        <v>75</v>
      </c>
      <c r="P1620" s="48">
        <f>HEX2DEC(RIGHT(Table13232127535863[[#This Row],[h1]],8))</f>
        <v>0</v>
      </c>
      <c r="Q1620" s="48" t="s">
        <v>75</v>
      </c>
      <c r="R1620" s="48">
        <f>HEX2DEC(RIGHT(Table13232127535863[[#This Row],[h2]],8))</f>
        <v>0</v>
      </c>
    </row>
    <row r="1621" spans="1:18">
      <c r="A1621" s="15" t="str">
        <f t="shared" si="30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8" t="s">
        <v>75</v>
      </c>
      <c r="P1621" s="48">
        <f>HEX2DEC(RIGHT(Table13232127535863[[#This Row],[h1]],8))</f>
        <v>0</v>
      </c>
      <c r="Q1621" s="48" t="s">
        <v>75</v>
      </c>
      <c r="R1621" s="48">
        <f>HEX2DEC(RIGHT(Table13232127535863[[#This Row],[h2]],8))</f>
        <v>0</v>
      </c>
    </row>
    <row r="1622" spans="1:18">
      <c r="A1622" s="15" t="str">
        <f t="shared" si="30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8" t="s">
        <v>75</v>
      </c>
      <c r="P1622" s="48">
        <f>HEX2DEC(RIGHT(Table13232127535863[[#This Row],[h1]],8))</f>
        <v>0</v>
      </c>
      <c r="Q1622" s="48" t="s">
        <v>75</v>
      </c>
      <c r="R1622" s="48">
        <f>HEX2DEC(RIGHT(Table13232127535863[[#This Row],[h2]],8))</f>
        <v>0</v>
      </c>
    </row>
    <row r="1623" spans="1:18">
      <c r="A1623" s="15" t="str">
        <f t="shared" si="30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8" t="s">
        <v>75</v>
      </c>
      <c r="P1623" s="48">
        <f>HEX2DEC(RIGHT(Table13232127535863[[#This Row],[h1]],8))</f>
        <v>0</v>
      </c>
      <c r="Q1623" s="48" t="s">
        <v>75</v>
      </c>
      <c r="R1623" s="48">
        <f>HEX2DEC(RIGHT(Table13232127535863[[#This Row],[h2]],8))</f>
        <v>0</v>
      </c>
    </row>
    <row r="1624" spans="1:18">
      <c r="A1624" s="15" t="str">
        <f t="shared" si="30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8" t="s">
        <v>75</v>
      </c>
      <c r="P1624" s="48">
        <f>HEX2DEC(RIGHT(Table13232127535863[[#This Row],[h1]],8))</f>
        <v>0</v>
      </c>
      <c r="Q1624" s="48" t="s">
        <v>75</v>
      </c>
      <c r="R1624" s="48">
        <f>HEX2DEC(RIGHT(Table13232127535863[[#This Row],[h2]],8))</f>
        <v>0</v>
      </c>
    </row>
    <row r="1625" spans="1:18">
      <c r="A1625" s="15" t="str">
        <f t="shared" si="30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8" t="s">
        <v>75</v>
      </c>
      <c r="P1625" s="48">
        <f>HEX2DEC(RIGHT(Table13232127535863[[#This Row],[h1]],8))</f>
        <v>0</v>
      </c>
      <c r="Q1625" s="48" t="s">
        <v>75</v>
      </c>
      <c r="R1625" s="48">
        <f>HEX2DEC(RIGHT(Table13232127535863[[#This Row],[h2]],8))</f>
        <v>0</v>
      </c>
    </row>
    <row r="1626" spans="1:18">
      <c r="A1626" s="15" t="str">
        <f t="shared" si="30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8" t="s">
        <v>75</v>
      </c>
      <c r="P1626" s="48">
        <f>HEX2DEC(RIGHT(Table13232127535863[[#This Row],[h1]],8))</f>
        <v>0</v>
      </c>
      <c r="Q1626" s="48" t="s">
        <v>75</v>
      </c>
      <c r="R1626" s="48">
        <f>HEX2DEC(RIGHT(Table13232127535863[[#This Row],[h2]],8))</f>
        <v>0</v>
      </c>
    </row>
    <row r="1627" spans="1:18">
      <c r="A1627" s="15" t="str">
        <f t="shared" si="30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8" t="s">
        <v>75</v>
      </c>
      <c r="P1627" s="48">
        <f>HEX2DEC(RIGHT(Table13232127535863[[#This Row],[h1]],8))</f>
        <v>0</v>
      </c>
      <c r="Q1627" s="48" t="s">
        <v>75</v>
      </c>
      <c r="R1627" s="48">
        <f>HEX2DEC(RIGHT(Table13232127535863[[#This Row],[h2]],8))</f>
        <v>0</v>
      </c>
    </row>
    <row r="1628" spans="1:18">
      <c r="A1628" s="15" t="str">
        <f t="shared" si="30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8" t="s">
        <v>75</v>
      </c>
      <c r="P1628" s="48">
        <f>HEX2DEC(RIGHT(Table13232127535863[[#This Row],[h1]],8))</f>
        <v>0</v>
      </c>
      <c r="Q1628" s="48" t="s">
        <v>75</v>
      </c>
      <c r="R1628" s="48">
        <f>HEX2DEC(RIGHT(Table13232127535863[[#This Row],[h2]],8))</f>
        <v>0</v>
      </c>
    </row>
    <row r="1629" spans="1:18">
      <c r="A1629" s="15" t="str">
        <f t="shared" si="30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8" t="s">
        <v>75</v>
      </c>
      <c r="P1629" s="48">
        <f>HEX2DEC(RIGHT(Table13232127535863[[#This Row],[h1]],8))</f>
        <v>0</v>
      </c>
      <c r="Q1629" s="48" t="s">
        <v>75</v>
      </c>
      <c r="R1629" s="48">
        <f>HEX2DEC(RIGHT(Table13232127535863[[#This Row],[h2]],8))</f>
        <v>0</v>
      </c>
    </row>
    <row r="1630" spans="1:18">
      <c r="A1630" s="15" t="str">
        <f t="shared" si="30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8" t="s">
        <v>75</v>
      </c>
      <c r="P1630" s="48">
        <f>HEX2DEC(RIGHT(Table13232127535863[[#This Row],[h1]],8))</f>
        <v>0</v>
      </c>
      <c r="Q1630" s="48" t="s">
        <v>75</v>
      </c>
      <c r="R1630" s="48">
        <f>HEX2DEC(RIGHT(Table13232127535863[[#This Row],[h2]],8))</f>
        <v>0</v>
      </c>
    </row>
    <row r="1631" spans="1:18">
      <c r="A1631" s="15" t="str">
        <f t="shared" si="30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8" t="s">
        <v>75</v>
      </c>
      <c r="P1631" s="48">
        <f>HEX2DEC(RIGHT(Table13232127535863[[#This Row],[h1]],8))</f>
        <v>0</v>
      </c>
      <c r="Q1631" s="48" t="s">
        <v>75</v>
      </c>
      <c r="R1631" s="48">
        <f>HEX2DEC(RIGHT(Table13232127535863[[#This Row],[h2]],8))</f>
        <v>0</v>
      </c>
    </row>
    <row r="1632" spans="1:18">
      <c r="A1632" s="15" t="str">
        <f t="shared" si="30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8" t="s">
        <v>75</v>
      </c>
      <c r="P1632" s="48">
        <f>HEX2DEC(RIGHT(Table13232127535863[[#This Row],[h1]],8))</f>
        <v>0</v>
      </c>
      <c r="Q1632" s="48" t="s">
        <v>75</v>
      </c>
      <c r="R1632" s="48">
        <f>HEX2DEC(RIGHT(Table13232127535863[[#This Row],[h2]],8))</f>
        <v>0</v>
      </c>
    </row>
    <row r="1633" spans="1:18">
      <c r="A1633" s="15" t="str">
        <f t="shared" si="30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8" t="s">
        <v>75</v>
      </c>
      <c r="P1633" s="48">
        <f>HEX2DEC(RIGHT(Table13232127535863[[#This Row],[h1]],8))</f>
        <v>0</v>
      </c>
      <c r="Q1633" s="48" t="s">
        <v>75</v>
      </c>
      <c r="R1633" s="48">
        <f>HEX2DEC(RIGHT(Table13232127535863[[#This Row],[h2]],8))</f>
        <v>0</v>
      </c>
    </row>
    <row r="1634" spans="1:18">
      <c r="A1634" s="15" t="str">
        <f t="shared" si="30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8" t="s">
        <v>75</v>
      </c>
      <c r="P1634" s="48">
        <f>HEX2DEC(RIGHT(Table13232127535863[[#This Row],[h1]],8))</f>
        <v>0</v>
      </c>
      <c r="Q1634" s="48" t="s">
        <v>75</v>
      </c>
      <c r="R1634" s="48">
        <f>HEX2DEC(RIGHT(Table13232127535863[[#This Row],[h2]],8))</f>
        <v>0</v>
      </c>
    </row>
    <row r="1635" spans="1:18">
      <c r="A1635" s="15" t="str">
        <f t="shared" si="30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8" t="s">
        <v>75</v>
      </c>
      <c r="P1635" s="48">
        <f>HEX2DEC(RIGHT(Table13232127535863[[#This Row],[h1]],8))</f>
        <v>0</v>
      </c>
      <c r="Q1635" s="48" t="s">
        <v>75</v>
      </c>
      <c r="R1635" s="48">
        <f>HEX2DEC(RIGHT(Table13232127535863[[#This Row],[h2]],8))</f>
        <v>0</v>
      </c>
    </row>
    <row r="1636" spans="1:18">
      <c r="A1636" s="15" t="str">
        <f t="shared" si="30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8" t="s">
        <v>75</v>
      </c>
      <c r="P1636" s="48">
        <f>HEX2DEC(RIGHT(Table13232127535863[[#This Row],[h1]],8))</f>
        <v>0</v>
      </c>
      <c r="Q1636" s="48" t="s">
        <v>75</v>
      </c>
      <c r="R1636" s="48">
        <f>HEX2DEC(RIGHT(Table13232127535863[[#This Row],[h2]],8))</f>
        <v>0</v>
      </c>
    </row>
    <row r="1637" spans="1:18">
      <c r="A1637" s="15" t="str">
        <f t="shared" si="30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8" t="s">
        <v>75</v>
      </c>
      <c r="P1637" s="48">
        <f>HEX2DEC(RIGHT(Table13232127535863[[#This Row],[h1]],8))</f>
        <v>0</v>
      </c>
      <c r="Q1637" s="48" t="s">
        <v>75</v>
      </c>
      <c r="R1637" s="48">
        <f>HEX2DEC(RIGHT(Table13232127535863[[#This Row],[h2]],8))</f>
        <v>0</v>
      </c>
    </row>
    <row r="1638" spans="1:18">
      <c r="A1638" s="15" t="str">
        <f t="shared" si="30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8" t="s">
        <v>75</v>
      </c>
      <c r="P1638" s="48">
        <f>HEX2DEC(RIGHT(Table13232127535863[[#This Row],[h1]],8))</f>
        <v>0</v>
      </c>
      <c r="Q1638" s="48" t="s">
        <v>75</v>
      </c>
      <c r="R1638" s="48">
        <f>HEX2DEC(RIGHT(Table13232127535863[[#This Row],[h2]],8))</f>
        <v>0</v>
      </c>
    </row>
    <row r="1639" spans="1:18">
      <c r="A1639" s="15" t="str">
        <f t="shared" si="30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8" t="s">
        <v>75</v>
      </c>
      <c r="P1639" s="48">
        <f>HEX2DEC(RIGHT(Table13232127535863[[#This Row],[h1]],8))</f>
        <v>0</v>
      </c>
      <c r="Q1639" s="48" t="s">
        <v>75</v>
      </c>
      <c r="R1639" s="48">
        <f>HEX2DEC(RIGHT(Table13232127535863[[#This Row],[h2]],8))</f>
        <v>0</v>
      </c>
    </row>
    <row r="1640" spans="1:18">
      <c r="A1640" s="15" t="str">
        <f t="shared" si="30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8" t="s">
        <v>75</v>
      </c>
      <c r="P1640" s="48">
        <f>HEX2DEC(RIGHT(Table13232127535863[[#This Row],[h1]],8))</f>
        <v>0</v>
      </c>
      <c r="Q1640" s="48" t="s">
        <v>75</v>
      </c>
      <c r="R1640" s="48">
        <f>HEX2DEC(RIGHT(Table13232127535863[[#This Row],[h2]],8))</f>
        <v>0</v>
      </c>
    </row>
    <row r="1641" spans="1:18">
      <c r="A1641" s="15" t="str">
        <f t="shared" si="30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8" t="s">
        <v>75</v>
      </c>
      <c r="P1641" s="48">
        <f>HEX2DEC(RIGHT(Table13232127535863[[#This Row],[h1]],8))</f>
        <v>0</v>
      </c>
      <c r="Q1641" s="48" t="s">
        <v>75</v>
      </c>
      <c r="R1641" s="48">
        <f>HEX2DEC(RIGHT(Table13232127535863[[#This Row],[h2]],8))</f>
        <v>0</v>
      </c>
    </row>
    <row r="1642" spans="1:18">
      <c r="A1642" s="15" t="str">
        <f t="shared" si="30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8" t="s">
        <v>75</v>
      </c>
      <c r="P1642" s="48">
        <f>HEX2DEC(RIGHT(Table13232127535863[[#This Row],[h1]],8))</f>
        <v>0</v>
      </c>
      <c r="Q1642" s="48" t="s">
        <v>75</v>
      </c>
      <c r="R1642" s="48">
        <f>HEX2DEC(RIGHT(Table13232127535863[[#This Row],[h2]],8))</f>
        <v>0</v>
      </c>
    </row>
    <row r="1643" spans="1:18">
      <c r="A1643" s="15" t="str">
        <f t="shared" si="30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8" t="s">
        <v>75</v>
      </c>
      <c r="P1643" s="48">
        <f>HEX2DEC(RIGHT(Table13232127535863[[#This Row],[h1]],8))</f>
        <v>0</v>
      </c>
      <c r="Q1643" s="48" t="s">
        <v>75</v>
      </c>
      <c r="R1643" s="48">
        <f>HEX2DEC(RIGHT(Table13232127535863[[#This Row],[h2]],8))</f>
        <v>0</v>
      </c>
    </row>
    <row r="1644" spans="1:18">
      <c r="A1644" s="15" t="str">
        <f t="shared" si="30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8" t="s">
        <v>75</v>
      </c>
      <c r="P1644" s="48">
        <f>HEX2DEC(RIGHT(Table13232127535863[[#This Row],[h1]],8))</f>
        <v>0</v>
      </c>
      <c r="Q1644" s="48" t="s">
        <v>75</v>
      </c>
      <c r="R1644" s="48">
        <f>HEX2DEC(RIGHT(Table13232127535863[[#This Row],[h2]],8))</f>
        <v>0</v>
      </c>
    </row>
    <row r="1645" spans="1:18">
      <c r="A1645" s="15" t="str">
        <f t="shared" si="30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8" t="s">
        <v>75</v>
      </c>
      <c r="P1645" s="48">
        <f>HEX2DEC(RIGHT(Table13232127535863[[#This Row],[h1]],8))</f>
        <v>0</v>
      </c>
      <c r="Q1645" s="48" t="s">
        <v>75</v>
      </c>
      <c r="R1645" s="48">
        <f>HEX2DEC(RIGHT(Table13232127535863[[#This Row],[h2]],8))</f>
        <v>0</v>
      </c>
    </row>
    <row r="1646" spans="1:18">
      <c r="A1646" s="15" t="str">
        <f t="shared" si="30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8" t="s">
        <v>75</v>
      </c>
      <c r="P1646" s="48">
        <f>HEX2DEC(RIGHT(Table13232127535863[[#This Row],[h1]],8))</f>
        <v>0</v>
      </c>
      <c r="Q1646" s="48" t="s">
        <v>75</v>
      </c>
      <c r="R1646" s="48">
        <f>HEX2DEC(RIGHT(Table13232127535863[[#This Row],[h2]],8))</f>
        <v>0</v>
      </c>
    </row>
    <row r="1647" spans="1:18">
      <c r="A1647" s="15" t="str">
        <f t="shared" si="30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8" t="s">
        <v>75</v>
      </c>
      <c r="P1647" s="48">
        <f>HEX2DEC(RIGHT(Table13232127535863[[#This Row],[h1]],8))</f>
        <v>0</v>
      </c>
      <c r="Q1647" s="48" t="s">
        <v>75</v>
      </c>
      <c r="R1647" s="48">
        <f>HEX2DEC(RIGHT(Table13232127535863[[#This Row],[h2]],8))</f>
        <v>0</v>
      </c>
    </row>
    <row r="1648" spans="1:18">
      <c r="A1648" s="15" t="str">
        <f t="shared" si="30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8" t="s">
        <v>75</v>
      </c>
      <c r="P1648" s="48">
        <f>HEX2DEC(RIGHT(Table13232127535863[[#This Row],[h1]],8))</f>
        <v>0</v>
      </c>
      <c r="Q1648" s="48" t="s">
        <v>75</v>
      </c>
      <c r="R1648" s="48">
        <f>HEX2DEC(RIGHT(Table13232127535863[[#This Row],[h2]],8))</f>
        <v>0</v>
      </c>
    </row>
    <row r="1649" spans="1:18">
      <c r="A1649" s="15" t="str">
        <f t="shared" si="30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8" t="s">
        <v>75</v>
      </c>
      <c r="P1649" s="48">
        <f>HEX2DEC(RIGHT(Table13232127535863[[#This Row],[h1]],8))</f>
        <v>0</v>
      </c>
      <c r="Q1649" s="48" t="s">
        <v>75</v>
      </c>
      <c r="R1649" s="48">
        <f>HEX2DEC(RIGHT(Table13232127535863[[#This Row],[h2]],8))</f>
        <v>0</v>
      </c>
    </row>
    <row r="1650" spans="1:18">
      <c r="A1650" s="15" t="str">
        <f t="shared" si="30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8" t="s">
        <v>75</v>
      </c>
      <c r="P1650" s="48">
        <f>HEX2DEC(RIGHT(Table13232127535863[[#This Row],[h1]],8))</f>
        <v>0</v>
      </c>
      <c r="Q1650" s="48" t="s">
        <v>75</v>
      </c>
      <c r="R1650" s="48">
        <f>HEX2DEC(RIGHT(Table13232127535863[[#This Row],[h2]],8))</f>
        <v>0</v>
      </c>
    </row>
    <row r="1651" spans="1:18">
      <c r="A1651" s="15" t="str">
        <f t="shared" si="30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8" t="s">
        <v>75</v>
      </c>
      <c r="P1651" s="48">
        <f>HEX2DEC(RIGHT(Table13232127535863[[#This Row],[h1]],8))</f>
        <v>0</v>
      </c>
      <c r="Q1651" s="48" t="s">
        <v>75</v>
      </c>
      <c r="R1651" s="48">
        <f>HEX2DEC(RIGHT(Table13232127535863[[#This Row],[h2]],8))</f>
        <v>0</v>
      </c>
    </row>
    <row r="1652" spans="1:18">
      <c r="A1652" s="15" t="str">
        <f t="shared" si="30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8" t="s">
        <v>75</v>
      </c>
      <c r="P1652" s="48">
        <f>HEX2DEC(RIGHT(Table13232127535863[[#This Row],[h1]],8))</f>
        <v>0</v>
      </c>
      <c r="Q1652" s="48" t="s">
        <v>75</v>
      </c>
      <c r="R1652" s="48">
        <f>HEX2DEC(RIGHT(Table13232127535863[[#This Row],[h2]],8))</f>
        <v>0</v>
      </c>
    </row>
    <row r="1653" spans="1:18">
      <c r="A1653" s="15" t="str">
        <f t="shared" si="30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8" t="s">
        <v>75</v>
      </c>
      <c r="P1653" s="48">
        <f>HEX2DEC(RIGHT(Table13232127535863[[#This Row],[h1]],8))</f>
        <v>0</v>
      </c>
      <c r="Q1653" s="48" t="s">
        <v>75</v>
      </c>
      <c r="R1653" s="48">
        <f>HEX2DEC(RIGHT(Table13232127535863[[#This Row],[h2]],8))</f>
        <v>0</v>
      </c>
    </row>
    <row r="1654" spans="1:18">
      <c r="A1654" s="15" t="str">
        <f t="shared" si="30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8" t="s">
        <v>75</v>
      </c>
      <c r="P1654" s="48">
        <f>HEX2DEC(RIGHT(Table13232127535863[[#This Row],[h1]],8))</f>
        <v>0</v>
      </c>
      <c r="Q1654" s="48" t="s">
        <v>75</v>
      </c>
      <c r="R1654" s="48">
        <f>HEX2DEC(RIGHT(Table13232127535863[[#This Row],[h2]],8))</f>
        <v>0</v>
      </c>
    </row>
    <row r="1655" spans="1:18">
      <c r="A1655" s="15" t="str">
        <f t="shared" si="30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8" t="s">
        <v>75</v>
      </c>
      <c r="P1655" s="48">
        <f>HEX2DEC(RIGHT(Table13232127535863[[#This Row],[h1]],8))</f>
        <v>0</v>
      </c>
      <c r="Q1655" s="48" t="s">
        <v>75</v>
      </c>
      <c r="R1655" s="48">
        <f>HEX2DEC(RIGHT(Table13232127535863[[#This Row],[h2]],8))</f>
        <v>0</v>
      </c>
    </row>
    <row r="1656" spans="1:18">
      <c r="A1656" s="15" t="str">
        <f t="shared" si="30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8" t="s">
        <v>75</v>
      </c>
      <c r="P1656" s="48">
        <f>HEX2DEC(RIGHT(Table13232127535863[[#This Row],[h1]],8))</f>
        <v>0</v>
      </c>
      <c r="Q1656" s="48" t="s">
        <v>75</v>
      </c>
      <c r="R1656" s="48">
        <f>HEX2DEC(RIGHT(Table13232127535863[[#This Row],[h2]],8))</f>
        <v>0</v>
      </c>
    </row>
    <row r="1657" spans="1:18">
      <c r="A1657" s="15" t="str">
        <f t="shared" si="30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8" t="s">
        <v>75</v>
      </c>
      <c r="P1657" s="48">
        <f>HEX2DEC(RIGHT(Table13232127535863[[#This Row],[h1]],8))</f>
        <v>0</v>
      </c>
      <c r="Q1657" s="48" t="s">
        <v>75</v>
      </c>
      <c r="R1657" s="48">
        <f>HEX2DEC(RIGHT(Table13232127535863[[#This Row],[h2]],8))</f>
        <v>0</v>
      </c>
    </row>
    <row r="1658" spans="1:18">
      <c r="A1658" s="15" t="str">
        <f t="shared" si="30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8" t="s">
        <v>75</v>
      </c>
      <c r="P1658" s="48">
        <f>HEX2DEC(RIGHT(Table13232127535863[[#This Row],[h1]],8))</f>
        <v>0</v>
      </c>
      <c r="Q1658" s="48" t="s">
        <v>75</v>
      </c>
      <c r="R1658" s="48">
        <f>HEX2DEC(RIGHT(Table13232127535863[[#This Row],[h2]],8))</f>
        <v>0</v>
      </c>
    </row>
    <row r="1659" spans="1:18">
      <c r="A1659" s="15" t="str">
        <f t="shared" si="30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8" t="s">
        <v>75</v>
      </c>
      <c r="P1659" s="48">
        <f>HEX2DEC(RIGHT(Table13232127535863[[#This Row],[h1]],8))</f>
        <v>0</v>
      </c>
      <c r="Q1659" s="48" t="s">
        <v>75</v>
      </c>
      <c r="R1659" s="48">
        <f>HEX2DEC(RIGHT(Table13232127535863[[#This Row],[h2]],8))</f>
        <v>0</v>
      </c>
    </row>
    <row r="1660" spans="1:18">
      <c r="A1660" s="15" t="str">
        <f t="shared" si="30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8" t="s">
        <v>75</v>
      </c>
      <c r="P1660" s="48">
        <f>HEX2DEC(RIGHT(Table13232127535863[[#This Row],[h1]],8))</f>
        <v>0</v>
      </c>
      <c r="Q1660" s="48" t="s">
        <v>75</v>
      </c>
      <c r="R1660" s="48">
        <f>HEX2DEC(RIGHT(Table13232127535863[[#This Row],[h2]],8))</f>
        <v>0</v>
      </c>
    </row>
    <row r="1661" spans="1:18">
      <c r="A1661" s="15" t="str">
        <f t="shared" si="30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8" t="s">
        <v>75</v>
      </c>
      <c r="P1661" s="48">
        <f>HEX2DEC(RIGHT(Table13232127535863[[#This Row],[h1]],8))</f>
        <v>0</v>
      </c>
      <c r="Q1661" s="48" t="s">
        <v>75</v>
      </c>
      <c r="R1661" s="48">
        <f>HEX2DEC(RIGHT(Table13232127535863[[#This Row],[h2]],8))</f>
        <v>0</v>
      </c>
    </row>
    <row r="1662" spans="1:18">
      <c r="A1662" s="15" t="str">
        <f t="shared" si="30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8" t="s">
        <v>75</v>
      </c>
      <c r="P1662" s="48">
        <f>HEX2DEC(RIGHT(Table13232127535863[[#This Row],[h1]],8))</f>
        <v>0</v>
      </c>
      <c r="Q1662" s="48" t="s">
        <v>75</v>
      </c>
      <c r="R1662" s="48">
        <f>HEX2DEC(RIGHT(Table13232127535863[[#This Row],[h2]],8))</f>
        <v>0</v>
      </c>
    </row>
    <row r="1663" spans="1:18">
      <c r="A1663" s="15" t="str">
        <f t="shared" si="30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8" t="s">
        <v>75</v>
      </c>
      <c r="P1663" s="48">
        <f>HEX2DEC(RIGHT(Table13232127535863[[#This Row],[h1]],8))</f>
        <v>0</v>
      </c>
      <c r="Q1663" s="48" t="s">
        <v>75</v>
      </c>
      <c r="R1663" s="48">
        <f>HEX2DEC(RIGHT(Table13232127535863[[#This Row],[h2]],8))</f>
        <v>0</v>
      </c>
    </row>
    <row r="1664" spans="1:18">
      <c r="A1664" s="15" t="str">
        <f t="shared" si="30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8" t="s">
        <v>75</v>
      </c>
      <c r="P1664" s="48">
        <f>HEX2DEC(RIGHT(Table13232127535863[[#This Row],[h1]],8))</f>
        <v>0</v>
      </c>
      <c r="Q1664" s="48" t="s">
        <v>75</v>
      </c>
      <c r="R1664" s="48">
        <f>HEX2DEC(RIGHT(Table13232127535863[[#This Row],[h2]],8))</f>
        <v>0</v>
      </c>
    </row>
    <row r="1665" spans="1:18">
      <c r="A1665" s="15" t="str">
        <f t="shared" si="30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8" t="s">
        <v>75</v>
      </c>
      <c r="P1665" s="48">
        <f>HEX2DEC(RIGHT(Table13232127535863[[#This Row],[h1]],8))</f>
        <v>0</v>
      </c>
      <c r="Q1665" s="48" t="s">
        <v>75</v>
      </c>
      <c r="R1665" s="48">
        <f>HEX2DEC(RIGHT(Table13232127535863[[#This Row],[h2]],8))</f>
        <v>0</v>
      </c>
    </row>
    <row r="1666" spans="1:18">
      <c r="A1666" s="15" t="str">
        <f t="shared" si="30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8" t="s">
        <v>75</v>
      </c>
      <c r="P1666" s="48">
        <f>HEX2DEC(RIGHT(Table13232127535863[[#This Row],[h1]],8))</f>
        <v>0</v>
      </c>
      <c r="Q1666" s="48" t="s">
        <v>75</v>
      </c>
      <c r="R1666" s="48">
        <f>HEX2DEC(RIGHT(Table13232127535863[[#This Row],[h2]],8))</f>
        <v>0</v>
      </c>
    </row>
    <row r="1667" spans="1:18">
      <c r="A1667" s="15" t="str">
        <f t="shared" si="30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8" t="s">
        <v>75</v>
      </c>
      <c r="P1667" s="48">
        <f>HEX2DEC(RIGHT(Table13232127535863[[#This Row],[h1]],8))</f>
        <v>0</v>
      </c>
      <c r="Q1667" s="48" t="s">
        <v>75</v>
      </c>
      <c r="R1667" s="48">
        <f>HEX2DEC(RIGHT(Table13232127535863[[#This Row],[h2]],8))</f>
        <v>0</v>
      </c>
    </row>
    <row r="1668" spans="1:18">
      <c r="A1668" s="15" t="str">
        <f t="shared" si="30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8" t="s">
        <v>75</v>
      </c>
      <c r="P1668" s="48">
        <f>HEX2DEC(RIGHT(Table13232127535863[[#This Row],[h1]],8))</f>
        <v>0</v>
      </c>
      <c r="Q1668" s="48" t="s">
        <v>75</v>
      </c>
      <c r="R1668" s="48">
        <f>HEX2DEC(RIGHT(Table13232127535863[[#This Row],[h2]],8))</f>
        <v>0</v>
      </c>
    </row>
    <row r="1669" spans="1:18">
      <c r="A1669" s="15" t="str">
        <f t="shared" si="30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8" t="s">
        <v>75</v>
      </c>
      <c r="P1669" s="48">
        <f>HEX2DEC(RIGHT(Table13232127535863[[#This Row],[h1]],8))</f>
        <v>0</v>
      </c>
      <c r="Q1669" s="48" t="s">
        <v>75</v>
      </c>
      <c r="R1669" s="48">
        <f>HEX2DEC(RIGHT(Table13232127535863[[#This Row],[h2]],8))</f>
        <v>0</v>
      </c>
    </row>
    <row r="1670" spans="1:18">
      <c r="A1670" s="15" t="str">
        <f t="shared" si="30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8" t="s">
        <v>75</v>
      </c>
      <c r="P1670" s="48">
        <f>HEX2DEC(RIGHT(Table13232127535863[[#This Row],[h1]],8))</f>
        <v>0</v>
      </c>
      <c r="Q1670" s="48" t="s">
        <v>75</v>
      </c>
      <c r="R1670" s="48">
        <f>HEX2DEC(RIGHT(Table13232127535863[[#This Row],[h2]],8))</f>
        <v>0</v>
      </c>
    </row>
    <row r="1671" spans="1:18">
      <c r="A1671" s="15" t="str">
        <f t="shared" si="30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8" t="s">
        <v>75</v>
      </c>
      <c r="P1671" s="48">
        <f>HEX2DEC(RIGHT(Table13232127535863[[#This Row],[h1]],8))</f>
        <v>0</v>
      </c>
      <c r="Q1671" s="48" t="s">
        <v>75</v>
      </c>
      <c r="R1671" s="48">
        <f>HEX2DEC(RIGHT(Table13232127535863[[#This Row],[h2]],8))</f>
        <v>0</v>
      </c>
    </row>
    <row r="1672" spans="1:18">
      <c r="A1672" s="15" t="str">
        <f t="shared" si="30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8" t="s">
        <v>75</v>
      </c>
      <c r="P1672" s="48">
        <f>HEX2DEC(RIGHT(Table13232127535863[[#This Row],[h1]],8))</f>
        <v>0</v>
      </c>
      <c r="Q1672" s="48" t="s">
        <v>75</v>
      </c>
      <c r="R1672" s="48">
        <f>HEX2DEC(RIGHT(Table13232127535863[[#This Row],[h2]],8))</f>
        <v>0</v>
      </c>
    </row>
    <row r="1673" spans="1:18">
      <c r="A1673" s="15" t="str">
        <f t="shared" si="30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8" t="s">
        <v>75</v>
      </c>
      <c r="P1673" s="48">
        <f>HEX2DEC(RIGHT(Table13232127535863[[#This Row],[h1]],8))</f>
        <v>0</v>
      </c>
      <c r="Q1673" s="48" t="s">
        <v>75</v>
      </c>
      <c r="R1673" s="48">
        <f>HEX2DEC(RIGHT(Table13232127535863[[#This Row],[h2]],8))</f>
        <v>0</v>
      </c>
    </row>
    <row r="1674" spans="1:18">
      <c r="A1674" s="15" t="str">
        <f t="shared" si="30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8" t="s">
        <v>75</v>
      </c>
      <c r="P1674" s="48">
        <f>HEX2DEC(RIGHT(Table13232127535863[[#This Row],[h1]],8))</f>
        <v>0</v>
      </c>
      <c r="Q1674" s="48" t="s">
        <v>75</v>
      </c>
      <c r="R1674" s="48">
        <f>HEX2DEC(RIGHT(Table13232127535863[[#This Row],[h2]],8))</f>
        <v>0</v>
      </c>
    </row>
    <row r="1675" spans="1:18">
      <c r="A1675" s="15" t="str">
        <f t="shared" ref="A1675:A1738" si="31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8" t="s">
        <v>75</v>
      </c>
      <c r="P1675" s="48">
        <f>HEX2DEC(RIGHT(Table13232127535863[[#This Row],[h1]],8))</f>
        <v>0</v>
      </c>
      <c r="Q1675" s="48" t="s">
        <v>75</v>
      </c>
      <c r="R1675" s="48">
        <f>HEX2DEC(RIGHT(Table13232127535863[[#This Row],[h2]],8))</f>
        <v>0</v>
      </c>
    </row>
    <row r="1676" spans="1:18">
      <c r="A1676" s="15" t="str">
        <f t="shared" si="31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8" t="s">
        <v>75</v>
      </c>
      <c r="P1676" s="48">
        <f>HEX2DEC(RIGHT(Table13232127535863[[#This Row],[h1]],8))</f>
        <v>0</v>
      </c>
      <c r="Q1676" s="48" t="s">
        <v>75</v>
      </c>
      <c r="R1676" s="48">
        <f>HEX2DEC(RIGHT(Table13232127535863[[#This Row],[h2]],8))</f>
        <v>0</v>
      </c>
    </row>
    <row r="1677" spans="1:18">
      <c r="A1677" s="15" t="str">
        <f t="shared" si="31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8" t="s">
        <v>75</v>
      </c>
      <c r="P1677" s="48">
        <f>HEX2DEC(RIGHT(Table13232127535863[[#This Row],[h1]],8))</f>
        <v>0</v>
      </c>
      <c r="Q1677" s="48" t="s">
        <v>75</v>
      </c>
      <c r="R1677" s="48">
        <f>HEX2DEC(RIGHT(Table13232127535863[[#This Row],[h2]],8))</f>
        <v>0</v>
      </c>
    </row>
    <row r="1678" spans="1:18">
      <c r="A1678" s="15" t="str">
        <f t="shared" si="31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8" t="s">
        <v>75</v>
      </c>
      <c r="P1678" s="48">
        <f>HEX2DEC(RIGHT(Table13232127535863[[#This Row],[h1]],8))</f>
        <v>0</v>
      </c>
      <c r="Q1678" s="48" t="s">
        <v>75</v>
      </c>
      <c r="R1678" s="48">
        <f>HEX2DEC(RIGHT(Table13232127535863[[#This Row],[h2]],8))</f>
        <v>0</v>
      </c>
    </row>
    <row r="1679" spans="1:18">
      <c r="A1679" s="15" t="str">
        <f t="shared" si="31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8" t="s">
        <v>75</v>
      </c>
      <c r="P1679" s="48">
        <f>HEX2DEC(RIGHT(Table13232127535863[[#This Row],[h1]],8))</f>
        <v>0</v>
      </c>
      <c r="Q1679" s="48" t="s">
        <v>75</v>
      </c>
      <c r="R1679" s="48">
        <f>HEX2DEC(RIGHT(Table13232127535863[[#This Row],[h2]],8))</f>
        <v>0</v>
      </c>
    </row>
    <row r="1680" spans="1:18">
      <c r="A1680" s="15" t="str">
        <f t="shared" si="31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8" t="s">
        <v>75</v>
      </c>
      <c r="P1680" s="48">
        <f>HEX2DEC(RIGHT(Table13232127535863[[#This Row],[h1]],8))</f>
        <v>0</v>
      </c>
      <c r="Q1680" s="48" t="s">
        <v>75</v>
      </c>
      <c r="R1680" s="48">
        <f>HEX2DEC(RIGHT(Table13232127535863[[#This Row],[h2]],8))</f>
        <v>0</v>
      </c>
    </row>
    <row r="1681" spans="1:18">
      <c r="A1681" s="15" t="str">
        <f t="shared" si="31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8" t="s">
        <v>75</v>
      </c>
      <c r="P1681" s="48">
        <f>HEX2DEC(RIGHT(Table13232127535863[[#This Row],[h1]],8))</f>
        <v>0</v>
      </c>
      <c r="Q1681" s="48" t="s">
        <v>75</v>
      </c>
      <c r="R1681" s="48">
        <f>HEX2DEC(RIGHT(Table13232127535863[[#This Row],[h2]],8))</f>
        <v>0</v>
      </c>
    </row>
    <row r="1682" spans="1:18">
      <c r="A1682" s="15" t="str">
        <f t="shared" si="31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8" t="s">
        <v>75</v>
      </c>
      <c r="P1682" s="48">
        <f>HEX2DEC(RIGHT(Table13232127535863[[#This Row],[h1]],8))</f>
        <v>0</v>
      </c>
      <c r="Q1682" s="48" t="s">
        <v>75</v>
      </c>
      <c r="R1682" s="48">
        <f>HEX2DEC(RIGHT(Table13232127535863[[#This Row],[h2]],8))</f>
        <v>0</v>
      </c>
    </row>
    <row r="1683" spans="1:18">
      <c r="A1683" s="15" t="str">
        <f t="shared" si="31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8" t="s">
        <v>75</v>
      </c>
      <c r="P1683" s="48">
        <f>HEX2DEC(RIGHT(Table13232127535863[[#This Row],[h1]],8))</f>
        <v>0</v>
      </c>
      <c r="Q1683" s="48" t="s">
        <v>75</v>
      </c>
      <c r="R1683" s="48">
        <f>HEX2DEC(RIGHT(Table13232127535863[[#This Row],[h2]],8))</f>
        <v>0</v>
      </c>
    </row>
    <row r="1684" spans="1:18">
      <c r="A1684" s="15" t="str">
        <f t="shared" si="31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8" t="s">
        <v>75</v>
      </c>
      <c r="P1684" s="48">
        <f>HEX2DEC(RIGHT(Table13232127535863[[#This Row],[h1]],8))</f>
        <v>0</v>
      </c>
      <c r="Q1684" s="48" t="s">
        <v>75</v>
      </c>
      <c r="R1684" s="48">
        <f>HEX2DEC(RIGHT(Table13232127535863[[#This Row],[h2]],8))</f>
        <v>0</v>
      </c>
    </row>
    <row r="1685" spans="1:18">
      <c r="A1685" s="15" t="str">
        <f t="shared" si="31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8" t="s">
        <v>75</v>
      </c>
      <c r="P1685" s="48">
        <f>HEX2DEC(RIGHT(Table13232127535863[[#This Row],[h1]],8))</f>
        <v>0</v>
      </c>
      <c r="Q1685" s="48" t="s">
        <v>75</v>
      </c>
      <c r="R1685" s="48">
        <f>HEX2DEC(RIGHT(Table13232127535863[[#This Row],[h2]],8))</f>
        <v>0</v>
      </c>
    </row>
    <row r="1686" spans="1:18">
      <c r="A1686" s="15" t="str">
        <f t="shared" si="31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8" t="s">
        <v>75</v>
      </c>
      <c r="P1686" s="48">
        <f>HEX2DEC(RIGHT(Table13232127535863[[#This Row],[h1]],8))</f>
        <v>0</v>
      </c>
      <c r="Q1686" s="48" t="s">
        <v>75</v>
      </c>
      <c r="R1686" s="48">
        <f>HEX2DEC(RIGHT(Table13232127535863[[#This Row],[h2]],8))</f>
        <v>0</v>
      </c>
    </row>
    <row r="1687" spans="1:18">
      <c r="A1687" s="15" t="str">
        <f t="shared" si="31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8" t="s">
        <v>75</v>
      </c>
      <c r="P1687" s="48">
        <f>HEX2DEC(RIGHT(Table13232127535863[[#This Row],[h1]],8))</f>
        <v>0</v>
      </c>
      <c r="Q1687" s="48" t="s">
        <v>75</v>
      </c>
      <c r="R1687" s="48">
        <f>HEX2DEC(RIGHT(Table13232127535863[[#This Row],[h2]],8))</f>
        <v>0</v>
      </c>
    </row>
    <row r="1688" spans="1:18">
      <c r="A1688" s="15" t="str">
        <f t="shared" si="31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8" t="s">
        <v>75</v>
      </c>
      <c r="P1688" s="48">
        <f>HEX2DEC(RIGHT(Table13232127535863[[#This Row],[h1]],8))</f>
        <v>0</v>
      </c>
      <c r="Q1688" s="48" t="s">
        <v>75</v>
      </c>
      <c r="R1688" s="48">
        <f>HEX2DEC(RIGHT(Table13232127535863[[#This Row],[h2]],8))</f>
        <v>0</v>
      </c>
    </row>
    <row r="1689" spans="1:18">
      <c r="A1689" s="15" t="str">
        <f t="shared" si="31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8" t="s">
        <v>75</v>
      </c>
      <c r="P1689" s="48">
        <f>HEX2DEC(RIGHT(Table13232127535863[[#This Row],[h1]],8))</f>
        <v>0</v>
      </c>
      <c r="Q1689" s="48" t="s">
        <v>75</v>
      </c>
      <c r="R1689" s="48">
        <f>HEX2DEC(RIGHT(Table13232127535863[[#This Row],[h2]],8))</f>
        <v>0</v>
      </c>
    </row>
    <row r="1690" spans="1:18">
      <c r="A1690" s="15" t="str">
        <f t="shared" si="31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8" t="s">
        <v>75</v>
      </c>
      <c r="P1690" s="48">
        <f>HEX2DEC(RIGHT(Table13232127535863[[#This Row],[h1]],8))</f>
        <v>0</v>
      </c>
      <c r="Q1690" s="48" t="s">
        <v>75</v>
      </c>
      <c r="R1690" s="48">
        <f>HEX2DEC(RIGHT(Table13232127535863[[#This Row],[h2]],8))</f>
        <v>0</v>
      </c>
    </row>
    <row r="1691" spans="1:18">
      <c r="A1691" s="15" t="str">
        <f t="shared" si="31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8" t="s">
        <v>75</v>
      </c>
      <c r="P1691" s="48">
        <f>HEX2DEC(RIGHT(Table13232127535863[[#This Row],[h1]],8))</f>
        <v>0</v>
      </c>
      <c r="Q1691" s="48" t="s">
        <v>75</v>
      </c>
      <c r="R1691" s="48">
        <f>HEX2DEC(RIGHT(Table13232127535863[[#This Row],[h2]],8))</f>
        <v>0</v>
      </c>
    </row>
    <row r="1692" spans="1:18">
      <c r="A1692" s="15" t="str">
        <f t="shared" si="31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8" t="s">
        <v>75</v>
      </c>
      <c r="P1692" s="48">
        <f>HEX2DEC(RIGHT(Table13232127535863[[#This Row],[h1]],8))</f>
        <v>0</v>
      </c>
      <c r="Q1692" s="48" t="s">
        <v>75</v>
      </c>
      <c r="R1692" s="48">
        <f>HEX2DEC(RIGHT(Table13232127535863[[#This Row],[h2]],8))</f>
        <v>0</v>
      </c>
    </row>
    <row r="1693" spans="1:18">
      <c r="A1693" s="15" t="str">
        <f t="shared" si="31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8" t="s">
        <v>75</v>
      </c>
      <c r="P1693" s="48">
        <f>HEX2DEC(RIGHT(Table13232127535863[[#This Row],[h1]],8))</f>
        <v>0</v>
      </c>
      <c r="Q1693" s="48" t="s">
        <v>75</v>
      </c>
      <c r="R1693" s="48">
        <f>HEX2DEC(RIGHT(Table13232127535863[[#This Row],[h2]],8))</f>
        <v>0</v>
      </c>
    </row>
    <row r="1694" spans="1:18">
      <c r="A1694" s="15" t="str">
        <f t="shared" si="31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8" t="s">
        <v>75</v>
      </c>
      <c r="P1694" s="48">
        <f>HEX2DEC(RIGHT(Table13232127535863[[#This Row],[h1]],8))</f>
        <v>0</v>
      </c>
      <c r="Q1694" s="48" t="s">
        <v>75</v>
      </c>
      <c r="R1694" s="48">
        <f>HEX2DEC(RIGHT(Table13232127535863[[#This Row],[h2]],8))</f>
        <v>0</v>
      </c>
    </row>
    <row r="1695" spans="1:18">
      <c r="A1695" s="15" t="str">
        <f t="shared" si="31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8" t="s">
        <v>75</v>
      </c>
      <c r="P1695" s="48">
        <f>HEX2DEC(RIGHT(Table13232127535863[[#This Row],[h1]],8))</f>
        <v>0</v>
      </c>
      <c r="Q1695" s="48" t="s">
        <v>75</v>
      </c>
      <c r="R1695" s="48">
        <f>HEX2DEC(RIGHT(Table13232127535863[[#This Row],[h2]],8))</f>
        <v>0</v>
      </c>
    </row>
    <row r="1696" spans="1:18">
      <c r="A1696" s="15" t="str">
        <f t="shared" si="31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8" t="s">
        <v>75</v>
      </c>
      <c r="P1696" s="48">
        <f>HEX2DEC(RIGHT(Table13232127535863[[#This Row],[h1]],8))</f>
        <v>0</v>
      </c>
      <c r="Q1696" s="48" t="s">
        <v>75</v>
      </c>
      <c r="R1696" s="48">
        <f>HEX2DEC(RIGHT(Table13232127535863[[#This Row],[h2]],8))</f>
        <v>0</v>
      </c>
    </row>
    <row r="1697" spans="1:18">
      <c r="A1697" s="15" t="str">
        <f t="shared" si="31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8" t="s">
        <v>75</v>
      </c>
      <c r="P1697" s="48">
        <f>HEX2DEC(RIGHT(Table13232127535863[[#This Row],[h1]],8))</f>
        <v>0</v>
      </c>
      <c r="Q1697" s="48" t="s">
        <v>75</v>
      </c>
      <c r="R1697" s="48">
        <f>HEX2DEC(RIGHT(Table13232127535863[[#This Row],[h2]],8))</f>
        <v>0</v>
      </c>
    </row>
    <row r="1698" spans="1:18">
      <c r="A1698" s="15" t="str">
        <f t="shared" si="31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8" t="s">
        <v>75</v>
      </c>
      <c r="P1698" s="48">
        <f>HEX2DEC(RIGHT(Table13232127535863[[#This Row],[h1]],8))</f>
        <v>0</v>
      </c>
      <c r="Q1698" s="48" t="s">
        <v>75</v>
      </c>
      <c r="R1698" s="48">
        <f>HEX2DEC(RIGHT(Table13232127535863[[#This Row],[h2]],8))</f>
        <v>0</v>
      </c>
    </row>
    <row r="1699" spans="1:18">
      <c r="A1699" s="15" t="str">
        <f t="shared" si="31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8" t="s">
        <v>75</v>
      </c>
      <c r="P1699" s="48">
        <f>HEX2DEC(RIGHT(Table13232127535863[[#This Row],[h1]],8))</f>
        <v>0</v>
      </c>
      <c r="Q1699" s="48" t="s">
        <v>75</v>
      </c>
      <c r="R1699" s="48">
        <f>HEX2DEC(RIGHT(Table13232127535863[[#This Row],[h2]],8))</f>
        <v>0</v>
      </c>
    </row>
    <row r="1700" spans="1:18">
      <c r="A1700" s="15" t="str">
        <f t="shared" si="31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8" t="s">
        <v>75</v>
      </c>
      <c r="P1700" s="48">
        <f>HEX2DEC(RIGHT(Table13232127535863[[#This Row],[h1]],8))</f>
        <v>0</v>
      </c>
      <c r="Q1700" s="48" t="s">
        <v>75</v>
      </c>
      <c r="R1700" s="48">
        <f>HEX2DEC(RIGHT(Table13232127535863[[#This Row],[h2]],8))</f>
        <v>0</v>
      </c>
    </row>
    <row r="1701" spans="1:18">
      <c r="A1701" s="15" t="str">
        <f t="shared" si="31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8" t="s">
        <v>75</v>
      </c>
      <c r="P1701" s="48">
        <f>HEX2DEC(RIGHT(Table13232127535863[[#This Row],[h1]],8))</f>
        <v>0</v>
      </c>
      <c r="Q1701" s="48" t="s">
        <v>75</v>
      </c>
      <c r="R1701" s="48">
        <f>HEX2DEC(RIGHT(Table13232127535863[[#This Row],[h2]],8))</f>
        <v>0</v>
      </c>
    </row>
    <row r="1702" spans="1:18">
      <c r="A1702" s="15" t="str">
        <f t="shared" si="31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8" t="s">
        <v>75</v>
      </c>
      <c r="P1702" s="48">
        <f>HEX2DEC(RIGHT(Table13232127535863[[#This Row],[h1]],8))</f>
        <v>0</v>
      </c>
      <c r="Q1702" s="48" t="s">
        <v>75</v>
      </c>
      <c r="R1702" s="48">
        <f>HEX2DEC(RIGHT(Table13232127535863[[#This Row],[h2]],8))</f>
        <v>0</v>
      </c>
    </row>
    <row r="1703" spans="1:18">
      <c r="A1703" s="15" t="str">
        <f t="shared" si="31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8" t="s">
        <v>75</v>
      </c>
      <c r="P1703" s="48">
        <f>HEX2DEC(RIGHT(Table13232127535863[[#This Row],[h1]],8))</f>
        <v>0</v>
      </c>
      <c r="Q1703" s="48" t="s">
        <v>75</v>
      </c>
      <c r="R1703" s="48">
        <f>HEX2DEC(RIGHT(Table13232127535863[[#This Row],[h2]],8))</f>
        <v>0</v>
      </c>
    </row>
    <row r="1704" spans="1:18">
      <c r="A1704" s="15" t="str">
        <f t="shared" si="31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8" t="s">
        <v>75</v>
      </c>
      <c r="P1704" s="48">
        <f>HEX2DEC(RIGHT(Table13232127535863[[#This Row],[h1]],8))</f>
        <v>0</v>
      </c>
      <c r="Q1704" s="48" t="s">
        <v>75</v>
      </c>
      <c r="R1704" s="48">
        <f>HEX2DEC(RIGHT(Table13232127535863[[#This Row],[h2]],8))</f>
        <v>0</v>
      </c>
    </row>
    <row r="1705" spans="1:18">
      <c r="A1705" s="15" t="str">
        <f t="shared" si="31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8" t="s">
        <v>75</v>
      </c>
      <c r="P1705" s="48">
        <f>HEX2DEC(RIGHT(Table13232127535863[[#This Row],[h1]],8))</f>
        <v>0</v>
      </c>
      <c r="Q1705" s="48" t="s">
        <v>75</v>
      </c>
      <c r="R1705" s="48">
        <f>HEX2DEC(RIGHT(Table13232127535863[[#This Row],[h2]],8))</f>
        <v>0</v>
      </c>
    </row>
    <row r="1706" spans="1:18">
      <c r="A1706" s="15" t="str">
        <f t="shared" si="31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8" t="s">
        <v>75</v>
      </c>
      <c r="P1706" s="48">
        <f>HEX2DEC(RIGHT(Table13232127535863[[#This Row],[h1]],8))</f>
        <v>0</v>
      </c>
      <c r="Q1706" s="48" t="s">
        <v>75</v>
      </c>
      <c r="R1706" s="48">
        <f>HEX2DEC(RIGHT(Table13232127535863[[#This Row],[h2]],8))</f>
        <v>0</v>
      </c>
    </row>
    <row r="1707" spans="1:18">
      <c r="A1707" s="15" t="str">
        <f t="shared" si="31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8" t="s">
        <v>75</v>
      </c>
      <c r="P1707" s="48">
        <f>HEX2DEC(RIGHT(Table13232127535863[[#This Row],[h1]],8))</f>
        <v>0</v>
      </c>
      <c r="Q1707" s="48" t="s">
        <v>75</v>
      </c>
      <c r="R1707" s="48">
        <f>HEX2DEC(RIGHT(Table13232127535863[[#This Row],[h2]],8))</f>
        <v>0</v>
      </c>
    </row>
    <row r="1708" spans="1:18">
      <c r="A1708" s="15" t="str">
        <f t="shared" si="31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8" t="s">
        <v>75</v>
      </c>
      <c r="P1708" s="48">
        <f>HEX2DEC(RIGHT(Table13232127535863[[#This Row],[h1]],8))</f>
        <v>0</v>
      </c>
      <c r="Q1708" s="48" t="s">
        <v>75</v>
      </c>
      <c r="R1708" s="48">
        <f>HEX2DEC(RIGHT(Table13232127535863[[#This Row],[h2]],8))</f>
        <v>0</v>
      </c>
    </row>
    <row r="1709" spans="1:18">
      <c r="A1709" s="15" t="str">
        <f t="shared" si="31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8" t="s">
        <v>75</v>
      </c>
      <c r="P1709" s="48">
        <f>HEX2DEC(RIGHT(Table13232127535863[[#This Row],[h1]],8))</f>
        <v>0</v>
      </c>
      <c r="Q1709" s="48" t="s">
        <v>75</v>
      </c>
      <c r="R1709" s="48">
        <f>HEX2DEC(RIGHT(Table13232127535863[[#This Row],[h2]],8))</f>
        <v>0</v>
      </c>
    </row>
    <row r="1710" spans="1:18">
      <c r="A1710" s="15" t="str">
        <f t="shared" si="31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8" t="s">
        <v>75</v>
      </c>
      <c r="P1710" s="48">
        <f>HEX2DEC(RIGHT(Table13232127535863[[#This Row],[h1]],8))</f>
        <v>0</v>
      </c>
      <c r="Q1710" s="48" t="s">
        <v>75</v>
      </c>
      <c r="R1710" s="48">
        <f>HEX2DEC(RIGHT(Table13232127535863[[#This Row],[h2]],8))</f>
        <v>0</v>
      </c>
    </row>
    <row r="1711" spans="1:18">
      <c r="A1711" s="15" t="str">
        <f t="shared" si="31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8" t="s">
        <v>75</v>
      </c>
      <c r="P1711" s="48">
        <f>HEX2DEC(RIGHT(Table13232127535863[[#This Row],[h1]],8))</f>
        <v>0</v>
      </c>
      <c r="Q1711" s="48" t="s">
        <v>75</v>
      </c>
      <c r="R1711" s="48">
        <f>HEX2DEC(RIGHT(Table13232127535863[[#This Row],[h2]],8))</f>
        <v>0</v>
      </c>
    </row>
    <row r="1712" spans="1:18">
      <c r="A1712" s="15" t="str">
        <f t="shared" si="31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8" t="s">
        <v>75</v>
      </c>
      <c r="P1712" s="48">
        <f>HEX2DEC(RIGHT(Table13232127535863[[#This Row],[h1]],8))</f>
        <v>0</v>
      </c>
      <c r="Q1712" s="48" t="s">
        <v>75</v>
      </c>
      <c r="R1712" s="48">
        <f>HEX2DEC(RIGHT(Table13232127535863[[#This Row],[h2]],8))</f>
        <v>0</v>
      </c>
    </row>
    <row r="1713" spans="1:18">
      <c r="A1713" s="15" t="str">
        <f t="shared" si="31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8" t="s">
        <v>75</v>
      </c>
      <c r="P1713" s="48">
        <f>HEX2DEC(RIGHT(Table13232127535863[[#This Row],[h1]],8))</f>
        <v>0</v>
      </c>
      <c r="Q1713" s="48" t="s">
        <v>75</v>
      </c>
      <c r="R1713" s="48">
        <f>HEX2DEC(RIGHT(Table13232127535863[[#This Row],[h2]],8))</f>
        <v>0</v>
      </c>
    </row>
    <row r="1714" spans="1:18">
      <c r="A1714" s="15" t="str">
        <f t="shared" si="31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8" t="s">
        <v>75</v>
      </c>
      <c r="P1714" s="48">
        <f>HEX2DEC(RIGHT(Table13232127535863[[#This Row],[h1]],8))</f>
        <v>0</v>
      </c>
      <c r="Q1714" s="48" t="s">
        <v>75</v>
      </c>
      <c r="R1714" s="48">
        <f>HEX2DEC(RIGHT(Table13232127535863[[#This Row],[h2]],8))</f>
        <v>0</v>
      </c>
    </row>
    <row r="1715" spans="1:18">
      <c r="A1715" s="15" t="str">
        <f t="shared" si="31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8" t="s">
        <v>75</v>
      </c>
      <c r="P1715" s="48">
        <f>HEX2DEC(RIGHT(Table13232127535863[[#This Row],[h1]],8))</f>
        <v>0</v>
      </c>
      <c r="Q1715" s="48" t="s">
        <v>75</v>
      </c>
      <c r="R1715" s="48">
        <f>HEX2DEC(RIGHT(Table13232127535863[[#This Row],[h2]],8))</f>
        <v>0</v>
      </c>
    </row>
    <row r="1716" spans="1:18">
      <c r="A1716" s="15" t="str">
        <f t="shared" si="31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8" t="s">
        <v>75</v>
      </c>
      <c r="P1716" s="48">
        <f>HEX2DEC(RIGHT(Table13232127535863[[#This Row],[h1]],8))</f>
        <v>0</v>
      </c>
      <c r="Q1716" s="48" t="s">
        <v>75</v>
      </c>
      <c r="R1716" s="48">
        <f>HEX2DEC(RIGHT(Table13232127535863[[#This Row],[h2]],8))</f>
        <v>0</v>
      </c>
    </row>
    <row r="1717" spans="1:18">
      <c r="A1717" s="15" t="str">
        <f t="shared" si="31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8" t="s">
        <v>75</v>
      </c>
      <c r="P1717" s="48">
        <f>HEX2DEC(RIGHT(Table13232127535863[[#This Row],[h1]],8))</f>
        <v>0</v>
      </c>
      <c r="Q1717" s="48" t="s">
        <v>75</v>
      </c>
      <c r="R1717" s="48">
        <f>HEX2DEC(RIGHT(Table13232127535863[[#This Row],[h2]],8))</f>
        <v>0</v>
      </c>
    </row>
    <row r="1718" spans="1:18">
      <c r="A1718" s="15" t="str">
        <f t="shared" si="31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8" t="s">
        <v>75</v>
      </c>
      <c r="P1718" s="48">
        <f>HEX2DEC(RIGHT(Table13232127535863[[#This Row],[h1]],8))</f>
        <v>0</v>
      </c>
      <c r="Q1718" s="48" t="s">
        <v>75</v>
      </c>
      <c r="R1718" s="48">
        <f>HEX2DEC(RIGHT(Table13232127535863[[#This Row],[h2]],8))</f>
        <v>0</v>
      </c>
    </row>
    <row r="1719" spans="1:18">
      <c r="A1719" s="15" t="str">
        <f t="shared" si="31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8" t="s">
        <v>75</v>
      </c>
      <c r="P1719" s="48">
        <f>HEX2DEC(RIGHT(Table13232127535863[[#This Row],[h1]],8))</f>
        <v>0</v>
      </c>
      <c r="Q1719" s="48" t="s">
        <v>75</v>
      </c>
      <c r="R1719" s="48">
        <f>HEX2DEC(RIGHT(Table13232127535863[[#This Row],[h2]],8))</f>
        <v>0</v>
      </c>
    </row>
    <row r="1720" spans="1:18">
      <c r="A1720" s="15" t="str">
        <f t="shared" si="31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8" t="s">
        <v>75</v>
      </c>
      <c r="P1720" s="48">
        <f>HEX2DEC(RIGHT(Table13232127535863[[#This Row],[h1]],8))</f>
        <v>0</v>
      </c>
      <c r="Q1720" s="48" t="s">
        <v>75</v>
      </c>
      <c r="R1720" s="48">
        <f>HEX2DEC(RIGHT(Table13232127535863[[#This Row],[h2]],8))</f>
        <v>0</v>
      </c>
    </row>
    <row r="1721" spans="1:18">
      <c r="A1721" s="15" t="str">
        <f t="shared" si="31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8" t="s">
        <v>75</v>
      </c>
      <c r="P1721" s="48">
        <f>HEX2DEC(RIGHT(Table13232127535863[[#This Row],[h1]],8))</f>
        <v>0</v>
      </c>
      <c r="Q1721" s="48" t="s">
        <v>75</v>
      </c>
      <c r="R1721" s="48">
        <f>HEX2DEC(RIGHT(Table13232127535863[[#This Row],[h2]],8))</f>
        <v>0</v>
      </c>
    </row>
    <row r="1722" spans="1:18">
      <c r="A1722" s="15" t="str">
        <f t="shared" si="31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8" t="s">
        <v>75</v>
      </c>
      <c r="P1722" s="48">
        <f>HEX2DEC(RIGHT(Table13232127535863[[#This Row],[h1]],8))</f>
        <v>0</v>
      </c>
      <c r="Q1722" s="48" t="s">
        <v>75</v>
      </c>
      <c r="R1722" s="48">
        <f>HEX2DEC(RIGHT(Table13232127535863[[#This Row],[h2]],8))</f>
        <v>0</v>
      </c>
    </row>
    <row r="1723" spans="1:18">
      <c r="A1723" s="15" t="str">
        <f t="shared" si="31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8" t="s">
        <v>75</v>
      </c>
      <c r="P1723" s="48">
        <f>HEX2DEC(RIGHT(Table13232127535863[[#This Row],[h1]],8))</f>
        <v>0</v>
      </c>
      <c r="Q1723" s="48" t="s">
        <v>75</v>
      </c>
      <c r="R1723" s="48">
        <f>HEX2DEC(RIGHT(Table13232127535863[[#This Row],[h2]],8))</f>
        <v>0</v>
      </c>
    </row>
    <row r="1724" spans="1:18">
      <c r="A1724" s="15" t="str">
        <f t="shared" si="31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8" t="s">
        <v>75</v>
      </c>
      <c r="P1724" s="48">
        <f>HEX2DEC(RIGHT(Table13232127535863[[#This Row],[h1]],8))</f>
        <v>0</v>
      </c>
      <c r="Q1724" s="48" t="s">
        <v>75</v>
      </c>
      <c r="R1724" s="48">
        <f>HEX2DEC(RIGHT(Table13232127535863[[#This Row],[h2]],8))</f>
        <v>0</v>
      </c>
    </row>
    <row r="1725" spans="1:18">
      <c r="A1725" s="15" t="str">
        <f t="shared" si="31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8" t="s">
        <v>75</v>
      </c>
      <c r="P1725" s="48">
        <f>HEX2DEC(RIGHT(Table13232127535863[[#This Row],[h1]],8))</f>
        <v>0</v>
      </c>
      <c r="Q1725" s="48" t="s">
        <v>75</v>
      </c>
      <c r="R1725" s="48">
        <f>HEX2DEC(RIGHT(Table13232127535863[[#This Row],[h2]],8))</f>
        <v>0</v>
      </c>
    </row>
    <row r="1726" spans="1:18">
      <c r="A1726" s="15" t="str">
        <f t="shared" si="31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8" t="s">
        <v>75</v>
      </c>
      <c r="P1726" s="48">
        <f>HEX2DEC(RIGHT(Table13232127535863[[#This Row],[h1]],8))</f>
        <v>0</v>
      </c>
      <c r="Q1726" s="48" t="s">
        <v>75</v>
      </c>
      <c r="R1726" s="48">
        <f>HEX2DEC(RIGHT(Table13232127535863[[#This Row],[h2]],8))</f>
        <v>0</v>
      </c>
    </row>
    <row r="1727" spans="1:18">
      <c r="A1727" s="15" t="str">
        <f t="shared" si="31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8" t="s">
        <v>75</v>
      </c>
      <c r="P1727" s="48">
        <f>HEX2DEC(RIGHT(Table13232127535863[[#This Row],[h1]],8))</f>
        <v>0</v>
      </c>
      <c r="Q1727" s="48" t="s">
        <v>75</v>
      </c>
      <c r="R1727" s="48">
        <f>HEX2DEC(RIGHT(Table13232127535863[[#This Row],[h2]],8))</f>
        <v>0</v>
      </c>
    </row>
    <row r="1728" spans="1:18">
      <c r="A1728" s="15" t="str">
        <f t="shared" si="31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8" t="s">
        <v>75</v>
      </c>
      <c r="P1728" s="48">
        <f>HEX2DEC(RIGHT(Table13232127535863[[#This Row],[h1]],8))</f>
        <v>0</v>
      </c>
      <c r="Q1728" s="48" t="s">
        <v>75</v>
      </c>
      <c r="R1728" s="48">
        <f>HEX2DEC(RIGHT(Table13232127535863[[#This Row],[h2]],8))</f>
        <v>0</v>
      </c>
    </row>
    <row r="1729" spans="1:18">
      <c r="A1729" s="15" t="str">
        <f t="shared" si="31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8" t="s">
        <v>75</v>
      </c>
      <c r="P1729" s="48">
        <f>HEX2DEC(RIGHT(Table13232127535863[[#This Row],[h1]],8))</f>
        <v>0</v>
      </c>
      <c r="Q1729" s="48" t="s">
        <v>75</v>
      </c>
      <c r="R1729" s="48">
        <f>HEX2DEC(RIGHT(Table13232127535863[[#This Row],[h2]],8))</f>
        <v>0</v>
      </c>
    </row>
    <row r="1730" spans="1:18">
      <c r="A1730" s="15" t="str">
        <f t="shared" si="31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8" t="s">
        <v>75</v>
      </c>
      <c r="P1730" s="48">
        <f>HEX2DEC(RIGHT(Table13232127535863[[#This Row],[h1]],8))</f>
        <v>0</v>
      </c>
      <c r="Q1730" s="48" t="s">
        <v>75</v>
      </c>
      <c r="R1730" s="48">
        <f>HEX2DEC(RIGHT(Table13232127535863[[#This Row],[h2]],8))</f>
        <v>0</v>
      </c>
    </row>
    <row r="1731" spans="1:18">
      <c r="A1731" s="15" t="str">
        <f t="shared" si="31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8" t="s">
        <v>75</v>
      </c>
      <c r="P1731" s="48">
        <f>HEX2DEC(RIGHT(Table13232127535863[[#This Row],[h1]],8))</f>
        <v>0</v>
      </c>
      <c r="Q1731" s="48" t="s">
        <v>75</v>
      </c>
      <c r="R1731" s="48">
        <f>HEX2DEC(RIGHT(Table13232127535863[[#This Row],[h2]],8))</f>
        <v>0</v>
      </c>
    </row>
    <row r="1732" spans="1:18">
      <c r="A1732" s="15" t="str">
        <f t="shared" si="31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8" t="s">
        <v>75</v>
      </c>
      <c r="P1732" s="48">
        <f>HEX2DEC(RIGHT(Table13232127535863[[#This Row],[h1]],8))</f>
        <v>0</v>
      </c>
      <c r="Q1732" s="48" t="s">
        <v>75</v>
      </c>
      <c r="R1732" s="48">
        <f>HEX2DEC(RIGHT(Table13232127535863[[#This Row],[h2]],8))</f>
        <v>0</v>
      </c>
    </row>
    <row r="1733" spans="1:18">
      <c r="A1733" s="15" t="str">
        <f t="shared" si="31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8" t="s">
        <v>75</v>
      </c>
      <c r="P1733" s="48">
        <f>HEX2DEC(RIGHT(Table13232127535863[[#This Row],[h1]],8))</f>
        <v>0</v>
      </c>
      <c r="Q1733" s="48" t="s">
        <v>75</v>
      </c>
      <c r="R1733" s="48">
        <f>HEX2DEC(RIGHT(Table13232127535863[[#This Row],[h2]],8))</f>
        <v>0</v>
      </c>
    </row>
    <row r="1734" spans="1:18">
      <c r="A1734" s="15" t="str">
        <f t="shared" si="31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8" t="s">
        <v>75</v>
      </c>
      <c r="P1734" s="48">
        <f>HEX2DEC(RIGHT(Table13232127535863[[#This Row],[h1]],8))</f>
        <v>0</v>
      </c>
      <c r="Q1734" s="48" t="s">
        <v>75</v>
      </c>
      <c r="R1734" s="48">
        <f>HEX2DEC(RIGHT(Table13232127535863[[#This Row],[h2]],8))</f>
        <v>0</v>
      </c>
    </row>
    <row r="1735" spans="1:18">
      <c r="A1735" s="15" t="str">
        <f t="shared" si="31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8" t="s">
        <v>75</v>
      </c>
      <c r="P1735" s="48">
        <f>HEX2DEC(RIGHT(Table13232127535863[[#This Row],[h1]],8))</f>
        <v>0</v>
      </c>
      <c r="Q1735" s="48" t="s">
        <v>75</v>
      </c>
      <c r="R1735" s="48">
        <f>HEX2DEC(RIGHT(Table13232127535863[[#This Row],[h2]],8))</f>
        <v>0</v>
      </c>
    </row>
    <row r="1736" spans="1:18">
      <c r="A1736" s="15" t="str">
        <f t="shared" si="31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8" t="s">
        <v>75</v>
      </c>
      <c r="P1736" s="48">
        <f>HEX2DEC(RIGHT(Table13232127535863[[#This Row],[h1]],8))</f>
        <v>0</v>
      </c>
      <c r="Q1736" s="48" t="s">
        <v>75</v>
      </c>
      <c r="R1736" s="48">
        <f>HEX2DEC(RIGHT(Table13232127535863[[#This Row],[h2]],8))</f>
        <v>0</v>
      </c>
    </row>
    <row r="1737" spans="1:18">
      <c r="A1737" s="15" t="str">
        <f t="shared" si="31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8" t="s">
        <v>75</v>
      </c>
      <c r="P1737" s="48">
        <f>HEX2DEC(RIGHT(Table13232127535863[[#This Row],[h1]],8))</f>
        <v>0</v>
      </c>
      <c r="Q1737" s="48" t="s">
        <v>75</v>
      </c>
      <c r="R1737" s="48">
        <f>HEX2DEC(RIGHT(Table13232127535863[[#This Row],[h2]],8))</f>
        <v>0</v>
      </c>
    </row>
    <row r="1738" spans="1:18">
      <c r="A1738" s="15" t="str">
        <f t="shared" si="31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8" t="s">
        <v>75</v>
      </c>
      <c r="P1738" s="48">
        <f>HEX2DEC(RIGHT(Table13232127535863[[#This Row],[h1]],8))</f>
        <v>0</v>
      </c>
      <c r="Q1738" s="48" t="s">
        <v>75</v>
      </c>
      <c r="R1738" s="48">
        <f>HEX2DEC(RIGHT(Table13232127535863[[#This Row],[h2]],8))</f>
        <v>0</v>
      </c>
    </row>
    <row r="1739" spans="1:18">
      <c r="A1739" s="15" t="str">
        <f t="shared" ref="A1739:A1802" si="32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8" t="s">
        <v>75</v>
      </c>
      <c r="P1739" s="48">
        <f>HEX2DEC(RIGHT(Table13232127535863[[#This Row],[h1]],8))</f>
        <v>0</v>
      </c>
      <c r="Q1739" s="48" t="s">
        <v>75</v>
      </c>
      <c r="R1739" s="48">
        <f>HEX2DEC(RIGHT(Table13232127535863[[#This Row],[h2]],8))</f>
        <v>0</v>
      </c>
    </row>
    <row r="1740" spans="1:18">
      <c r="A1740" s="15" t="str">
        <f t="shared" si="32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8" t="s">
        <v>75</v>
      </c>
      <c r="P1740" s="48">
        <f>HEX2DEC(RIGHT(Table13232127535863[[#This Row],[h1]],8))</f>
        <v>0</v>
      </c>
      <c r="Q1740" s="48" t="s">
        <v>75</v>
      </c>
      <c r="R1740" s="48">
        <f>HEX2DEC(RIGHT(Table13232127535863[[#This Row],[h2]],8))</f>
        <v>0</v>
      </c>
    </row>
    <row r="1741" spans="1:18">
      <c r="A1741" s="15" t="str">
        <f t="shared" si="32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8" t="s">
        <v>75</v>
      </c>
      <c r="P1741" s="48">
        <f>HEX2DEC(RIGHT(Table13232127535863[[#This Row],[h1]],8))</f>
        <v>0</v>
      </c>
      <c r="Q1741" s="48" t="s">
        <v>75</v>
      </c>
      <c r="R1741" s="48">
        <f>HEX2DEC(RIGHT(Table13232127535863[[#This Row],[h2]],8))</f>
        <v>0</v>
      </c>
    </row>
    <row r="1742" spans="1:18">
      <c r="A1742" s="15" t="str">
        <f t="shared" si="32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8" t="s">
        <v>75</v>
      </c>
      <c r="P1742" s="48">
        <f>HEX2DEC(RIGHT(Table13232127535863[[#This Row],[h1]],8))</f>
        <v>0</v>
      </c>
      <c r="Q1742" s="48" t="s">
        <v>75</v>
      </c>
      <c r="R1742" s="48">
        <f>HEX2DEC(RIGHT(Table13232127535863[[#This Row],[h2]],8))</f>
        <v>0</v>
      </c>
    </row>
    <row r="1743" spans="1:18">
      <c r="A1743" s="15" t="str">
        <f t="shared" si="32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8" t="s">
        <v>75</v>
      </c>
      <c r="P1743" s="48">
        <f>HEX2DEC(RIGHT(Table13232127535863[[#This Row],[h1]],8))</f>
        <v>0</v>
      </c>
      <c r="Q1743" s="48" t="s">
        <v>75</v>
      </c>
      <c r="R1743" s="48">
        <f>HEX2DEC(RIGHT(Table13232127535863[[#This Row],[h2]],8))</f>
        <v>0</v>
      </c>
    </row>
    <row r="1744" spans="1:18">
      <c r="A1744" s="15" t="str">
        <f t="shared" si="32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8" t="s">
        <v>75</v>
      </c>
      <c r="P1744" s="48">
        <f>HEX2DEC(RIGHT(Table13232127535863[[#This Row],[h1]],8))</f>
        <v>0</v>
      </c>
      <c r="Q1744" s="48" t="s">
        <v>75</v>
      </c>
      <c r="R1744" s="48">
        <f>HEX2DEC(RIGHT(Table13232127535863[[#This Row],[h2]],8))</f>
        <v>0</v>
      </c>
    </row>
    <row r="1745" spans="1:18">
      <c r="A1745" s="15" t="str">
        <f t="shared" si="32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8" t="s">
        <v>75</v>
      </c>
      <c r="P1745" s="48">
        <f>HEX2DEC(RIGHT(Table13232127535863[[#This Row],[h1]],8))</f>
        <v>0</v>
      </c>
      <c r="Q1745" s="48" t="s">
        <v>75</v>
      </c>
      <c r="R1745" s="48">
        <f>HEX2DEC(RIGHT(Table13232127535863[[#This Row],[h2]],8))</f>
        <v>0</v>
      </c>
    </row>
    <row r="1746" spans="1:18">
      <c r="A1746" s="15" t="str">
        <f t="shared" si="32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8" t="s">
        <v>75</v>
      </c>
      <c r="P1746" s="48">
        <f>HEX2DEC(RIGHT(Table13232127535863[[#This Row],[h1]],8))</f>
        <v>0</v>
      </c>
      <c r="Q1746" s="48" t="s">
        <v>75</v>
      </c>
      <c r="R1746" s="48">
        <f>HEX2DEC(RIGHT(Table13232127535863[[#This Row],[h2]],8))</f>
        <v>0</v>
      </c>
    </row>
    <row r="1747" spans="1:18">
      <c r="A1747" s="15" t="str">
        <f t="shared" si="32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8" t="s">
        <v>75</v>
      </c>
      <c r="P1747" s="48">
        <f>HEX2DEC(RIGHT(Table13232127535863[[#This Row],[h1]],8))</f>
        <v>0</v>
      </c>
      <c r="Q1747" s="48" t="s">
        <v>75</v>
      </c>
      <c r="R1747" s="48">
        <f>HEX2DEC(RIGHT(Table13232127535863[[#This Row],[h2]],8))</f>
        <v>0</v>
      </c>
    </row>
    <row r="1748" spans="1:18">
      <c r="A1748" s="15" t="str">
        <f t="shared" si="32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8" t="s">
        <v>75</v>
      </c>
      <c r="P1748" s="48">
        <f>HEX2DEC(RIGHT(Table13232127535863[[#This Row],[h1]],8))</f>
        <v>0</v>
      </c>
      <c r="Q1748" s="48" t="s">
        <v>75</v>
      </c>
      <c r="R1748" s="48">
        <f>HEX2DEC(RIGHT(Table13232127535863[[#This Row],[h2]],8))</f>
        <v>0</v>
      </c>
    </row>
    <row r="1749" spans="1:18">
      <c r="A1749" s="15" t="str">
        <f t="shared" si="32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8" t="s">
        <v>75</v>
      </c>
      <c r="P1749" s="48">
        <f>HEX2DEC(RIGHT(Table13232127535863[[#This Row],[h1]],8))</f>
        <v>0</v>
      </c>
      <c r="Q1749" s="48" t="s">
        <v>75</v>
      </c>
      <c r="R1749" s="48">
        <f>HEX2DEC(RIGHT(Table13232127535863[[#This Row],[h2]],8))</f>
        <v>0</v>
      </c>
    </row>
    <row r="1750" spans="1:18">
      <c r="A1750" s="15" t="str">
        <f t="shared" si="32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8" t="s">
        <v>75</v>
      </c>
      <c r="P1750" s="48">
        <f>HEX2DEC(RIGHT(Table13232127535863[[#This Row],[h1]],8))</f>
        <v>0</v>
      </c>
      <c r="Q1750" s="48" t="s">
        <v>75</v>
      </c>
      <c r="R1750" s="48">
        <f>HEX2DEC(RIGHT(Table13232127535863[[#This Row],[h2]],8))</f>
        <v>0</v>
      </c>
    </row>
    <row r="1751" spans="1:18">
      <c r="A1751" s="15" t="str">
        <f t="shared" si="32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8" t="s">
        <v>75</v>
      </c>
      <c r="P1751" s="48">
        <f>HEX2DEC(RIGHT(Table13232127535863[[#This Row],[h1]],8))</f>
        <v>0</v>
      </c>
      <c r="Q1751" s="48" t="s">
        <v>75</v>
      </c>
      <c r="R1751" s="48">
        <f>HEX2DEC(RIGHT(Table13232127535863[[#This Row],[h2]],8))</f>
        <v>0</v>
      </c>
    </row>
    <row r="1752" spans="1:18">
      <c r="A1752" s="15" t="str">
        <f t="shared" si="32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8" t="s">
        <v>75</v>
      </c>
      <c r="P1752" s="48">
        <f>HEX2DEC(RIGHT(Table13232127535863[[#This Row],[h1]],8))</f>
        <v>0</v>
      </c>
      <c r="Q1752" s="48" t="s">
        <v>75</v>
      </c>
      <c r="R1752" s="48">
        <f>HEX2DEC(RIGHT(Table13232127535863[[#This Row],[h2]],8))</f>
        <v>0</v>
      </c>
    </row>
    <row r="1753" spans="1:18">
      <c r="A1753" s="15" t="str">
        <f t="shared" si="32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8" t="s">
        <v>75</v>
      </c>
      <c r="P1753" s="48">
        <f>HEX2DEC(RIGHT(Table13232127535863[[#This Row],[h1]],8))</f>
        <v>0</v>
      </c>
      <c r="Q1753" s="48" t="s">
        <v>75</v>
      </c>
      <c r="R1753" s="48">
        <f>HEX2DEC(RIGHT(Table13232127535863[[#This Row],[h2]],8))</f>
        <v>0</v>
      </c>
    </row>
    <row r="1754" spans="1:18">
      <c r="A1754" s="15" t="str">
        <f t="shared" si="32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8" t="s">
        <v>75</v>
      </c>
      <c r="P1754" s="48">
        <f>HEX2DEC(RIGHT(Table13232127535863[[#This Row],[h1]],8))</f>
        <v>0</v>
      </c>
      <c r="Q1754" s="48" t="s">
        <v>75</v>
      </c>
      <c r="R1754" s="48">
        <f>HEX2DEC(RIGHT(Table13232127535863[[#This Row],[h2]],8))</f>
        <v>0</v>
      </c>
    </row>
    <row r="1755" spans="1:18">
      <c r="A1755" s="15" t="str">
        <f t="shared" si="32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8" t="s">
        <v>75</v>
      </c>
      <c r="P1755" s="48">
        <f>HEX2DEC(RIGHT(Table13232127535863[[#This Row],[h1]],8))</f>
        <v>0</v>
      </c>
      <c r="Q1755" s="48" t="s">
        <v>75</v>
      </c>
      <c r="R1755" s="48">
        <f>HEX2DEC(RIGHT(Table13232127535863[[#This Row],[h2]],8))</f>
        <v>0</v>
      </c>
    </row>
    <row r="1756" spans="1:18">
      <c r="A1756" s="15" t="str">
        <f t="shared" si="32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8" t="s">
        <v>75</v>
      </c>
      <c r="P1756" s="48">
        <f>HEX2DEC(RIGHT(Table13232127535863[[#This Row],[h1]],8))</f>
        <v>0</v>
      </c>
      <c r="Q1756" s="48" t="s">
        <v>75</v>
      </c>
      <c r="R1756" s="48">
        <f>HEX2DEC(RIGHT(Table13232127535863[[#This Row],[h2]],8))</f>
        <v>0</v>
      </c>
    </row>
    <row r="1757" spans="1:18">
      <c r="A1757" s="15" t="str">
        <f t="shared" si="32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8" t="s">
        <v>75</v>
      </c>
      <c r="P1757" s="48">
        <f>HEX2DEC(RIGHT(Table13232127535863[[#This Row],[h1]],8))</f>
        <v>0</v>
      </c>
      <c r="Q1757" s="48" t="s">
        <v>75</v>
      </c>
      <c r="R1757" s="48">
        <f>HEX2DEC(RIGHT(Table13232127535863[[#This Row],[h2]],8))</f>
        <v>0</v>
      </c>
    </row>
    <row r="1758" spans="1:18">
      <c r="A1758" s="15" t="str">
        <f t="shared" si="32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8" t="s">
        <v>75</v>
      </c>
      <c r="P1758" s="48">
        <f>HEX2DEC(RIGHT(Table13232127535863[[#This Row],[h1]],8))</f>
        <v>0</v>
      </c>
      <c r="Q1758" s="48" t="s">
        <v>75</v>
      </c>
      <c r="R1758" s="48">
        <f>HEX2DEC(RIGHT(Table13232127535863[[#This Row],[h2]],8))</f>
        <v>0</v>
      </c>
    </row>
    <row r="1759" spans="1:18">
      <c r="A1759" s="15" t="str">
        <f t="shared" si="32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8" t="s">
        <v>75</v>
      </c>
      <c r="P1759" s="48">
        <f>HEX2DEC(RIGHT(Table13232127535863[[#This Row],[h1]],8))</f>
        <v>0</v>
      </c>
      <c r="Q1759" s="48" t="s">
        <v>75</v>
      </c>
      <c r="R1759" s="48">
        <f>HEX2DEC(RIGHT(Table13232127535863[[#This Row],[h2]],8))</f>
        <v>0</v>
      </c>
    </row>
    <row r="1760" spans="1:18">
      <c r="A1760" s="15" t="str">
        <f t="shared" si="32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8" t="s">
        <v>75</v>
      </c>
      <c r="P1760" s="48">
        <f>HEX2DEC(RIGHT(Table13232127535863[[#This Row],[h1]],8))</f>
        <v>0</v>
      </c>
      <c r="Q1760" s="48" t="s">
        <v>75</v>
      </c>
      <c r="R1760" s="48">
        <f>HEX2DEC(RIGHT(Table13232127535863[[#This Row],[h2]],8))</f>
        <v>0</v>
      </c>
    </row>
    <row r="1761" spans="1:18">
      <c r="A1761" s="15" t="str">
        <f t="shared" si="32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8" t="s">
        <v>75</v>
      </c>
      <c r="P1761" s="48">
        <f>HEX2DEC(RIGHT(Table13232127535863[[#This Row],[h1]],8))</f>
        <v>0</v>
      </c>
      <c r="Q1761" s="48" t="s">
        <v>75</v>
      </c>
      <c r="R1761" s="48">
        <f>HEX2DEC(RIGHT(Table13232127535863[[#This Row],[h2]],8))</f>
        <v>0</v>
      </c>
    </row>
    <row r="1762" spans="1:18">
      <c r="A1762" s="15" t="str">
        <f t="shared" si="32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8" t="s">
        <v>75</v>
      </c>
      <c r="P1762" s="48">
        <f>HEX2DEC(RIGHT(Table13232127535863[[#This Row],[h1]],8))</f>
        <v>0</v>
      </c>
      <c r="Q1762" s="48" t="s">
        <v>75</v>
      </c>
      <c r="R1762" s="48">
        <f>HEX2DEC(RIGHT(Table13232127535863[[#This Row],[h2]],8))</f>
        <v>0</v>
      </c>
    </row>
    <row r="1763" spans="1:18">
      <c r="A1763" s="15" t="str">
        <f t="shared" si="32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8" t="s">
        <v>75</v>
      </c>
      <c r="P1763" s="48">
        <f>HEX2DEC(RIGHT(Table13232127535863[[#This Row],[h1]],8))</f>
        <v>0</v>
      </c>
      <c r="Q1763" s="48" t="s">
        <v>75</v>
      </c>
      <c r="R1763" s="48">
        <f>HEX2DEC(RIGHT(Table13232127535863[[#This Row],[h2]],8))</f>
        <v>0</v>
      </c>
    </row>
    <row r="1764" spans="1:18">
      <c r="A1764" s="15" t="str">
        <f t="shared" si="32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8" t="s">
        <v>75</v>
      </c>
      <c r="P1764" s="48">
        <f>HEX2DEC(RIGHT(Table13232127535863[[#This Row],[h1]],8))</f>
        <v>0</v>
      </c>
      <c r="Q1764" s="48" t="s">
        <v>75</v>
      </c>
      <c r="R1764" s="48">
        <f>HEX2DEC(RIGHT(Table13232127535863[[#This Row],[h2]],8))</f>
        <v>0</v>
      </c>
    </row>
    <row r="1765" spans="1:18">
      <c r="A1765" s="15" t="str">
        <f t="shared" si="32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8" t="s">
        <v>75</v>
      </c>
      <c r="P1765" s="48">
        <f>HEX2DEC(RIGHT(Table13232127535863[[#This Row],[h1]],8))</f>
        <v>0</v>
      </c>
      <c r="Q1765" s="48" t="s">
        <v>75</v>
      </c>
      <c r="R1765" s="48">
        <f>HEX2DEC(RIGHT(Table13232127535863[[#This Row],[h2]],8))</f>
        <v>0</v>
      </c>
    </row>
    <row r="1766" spans="1:18">
      <c r="A1766" s="15" t="str">
        <f t="shared" si="32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8" t="s">
        <v>75</v>
      </c>
      <c r="P1766" s="48">
        <f>HEX2DEC(RIGHT(Table13232127535863[[#This Row],[h1]],8))</f>
        <v>0</v>
      </c>
      <c r="Q1766" s="48" t="s">
        <v>75</v>
      </c>
      <c r="R1766" s="48">
        <f>HEX2DEC(RIGHT(Table13232127535863[[#This Row],[h2]],8))</f>
        <v>0</v>
      </c>
    </row>
    <row r="1767" spans="1:18">
      <c r="A1767" s="15" t="str">
        <f t="shared" si="32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8" t="s">
        <v>75</v>
      </c>
      <c r="P1767" s="48">
        <f>HEX2DEC(RIGHT(Table13232127535863[[#This Row],[h1]],8))</f>
        <v>0</v>
      </c>
      <c r="Q1767" s="48" t="s">
        <v>75</v>
      </c>
      <c r="R1767" s="48">
        <f>HEX2DEC(RIGHT(Table13232127535863[[#This Row],[h2]],8))</f>
        <v>0</v>
      </c>
    </row>
    <row r="1768" spans="1:18">
      <c r="A1768" s="15" t="str">
        <f t="shared" si="32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8" t="s">
        <v>75</v>
      </c>
      <c r="P1768" s="48">
        <f>HEX2DEC(RIGHT(Table13232127535863[[#This Row],[h1]],8))</f>
        <v>0</v>
      </c>
      <c r="Q1768" s="48" t="s">
        <v>75</v>
      </c>
      <c r="R1768" s="48">
        <f>HEX2DEC(RIGHT(Table13232127535863[[#This Row],[h2]],8))</f>
        <v>0</v>
      </c>
    </row>
    <row r="1769" spans="1:18">
      <c r="A1769" s="15" t="str">
        <f t="shared" si="32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8" t="s">
        <v>75</v>
      </c>
      <c r="P1769" s="48">
        <f>HEX2DEC(RIGHT(Table13232127535863[[#This Row],[h1]],8))</f>
        <v>0</v>
      </c>
      <c r="Q1769" s="48" t="s">
        <v>75</v>
      </c>
      <c r="R1769" s="48">
        <f>HEX2DEC(RIGHT(Table13232127535863[[#This Row],[h2]],8))</f>
        <v>0</v>
      </c>
    </row>
    <row r="1770" spans="1:18">
      <c r="A1770" s="15" t="str">
        <f t="shared" si="32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8" t="s">
        <v>75</v>
      </c>
      <c r="P1770" s="48">
        <f>HEX2DEC(RIGHT(Table13232127535863[[#This Row],[h1]],8))</f>
        <v>0</v>
      </c>
      <c r="Q1770" s="48" t="s">
        <v>75</v>
      </c>
      <c r="R1770" s="48">
        <f>HEX2DEC(RIGHT(Table13232127535863[[#This Row],[h2]],8))</f>
        <v>0</v>
      </c>
    </row>
    <row r="1771" spans="1:18">
      <c r="A1771" s="15" t="str">
        <f t="shared" si="32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8" t="s">
        <v>75</v>
      </c>
      <c r="P1771" s="48">
        <f>HEX2DEC(RIGHT(Table13232127535863[[#This Row],[h1]],8))</f>
        <v>0</v>
      </c>
      <c r="Q1771" s="48" t="s">
        <v>75</v>
      </c>
      <c r="R1771" s="48">
        <f>HEX2DEC(RIGHT(Table13232127535863[[#This Row],[h2]],8))</f>
        <v>0</v>
      </c>
    </row>
    <row r="1772" spans="1:18">
      <c r="A1772" s="15" t="str">
        <f t="shared" si="32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8" t="s">
        <v>75</v>
      </c>
      <c r="P1772" s="48">
        <f>HEX2DEC(RIGHT(Table13232127535863[[#This Row],[h1]],8))</f>
        <v>0</v>
      </c>
      <c r="Q1772" s="48" t="s">
        <v>75</v>
      </c>
      <c r="R1772" s="48">
        <f>HEX2DEC(RIGHT(Table13232127535863[[#This Row],[h2]],8))</f>
        <v>0</v>
      </c>
    </row>
    <row r="1773" spans="1:18">
      <c r="A1773" s="15" t="str">
        <f t="shared" si="32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8" t="s">
        <v>75</v>
      </c>
      <c r="P1773" s="48">
        <f>HEX2DEC(RIGHT(Table13232127535863[[#This Row],[h1]],8))</f>
        <v>0</v>
      </c>
      <c r="Q1773" s="48" t="s">
        <v>75</v>
      </c>
      <c r="R1773" s="48">
        <f>HEX2DEC(RIGHT(Table13232127535863[[#This Row],[h2]],8))</f>
        <v>0</v>
      </c>
    </row>
    <row r="1774" spans="1:18">
      <c r="A1774" s="15" t="str">
        <f t="shared" si="32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8" t="s">
        <v>75</v>
      </c>
      <c r="P1774" s="48">
        <f>HEX2DEC(RIGHT(Table13232127535863[[#This Row],[h1]],8))</f>
        <v>0</v>
      </c>
      <c r="Q1774" s="48" t="s">
        <v>75</v>
      </c>
      <c r="R1774" s="48">
        <f>HEX2DEC(RIGHT(Table13232127535863[[#This Row],[h2]],8))</f>
        <v>0</v>
      </c>
    </row>
    <row r="1775" spans="1:18">
      <c r="A1775" s="15" t="str">
        <f t="shared" si="32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8" t="s">
        <v>75</v>
      </c>
      <c r="P1775" s="48">
        <f>HEX2DEC(RIGHT(Table13232127535863[[#This Row],[h1]],8))</f>
        <v>0</v>
      </c>
      <c r="Q1775" s="48" t="s">
        <v>75</v>
      </c>
      <c r="R1775" s="48">
        <f>HEX2DEC(RIGHT(Table13232127535863[[#This Row],[h2]],8))</f>
        <v>0</v>
      </c>
    </row>
    <row r="1776" spans="1:18">
      <c r="A1776" s="15" t="str">
        <f t="shared" si="32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8" t="s">
        <v>75</v>
      </c>
      <c r="P1776" s="48">
        <f>HEX2DEC(RIGHT(Table13232127535863[[#This Row],[h1]],8))</f>
        <v>0</v>
      </c>
      <c r="Q1776" s="48" t="s">
        <v>75</v>
      </c>
      <c r="R1776" s="48">
        <f>HEX2DEC(RIGHT(Table13232127535863[[#This Row],[h2]],8))</f>
        <v>0</v>
      </c>
    </row>
    <row r="1777" spans="1:18">
      <c r="A1777" s="15" t="str">
        <f t="shared" si="32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8" t="s">
        <v>75</v>
      </c>
      <c r="P1777" s="48">
        <f>HEX2DEC(RIGHT(Table13232127535863[[#This Row],[h1]],8))</f>
        <v>0</v>
      </c>
      <c r="Q1777" s="48" t="s">
        <v>75</v>
      </c>
      <c r="R1777" s="48">
        <f>HEX2DEC(RIGHT(Table13232127535863[[#This Row],[h2]],8))</f>
        <v>0</v>
      </c>
    </row>
    <row r="1778" spans="1:18">
      <c r="A1778" s="15" t="str">
        <f t="shared" si="32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8" t="s">
        <v>75</v>
      </c>
      <c r="P1778" s="48">
        <f>HEX2DEC(RIGHT(Table13232127535863[[#This Row],[h1]],8))</f>
        <v>0</v>
      </c>
      <c r="Q1778" s="48" t="s">
        <v>75</v>
      </c>
      <c r="R1778" s="48">
        <f>HEX2DEC(RIGHT(Table13232127535863[[#This Row],[h2]],8))</f>
        <v>0</v>
      </c>
    </row>
    <row r="1779" spans="1:18">
      <c r="A1779" s="15" t="str">
        <f t="shared" si="32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8" t="s">
        <v>75</v>
      </c>
      <c r="P1779" s="48">
        <f>HEX2DEC(RIGHT(Table13232127535863[[#This Row],[h1]],8))</f>
        <v>0</v>
      </c>
      <c r="Q1779" s="48" t="s">
        <v>75</v>
      </c>
      <c r="R1779" s="48">
        <f>HEX2DEC(RIGHT(Table13232127535863[[#This Row],[h2]],8))</f>
        <v>0</v>
      </c>
    </row>
    <row r="1780" spans="1:18">
      <c r="A1780" s="15" t="str">
        <f t="shared" si="32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8" t="s">
        <v>75</v>
      </c>
      <c r="P1780" s="48">
        <f>HEX2DEC(RIGHT(Table13232127535863[[#This Row],[h1]],8))</f>
        <v>0</v>
      </c>
      <c r="Q1780" s="48" t="s">
        <v>75</v>
      </c>
      <c r="R1780" s="48">
        <f>HEX2DEC(RIGHT(Table13232127535863[[#This Row],[h2]],8))</f>
        <v>0</v>
      </c>
    </row>
    <row r="1781" spans="1:18">
      <c r="A1781" s="15" t="str">
        <f t="shared" si="32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8" t="s">
        <v>75</v>
      </c>
      <c r="P1781" s="48">
        <f>HEX2DEC(RIGHT(Table13232127535863[[#This Row],[h1]],8))</f>
        <v>0</v>
      </c>
      <c r="Q1781" s="48" t="s">
        <v>75</v>
      </c>
      <c r="R1781" s="48">
        <f>HEX2DEC(RIGHT(Table13232127535863[[#This Row],[h2]],8))</f>
        <v>0</v>
      </c>
    </row>
    <row r="1782" spans="1:18">
      <c r="A1782" s="15" t="str">
        <f t="shared" si="32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8" t="s">
        <v>75</v>
      </c>
      <c r="P1782" s="48">
        <f>HEX2DEC(RIGHT(Table13232127535863[[#This Row],[h1]],8))</f>
        <v>0</v>
      </c>
      <c r="Q1782" s="48" t="s">
        <v>75</v>
      </c>
      <c r="R1782" s="48">
        <f>HEX2DEC(RIGHT(Table13232127535863[[#This Row],[h2]],8))</f>
        <v>0</v>
      </c>
    </row>
    <row r="1783" spans="1:18">
      <c r="A1783" s="15" t="str">
        <f t="shared" si="32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8" t="s">
        <v>75</v>
      </c>
      <c r="P1783" s="48">
        <f>HEX2DEC(RIGHT(Table13232127535863[[#This Row],[h1]],8))</f>
        <v>0</v>
      </c>
      <c r="Q1783" s="48" t="s">
        <v>75</v>
      </c>
      <c r="R1783" s="48">
        <f>HEX2DEC(RIGHT(Table13232127535863[[#This Row],[h2]],8))</f>
        <v>0</v>
      </c>
    </row>
    <row r="1784" spans="1:18">
      <c r="A1784" s="15" t="str">
        <f t="shared" si="32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8" t="s">
        <v>75</v>
      </c>
      <c r="P1784" s="48">
        <f>HEX2DEC(RIGHT(Table13232127535863[[#This Row],[h1]],8))</f>
        <v>0</v>
      </c>
      <c r="Q1784" s="48" t="s">
        <v>75</v>
      </c>
      <c r="R1784" s="48">
        <f>HEX2DEC(RIGHT(Table13232127535863[[#This Row],[h2]],8))</f>
        <v>0</v>
      </c>
    </row>
    <row r="1785" spans="1:18">
      <c r="A1785" s="15" t="str">
        <f t="shared" si="32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8" t="s">
        <v>75</v>
      </c>
      <c r="P1785" s="48">
        <f>HEX2DEC(RIGHT(Table13232127535863[[#This Row],[h1]],8))</f>
        <v>0</v>
      </c>
      <c r="Q1785" s="48" t="s">
        <v>75</v>
      </c>
      <c r="R1785" s="48">
        <f>HEX2DEC(RIGHT(Table13232127535863[[#This Row],[h2]],8))</f>
        <v>0</v>
      </c>
    </row>
    <row r="1786" spans="1:18">
      <c r="A1786" s="15" t="str">
        <f t="shared" si="32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8" t="s">
        <v>75</v>
      </c>
      <c r="P1786" s="48">
        <f>HEX2DEC(RIGHT(Table13232127535863[[#This Row],[h1]],8))</f>
        <v>0</v>
      </c>
      <c r="Q1786" s="48" t="s">
        <v>75</v>
      </c>
      <c r="R1786" s="48">
        <f>HEX2DEC(RIGHT(Table13232127535863[[#This Row],[h2]],8))</f>
        <v>0</v>
      </c>
    </row>
    <row r="1787" spans="1:18">
      <c r="A1787" s="15" t="str">
        <f t="shared" si="32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8" t="s">
        <v>75</v>
      </c>
      <c r="P1787" s="48">
        <f>HEX2DEC(RIGHT(Table13232127535863[[#This Row],[h1]],8))</f>
        <v>0</v>
      </c>
      <c r="Q1787" s="48" t="s">
        <v>75</v>
      </c>
      <c r="R1787" s="48">
        <f>HEX2DEC(RIGHT(Table13232127535863[[#This Row],[h2]],8))</f>
        <v>0</v>
      </c>
    </row>
    <row r="1788" spans="1:18">
      <c r="A1788" s="15" t="str">
        <f t="shared" si="32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8" t="s">
        <v>75</v>
      </c>
      <c r="P1788" s="48">
        <f>HEX2DEC(RIGHT(Table13232127535863[[#This Row],[h1]],8))</f>
        <v>0</v>
      </c>
      <c r="Q1788" s="48" t="s">
        <v>75</v>
      </c>
      <c r="R1788" s="48">
        <f>HEX2DEC(RIGHT(Table13232127535863[[#This Row],[h2]],8))</f>
        <v>0</v>
      </c>
    </row>
    <row r="1789" spans="1:18">
      <c r="A1789" s="15" t="str">
        <f t="shared" si="32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8" t="s">
        <v>75</v>
      </c>
      <c r="P1789" s="48">
        <f>HEX2DEC(RIGHT(Table13232127535863[[#This Row],[h1]],8))</f>
        <v>0</v>
      </c>
      <c r="Q1789" s="48" t="s">
        <v>75</v>
      </c>
      <c r="R1789" s="48">
        <f>HEX2DEC(RIGHT(Table13232127535863[[#This Row],[h2]],8))</f>
        <v>0</v>
      </c>
    </row>
    <row r="1790" spans="1:18">
      <c r="A1790" s="15" t="str">
        <f t="shared" si="32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8" t="s">
        <v>75</v>
      </c>
      <c r="P1790" s="48">
        <f>HEX2DEC(RIGHT(Table13232127535863[[#This Row],[h1]],8))</f>
        <v>0</v>
      </c>
      <c r="Q1790" s="48" t="s">
        <v>75</v>
      </c>
      <c r="R1790" s="48">
        <f>HEX2DEC(RIGHT(Table13232127535863[[#This Row],[h2]],8))</f>
        <v>0</v>
      </c>
    </row>
    <row r="1791" spans="1:18">
      <c r="A1791" s="15" t="str">
        <f t="shared" si="32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8" t="s">
        <v>75</v>
      </c>
      <c r="P1791" s="48">
        <f>HEX2DEC(RIGHT(Table13232127535863[[#This Row],[h1]],8))</f>
        <v>0</v>
      </c>
      <c r="Q1791" s="48" t="s">
        <v>75</v>
      </c>
      <c r="R1791" s="48">
        <f>HEX2DEC(RIGHT(Table13232127535863[[#This Row],[h2]],8))</f>
        <v>0</v>
      </c>
    </row>
    <row r="1792" spans="1:18">
      <c r="A1792" s="15" t="str">
        <f t="shared" si="32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8" t="s">
        <v>75</v>
      </c>
      <c r="P1792" s="48">
        <f>HEX2DEC(RIGHT(Table13232127535863[[#This Row],[h1]],8))</f>
        <v>0</v>
      </c>
      <c r="Q1792" s="48" t="s">
        <v>75</v>
      </c>
      <c r="R1792" s="48">
        <f>HEX2DEC(RIGHT(Table13232127535863[[#This Row],[h2]],8))</f>
        <v>0</v>
      </c>
    </row>
    <row r="1793" spans="1:18">
      <c r="A1793" s="15" t="str">
        <f t="shared" si="32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8" t="s">
        <v>75</v>
      </c>
      <c r="P1793" s="48">
        <f>HEX2DEC(RIGHT(Table13232127535863[[#This Row],[h1]],8))</f>
        <v>0</v>
      </c>
      <c r="Q1793" s="48" t="s">
        <v>75</v>
      </c>
      <c r="R1793" s="48">
        <f>HEX2DEC(RIGHT(Table13232127535863[[#This Row],[h2]],8))</f>
        <v>0</v>
      </c>
    </row>
    <row r="1794" spans="1:18">
      <c r="A1794" s="15" t="str">
        <f t="shared" si="32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8" t="s">
        <v>75</v>
      </c>
      <c r="P1794" s="48">
        <f>HEX2DEC(RIGHT(Table13232127535863[[#This Row],[h1]],8))</f>
        <v>0</v>
      </c>
      <c r="Q1794" s="48" t="s">
        <v>75</v>
      </c>
      <c r="R1794" s="48">
        <f>HEX2DEC(RIGHT(Table13232127535863[[#This Row],[h2]],8))</f>
        <v>0</v>
      </c>
    </row>
    <row r="1795" spans="1:18">
      <c r="A1795" s="15" t="str">
        <f t="shared" si="32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8" t="s">
        <v>75</v>
      </c>
      <c r="P1795" s="48">
        <f>HEX2DEC(RIGHT(Table13232127535863[[#This Row],[h1]],8))</f>
        <v>0</v>
      </c>
      <c r="Q1795" s="48" t="s">
        <v>75</v>
      </c>
      <c r="R1795" s="48">
        <f>HEX2DEC(RIGHT(Table13232127535863[[#This Row],[h2]],8))</f>
        <v>0</v>
      </c>
    </row>
    <row r="1796" spans="1:18">
      <c r="A1796" s="15" t="str">
        <f t="shared" si="32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8" t="s">
        <v>75</v>
      </c>
      <c r="P1796" s="48">
        <f>HEX2DEC(RIGHT(Table13232127535863[[#This Row],[h1]],8))</f>
        <v>0</v>
      </c>
      <c r="Q1796" s="48" t="s">
        <v>75</v>
      </c>
      <c r="R1796" s="48">
        <f>HEX2DEC(RIGHT(Table13232127535863[[#This Row],[h2]],8))</f>
        <v>0</v>
      </c>
    </row>
    <row r="1797" spans="1:18">
      <c r="A1797" s="15" t="str">
        <f t="shared" si="32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8" t="s">
        <v>75</v>
      </c>
      <c r="P1797" s="48">
        <f>HEX2DEC(RIGHT(Table13232127535863[[#This Row],[h1]],8))</f>
        <v>0</v>
      </c>
      <c r="Q1797" s="48" t="s">
        <v>75</v>
      </c>
      <c r="R1797" s="48">
        <f>HEX2DEC(RIGHT(Table13232127535863[[#This Row],[h2]],8))</f>
        <v>0</v>
      </c>
    </row>
    <row r="1798" spans="1:18">
      <c r="A1798" s="15" t="str">
        <f t="shared" si="32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8" t="s">
        <v>75</v>
      </c>
      <c r="P1798" s="48">
        <f>HEX2DEC(RIGHT(Table13232127535863[[#This Row],[h1]],8))</f>
        <v>0</v>
      </c>
      <c r="Q1798" s="48" t="s">
        <v>75</v>
      </c>
      <c r="R1798" s="48">
        <f>HEX2DEC(RIGHT(Table13232127535863[[#This Row],[h2]],8))</f>
        <v>0</v>
      </c>
    </row>
    <row r="1799" spans="1:18">
      <c r="A1799" s="15" t="str">
        <f t="shared" si="32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8" t="s">
        <v>75</v>
      </c>
      <c r="P1799" s="48">
        <f>HEX2DEC(RIGHT(Table13232127535863[[#This Row],[h1]],8))</f>
        <v>0</v>
      </c>
      <c r="Q1799" s="48" t="s">
        <v>75</v>
      </c>
      <c r="R1799" s="48">
        <f>HEX2DEC(RIGHT(Table13232127535863[[#This Row],[h2]],8))</f>
        <v>0</v>
      </c>
    </row>
    <row r="1800" spans="1:18">
      <c r="A1800" s="15" t="str">
        <f t="shared" si="32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8" t="s">
        <v>75</v>
      </c>
      <c r="P1800" s="48">
        <f>HEX2DEC(RIGHT(Table13232127535863[[#This Row],[h1]],8))</f>
        <v>0</v>
      </c>
      <c r="Q1800" s="48" t="s">
        <v>75</v>
      </c>
      <c r="R1800" s="48">
        <f>HEX2DEC(RIGHT(Table13232127535863[[#This Row],[h2]],8))</f>
        <v>0</v>
      </c>
    </row>
    <row r="1801" spans="1:18">
      <c r="A1801" s="15" t="str">
        <f t="shared" si="32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8" t="s">
        <v>75</v>
      </c>
      <c r="P1801" s="48">
        <f>HEX2DEC(RIGHT(Table13232127535863[[#This Row],[h1]],8))</f>
        <v>0</v>
      </c>
      <c r="Q1801" s="48" t="s">
        <v>75</v>
      </c>
      <c r="R1801" s="48">
        <f>HEX2DEC(RIGHT(Table13232127535863[[#This Row],[h2]],8))</f>
        <v>0</v>
      </c>
    </row>
    <row r="1802" spans="1:18">
      <c r="A1802" s="15" t="str">
        <f t="shared" si="32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8" t="s">
        <v>75</v>
      </c>
      <c r="P1802" s="48">
        <f>HEX2DEC(RIGHT(Table13232127535863[[#This Row],[h1]],8))</f>
        <v>0</v>
      </c>
      <c r="Q1802" s="48" t="s">
        <v>75</v>
      </c>
      <c r="R1802" s="48">
        <f>HEX2DEC(RIGHT(Table13232127535863[[#This Row],[h2]],8))</f>
        <v>0</v>
      </c>
    </row>
    <row r="1803" spans="1:18">
      <c r="A1803" s="15" t="str">
        <f t="shared" ref="A1803:A1866" si="33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8" t="s">
        <v>75</v>
      </c>
      <c r="P1803" s="48">
        <f>HEX2DEC(RIGHT(Table13232127535863[[#This Row],[h1]],8))</f>
        <v>0</v>
      </c>
      <c r="Q1803" s="48" t="s">
        <v>75</v>
      </c>
      <c r="R1803" s="48">
        <f>HEX2DEC(RIGHT(Table13232127535863[[#This Row],[h2]],8))</f>
        <v>0</v>
      </c>
    </row>
    <row r="1804" spans="1:18">
      <c r="A1804" s="15" t="str">
        <f t="shared" si="33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8" t="s">
        <v>75</v>
      </c>
      <c r="P1804" s="48">
        <f>HEX2DEC(RIGHT(Table13232127535863[[#This Row],[h1]],8))</f>
        <v>0</v>
      </c>
      <c r="Q1804" s="48" t="s">
        <v>75</v>
      </c>
      <c r="R1804" s="48">
        <f>HEX2DEC(RIGHT(Table13232127535863[[#This Row],[h2]],8))</f>
        <v>0</v>
      </c>
    </row>
    <row r="1805" spans="1:18">
      <c r="A1805" s="15" t="str">
        <f t="shared" si="33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8" t="s">
        <v>75</v>
      </c>
      <c r="P1805" s="48">
        <f>HEX2DEC(RIGHT(Table13232127535863[[#This Row],[h1]],8))</f>
        <v>0</v>
      </c>
      <c r="Q1805" s="48" t="s">
        <v>75</v>
      </c>
      <c r="R1805" s="48">
        <f>HEX2DEC(RIGHT(Table13232127535863[[#This Row],[h2]],8))</f>
        <v>0</v>
      </c>
    </row>
    <row r="1806" spans="1:18">
      <c r="A1806" s="15" t="str">
        <f t="shared" si="33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8" t="s">
        <v>75</v>
      </c>
      <c r="P1806" s="48">
        <f>HEX2DEC(RIGHT(Table13232127535863[[#This Row],[h1]],8))</f>
        <v>0</v>
      </c>
      <c r="Q1806" s="48" t="s">
        <v>75</v>
      </c>
      <c r="R1806" s="48">
        <f>HEX2DEC(RIGHT(Table13232127535863[[#This Row],[h2]],8))</f>
        <v>0</v>
      </c>
    </row>
    <row r="1807" spans="1:18">
      <c r="A1807" s="15" t="str">
        <f t="shared" si="33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8" t="s">
        <v>75</v>
      </c>
      <c r="P1807" s="48">
        <f>HEX2DEC(RIGHT(Table13232127535863[[#This Row],[h1]],8))</f>
        <v>0</v>
      </c>
      <c r="Q1807" s="48" t="s">
        <v>75</v>
      </c>
      <c r="R1807" s="48">
        <f>HEX2DEC(RIGHT(Table13232127535863[[#This Row],[h2]],8))</f>
        <v>0</v>
      </c>
    </row>
    <row r="1808" spans="1:18">
      <c r="A1808" s="15" t="str">
        <f t="shared" si="33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8" t="s">
        <v>75</v>
      </c>
      <c r="P1808" s="48">
        <f>HEX2DEC(RIGHT(Table13232127535863[[#This Row],[h1]],8))</f>
        <v>0</v>
      </c>
      <c r="Q1808" s="48" t="s">
        <v>75</v>
      </c>
      <c r="R1808" s="48">
        <f>HEX2DEC(RIGHT(Table13232127535863[[#This Row],[h2]],8))</f>
        <v>0</v>
      </c>
    </row>
    <row r="1809" spans="1:18">
      <c r="A1809" s="15" t="str">
        <f t="shared" si="33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8" t="s">
        <v>75</v>
      </c>
      <c r="P1809" s="48">
        <f>HEX2DEC(RIGHT(Table13232127535863[[#This Row],[h1]],8))</f>
        <v>0</v>
      </c>
      <c r="Q1809" s="48" t="s">
        <v>75</v>
      </c>
      <c r="R1809" s="48">
        <f>HEX2DEC(RIGHT(Table13232127535863[[#This Row],[h2]],8))</f>
        <v>0</v>
      </c>
    </row>
    <row r="1810" spans="1:18">
      <c r="A1810" s="15" t="str">
        <f t="shared" si="33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8" t="s">
        <v>75</v>
      </c>
      <c r="P1810" s="48">
        <f>HEX2DEC(RIGHT(Table13232127535863[[#This Row],[h1]],8))</f>
        <v>0</v>
      </c>
      <c r="Q1810" s="48" t="s">
        <v>75</v>
      </c>
      <c r="R1810" s="48">
        <f>HEX2DEC(RIGHT(Table13232127535863[[#This Row],[h2]],8))</f>
        <v>0</v>
      </c>
    </row>
    <row r="1811" spans="1:18">
      <c r="A1811" s="15" t="str">
        <f t="shared" si="33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8" t="s">
        <v>75</v>
      </c>
      <c r="P1811" s="48">
        <f>HEX2DEC(RIGHT(Table13232127535863[[#This Row],[h1]],8))</f>
        <v>0</v>
      </c>
      <c r="Q1811" s="48" t="s">
        <v>75</v>
      </c>
      <c r="R1811" s="48">
        <f>HEX2DEC(RIGHT(Table13232127535863[[#This Row],[h2]],8))</f>
        <v>0</v>
      </c>
    </row>
    <row r="1812" spans="1:18">
      <c r="A1812" s="15" t="str">
        <f t="shared" si="33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8" t="s">
        <v>75</v>
      </c>
      <c r="P1812" s="48">
        <f>HEX2DEC(RIGHT(Table13232127535863[[#This Row],[h1]],8))</f>
        <v>0</v>
      </c>
      <c r="Q1812" s="48" t="s">
        <v>75</v>
      </c>
      <c r="R1812" s="48">
        <f>HEX2DEC(RIGHT(Table13232127535863[[#This Row],[h2]],8))</f>
        <v>0</v>
      </c>
    </row>
    <row r="1813" spans="1:18">
      <c r="A1813" s="15" t="str">
        <f t="shared" si="33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8" t="s">
        <v>75</v>
      </c>
      <c r="P1813" s="48">
        <f>HEX2DEC(RIGHT(Table13232127535863[[#This Row],[h1]],8))</f>
        <v>0</v>
      </c>
      <c r="Q1813" s="48" t="s">
        <v>75</v>
      </c>
      <c r="R1813" s="48">
        <f>HEX2DEC(RIGHT(Table13232127535863[[#This Row],[h2]],8))</f>
        <v>0</v>
      </c>
    </row>
    <row r="1814" spans="1:18">
      <c r="A1814" s="15" t="str">
        <f t="shared" si="33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8" t="s">
        <v>75</v>
      </c>
      <c r="P1814" s="48">
        <f>HEX2DEC(RIGHT(Table13232127535863[[#This Row],[h1]],8))</f>
        <v>0</v>
      </c>
      <c r="Q1814" s="48" t="s">
        <v>75</v>
      </c>
      <c r="R1814" s="48">
        <f>HEX2DEC(RIGHT(Table13232127535863[[#This Row],[h2]],8))</f>
        <v>0</v>
      </c>
    </row>
    <row r="1815" spans="1:18">
      <c r="A1815" s="15" t="str">
        <f t="shared" si="33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8" t="s">
        <v>75</v>
      </c>
      <c r="P1815" s="48">
        <f>HEX2DEC(RIGHT(Table13232127535863[[#This Row],[h1]],8))</f>
        <v>0</v>
      </c>
      <c r="Q1815" s="48" t="s">
        <v>75</v>
      </c>
      <c r="R1815" s="48">
        <f>HEX2DEC(RIGHT(Table13232127535863[[#This Row],[h2]],8))</f>
        <v>0</v>
      </c>
    </row>
    <row r="1816" spans="1:18">
      <c r="A1816" s="15" t="str">
        <f t="shared" si="33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8" t="s">
        <v>75</v>
      </c>
      <c r="P1816" s="48">
        <f>HEX2DEC(RIGHT(Table13232127535863[[#This Row],[h1]],8))</f>
        <v>0</v>
      </c>
      <c r="Q1816" s="48" t="s">
        <v>75</v>
      </c>
      <c r="R1816" s="48">
        <f>HEX2DEC(RIGHT(Table13232127535863[[#This Row],[h2]],8))</f>
        <v>0</v>
      </c>
    </row>
    <row r="1817" spans="1:18">
      <c r="A1817" s="15" t="str">
        <f t="shared" si="33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8" t="s">
        <v>75</v>
      </c>
      <c r="P1817" s="48">
        <f>HEX2DEC(RIGHT(Table13232127535863[[#This Row],[h1]],8))</f>
        <v>0</v>
      </c>
      <c r="Q1817" s="48" t="s">
        <v>75</v>
      </c>
      <c r="R1817" s="48">
        <f>HEX2DEC(RIGHT(Table13232127535863[[#This Row],[h2]],8))</f>
        <v>0</v>
      </c>
    </row>
    <row r="1818" spans="1:18">
      <c r="A1818" s="15" t="str">
        <f t="shared" si="33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8" t="s">
        <v>75</v>
      </c>
      <c r="P1818" s="48">
        <f>HEX2DEC(RIGHT(Table13232127535863[[#This Row],[h1]],8))</f>
        <v>0</v>
      </c>
      <c r="Q1818" s="48" t="s">
        <v>75</v>
      </c>
      <c r="R1818" s="48">
        <f>HEX2DEC(RIGHT(Table13232127535863[[#This Row],[h2]],8))</f>
        <v>0</v>
      </c>
    </row>
    <row r="1819" spans="1:18">
      <c r="A1819" s="15" t="str">
        <f t="shared" si="33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8" t="s">
        <v>75</v>
      </c>
      <c r="P1819" s="48">
        <f>HEX2DEC(RIGHT(Table13232127535863[[#This Row],[h1]],8))</f>
        <v>0</v>
      </c>
      <c r="Q1819" s="48" t="s">
        <v>75</v>
      </c>
      <c r="R1819" s="48">
        <f>HEX2DEC(RIGHT(Table13232127535863[[#This Row],[h2]],8))</f>
        <v>0</v>
      </c>
    </row>
    <row r="1820" spans="1:18">
      <c r="A1820" s="15" t="str">
        <f t="shared" si="33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8" t="s">
        <v>75</v>
      </c>
      <c r="P1820" s="48">
        <f>HEX2DEC(RIGHT(Table13232127535863[[#This Row],[h1]],8))</f>
        <v>0</v>
      </c>
      <c r="Q1820" s="48" t="s">
        <v>75</v>
      </c>
      <c r="R1820" s="48">
        <f>HEX2DEC(RIGHT(Table13232127535863[[#This Row],[h2]],8))</f>
        <v>0</v>
      </c>
    </row>
    <row r="1821" spans="1:18">
      <c r="A1821" s="15" t="str">
        <f t="shared" si="33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8" t="s">
        <v>75</v>
      </c>
      <c r="P1821" s="48">
        <f>HEX2DEC(RIGHT(Table13232127535863[[#This Row],[h1]],8))</f>
        <v>0</v>
      </c>
      <c r="Q1821" s="48" t="s">
        <v>75</v>
      </c>
      <c r="R1821" s="48">
        <f>HEX2DEC(RIGHT(Table13232127535863[[#This Row],[h2]],8))</f>
        <v>0</v>
      </c>
    </row>
    <row r="1822" spans="1:18">
      <c r="A1822" s="15" t="str">
        <f t="shared" si="33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8" t="s">
        <v>75</v>
      </c>
      <c r="P1822" s="48">
        <f>HEX2DEC(RIGHT(Table13232127535863[[#This Row],[h1]],8))</f>
        <v>0</v>
      </c>
      <c r="Q1822" s="48" t="s">
        <v>75</v>
      </c>
      <c r="R1822" s="48">
        <f>HEX2DEC(RIGHT(Table13232127535863[[#This Row],[h2]],8))</f>
        <v>0</v>
      </c>
    </row>
    <row r="1823" spans="1:18">
      <c r="A1823" s="15" t="str">
        <f t="shared" si="33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8" t="s">
        <v>75</v>
      </c>
      <c r="P1823" s="48">
        <f>HEX2DEC(RIGHT(Table13232127535863[[#This Row],[h1]],8))</f>
        <v>0</v>
      </c>
      <c r="Q1823" s="48" t="s">
        <v>75</v>
      </c>
      <c r="R1823" s="48">
        <f>HEX2DEC(RIGHT(Table13232127535863[[#This Row],[h2]],8))</f>
        <v>0</v>
      </c>
    </row>
    <row r="1824" spans="1:18">
      <c r="A1824" s="15" t="str">
        <f t="shared" si="33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8" t="s">
        <v>75</v>
      </c>
      <c r="P1824" s="48">
        <f>HEX2DEC(RIGHT(Table13232127535863[[#This Row],[h1]],8))</f>
        <v>0</v>
      </c>
      <c r="Q1824" s="48" t="s">
        <v>75</v>
      </c>
      <c r="R1824" s="48">
        <f>HEX2DEC(RIGHT(Table13232127535863[[#This Row],[h2]],8))</f>
        <v>0</v>
      </c>
    </row>
    <row r="1825" spans="1:18">
      <c r="A1825" s="15" t="str">
        <f t="shared" si="33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8" t="s">
        <v>75</v>
      </c>
      <c r="P1825" s="48">
        <f>HEX2DEC(RIGHT(Table13232127535863[[#This Row],[h1]],8))</f>
        <v>0</v>
      </c>
      <c r="Q1825" s="48" t="s">
        <v>75</v>
      </c>
      <c r="R1825" s="48">
        <f>HEX2DEC(RIGHT(Table13232127535863[[#This Row],[h2]],8))</f>
        <v>0</v>
      </c>
    </row>
    <row r="1826" spans="1:18">
      <c r="A1826" s="15" t="str">
        <f t="shared" si="33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8" t="s">
        <v>75</v>
      </c>
      <c r="P1826" s="48">
        <f>HEX2DEC(RIGHT(Table13232127535863[[#This Row],[h1]],8))</f>
        <v>0</v>
      </c>
      <c r="Q1826" s="48" t="s">
        <v>75</v>
      </c>
      <c r="R1826" s="48">
        <f>HEX2DEC(RIGHT(Table13232127535863[[#This Row],[h2]],8))</f>
        <v>0</v>
      </c>
    </row>
    <row r="1827" spans="1:18">
      <c r="A1827" s="15" t="str">
        <f t="shared" si="33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8" t="s">
        <v>75</v>
      </c>
      <c r="P1827" s="48">
        <f>HEX2DEC(RIGHT(Table13232127535863[[#This Row],[h1]],8))</f>
        <v>0</v>
      </c>
      <c r="Q1827" s="48" t="s">
        <v>75</v>
      </c>
      <c r="R1827" s="48">
        <f>HEX2DEC(RIGHT(Table13232127535863[[#This Row],[h2]],8))</f>
        <v>0</v>
      </c>
    </row>
    <row r="1828" spans="1:18">
      <c r="A1828" s="15" t="str">
        <f t="shared" si="33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8" t="s">
        <v>75</v>
      </c>
      <c r="P1828" s="48">
        <f>HEX2DEC(RIGHT(Table13232127535863[[#This Row],[h1]],8))</f>
        <v>0</v>
      </c>
      <c r="Q1828" s="48" t="s">
        <v>75</v>
      </c>
      <c r="R1828" s="48">
        <f>HEX2DEC(RIGHT(Table13232127535863[[#This Row],[h2]],8))</f>
        <v>0</v>
      </c>
    </row>
    <row r="1829" spans="1:18">
      <c r="A1829" s="15" t="str">
        <f t="shared" si="33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8" t="s">
        <v>75</v>
      </c>
      <c r="P1829" s="48">
        <f>HEX2DEC(RIGHT(Table13232127535863[[#This Row],[h1]],8))</f>
        <v>0</v>
      </c>
      <c r="Q1829" s="48" t="s">
        <v>75</v>
      </c>
      <c r="R1829" s="48">
        <f>HEX2DEC(RIGHT(Table13232127535863[[#This Row],[h2]],8))</f>
        <v>0</v>
      </c>
    </row>
    <row r="1830" spans="1:18">
      <c r="A1830" s="15" t="str">
        <f t="shared" si="33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8" t="s">
        <v>75</v>
      </c>
      <c r="P1830" s="48">
        <f>HEX2DEC(RIGHT(Table13232127535863[[#This Row],[h1]],8))</f>
        <v>0</v>
      </c>
      <c r="Q1830" s="48" t="s">
        <v>75</v>
      </c>
      <c r="R1830" s="48">
        <f>HEX2DEC(RIGHT(Table13232127535863[[#This Row],[h2]],8))</f>
        <v>0</v>
      </c>
    </row>
    <row r="1831" spans="1:18">
      <c r="A1831" s="15" t="str">
        <f t="shared" si="33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8" t="s">
        <v>75</v>
      </c>
      <c r="P1831" s="48">
        <f>HEX2DEC(RIGHT(Table13232127535863[[#This Row],[h1]],8))</f>
        <v>0</v>
      </c>
      <c r="Q1831" s="48" t="s">
        <v>75</v>
      </c>
      <c r="R1831" s="48">
        <f>HEX2DEC(RIGHT(Table13232127535863[[#This Row],[h2]],8))</f>
        <v>0</v>
      </c>
    </row>
    <row r="1832" spans="1:18">
      <c r="A1832" s="15" t="str">
        <f t="shared" si="33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8" t="s">
        <v>75</v>
      </c>
      <c r="P1832" s="48">
        <f>HEX2DEC(RIGHT(Table13232127535863[[#This Row],[h1]],8))</f>
        <v>0</v>
      </c>
      <c r="Q1832" s="48" t="s">
        <v>75</v>
      </c>
      <c r="R1832" s="48">
        <f>HEX2DEC(RIGHT(Table13232127535863[[#This Row],[h2]],8))</f>
        <v>0</v>
      </c>
    </row>
    <row r="1833" spans="1:18">
      <c r="A1833" s="15" t="str">
        <f t="shared" si="33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8" t="s">
        <v>75</v>
      </c>
      <c r="P1833" s="48">
        <f>HEX2DEC(RIGHT(Table13232127535863[[#This Row],[h1]],8))</f>
        <v>0</v>
      </c>
      <c r="Q1833" s="48" t="s">
        <v>75</v>
      </c>
      <c r="R1833" s="48">
        <f>HEX2DEC(RIGHT(Table13232127535863[[#This Row],[h2]],8))</f>
        <v>0</v>
      </c>
    </row>
    <row r="1834" spans="1:18">
      <c r="A1834" s="15" t="str">
        <f t="shared" si="33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8" t="s">
        <v>75</v>
      </c>
      <c r="P1834" s="48">
        <f>HEX2DEC(RIGHT(Table13232127535863[[#This Row],[h1]],8))</f>
        <v>0</v>
      </c>
      <c r="Q1834" s="48" t="s">
        <v>75</v>
      </c>
      <c r="R1834" s="48">
        <f>HEX2DEC(RIGHT(Table13232127535863[[#This Row],[h2]],8))</f>
        <v>0</v>
      </c>
    </row>
    <row r="1835" spans="1:18">
      <c r="A1835" s="15" t="str">
        <f t="shared" si="33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8" t="s">
        <v>75</v>
      </c>
      <c r="P1835" s="48">
        <f>HEX2DEC(RIGHT(Table13232127535863[[#This Row],[h1]],8))</f>
        <v>0</v>
      </c>
      <c r="Q1835" s="48" t="s">
        <v>75</v>
      </c>
      <c r="R1835" s="48">
        <f>HEX2DEC(RIGHT(Table13232127535863[[#This Row],[h2]],8))</f>
        <v>0</v>
      </c>
    </row>
    <row r="1836" spans="1:18">
      <c r="A1836" s="15" t="str">
        <f t="shared" si="33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8" t="s">
        <v>75</v>
      </c>
      <c r="P1836" s="48">
        <f>HEX2DEC(RIGHT(Table13232127535863[[#This Row],[h1]],8))</f>
        <v>0</v>
      </c>
      <c r="Q1836" s="48" t="s">
        <v>75</v>
      </c>
      <c r="R1836" s="48">
        <f>HEX2DEC(RIGHT(Table13232127535863[[#This Row],[h2]],8))</f>
        <v>0</v>
      </c>
    </row>
    <row r="1837" spans="1:18">
      <c r="A1837" s="15" t="str">
        <f t="shared" si="33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8" t="s">
        <v>75</v>
      </c>
      <c r="P1837" s="48">
        <f>HEX2DEC(RIGHT(Table13232127535863[[#This Row],[h1]],8))</f>
        <v>0</v>
      </c>
      <c r="Q1837" s="48" t="s">
        <v>75</v>
      </c>
      <c r="R1837" s="48">
        <f>HEX2DEC(RIGHT(Table13232127535863[[#This Row],[h2]],8))</f>
        <v>0</v>
      </c>
    </row>
    <row r="1838" spans="1:18">
      <c r="A1838" s="15" t="str">
        <f t="shared" si="33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8" t="s">
        <v>75</v>
      </c>
      <c r="P1838" s="48">
        <f>HEX2DEC(RIGHT(Table13232127535863[[#This Row],[h1]],8))</f>
        <v>0</v>
      </c>
      <c r="Q1838" s="48" t="s">
        <v>75</v>
      </c>
      <c r="R1838" s="48">
        <f>HEX2DEC(RIGHT(Table13232127535863[[#This Row],[h2]],8))</f>
        <v>0</v>
      </c>
    </row>
    <row r="1839" spans="1:18">
      <c r="A1839" s="15" t="str">
        <f t="shared" si="33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8" t="s">
        <v>75</v>
      </c>
      <c r="P1839" s="48">
        <f>HEX2DEC(RIGHT(Table13232127535863[[#This Row],[h1]],8))</f>
        <v>0</v>
      </c>
      <c r="Q1839" s="48" t="s">
        <v>75</v>
      </c>
      <c r="R1839" s="48">
        <f>HEX2DEC(RIGHT(Table13232127535863[[#This Row],[h2]],8))</f>
        <v>0</v>
      </c>
    </row>
    <row r="1840" spans="1:18">
      <c r="A1840" s="15" t="str">
        <f t="shared" si="33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8" t="s">
        <v>75</v>
      </c>
      <c r="P1840" s="48">
        <f>HEX2DEC(RIGHT(Table13232127535863[[#This Row],[h1]],8))</f>
        <v>0</v>
      </c>
      <c r="Q1840" s="48" t="s">
        <v>75</v>
      </c>
      <c r="R1840" s="48">
        <f>HEX2DEC(RIGHT(Table13232127535863[[#This Row],[h2]],8))</f>
        <v>0</v>
      </c>
    </row>
    <row r="1841" spans="1:18">
      <c r="A1841" s="15" t="str">
        <f t="shared" si="33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8" t="s">
        <v>75</v>
      </c>
      <c r="P1841" s="48">
        <f>HEX2DEC(RIGHT(Table13232127535863[[#This Row],[h1]],8))</f>
        <v>0</v>
      </c>
      <c r="Q1841" s="48" t="s">
        <v>75</v>
      </c>
      <c r="R1841" s="48">
        <f>HEX2DEC(RIGHT(Table13232127535863[[#This Row],[h2]],8))</f>
        <v>0</v>
      </c>
    </row>
    <row r="1842" spans="1:18">
      <c r="A1842" s="15" t="str">
        <f t="shared" si="33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8" t="s">
        <v>75</v>
      </c>
      <c r="P1842" s="48">
        <f>HEX2DEC(RIGHT(Table13232127535863[[#This Row],[h1]],8))</f>
        <v>0</v>
      </c>
      <c r="Q1842" s="48" t="s">
        <v>75</v>
      </c>
      <c r="R1842" s="48">
        <f>HEX2DEC(RIGHT(Table13232127535863[[#This Row],[h2]],8))</f>
        <v>0</v>
      </c>
    </row>
    <row r="1843" spans="1:18">
      <c r="A1843" s="15" t="str">
        <f t="shared" si="33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8" t="s">
        <v>75</v>
      </c>
      <c r="P1843" s="48">
        <f>HEX2DEC(RIGHT(Table13232127535863[[#This Row],[h1]],8))</f>
        <v>0</v>
      </c>
      <c r="Q1843" s="48" t="s">
        <v>75</v>
      </c>
      <c r="R1843" s="48">
        <f>HEX2DEC(RIGHT(Table13232127535863[[#This Row],[h2]],8))</f>
        <v>0</v>
      </c>
    </row>
    <row r="1844" spans="1:18">
      <c r="A1844" s="15" t="str">
        <f t="shared" si="33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8" t="s">
        <v>75</v>
      </c>
      <c r="P1844" s="48">
        <f>HEX2DEC(RIGHT(Table13232127535863[[#This Row],[h1]],8))</f>
        <v>0</v>
      </c>
      <c r="Q1844" s="48" t="s">
        <v>75</v>
      </c>
      <c r="R1844" s="48">
        <f>HEX2DEC(RIGHT(Table13232127535863[[#This Row],[h2]],8))</f>
        <v>0</v>
      </c>
    </row>
    <row r="1845" spans="1:18">
      <c r="A1845" s="15" t="str">
        <f t="shared" si="33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8" t="s">
        <v>75</v>
      </c>
      <c r="P1845" s="48">
        <f>HEX2DEC(RIGHT(Table13232127535863[[#This Row],[h1]],8))</f>
        <v>0</v>
      </c>
      <c r="Q1845" s="48" t="s">
        <v>75</v>
      </c>
      <c r="R1845" s="48">
        <f>HEX2DEC(RIGHT(Table13232127535863[[#This Row],[h2]],8))</f>
        <v>0</v>
      </c>
    </row>
    <row r="1846" spans="1:18">
      <c r="A1846" s="15" t="str">
        <f t="shared" si="33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8" t="s">
        <v>75</v>
      </c>
      <c r="P1846" s="48">
        <f>HEX2DEC(RIGHT(Table13232127535863[[#This Row],[h1]],8))</f>
        <v>0</v>
      </c>
      <c r="Q1846" s="48" t="s">
        <v>75</v>
      </c>
      <c r="R1846" s="48">
        <f>HEX2DEC(RIGHT(Table13232127535863[[#This Row],[h2]],8))</f>
        <v>0</v>
      </c>
    </row>
    <row r="1847" spans="1:18">
      <c r="A1847" s="15" t="str">
        <f t="shared" si="33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8" t="s">
        <v>75</v>
      </c>
      <c r="P1847" s="48">
        <f>HEX2DEC(RIGHT(Table13232127535863[[#This Row],[h1]],8))</f>
        <v>0</v>
      </c>
      <c r="Q1847" s="48" t="s">
        <v>75</v>
      </c>
      <c r="R1847" s="48">
        <f>HEX2DEC(RIGHT(Table13232127535863[[#This Row],[h2]],8))</f>
        <v>0</v>
      </c>
    </row>
    <row r="1848" spans="1:18">
      <c r="A1848" s="15" t="str">
        <f t="shared" si="33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8" t="s">
        <v>75</v>
      </c>
      <c r="P1848" s="48">
        <f>HEX2DEC(RIGHT(Table13232127535863[[#This Row],[h1]],8))</f>
        <v>0</v>
      </c>
      <c r="Q1848" s="48" t="s">
        <v>75</v>
      </c>
      <c r="R1848" s="48">
        <f>HEX2DEC(RIGHT(Table13232127535863[[#This Row],[h2]],8))</f>
        <v>0</v>
      </c>
    </row>
    <row r="1849" spans="1:18">
      <c r="A1849" s="15" t="str">
        <f t="shared" si="33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8" t="s">
        <v>75</v>
      </c>
      <c r="P1849" s="48">
        <f>HEX2DEC(RIGHT(Table13232127535863[[#This Row],[h1]],8))</f>
        <v>0</v>
      </c>
      <c r="Q1849" s="48" t="s">
        <v>75</v>
      </c>
      <c r="R1849" s="48">
        <f>HEX2DEC(RIGHT(Table13232127535863[[#This Row],[h2]],8))</f>
        <v>0</v>
      </c>
    </row>
    <row r="1850" spans="1:18">
      <c r="A1850" s="15" t="str">
        <f t="shared" si="33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8" t="s">
        <v>75</v>
      </c>
      <c r="P1850" s="48">
        <f>HEX2DEC(RIGHT(Table13232127535863[[#This Row],[h1]],8))</f>
        <v>0</v>
      </c>
      <c r="Q1850" s="48" t="s">
        <v>75</v>
      </c>
      <c r="R1850" s="48">
        <f>HEX2DEC(RIGHT(Table13232127535863[[#This Row],[h2]],8))</f>
        <v>0</v>
      </c>
    </row>
    <row r="1851" spans="1:18">
      <c r="A1851" s="15" t="str">
        <f t="shared" si="33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8" t="s">
        <v>75</v>
      </c>
      <c r="P1851" s="48">
        <f>HEX2DEC(RIGHT(Table13232127535863[[#This Row],[h1]],8))</f>
        <v>0</v>
      </c>
      <c r="Q1851" s="48" t="s">
        <v>75</v>
      </c>
      <c r="R1851" s="48">
        <f>HEX2DEC(RIGHT(Table13232127535863[[#This Row],[h2]],8))</f>
        <v>0</v>
      </c>
    </row>
    <row r="1852" spans="1:18">
      <c r="A1852" s="15" t="str">
        <f t="shared" si="33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8" t="s">
        <v>75</v>
      </c>
      <c r="P1852" s="48">
        <f>HEX2DEC(RIGHT(Table13232127535863[[#This Row],[h1]],8))</f>
        <v>0</v>
      </c>
      <c r="Q1852" s="48" t="s">
        <v>75</v>
      </c>
      <c r="R1852" s="48">
        <f>HEX2DEC(RIGHT(Table13232127535863[[#This Row],[h2]],8))</f>
        <v>0</v>
      </c>
    </row>
    <row r="1853" spans="1:18">
      <c r="A1853" s="15" t="str">
        <f t="shared" si="33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8" t="s">
        <v>75</v>
      </c>
      <c r="P1853" s="48">
        <f>HEX2DEC(RIGHT(Table13232127535863[[#This Row],[h1]],8))</f>
        <v>0</v>
      </c>
      <c r="Q1853" s="48" t="s">
        <v>75</v>
      </c>
      <c r="R1853" s="48">
        <f>HEX2DEC(RIGHT(Table13232127535863[[#This Row],[h2]],8))</f>
        <v>0</v>
      </c>
    </row>
    <row r="1854" spans="1:18">
      <c r="A1854" s="15" t="str">
        <f t="shared" si="33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8" t="s">
        <v>75</v>
      </c>
      <c r="P1854" s="48">
        <f>HEX2DEC(RIGHT(Table13232127535863[[#This Row],[h1]],8))</f>
        <v>0</v>
      </c>
      <c r="Q1854" s="48" t="s">
        <v>75</v>
      </c>
      <c r="R1854" s="48">
        <f>HEX2DEC(RIGHT(Table13232127535863[[#This Row],[h2]],8))</f>
        <v>0</v>
      </c>
    </row>
    <row r="1855" spans="1:18">
      <c r="A1855" s="15" t="str">
        <f t="shared" si="33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8" t="s">
        <v>75</v>
      </c>
      <c r="P1855" s="48">
        <f>HEX2DEC(RIGHT(Table13232127535863[[#This Row],[h1]],8))</f>
        <v>0</v>
      </c>
      <c r="Q1855" s="48" t="s">
        <v>75</v>
      </c>
      <c r="R1855" s="48">
        <f>HEX2DEC(RIGHT(Table13232127535863[[#This Row],[h2]],8))</f>
        <v>0</v>
      </c>
    </row>
    <row r="1856" spans="1:18">
      <c r="A1856" s="15" t="str">
        <f t="shared" si="33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8" t="s">
        <v>75</v>
      </c>
      <c r="P1856" s="48">
        <f>HEX2DEC(RIGHT(Table13232127535863[[#This Row],[h1]],8))</f>
        <v>0</v>
      </c>
      <c r="Q1856" s="48" t="s">
        <v>75</v>
      </c>
      <c r="R1856" s="48">
        <f>HEX2DEC(RIGHT(Table13232127535863[[#This Row],[h2]],8))</f>
        <v>0</v>
      </c>
    </row>
    <row r="1857" spans="1:18">
      <c r="A1857" s="15" t="str">
        <f t="shared" si="33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8" t="s">
        <v>75</v>
      </c>
      <c r="P1857" s="48">
        <f>HEX2DEC(RIGHT(Table13232127535863[[#This Row],[h1]],8))</f>
        <v>0</v>
      </c>
      <c r="Q1857" s="48" t="s">
        <v>75</v>
      </c>
      <c r="R1857" s="48">
        <f>HEX2DEC(RIGHT(Table13232127535863[[#This Row],[h2]],8))</f>
        <v>0</v>
      </c>
    </row>
    <row r="1858" spans="1:18">
      <c r="A1858" s="15" t="str">
        <f t="shared" si="33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8" t="s">
        <v>75</v>
      </c>
      <c r="P1858" s="48">
        <f>HEX2DEC(RIGHT(Table13232127535863[[#This Row],[h1]],8))</f>
        <v>0</v>
      </c>
      <c r="Q1858" s="48" t="s">
        <v>75</v>
      </c>
      <c r="R1858" s="48">
        <f>HEX2DEC(RIGHT(Table13232127535863[[#This Row],[h2]],8))</f>
        <v>0</v>
      </c>
    </row>
    <row r="1859" spans="1:18">
      <c r="A1859" s="15" t="str">
        <f t="shared" si="33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8" t="s">
        <v>75</v>
      </c>
      <c r="P1859" s="48">
        <f>HEX2DEC(RIGHT(Table13232127535863[[#This Row],[h1]],8))</f>
        <v>0</v>
      </c>
      <c r="Q1859" s="48" t="s">
        <v>75</v>
      </c>
      <c r="R1859" s="48">
        <f>HEX2DEC(RIGHT(Table13232127535863[[#This Row],[h2]],8))</f>
        <v>0</v>
      </c>
    </row>
    <row r="1860" spans="1:18">
      <c r="A1860" s="15" t="str">
        <f t="shared" si="33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8" t="s">
        <v>75</v>
      </c>
      <c r="P1860" s="48">
        <f>HEX2DEC(RIGHT(Table13232127535863[[#This Row],[h1]],8))</f>
        <v>0</v>
      </c>
      <c r="Q1860" s="48" t="s">
        <v>75</v>
      </c>
      <c r="R1860" s="48">
        <f>HEX2DEC(RIGHT(Table13232127535863[[#This Row],[h2]],8))</f>
        <v>0</v>
      </c>
    </row>
    <row r="1861" spans="1:18">
      <c r="A1861" s="15" t="str">
        <f t="shared" si="33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8" t="s">
        <v>75</v>
      </c>
      <c r="P1861" s="48">
        <f>HEX2DEC(RIGHT(Table13232127535863[[#This Row],[h1]],8))</f>
        <v>0</v>
      </c>
      <c r="Q1861" s="48" t="s">
        <v>75</v>
      </c>
      <c r="R1861" s="48">
        <f>HEX2DEC(RIGHT(Table13232127535863[[#This Row],[h2]],8))</f>
        <v>0</v>
      </c>
    </row>
    <row r="1862" spans="1:18">
      <c r="A1862" s="15" t="str">
        <f t="shared" si="33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8" t="s">
        <v>75</v>
      </c>
      <c r="P1862" s="48">
        <f>HEX2DEC(RIGHT(Table13232127535863[[#This Row],[h1]],8))</f>
        <v>0</v>
      </c>
      <c r="Q1862" s="48" t="s">
        <v>75</v>
      </c>
      <c r="R1862" s="48">
        <f>HEX2DEC(RIGHT(Table13232127535863[[#This Row],[h2]],8))</f>
        <v>0</v>
      </c>
    </row>
    <row r="1863" spans="1:18">
      <c r="A1863" s="15" t="str">
        <f t="shared" si="33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8" t="s">
        <v>75</v>
      </c>
      <c r="P1863" s="48">
        <f>HEX2DEC(RIGHT(Table13232127535863[[#This Row],[h1]],8))</f>
        <v>0</v>
      </c>
      <c r="Q1863" s="48" t="s">
        <v>75</v>
      </c>
      <c r="R1863" s="48">
        <f>HEX2DEC(RIGHT(Table13232127535863[[#This Row],[h2]],8))</f>
        <v>0</v>
      </c>
    </row>
    <row r="1864" spans="1:18">
      <c r="A1864" s="15" t="str">
        <f t="shared" si="33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8" t="s">
        <v>75</v>
      </c>
      <c r="P1864" s="48">
        <f>HEX2DEC(RIGHT(Table13232127535863[[#This Row],[h1]],8))</f>
        <v>0</v>
      </c>
      <c r="Q1864" s="48" t="s">
        <v>75</v>
      </c>
      <c r="R1864" s="48">
        <f>HEX2DEC(RIGHT(Table13232127535863[[#This Row],[h2]],8))</f>
        <v>0</v>
      </c>
    </row>
    <row r="1865" spans="1:18">
      <c r="A1865" s="15" t="str">
        <f t="shared" si="33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8" t="s">
        <v>75</v>
      </c>
      <c r="P1865" s="48">
        <f>HEX2DEC(RIGHT(Table13232127535863[[#This Row],[h1]],8))</f>
        <v>0</v>
      </c>
      <c r="Q1865" s="48" t="s">
        <v>75</v>
      </c>
      <c r="R1865" s="48">
        <f>HEX2DEC(RIGHT(Table13232127535863[[#This Row],[h2]],8))</f>
        <v>0</v>
      </c>
    </row>
    <row r="1866" spans="1:18">
      <c r="A1866" s="15" t="str">
        <f t="shared" si="33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8" t="s">
        <v>75</v>
      </c>
      <c r="P1866" s="48">
        <f>HEX2DEC(RIGHT(Table13232127535863[[#This Row],[h1]],8))</f>
        <v>0</v>
      </c>
      <c r="Q1866" s="48" t="s">
        <v>75</v>
      </c>
      <c r="R1866" s="48">
        <f>HEX2DEC(RIGHT(Table13232127535863[[#This Row],[h2]],8))</f>
        <v>0</v>
      </c>
    </row>
    <row r="1867" spans="1:18">
      <c r="A1867" s="15" t="str">
        <f t="shared" ref="A1867:A1930" si="34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8" t="s">
        <v>75</v>
      </c>
      <c r="P1867" s="48">
        <f>HEX2DEC(RIGHT(Table13232127535863[[#This Row],[h1]],8))</f>
        <v>0</v>
      </c>
      <c r="Q1867" s="48" t="s">
        <v>75</v>
      </c>
      <c r="R1867" s="48">
        <f>HEX2DEC(RIGHT(Table13232127535863[[#This Row],[h2]],8))</f>
        <v>0</v>
      </c>
    </row>
    <row r="1868" spans="1:18">
      <c r="A1868" s="15" t="str">
        <f t="shared" si="34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8" t="s">
        <v>75</v>
      </c>
      <c r="P1868" s="48">
        <f>HEX2DEC(RIGHT(Table13232127535863[[#This Row],[h1]],8))</f>
        <v>0</v>
      </c>
      <c r="Q1868" s="48" t="s">
        <v>75</v>
      </c>
      <c r="R1868" s="48">
        <f>HEX2DEC(RIGHT(Table13232127535863[[#This Row],[h2]],8))</f>
        <v>0</v>
      </c>
    </row>
    <row r="1869" spans="1:18">
      <c r="A1869" s="15" t="str">
        <f t="shared" si="34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8" t="s">
        <v>75</v>
      </c>
      <c r="P1869" s="48">
        <f>HEX2DEC(RIGHT(Table13232127535863[[#This Row],[h1]],8))</f>
        <v>0</v>
      </c>
      <c r="Q1869" s="48" t="s">
        <v>75</v>
      </c>
      <c r="R1869" s="48">
        <f>HEX2DEC(RIGHT(Table13232127535863[[#This Row],[h2]],8))</f>
        <v>0</v>
      </c>
    </row>
    <row r="1870" spans="1:18">
      <c r="A1870" s="15" t="str">
        <f t="shared" si="34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8" t="s">
        <v>75</v>
      </c>
      <c r="P1870" s="48">
        <f>HEX2DEC(RIGHT(Table13232127535863[[#This Row],[h1]],8))</f>
        <v>0</v>
      </c>
      <c r="Q1870" s="48" t="s">
        <v>75</v>
      </c>
      <c r="R1870" s="48">
        <f>HEX2DEC(RIGHT(Table13232127535863[[#This Row],[h2]],8))</f>
        <v>0</v>
      </c>
    </row>
    <row r="1871" spans="1:18">
      <c r="A1871" s="15" t="str">
        <f t="shared" si="34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8" t="s">
        <v>75</v>
      </c>
      <c r="P1871" s="48">
        <f>HEX2DEC(RIGHT(Table13232127535863[[#This Row],[h1]],8))</f>
        <v>0</v>
      </c>
      <c r="Q1871" s="48" t="s">
        <v>75</v>
      </c>
      <c r="R1871" s="48">
        <f>HEX2DEC(RIGHT(Table13232127535863[[#This Row],[h2]],8))</f>
        <v>0</v>
      </c>
    </row>
    <row r="1872" spans="1:18">
      <c r="A1872" s="15" t="str">
        <f t="shared" si="34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8" t="s">
        <v>75</v>
      </c>
      <c r="P1872" s="48">
        <f>HEX2DEC(RIGHT(Table13232127535863[[#This Row],[h1]],8))</f>
        <v>0</v>
      </c>
      <c r="Q1872" s="48" t="s">
        <v>75</v>
      </c>
      <c r="R1872" s="48">
        <f>HEX2DEC(RIGHT(Table13232127535863[[#This Row],[h2]],8))</f>
        <v>0</v>
      </c>
    </row>
    <row r="1873" spans="1:18">
      <c r="A1873" s="15" t="str">
        <f t="shared" si="34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8" t="s">
        <v>75</v>
      </c>
      <c r="P1873" s="48">
        <f>HEX2DEC(RIGHT(Table13232127535863[[#This Row],[h1]],8))</f>
        <v>0</v>
      </c>
      <c r="Q1873" s="48" t="s">
        <v>75</v>
      </c>
      <c r="R1873" s="48">
        <f>HEX2DEC(RIGHT(Table13232127535863[[#This Row],[h2]],8))</f>
        <v>0</v>
      </c>
    </row>
    <row r="1874" spans="1:18">
      <c r="A1874" s="15" t="str">
        <f t="shared" si="34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8" t="s">
        <v>75</v>
      </c>
      <c r="P1874" s="48">
        <f>HEX2DEC(RIGHT(Table13232127535863[[#This Row],[h1]],8))</f>
        <v>0</v>
      </c>
      <c r="Q1874" s="48" t="s">
        <v>75</v>
      </c>
      <c r="R1874" s="48">
        <f>HEX2DEC(RIGHT(Table13232127535863[[#This Row],[h2]],8))</f>
        <v>0</v>
      </c>
    </row>
    <row r="1875" spans="1:18">
      <c r="A1875" s="15" t="str">
        <f t="shared" si="34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8" t="s">
        <v>75</v>
      </c>
      <c r="P1875" s="48">
        <f>HEX2DEC(RIGHT(Table13232127535863[[#This Row],[h1]],8))</f>
        <v>0</v>
      </c>
      <c r="Q1875" s="48" t="s">
        <v>75</v>
      </c>
      <c r="R1875" s="48">
        <f>HEX2DEC(RIGHT(Table13232127535863[[#This Row],[h2]],8))</f>
        <v>0</v>
      </c>
    </row>
    <row r="1876" spans="1:18">
      <c r="A1876" s="15" t="str">
        <f t="shared" si="34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8" t="s">
        <v>75</v>
      </c>
      <c r="P1876" s="48">
        <f>HEX2DEC(RIGHT(Table13232127535863[[#This Row],[h1]],8))</f>
        <v>0</v>
      </c>
      <c r="Q1876" s="48" t="s">
        <v>75</v>
      </c>
      <c r="R1876" s="48">
        <f>HEX2DEC(RIGHT(Table13232127535863[[#This Row],[h2]],8))</f>
        <v>0</v>
      </c>
    </row>
    <row r="1877" spans="1:18">
      <c r="A1877" s="15" t="str">
        <f t="shared" si="34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8" t="s">
        <v>75</v>
      </c>
      <c r="P1877" s="48">
        <f>HEX2DEC(RIGHT(Table13232127535863[[#This Row],[h1]],8))</f>
        <v>0</v>
      </c>
      <c r="Q1877" s="48" t="s">
        <v>75</v>
      </c>
      <c r="R1877" s="48">
        <f>HEX2DEC(RIGHT(Table13232127535863[[#This Row],[h2]],8))</f>
        <v>0</v>
      </c>
    </row>
    <row r="1878" spans="1:18">
      <c r="A1878" s="15" t="str">
        <f t="shared" si="34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8" t="s">
        <v>75</v>
      </c>
      <c r="P1878" s="48">
        <f>HEX2DEC(RIGHT(Table13232127535863[[#This Row],[h1]],8))</f>
        <v>0</v>
      </c>
      <c r="Q1878" s="48" t="s">
        <v>75</v>
      </c>
      <c r="R1878" s="48">
        <f>HEX2DEC(RIGHT(Table13232127535863[[#This Row],[h2]],8))</f>
        <v>0</v>
      </c>
    </row>
    <row r="1879" spans="1:18">
      <c r="A1879" s="15" t="str">
        <f t="shared" si="34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8" t="s">
        <v>75</v>
      </c>
      <c r="P1879" s="48">
        <f>HEX2DEC(RIGHT(Table13232127535863[[#This Row],[h1]],8))</f>
        <v>0</v>
      </c>
      <c r="Q1879" s="48" t="s">
        <v>75</v>
      </c>
      <c r="R1879" s="48">
        <f>HEX2DEC(RIGHT(Table13232127535863[[#This Row],[h2]],8))</f>
        <v>0</v>
      </c>
    </row>
    <row r="1880" spans="1:18">
      <c r="A1880" s="15" t="str">
        <f t="shared" si="34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8" t="s">
        <v>75</v>
      </c>
      <c r="P1880" s="48">
        <f>HEX2DEC(RIGHT(Table13232127535863[[#This Row],[h1]],8))</f>
        <v>0</v>
      </c>
      <c r="Q1880" s="48" t="s">
        <v>75</v>
      </c>
      <c r="R1880" s="48">
        <f>HEX2DEC(RIGHT(Table13232127535863[[#This Row],[h2]],8))</f>
        <v>0</v>
      </c>
    </row>
    <row r="1881" spans="1:18">
      <c r="A1881" s="15" t="str">
        <f t="shared" si="34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8" t="s">
        <v>75</v>
      </c>
      <c r="P1881" s="48">
        <f>HEX2DEC(RIGHT(Table13232127535863[[#This Row],[h1]],8))</f>
        <v>0</v>
      </c>
      <c r="Q1881" s="48" t="s">
        <v>75</v>
      </c>
      <c r="R1881" s="48">
        <f>HEX2DEC(RIGHT(Table13232127535863[[#This Row],[h2]],8))</f>
        <v>0</v>
      </c>
    </row>
    <row r="1882" spans="1:18">
      <c r="A1882" s="15" t="str">
        <f t="shared" si="34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8" t="s">
        <v>75</v>
      </c>
      <c r="P1882" s="48">
        <f>HEX2DEC(RIGHT(Table13232127535863[[#This Row],[h1]],8))</f>
        <v>0</v>
      </c>
      <c r="Q1882" s="48" t="s">
        <v>75</v>
      </c>
      <c r="R1882" s="48">
        <f>HEX2DEC(RIGHT(Table13232127535863[[#This Row],[h2]],8))</f>
        <v>0</v>
      </c>
    </row>
    <row r="1883" spans="1:18">
      <c r="A1883" s="15" t="str">
        <f t="shared" si="34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8" t="s">
        <v>75</v>
      </c>
      <c r="P1883" s="48">
        <f>HEX2DEC(RIGHT(Table13232127535863[[#This Row],[h1]],8))</f>
        <v>0</v>
      </c>
      <c r="Q1883" s="48" t="s">
        <v>75</v>
      </c>
      <c r="R1883" s="48">
        <f>HEX2DEC(RIGHT(Table13232127535863[[#This Row],[h2]],8))</f>
        <v>0</v>
      </c>
    </row>
    <row r="1884" spans="1:18">
      <c r="A1884" s="15" t="str">
        <f t="shared" si="34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8" t="s">
        <v>75</v>
      </c>
      <c r="P1884" s="48">
        <f>HEX2DEC(RIGHT(Table13232127535863[[#This Row],[h1]],8))</f>
        <v>0</v>
      </c>
      <c r="Q1884" s="48" t="s">
        <v>75</v>
      </c>
      <c r="R1884" s="48">
        <f>HEX2DEC(RIGHT(Table13232127535863[[#This Row],[h2]],8))</f>
        <v>0</v>
      </c>
    </row>
    <row r="1885" spans="1:18">
      <c r="A1885" s="15" t="str">
        <f t="shared" si="34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8" t="s">
        <v>75</v>
      </c>
      <c r="P1885" s="48">
        <f>HEX2DEC(RIGHT(Table13232127535863[[#This Row],[h1]],8))</f>
        <v>0</v>
      </c>
      <c r="Q1885" s="48" t="s">
        <v>75</v>
      </c>
      <c r="R1885" s="48">
        <f>HEX2DEC(RIGHT(Table13232127535863[[#This Row],[h2]],8))</f>
        <v>0</v>
      </c>
    </row>
    <row r="1886" spans="1:18">
      <c r="A1886" s="15" t="str">
        <f t="shared" si="34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8" t="s">
        <v>75</v>
      </c>
      <c r="P1886" s="48">
        <f>HEX2DEC(RIGHT(Table13232127535863[[#This Row],[h1]],8))</f>
        <v>0</v>
      </c>
      <c r="Q1886" s="48" t="s">
        <v>75</v>
      </c>
      <c r="R1886" s="48">
        <f>HEX2DEC(RIGHT(Table13232127535863[[#This Row],[h2]],8))</f>
        <v>0</v>
      </c>
    </row>
    <row r="1887" spans="1:18">
      <c r="A1887" s="15" t="str">
        <f t="shared" si="34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8" t="s">
        <v>75</v>
      </c>
      <c r="P1887" s="48">
        <f>HEX2DEC(RIGHT(Table13232127535863[[#This Row],[h1]],8))</f>
        <v>0</v>
      </c>
      <c r="Q1887" s="48" t="s">
        <v>75</v>
      </c>
      <c r="R1887" s="48">
        <f>HEX2DEC(RIGHT(Table13232127535863[[#This Row],[h2]],8))</f>
        <v>0</v>
      </c>
    </row>
    <row r="1888" spans="1:18">
      <c r="A1888" s="15" t="str">
        <f t="shared" si="34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8" t="s">
        <v>75</v>
      </c>
      <c r="P1888" s="48">
        <f>HEX2DEC(RIGHT(Table13232127535863[[#This Row],[h1]],8))</f>
        <v>0</v>
      </c>
      <c r="Q1888" s="48" t="s">
        <v>75</v>
      </c>
      <c r="R1888" s="48">
        <f>HEX2DEC(RIGHT(Table13232127535863[[#This Row],[h2]],8))</f>
        <v>0</v>
      </c>
    </row>
    <row r="1889" spans="1:18">
      <c r="A1889" s="15" t="str">
        <f t="shared" si="34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8" t="s">
        <v>75</v>
      </c>
      <c r="P1889" s="48">
        <f>HEX2DEC(RIGHT(Table13232127535863[[#This Row],[h1]],8))</f>
        <v>0</v>
      </c>
      <c r="Q1889" s="48" t="s">
        <v>75</v>
      </c>
      <c r="R1889" s="48">
        <f>HEX2DEC(RIGHT(Table13232127535863[[#This Row],[h2]],8))</f>
        <v>0</v>
      </c>
    </row>
    <row r="1890" spans="1:18">
      <c r="A1890" s="15" t="str">
        <f t="shared" si="34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8" t="s">
        <v>75</v>
      </c>
      <c r="P1890" s="48">
        <f>HEX2DEC(RIGHT(Table13232127535863[[#This Row],[h1]],8))</f>
        <v>0</v>
      </c>
      <c r="Q1890" s="48" t="s">
        <v>75</v>
      </c>
      <c r="R1890" s="48">
        <f>HEX2DEC(RIGHT(Table13232127535863[[#This Row],[h2]],8))</f>
        <v>0</v>
      </c>
    </row>
    <row r="1891" spans="1:18">
      <c r="A1891" s="15" t="str">
        <f t="shared" si="34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8" t="s">
        <v>75</v>
      </c>
      <c r="P1891" s="48">
        <f>HEX2DEC(RIGHT(Table13232127535863[[#This Row],[h1]],8))</f>
        <v>0</v>
      </c>
      <c r="Q1891" s="48" t="s">
        <v>75</v>
      </c>
      <c r="R1891" s="48">
        <f>HEX2DEC(RIGHT(Table13232127535863[[#This Row],[h2]],8))</f>
        <v>0</v>
      </c>
    </row>
    <row r="1892" spans="1:18">
      <c r="A1892" s="15" t="str">
        <f t="shared" si="34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8" t="s">
        <v>75</v>
      </c>
      <c r="P1892" s="48">
        <f>HEX2DEC(RIGHT(Table13232127535863[[#This Row],[h1]],8))</f>
        <v>0</v>
      </c>
      <c r="Q1892" s="48" t="s">
        <v>75</v>
      </c>
      <c r="R1892" s="48">
        <f>HEX2DEC(RIGHT(Table13232127535863[[#This Row],[h2]],8))</f>
        <v>0</v>
      </c>
    </row>
    <row r="1893" spans="1:18">
      <c r="A1893" s="15" t="str">
        <f t="shared" si="34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8" t="s">
        <v>75</v>
      </c>
      <c r="P1893" s="48">
        <f>HEX2DEC(RIGHT(Table13232127535863[[#This Row],[h1]],8))</f>
        <v>0</v>
      </c>
      <c r="Q1893" s="48" t="s">
        <v>75</v>
      </c>
      <c r="R1893" s="48">
        <f>HEX2DEC(RIGHT(Table13232127535863[[#This Row],[h2]],8))</f>
        <v>0</v>
      </c>
    </row>
    <row r="1894" spans="1:18">
      <c r="A1894" s="15" t="str">
        <f t="shared" si="34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8" t="s">
        <v>75</v>
      </c>
      <c r="P1894" s="48">
        <f>HEX2DEC(RIGHT(Table13232127535863[[#This Row],[h1]],8))</f>
        <v>0</v>
      </c>
      <c r="Q1894" s="48" t="s">
        <v>75</v>
      </c>
      <c r="R1894" s="48">
        <f>HEX2DEC(RIGHT(Table13232127535863[[#This Row],[h2]],8))</f>
        <v>0</v>
      </c>
    </row>
    <row r="1895" spans="1:18">
      <c r="A1895" s="15" t="str">
        <f t="shared" si="34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8" t="s">
        <v>75</v>
      </c>
      <c r="P1895" s="48">
        <f>HEX2DEC(RIGHT(Table13232127535863[[#This Row],[h1]],8))</f>
        <v>0</v>
      </c>
      <c r="Q1895" s="48" t="s">
        <v>75</v>
      </c>
      <c r="R1895" s="48">
        <f>HEX2DEC(RIGHT(Table13232127535863[[#This Row],[h2]],8))</f>
        <v>0</v>
      </c>
    </row>
    <row r="1896" spans="1:18">
      <c r="A1896" s="15" t="str">
        <f t="shared" si="34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8" t="s">
        <v>75</v>
      </c>
      <c r="P1896" s="48">
        <f>HEX2DEC(RIGHT(Table13232127535863[[#This Row],[h1]],8))</f>
        <v>0</v>
      </c>
      <c r="Q1896" s="48" t="s">
        <v>75</v>
      </c>
      <c r="R1896" s="48">
        <f>HEX2DEC(RIGHT(Table13232127535863[[#This Row],[h2]],8))</f>
        <v>0</v>
      </c>
    </row>
    <row r="1897" spans="1:18">
      <c r="A1897" s="15" t="str">
        <f t="shared" si="34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8" t="s">
        <v>75</v>
      </c>
      <c r="P1897" s="48">
        <f>HEX2DEC(RIGHT(Table13232127535863[[#This Row],[h1]],8))</f>
        <v>0</v>
      </c>
      <c r="Q1897" s="48" t="s">
        <v>75</v>
      </c>
      <c r="R1897" s="48">
        <f>HEX2DEC(RIGHT(Table13232127535863[[#This Row],[h2]],8))</f>
        <v>0</v>
      </c>
    </row>
    <row r="1898" spans="1:18">
      <c r="A1898" s="15" t="str">
        <f t="shared" si="34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8" t="s">
        <v>75</v>
      </c>
      <c r="P1898" s="48">
        <f>HEX2DEC(RIGHT(Table13232127535863[[#This Row],[h1]],8))</f>
        <v>0</v>
      </c>
      <c r="Q1898" s="48" t="s">
        <v>75</v>
      </c>
      <c r="R1898" s="48">
        <f>HEX2DEC(RIGHT(Table13232127535863[[#This Row],[h2]],8))</f>
        <v>0</v>
      </c>
    </row>
    <row r="1899" spans="1:18">
      <c r="A1899" s="15" t="str">
        <f t="shared" si="34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8" t="s">
        <v>75</v>
      </c>
      <c r="P1899" s="48">
        <f>HEX2DEC(RIGHT(Table13232127535863[[#This Row],[h1]],8))</f>
        <v>0</v>
      </c>
      <c r="Q1899" s="48" t="s">
        <v>75</v>
      </c>
      <c r="R1899" s="48">
        <f>HEX2DEC(RIGHT(Table13232127535863[[#This Row],[h2]],8))</f>
        <v>0</v>
      </c>
    </row>
    <row r="1900" spans="1:18">
      <c r="A1900" s="15" t="str">
        <f t="shared" si="34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8" t="s">
        <v>75</v>
      </c>
      <c r="P1900" s="48">
        <f>HEX2DEC(RIGHT(Table13232127535863[[#This Row],[h1]],8))</f>
        <v>0</v>
      </c>
      <c r="Q1900" s="48" t="s">
        <v>75</v>
      </c>
      <c r="R1900" s="48">
        <f>HEX2DEC(RIGHT(Table13232127535863[[#This Row],[h2]],8))</f>
        <v>0</v>
      </c>
    </row>
    <row r="1901" spans="1:18">
      <c r="A1901" s="15" t="str">
        <f t="shared" si="34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8" t="s">
        <v>75</v>
      </c>
      <c r="P1901" s="48">
        <f>HEX2DEC(RIGHT(Table13232127535863[[#This Row],[h1]],8))</f>
        <v>0</v>
      </c>
      <c r="Q1901" s="48" t="s">
        <v>75</v>
      </c>
      <c r="R1901" s="48">
        <f>HEX2DEC(RIGHT(Table13232127535863[[#This Row],[h2]],8))</f>
        <v>0</v>
      </c>
    </row>
    <row r="1902" spans="1:18">
      <c r="A1902" s="15" t="str">
        <f t="shared" si="34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8" t="s">
        <v>75</v>
      </c>
      <c r="P1902" s="48">
        <f>HEX2DEC(RIGHT(Table13232127535863[[#This Row],[h1]],8))</f>
        <v>0</v>
      </c>
      <c r="Q1902" s="48" t="s">
        <v>75</v>
      </c>
      <c r="R1902" s="48">
        <f>HEX2DEC(RIGHT(Table13232127535863[[#This Row],[h2]],8))</f>
        <v>0</v>
      </c>
    </row>
    <row r="1903" spans="1:18">
      <c r="A1903" s="15" t="str">
        <f t="shared" si="34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8" t="s">
        <v>75</v>
      </c>
      <c r="P1903" s="48">
        <f>HEX2DEC(RIGHT(Table13232127535863[[#This Row],[h1]],8))</f>
        <v>0</v>
      </c>
      <c r="Q1903" s="48" t="s">
        <v>75</v>
      </c>
      <c r="R1903" s="48">
        <f>HEX2DEC(RIGHT(Table13232127535863[[#This Row],[h2]],8))</f>
        <v>0</v>
      </c>
    </row>
    <row r="1904" spans="1:18">
      <c r="A1904" s="15" t="str">
        <f t="shared" si="34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8" t="s">
        <v>75</v>
      </c>
      <c r="P1904" s="48">
        <f>HEX2DEC(RIGHT(Table13232127535863[[#This Row],[h1]],8))</f>
        <v>0</v>
      </c>
      <c r="Q1904" s="48" t="s">
        <v>75</v>
      </c>
      <c r="R1904" s="48">
        <f>HEX2DEC(RIGHT(Table13232127535863[[#This Row],[h2]],8))</f>
        <v>0</v>
      </c>
    </row>
    <row r="1905" spans="1:18">
      <c r="A1905" s="15" t="str">
        <f t="shared" si="34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8" t="s">
        <v>75</v>
      </c>
      <c r="P1905" s="48">
        <f>HEX2DEC(RIGHT(Table13232127535863[[#This Row],[h1]],8))</f>
        <v>0</v>
      </c>
      <c r="Q1905" s="48" t="s">
        <v>75</v>
      </c>
      <c r="R1905" s="48">
        <f>HEX2DEC(RIGHT(Table13232127535863[[#This Row],[h2]],8))</f>
        <v>0</v>
      </c>
    </row>
    <row r="1906" spans="1:18">
      <c r="A1906" s="15" t="str">
        <f t="shared" si="34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8" t="s">
        <v>75</v>
      </c>
      <c r="P1906" s="48">
        <f>HEX2DEC(RIGHT(Table13232127535863[[#This Row],[h1]],8))</f>
        <v>0</v>
      </c>
      <c r="Q1906" s="48" t="s">
        <v>75</v>
      </c>
      <c r="R1906" s="48">
        <f>HEX2DEC(RIGHT(Table13232127535863[[#This Row],[h2]],8))</f>
        <v>0</v>
      </c>
    </row>
    <row r="1907" spans="1:18">
      <c r="A1907" s="15" t="str">
        <f t="shared" si="34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8" t="s">
        <v>75</v>
      </c>
      <c r="P1907" s="48">
        <f>HEX2DEC(RIGHT(Table13232127535863[[#This Row],[h1]],8))</f>
        <v>0</v>
      </c>
      <c r="Q1907" s="48" t="s">
        <v>75</v>
      </c>
      <c r="R1907" s="48">
        <f>HEX2DEC(RIGHT(Table13232127535863[[#This Row],[h2]],8))</f>
        <v>0</v>
      </c>
    </row>
    <row r="1908" spans="1:18">
      <c r="A1908" s="15" t="str">
        <f t="shared" si="34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8" t="s">
        <v>75</v>
      </c>
      <c r="P1908" s="48">
        <f>HEX2DEC(RIGHT(Table13232127535863[[#This Row],[h1]],8))</f>
        <v>0</v>
      </c>
      <c r="Q1908" s="48" t="s">
        <v>75</v>
      </c>
      <c r="R1908" s="48">
        <f>HEX2DEC(RIGHT(Table13232127535863[[#This Row],[h2]],8))</f>
        <v>0</v>
      </c>
    </row>
    <row r="1909" spans="1:18">
      <c r="A1909" s="15" t="str">
        <f t="shared" si="34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8" t="s">
        <v>75</v>
      </c>
      <c r="P1909" s="48">
        <f>HEX2DEC(RIGHT(Table13232127535863[[#This Row],[h1]],8))</f>
        <v>0</v>
      </c>
      <c r="Q1909" s="48" t="s">
        <v>75</v>
      </c>
      <c r="R1909" s="48">
        <f>HEX2DEC(RIGHT(Table13232127535863[[#This Row],[h2]],8))</f>
        <v>0</v>
      </c>
    </row>
    <row r="1910" spans="1:18">
      <c r="A1910" s="15" t="str">
        <f t="shared" si="34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8" t="s">
        <v>75</v>
      </c>
      <c r="P1910" s="48">
        <f>HEX2DEC(RIGHT(Table13232127535863[[#This Row],[h1]],8))</f>
        <v>0</v>
      </c>
      <c r="Q1910" s="48" t="s">
        <v>75</v>
      </c>
      <c r="R1910" s="48">
        <f>HEX2DEC(RIGHT(Table13232127535863[[#This Row],[h2]],8))</f>
        <v>0</v>
      </c>
    </row>
    <row r="1911" spans="1:18">
      <c r="A1911" s="15" t="str">
        <f t="shared" si="34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8" t="s">
        <v>75</v>
      </c>
      <c r="P1911" s="48">
        <f>HEX2DEC(RIGHT(Table13232127535863[[#This Row],[h1]],8))</f>
        <v>0</v>
      </c>
      <c r="Q1911" s="48" t="s">
        <v>75</v>
      </c>
      <c r="R1911" s="48">
        <f>HEX2DEC(RIGHT(Table13232127535863[[#This Row],[h2]],8))</f>
        <v>0</v>
      </c>
    </row>
    <row r="1912" spans="1:18">
      <c r="A1912" s="15" t="str">
        <f t="shared" si="34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8" t="s">
        <v>75</v>
      </c>
      <c r="P1912" s="48">
        <f>HEX2DEC(RIGHT(Table13232127535863[[#This Row],[h1]],8))</f>
        <v>0</v>
      </c>
      <c r="Q1912" s="48" t="s">
        <v>75</v>
      </c>
      <c r="R1912" s="48">
        <f>HEX2DEC(RIGHT(Table13232127535863[[#This Row],[h2]],8))</f>
        <v>0</v>
      </c>
    </row>
    <row r="1913" spans="1:18">
      <c r="A1913" s="15" t="str">
        <f t="shared" si="34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8" t="s">
        <v>75</v>
      </c>
      <c r="P1913" s="48">
        <f>HEX2DEC(RIGHT(Table13232127535863[[#This Row],[h1]],8))</f>
        <v>0</v>
      </c>
      <c r="Q1913" s="48" t="s">
        <v>75</v>
      </c>
      <c r="R1913" s="48">
        <f>HEX2DEC(RIGHT(Table13232127535863[[#This Row],[h2]],8))</f>
        <v>0</v>
      </c>
    </row>
    <row r="1914" spans="1:18">
      <c r="A1914" s="15" t="str">
        <f t="shared" si="34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8" t="s">
        <v>75</v>
      </c>
      <c r="P1914" s="48">
        <f>HEX2DEC(RIGHT(Table13232127535863[[#This Row],[h1]],8))</f>
        <v>0</v>
      </c>
      <c r="Q1914" s="48" t="s">
        <v>75</v>
      </c>
      <c r="R1914" s="48">
        <f>HEX2DEC(RIGHT(Table13232127535863[[#This Row],[h2]],8))</f>
        <v>0</v>
      </c>
    </row>
    <row r="1915" spans="1:18">
      <c r="A1915" s="15" t="str">
        <f t="shared" si="34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8" t="s">
        <v>75</v>
      </c>
      <c r="P1915" s="48">
        <f>HEX2DEC(RIGHT(Table13232127535863[[#This Row],[h1]],8))</f>
        <v>0</v>
      </c>
      <c r="Q1915" s="48" t="s">
        <v>75</v>
      </c>
      <c r="R1915" s="48">
        <f>HEX2DEC(RIGHT(Table13232127535863[[#This Row],[h2]],8))</f>
        <v>0</v>
      </c>
    </row>
    <row r="1916" spans="1:18">
      <c r="A1916" s="15" t="str">
        <f t="shared" si="34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8" t="s">
        <v>75</v>
      </c>
      <c r="P1916" s="48">
        <f>HEX2DEC(RIGHT(Table13232127535863[[#This Row],[h1]],8))</f>
        <v>0</v>
      </c>
      <c r="Q1916" s="48" t="s">
        <v>75</v>
      </c>
      <c r="R1916" s="48">
        <f>HEX2DEC(RIGHT(Table13232127535863[[#This Row],[h2]],8))</f>
        <v>0</v>
      </c>
    </row>
    <row r="1917" spans="1:18">
      <c r="A1917" s="15" t="str">
        <f t="shared" si="34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8" t="s">
        <v>75</v>
      </c>
      <c r="P1917" s="48">
        <f>HEX2DEC(RIGHT(Table13232127535863[[#This Row],[h1]],8))</f>
        <v>0</v>
      </c>
      <c r="Q1917" s="48" t="s">
        <v>75</v>
      </c>
      <c r="R1917" s="48">
        <f>HEX2DEC(RIGHT(Table13232127535863[[#This Row],[h2]],8))</f>
        <v>0</v>
      </c>
    </row>
    <row r="1918" spans="1:18">
      <c r="A1918" s="15" t="str">
        <f t="shared" si="34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8" t="s">
        <v>75</v>
      </c>
      <c r="P1918" s="48">
        <f>HEX2DEC(RIGHT(Table13232127535863[[#This Row],[h1]],8))</f>
        <v>0</v>
      </c>
      <c r="Q1918" s="48" t="s">
        <v>75</v>
      </c>
      <c r="R1918" s="48">
        <f>HEX2DEC(RIGHT(Table13232127535863[[#This Row],[h2]],8))</f>
        <v>0</v>
      </c>
    </row>
    <row r="1919" spans="1:18">
      <c r="A1919" s="15" t="str">
        <f t="shared" si="34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8" t="s">
        <v>75</v>
      </c>
      <c r="P1919" s="48">
        <f>HEX2DEC(RIGHT(Table13232127535863[[#This Row],[h1]],8))</f>
        <v>0</v>
      </c>
      <c r="Q1919" s="48" t="s">
        <v>75</v>
      </c>
      <c r="R1919" s="48">
        <f>HEX2DEC(RIGHT(Table13232127535863[[#This Row],[h2]],8))</f>
        <v>0</v>
      </c>
    </row>
    <row r="1920" spans="1:18">
      <c r="A1920" s="15" t="str">
        <f t="shared" si="34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8" t="s">
        <v>75</v>
      </c>
      <c r="P1920" s="48">
        <f>HEX2DEC(RIGHT(Table13232127535863[[#This Row],[h1]],8))</f>
        <v>0</v>
      </c>
      <c r="Q1920" s="48" t="s">
        <v>75</v>
      </c>
      <c r="R1920" s="48">
        <f>HEX2DEC(RIGHT(Table13232127535863[[#This Row],[h2]],8))</f>
        <v>0</v>
      </c>
    </row>
    <row r="1921" spans="1:18">
      <c r="A1921" s="15" t="str">
        <f t="shared" si="34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8" t="s">
        <v>75</v>
      </c>
      <c r="P1921" s="48">
        <f>HEX2DEC(RIGHT(Table13232127535863[[#This Row],[h1]],8))</f>
        <v>0</v>
      </c>
      <c r="Q1921" s="48" t="s">
        <v>75</v>
      </c>
      <c r="R1921" s="48">
        <f>HEX2DEC(RIGHT(Table13232127535863[[#This Row],[h2]],8))</f>
        <v>0</v>
      </c>
    </row>
    <row r="1922" spans="1:18">
      <c r="A1922" s="15" t="str">
        <f t="shared" si="34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8" t="s">
        <v>75</v>
      </c>
      <c r="P1922" s="48">
        <f>HEX2DEC(RIGHT(Table13232127535863[[#This Row],[h1]],8))</f>
        <v>0</v>
      </c>
      <c r="Q1922" s="48" t="s">
        <v>75</v>
      </c>
      <c r="R1922" s="48">
        <f>HEX2DEC(RIGHT(Table13232127535863[[#This Row],[h2]],8))</f>
        <v>0</v>
      </c>
    </row>
    <row r="1923" spans="1:18">
      <c r="A1923" s="15" t="str">
        <f t="shared" si="34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8" t="s">
        <v>75</v>
      </c>
      <c r="P1923" s="48">
        <f>HEX2DEC(RIGHT(Table13232127535863[[#This Row],[h1]],8))</f>
        <v>0</v>
      </c>
      <c r="Q1923" s="48" t="s">
        <v>75</v>
      </c>
      <c r="R1923" s="48">
        <f>HEX2DEC(RIGHT(Table13232127535863[[#This Row],[h2]],8))</f>
        <v>0</v>
      </c>
    </row>
    <row r="1924" spans="1:18">
      <c r="A1924" s="15" t="str">
        <f t="shared" si="34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8" t="s">
        <v>75</v>
      </c>
      <c r="P1924" s="48">
        <f>HEX2DEC(RIGHT(Table13232127535863[[#This Row],[h1]],8))</f>
        <v>0</v>
      </c>
      <c r="Q1924" s="48" t="s">
        <v>75</v>
      </c>
      <c r="R1924" s="48">
        <f>HEX2DEC(RIGHT(Table13232127535863[[#This Row],[h2]],8))</f>
        <v>0</v>
      </c>
    </row>
    <row r="1925" spans="1:18">
      <c r="A1925" s="15" t="str">
        <f t="shared" si="34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8" t="s">
        <v>75</v>
      </c>
      <c r="P1925" s="48">
        <f>HEX2DEC(RIGHT(Table13232127535863[[#This Row],[h1]],8))</f>
        <v>0</v>
      </c>
      <c r="Q1925" s="48" t="s">
        <v>75</v>
      </c>
      <c r="R1925" s="48">
        <f>HEX2DEC(RIGHT(Table13232127535863[[#This Row],[h2]],8))</f>
        <v>0</v>
      </c>
    </row>
    <row r="1926" spans="1:18">
      <c r="A1926" s="15" t="str">
        <f t="shared" si="34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8" t="s">
        <v>75</v>
      </c>
      <c r="P1926" s="48">
        <f>HEX2DEC(RIGHT(Table13232127535863[[#This Row],[h1]],8))</f>
        <v>0</v>
      </c>
      <c r="Q1926" s="48" t="s">
        <v>75</v>
      </c>
      <c r="R1926" s="48">
        <f>HEX2DEC(RIGHT(Table13232127535863[[#This Row],[h2]],8))</f>
        <v>0</v>
      </c>
    </row>
    <row r="1927" spans="1:18">
      <c r="A1927" s="15" t="str">
        <f t="shared" si="34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8" t="s">
        <v>75</v>
      </c>
      <c r="P1927" s="48">
        <f>HEX2DEC(RIGHT(Table13232127535863[[#This Row],[h1]],8))</f>
        <v>0</v>
      </c>
      <c r="Q1927" s="48" t="s">
        <v>75</v>
      </c>
      <c r="R1927" s="48">
        <f>HEX2DEC(RIGHT(Table13232127535863[[#This Row],[h2]],8))</f>
        <v>0</v>
      </c>
    </row>
    <row r="1928" spans="1:18">
      <c r="A1928" s="15" t="str">
        <f t="shared" si="34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8" t="s">
        <v>75</v>
      </c>
      <c r="P1928" s="48">
        <f>HEX2DEC(RIGHT(Table13232127535863[[#This Row],[h1]],8))</f>
        <v>0</v>
      </c>
      <c r="Q1928" s="48" t="s">
        <v>75</v>
      </c>
      <c r="R1928" s="48">
        <f>HEX2DEC(RIGHT(Table13232127535863[[#This Row],[h2]],8))</f>
        <v>0</v>
      </c>
    </row>
    <row r="1929" spans="1:18">
      <c r="A1929" s="15" t="str">
        <f t="shared" si="34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8" t="s">
        <v>75</v>
      </c>
      <c r="P1929" s="48">
        <f>HEX2DEC(RIGHT(Table13232127535863[[#This Row],[h1]],8))</f>
        <v>0</v>
      </c>
      <c r="Q1929" s="48" t="s">
        <v>75</v>
      </c>
      <c r="R1929" s="48">
        <f>HEX2DEC(RIGHT(Table13232127535863[[#This Row],[h2]],8))</f>
        <v>0</v>
      </c>
    </row>
    <row r="1930" spans="1:18">
      <c r="A1930" s="15" t="str">
        <f t="shared" si="34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8" t="s">
        <v>75</v>
      </c>
      <c r="P1930" s="48">
        <f>HEX2DEC(RIGHT(Table13232127535863[[#This Row],[h1]],8))</f>
        <v>0</v>
      </c>
      <c r="Q1930" s="48" t="s">
        <v>75</v>
      </c>
      <c r="R1930" s="48">
        <f>HEX2DEC(RIGHT(Table13232127535863[[#This Row],[h2]],8))</f>
        <v>0</v>
      </c>
    </row>
    <row r="1931" spans="1:18">
      <c r="A1931" s="15" t="str">
        <f t="shared" ref="A1931:A1994" si="35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8" t="s">
        <v>75</v>
      </c>
      <c r="P1931" s="48">
        <f>HEX2DEC(RIGHT(Table13232127535863[[#This Row],[h1]],8))</f>
        <v>0</v>
      </c>
      <c r="Q1931" s="48" t="s">
        <v>75</v>
      </c>
      <c r="R1931" s="48">
        <f>HEX2DEC(RIGHT(Table13232127535863[[#This Row],[h2]],8))</f>
        <v>0</v>
      </c>
    </row>
    <row r="1932" spans="1:18">
      <c r="A1932" s="15" t="str">
        <f t="shared" si="35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8" t="s">
        <v>75</v>
      </c>
      <c r="P1932" s="48">
        <f>HEX2DEC(RIGHT(Table13232127535863[[#This Row],[h1]],8))</f>
        <v>0</v>
      </c>
      <c r="Q1932" s="48" t="s">
        <v>75</v>
      </c>
      <c r="R1932" s="48">
        <f>HEX2DEC(RIGHT(Table13232127535863[[#This Row],[h2]],8))</f>
        <v>0</v>
      </c>
    </row>
    <row r="1933" spans="1:18">
      <c r="A1933" s="15" t="str">
        <f t="shared" si="35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8" t="s">
        <v>75</v>
      </c>
      <c r="P1933" s="48">
        <f>HEX2DEC(RIGHT(Table13232127535863[[#This Row],[h1]],8))</f>
        <v>0</v>
      </c>
      <c r="Q1933" s="48" t="s">
        <v>75</v>
      </c>
      <c r="R1933" s="48">
        <f>HEX2DEC(RIGHT(Table13232127535863[[#This Row],[h2]],8))</f>
        <v>0</v>
      </c>
    </row>
    <row r="1934" spans="1:18">
      <c r="A1934" s="15" t="str">
        <f t="shared" si="35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8" t="s">
        <v>75</v>
      </c>
      <c r="P1934" s="48">
        <f>HEX2DEC(RIGHT(Table13232127535863[[#This Row],[h1]],8))</f>
        <v>0</v>
      </c>
      <c r="Q1934" s="48" t="s">
        <v>75</v>
      </c>
      <c r="R1934" s="48">
        <f>HEX2DEC(RIGHT(Table13232127535863[[#This Row],[h2]],8))</f>
        <v>0</v>
      </c>
    </row>
    <row r="1935" spans="1:18">
      <c r="A1935" s="15" t="str">
        <f t="shared" si="35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8" t="s">
        <v>75</v>
      </c>
      <c r="P1935" s="48">
        <f>HEX2DEC(RIGHT(Table13232127535863[[#This Row],[h1]],8))</f>
        <v>0</v>
      </c>
      <c r="Q1935" s="48" t="s">
        <v>75</v>
      </c>
      <c r="R1935" s="48">
        <f>HEX2DEC(RIGHT(Table13232127535863[[#This Row],[h2]],8))</f>
        <v>0</v>
      </c>
    </row>
    <row r="1936" spans="1:18">
      <c r="A1936" s="15" t="str">
        <f t="shared" si="35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8" t="s">
        <v>75</v>
      </c>
      <c r="P1936" s="48">
        <f>HEX2DEC(RIGHT(Table13232127535863[[#This Row],[h1]],8))</f>
        <v>0</v>
      </c>
      <c r="Q1936" s="48" t="s">
        <v>75</v>
      </c>
      <c r="R1936" s="48">
        <f>HEX2DEC(RIGHT(Table13232127535863[[#This Row],[h2]],8))</f>
        <v>0</v>
      </c>
    </row>
    <row r="1937" spans="1:18">
      <c r="A1937" s="15" t="str">
        <f t="shared" si="35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8" t="s">
        <v>75</v>
      </c>
      <c r="P1937" s="48">
        <f>HEX2DEC(RIGHT(Table13232127535863[[#This Row],[h1]],8))</f>
        <v>0</v>
      </c>
      <c r="Q1937" s="48" t="s">
        <v>75</v>
      </c>
      <c r="R1937" s="48">
        <f>HEX2DEC(RIGHT(Table13232127535863[[#This Row],[h2]],8))</f>
        <v>0</v>
      </c>
    </row>
    <row r="1938" spans="1:18">
      <c r="A1938" s="15" t="str">
        <f t="shared" si="35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8" t="s">
        <v>75</v>
      </c>
      <c r="P1938" s="48">
        <f>HEX2DEC(RIGHT(Table13232127535863[[#This Row],[h1]],8))</f>
        <v>0</v>
      </c>
      <c r="Q1938" s="48" t="s">
        <v>75</v>
      </c>
      <c r="R1938" s="48">
        <f>HEX2DEC(RIGHT(Table13232127535863[[#This Row],[h2]],8))</f>
        <v>0</v>
      </c>
    </row>
    <row r="1939" spans="1:18">
      <c r="A1939" s="15" t="str">
        <f t="shared" si="35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8" t="s">
        <v>75</v>
      </c>
      <c r="P1939" s="48">
        <f>HEX2DEC(RIGHT(Table13232127535863[[#This Row],[h1]],8))</f>
        <v>0</v>
      </c>
      <c r="Q1939" s="48" t="s">
        <v>75</v>
      </c>
      <c r="R1939" s="48">
        <f>HEX2DEC(RIGHT(Table13232127535863[[#This Row],[h2]],8))</f>
        <v>0</v>
      </c>
    </row>
    <row r="1940" spans="1:18">
      <c r="A1940" s="15" t="str">
        <f t="shared" si="35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8" t="s">
        <v>75</v>
      </c>
      <c r="P1940" s="48">
        <f>HEX2DEC(RIGHT(Table13232127535863[[#This Row],[h1]],8))</f>
        <v>0</v>
      </c>
      <c r="Q1940" s="48" t="s">
        <v>75</v>
      </c>
      <c r="R1940" s="48">
        <f>HEX2DEC(RIGHT(Table13232127535863[[#This Row],[h2]],8))</f>
        <v>0</v>
      </c>
    </row>
    <row r="1941" spans="1:18">
      <c r="A1941" s="15" t="str">
        <f t="shared" si="35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8" t="s">
        <v>75</v>
      </c>
      <c r="P1941" s="48">
        <f>HEX2DEC(RIGHT(Table13232127535863[[#This Row],[h1]],8))</f>
        <v>0</v>
      </c>
      <c r="Q1941" s="48" t="s">
        <v>75</v>
      </c>
      <c r="R1941" s="48">
        <f>HEX2DEC(RIGHT(Table13232127535863[[#This Row],[h2]],8))</f>
        <v>0</v>
      </c>
    </row>
    <row r="1942" spans="1:18">
      <c r="A1942" s="15" t="str">
        <f t="shared" si="35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8" t="s">
        <v>75</v>
      </c>
      <c r="P1942" s="48">
        <f>HEX2DEC(RIGHT(Table13232127535863[[#This Row],[h1]],8))</f>
        <v>0</v>
      </c>
      <c r="Q1942" s="48" t="s">
        <v>75</v>
      </c>
      <c r="R1942" s="48">
        <f>HEX2DEC(RIGHT(Table13232127535863[[#This Row],[h2]],8))</f>
        <v>0</v>
      </c>
    </row>
    <row r="1943" spans="1:18">
      <c r="A1943" s="15" t="str">
        <f t="shared" si="35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8" t="s">
        <v>75</v>
      </c>
      <c r="P1943" s="48">
        <f>HEX2DEC(RIGHT(Table13232127535863[[#This Row],[h1]],8))</f>
        <v>0</v>
      </c>
      <c r="Q1943" s="48" t="s">
        <v>75</v>
      </c>
      <c r="R1943" s="48">
        <f>HEX2DEC(RIGHT(Table13232127535863[[#This Row],[h2]],8))</f>
        <v>0</v>
      </c>
    </row>
    <row r="1944" spans="1:18">
      <c r="A1944" s="15" t="str">
        <f t="shared" si="35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8" t="s">
        <v>75</v>
      </c>
      <c r="P1944" s="48">
        <f>HEX2DEC(RIGHT(Table13232127535863[[#This Row],[h1]],8))</f>
        <v>0</v>
      </c>
      <c r="Q1944" s="48" t="s">
        <v>75</v>
      </c>
      <c r="R1944" s="48">
        <f>HEX2DEC(RIGHT(Table13232127535863[[#This Row],[h2]],8))</f>
        <v>0</v>
      </c>
    </row>
    <row r="1945" spans="1:18">
      <c r="A1945" s="15" t="str">
        <f t="shared" si="35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8" t="s">
        <v>75</v>
      </c>
      <c r="P1945" s="48">
        <f>HEX2DEC(RIGHT(Table13232127535863[[#This Row],[h1]],8))</f>
        <v>0</v>
      </c>
      <c r="Q1945" s="48" t="s">
        <v>75</v>
      </c>
      <c r="R1945" s="48">
        <f>HEX2DEC(RIGHT(Table13232127535863[[#This Row],[h2]],8))</f>
        <v>0</v>
      </c>
    </row>
    <row r="1946" spans="1:18">
      <c r="A1946" s="15" t="str">
        <f t="shared" si="35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8" t="s">
        <v>75</v>
      </c>
      <c r="P1946" s="48">
        <f>HEX2DEC(RIGHT(Table13232127535863[[#This Row],[h1]],8))</f>
        <v>0</v>
      </c>
      <c r="Q1946" s="48" t="s">
        <v>75</v>
      </c>
      <c r="R1946" s="48">
        <f>HEX2DEC(RIGHT(Table13232127535863[[#This Row],[h2]],8))</f>
        <v>0</v>
      </c>
    </row>
    <row r="1947" spans="1:18">
      <c r="A1947" s="15" t="str">
        <f t="shared" si="35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8" t="s">
        <v>75</v>
      </c>
      <c r="P1947" s="48">
        <f>HEX2DEC(RIGHT(Table13232127535863[[#This Row],[h1]],8))</f>
        <v>0</v>
      </c>
      <c r="Q1947" s="48" t="s">
        <v>75</v>
      </c>
      <c r="R1947" s="48">
        <f>HEX2DEC(RIGHT(Table13232127535863[[#This Row],[h2]],8))</f>
        <v>0</v>
      </c>
    </row>
    <row r="1948" spans="1:18">
      <c r="A1948" s="15" t="str">
        <f t="shared" si="35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8" t="s">
        <v>75</v>
      </c>
      <c r="P1948" s="48">
        <f>HEX2DEC(RIGHT(Table13232127535863[[#This Row],[h1]],8))</f>
        <v>0</v>
      </c>
      <c r="Q1948" s="48" t="s">
        <v>75</v>
      </c>
      <c r="R1948" s="48">
        <f>HEX2DEC(RIGHT(Table13232127535863[[#This Row],[h2]],8))</f>
        <v>0</v>
      </c>
    </row>
    <row r="1949" spans="1:18">
      <c r="A1949" s="15" t="str">
        <f t="shared" si="35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8" t="s">
        <v>75</v>
      </c>
      <c r="P1949" s="48">
        <f>HEX2DEC(RIGHT(Table13232127535863[[#This Row],[h1]],8))</f>
        <v>0</v>
      </c>
      <c r="Q1949" s="48" t="s">
        <v>75</v>
      </c>
      <c r="R1949" s="48">
        <f>HEX2DEC(RIGHT(Table13232127535863[[#This Row],[h2]],8))</f>
        <v>0</v>
      </c>
    </row>
    <row r="1950" spans="1:18">
      <c r="A1950" s="15" t="str">
        <f t="shared" si="35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8" t="s">
        <v>75</v>
      </c>
      <c r="P1950" s="48">
        <f>HEX2DEC(RIGHT(Table13232127535863[[#This Row],[h1]],8))</f>
        <v>0</v>
      </c>
      <c r="Q1950" s="48" t="s">
        <v>75</v>
      </c>
      <c r="R1950" s="48">
        <f>HEX2DEC(RIGHT(Table13232127535863[[#This Row],[h2]],8))</f>
        <v>0</v>
      </c>
    </row>
    <row r="1951" spans="1:18">
      <c r="A1951" s="15" t="str">
        <f t="shared" si="35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8" t="s">
        <v>75</v>
      </c>
      <c r="P1951" s="48">
        <f>HEX2DEC(RIGHT(Table13232127535863[[#This Row],[h1]],8))</f>
        <v>0</v>
      </c>
      <c r="Q1951" s="48" t="s">
        <v>75</v>
      </c>
      <c r="R1951" s="48">
        <f>HEX2DEC(RIGHT(Table13232127535863[[#This Row],[h2]],8))</f>
        <v>0</v>
      </c>
    </row>
    <row r="1952" spans="1:18">
      <c r="A1952" s="15" t="str">
        <f t="shared" si="35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8" t="s">
        <v>75</v>
      </c>
      <c r="P1952" s="48">
        <f>HEX2DEC(RIGHT(Table13232127535863[[#This Row],[h1]],8))</f>
        <v>0</v>
      </c>
      <c r="Q1952" s="48" t="s">
        <v>75</v>
      </c>
      <c r="R1952" s="48">
        <f>HEX2DEC(RIGHT(Table13232127535863[[#This Row],[h2]],8))</f>
        <v>0</v>
      </c>
    </row>
    <row r="1953" spans="1:18">
      <c r="A1953" s="15" t="str">
        <f t="shared" si="35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8" t="s">
        <v>75</v>
      </c>
      <c r="P1953" s="48">
        <f>HEX2DEC(RIGHT(Table13232127535863[[#This Row],[h1]],8))</f>
        <v>0</v>
      </c>
      <c r="Q1953" s="48" t="s">
        <v>75</v>
      </c>
      <c r="R1953" s="48">
        <f>HEX2DEC(RIGHT(Table13232127535863[[#This Row],[h2]],8))</f>
        <v>0</v>
      </c>
    </row>
    <row r="1954" spans="1:18">
      <c r="A1954" s="15" t="str">
        <f t="shared" si="35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8" t="s">
        <v>75</v>
      </c>
      <c r="P1954" s="48">
        <f>HEX2DEC(RIGHT(Table13232127535863[[#This Row],[h1]],8))</f>
        <v>0</v>
      </c>
      <c r="Q1954" s="48" t="s">
        <v>75</v>
      </c>
      <c r="R1954" s="48">
        <f>HEX2DEC(RIGHT(Table13232127535863[[#This Row],[h2]],8))</f>
        <v>0</v>
      </c>
    </row>
    <row r="1955" spans="1:18">
      <c r="A1955" s="15" t="str">
        <f t="shared" si="35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8" t="s">
        <v>75</v>
      </c>
      <c r="P1955" s="48">
        <f>HEX2DEC(RIGHT(Table13232127535863[[#This Row],[h1]],8))</f>
        <v>0</v>
      </c>
      <c r="Q1955" s="48" t="s">
        <v>75</v>
      </c>
      <c r="R1955" s="48">
        <f>HEX2DEC(RIGHT(Table13232127535863[[#This Row],[h2]],8))</f>
        <v>0</v>
      </c>
    </row>
    <row r="1956" spans="1:18">
      <c r="A1956" s="15" t="str">
        <f t="shared" si="35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8" t="s">
        <v>75</v>
      </c>
      <c r="P1956" s="48">
        <f>HEX2DEC(RIGHT(Table13232127535863[[#This Row],[h1]],8))</f>
        <v>0</v>
      </c>
      <c r="Q1956" s="48" t="s">
        <v>75</v>
      </c>
      <c r="R1956" s="48">
        <f>HEX2DEC(RIGHT(Table13232127535863[[#This Row],[h2]],8))</f>
        <v>0</v>
      </c>
    </row>
    <row r="1957" spans="1:18">
      <c r="A1957" s="15" t="str">
        <f t="shared" si="35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8" t="s">
        <v>75</v>
      </c>
      <c r="P1957" s="48">
        <f>HEX2DEC(RIGHT(Table13232127535863[[#This Row],[h1]],8))</f>
        <v>0</v>
      </c>
      <c r="Q1957" s="48" t="s">
        <v>75</v>
      </c>
      <c r="R1957" s="48">
        <f>HEX2DEC(RIGHT(Table13232127535863[[#This Row],[h2]],8))</f>
        <v>0</v>
      </c>
    </row>
    <row r="1958" spans="1:18">
      <c r="A1958" s="15" t="str">
        <f t="shared" si="35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8" t="s">
        <v>75</v>
      </c>
      <c r="P1958" s="48">
        <f>HEX2DEC(RIGHT(Table13232127535863[[#This Row],[h1]],8))</f>
        <v>0</v>
      </c>
      <c r="Q1958" s="48" t="s">
        <v>75</v>
      </c>
      <c r="R1958" s="48">
        <f>HEX2DEC(RIGHT(Table13232127535863[[#This Row],[h2]],8))</f>
        <v>0</v>
      </c>
    </row>
    <row r="1959" spans="1:18">
      <c r="A1959" s="15" t="str">
        <f t="shared" si="35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8" t="s">
        <v>75</v>
      </c>
      <c r="P1959" s="48">
        <f>HEX2DEC(RIGHT(Table13232127535863[[#This Row],[h1]],8))</f>
        <v>0</v>
      </c>
      <c r="Q1959" s="48" t="s">
        <v>75</v>
      </c>
      <c r="R1959" s="48">
        <f>HEX2DEC(RIGHT(Table13232127535863[[#This Row],[h2]],8))</f>
        <v>0</v>
      </c>
    </row>
    <row r="1960" spans="1:18">
      <c r="A1960" s="15" t="str">
        <f t="shared" si="35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8" t="s">
        <v>75</v>
      </c>
      <c r="P1960" s="48">
        <f>HEX2DEC(RIGHT(Table13232127535863[[#This Row],[h1]],8))</f>
        <v>0</v>
      </c>
      <c r="Q1960" s="48" t="s">
        <v>75</v>
      </c>
      <c r="R1960" s="48">
        <f>HEX2DEC(RIGHT(Table13232127535863[[#This Row],[h2]],8))</f>
        <v>0</v>
      </c>
    </row>
    <row r="1961" spans="1:18">
      <c r="A1961" s="15" t="str">
        <f t="shared" si="35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8" t="s">
        <v>75</v>
      </c>
      <c r="P1961" s="48">
        <f>HEX2DEC(RIGHT(Table13232127535863[[#This Row],[h1]],8))</f>
        <v>0</v>
      </c>
      <c r="Q1961" s="48" t="s">
        <v>75</v>
      </c>
      <c r="R1961" s="48">
        <f>HEX2DEC(RIGHT(Table13232127535863[[#This Row],[h2]],8))</f>
        <v>0</v>
      </c>
    </row>
    <row r="1962" spans="1:18">
      <c r="A1962" s="15" t="str">
        <f t="shared" si="35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8" t="s">
        <v>75</v>
      </c>
      <c r="P1962" s="48">
        <f>HEX2DEC(RIGHT(Table13232127535863[[#This Row],[h1]],8))</f>
        <v>0</v>
      </c>
      <c r="Q1962" s="48" t="s">
        <v>75</v>
      </c>
      <c r="R1962" s="48">
        <f>HEX2DEC(RIGHT(Table13232127535863[[#This Row],[h2]],8))</f>
        <v>0</v>
      </c>
    </row>
    <row r="1963" spans="1:18">
      <c r="A1963" s="15" t="str">
        <f t="shared" si="35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8" t="s">
        <v>75</v>
      </c>
      <c r="P1963" s="48">
        <f>HEX2DEC(RIGHT(Table13232127535863[[#This Row],[h1]],8))</f>
        <v>0</v>
      </c>
      <c r="Q1963" s="48" t="s">
        <v>75</v>
      </c>
      <c r="R1963" s="48">
        <f>HEX2DEC(RIGHT(Table13232127535863[[#This Row],[h2]],8))</f>
        <v>0</v>
      </c>
    </row>
    <row r="1964" spans="1:18">
      <c r="A1964" s="15" t="str">
        <f t="shared" si="35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8" t="s">
        <v>75</v>
      </c>
      <c r="P1964" s="48">
        <f>HEX2DEC(RIGHT(Table13232127535863[[#This Row],[h1]],8))</f>
        <v>0</v>
      </c>
      <c r="Q1964" s="48" t="s">
        <v>75</v>
      </c>
      <c r="R1964" s="48">
        <f>HEX2DEC(RIGHT(Table13232127535863[[#This Row],[h2]],8))</f>
        <v>0</v>
      </c>
    </row>
    <row r="1965" spans="1:18">
      <c r="A1965" s="15" t="str">
        <f t="shared" si="35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8" t="s">
        <v>75</v>
      </c>
      <c r="P1965" s="48">
        <f>HEX2DEC(RIGHT(Table13232127535863[[#This Row],[h1]],8))</f>
        <v>0</v>
      </c>
      <c r="Q1965" s="48" t="s">
        <v>75</v>
      </c>
      <c r="R1965" s="48">
        <f>HEX2DEC(RIGHT(Table13232127535863[[#This Row],[h2]],8))</f>
        <v>0</v>
      </c>
    </row>
    <row r="1966" spans="1:18">
      <c r="A1966" s="15" t="str">
        <f t="shared" si="35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8" t="s">
        <v>75</v>
      </c>
      <c r="P1966" s="48">
        <f>HEX2DEC(RIGHT(Table13232127535863[[#This Row],[h1]],8))</f>
        <v>0</v>
      </c>
      <c r="Q1966" s="48" t="s">
        <v>75</v>
      </c>
      <c r="R1966" s="48">
        <f>HEX2DEC(RIGHT(Table13232127535863[[#This Row],[h2]],8))</f>
        <v>0</v>
      </c>
    </row>
    <row r="1967" spans="1:18">
      <c r="A1967" s="15" t="str">
        <f t="shared" si="35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8" t="s">
        <v>75</v>
      </c>
      <c r="P1967" s="48">
        <f>HEX2DEC(RIGHT(Table13232127535863[[#This Row],[h1]],8))</f>
        <v>0</v>
      </c>
      <c r="Q1967" s="48" t="s">
        <v>75</v>
      </c>
      <c r="R1967" s="48">
        <f>HEX2DEC(RIGHT(Table13232127535863[[#This Row],[h2]],8))</f>
        <v>0</v>
      </c>
    </row>
    <row r="1968" spans="1:18">
      <c r="A1968" s="15" t="str">
        <f t="shared" si="35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8" t="s">
        <v>75</v>
      </c>
      <c r="P1968" s="48">
        <f>HEX2DEC(RIGHT(Table13232127535863[[#This Row],[h1]],8))</f>
        <v>0</v>
      </c>
      <c r="Q1968" s="48" t="s">
        <v>75</v>
      </c>
      <c r="R1968" s="48">
        <f>HEX2DEC(RIGHT(Table13232127535863[[#This Row],[h2]],8))</f>
        <v>0</v>
      </c>
    </row>
    <row r="1969" spans="1:18">
      <c r="A1969" s="15" t="str">
        <f t="shared" si="35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8" t="s">
        <v>75</v>
      </c>
      <c r="P1969" s="48">
        <f>HEX2DEC(RIGHT(Table13232127535863[[#This Row],[h1]],8))</f>
        <v>0</v>
      </c>
      <c r="Q1969" s="48" t="s">
        <v>75</v>
      </c>
      <c r="R1969" s="48">
        <f>HEX2DEC(RIGHT(Table13232127535863[[#This Row],[h2]],8))</f>
        <v>0</v>
      </c>
    </row>
    <row r="1970" spans="1:18">
      <c r="A1970" s="15" t="str">
        <f t="shared" si="35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8" t="s">
        <v>75</v>
      </c>
      <c r="P1970" s="48">
        <f>HEX2DEC(RIGHT(Table13232127535863[[#This Row],[h1]],8))</f>
        <v>0</v>
      </c>
      <c r="Q1970" s="48" t="s">
        <v>75</v>
      </c>
      <c r="R1970" s="48">
        <f>HEX2DEC(RIGHT(Table13232127535863[[#This Row],[h2]],8))</f>
        <v>0</v>
      </c>
    </row>
    <row r="1971" spans="1:18">
      <c r="A1971" s="15" t="str">
        <f t="shared" si="35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8" t="s">
        <v>75</v>
      </c>
      <c r="P1971" s="48">
        <f>HEX2DEC(RIGHT(Table13232127535863[[#This Row],[h1]],8))</f>
        <v>0</v>
      </c>
      <c r="Q1971" s="48" t="s">
        <v>75</v>
      </c>
      <c r="R1971" s="48">
        <f>HEX2DEC(RIGHT(Table13232127535863[[#This Row],[h2]],8))</f>
        <v>0</v>
      </c>
    </row>
    <row r="1972" spans="1:18">
      <c r="A1972" s="15" t="str">
        <f t="shared" si="35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8" t="s">
        <v>75</v>
      </c>
      <c r="P1972" s="48">
        <f>HEX2DEC(RIGHT(Table13232127535863[[#This Row],[h1]],8))</f>
        <v>0</v>
      </c>
      <c r="Q1972" s="48" t="s">
        <v>75</v>
      </c>
      <c r="R1972" s="48">
        <f>HEX2DEC(RIGHT(Table13232127535863[[#This Row],[h2]],8))</f>
        <v>0</v>
      </c>
    </row>
    <row r="1973" spans="1:18">
      <c r="A1973" s="15" t="str">
        <f t="shared" si="35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8" t="s">
        <v>75</v>
      </c>
      <c r="P1973" s="48">
        <f>HEX2DEC(RIGHT(Table13232127535863[[#This Row],[h1]],8))</f>
        <v>0</v>
      </c>
      <c r="Q1973" s="48" t="s">
        <v>75</v>
      </c>
      <c r="R1973" s="48">
        <f>HEX2DEC(RIGHT(Table13232127535863[[#This Row],[h2]],8))</f>
        <v>0</v>
      </c>
    </row>
    <row r="1974" spans="1:18">
      <c r="A1974" s="15" t="str">
        <f t="shared" si="35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8" t="s">
        <v>75</v>
      </c>
      <c r="P1974" s="48">
        <f>HEX2DEC(RIGHT(Table13232127535863[[#This Row],[h1]],8))</f>
        <v>0</v>
      </c>
      <c r="Q1974" s="48" t="s">
        <v>75</v>
      </c>
      <c r="R1974" s="48">
        <f>HEX2DEC(RIGHT(Table13232127535863[[#This Row],[h2]],8))</f>
        <v>0</v>
      </c>
    </row>
    <row r="1975" spans="1:18">
      <c r="A1975" s="15" t="str">
        <f t="shared" si="35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8" t="s">
        <v>75</v>
      </c>
      <c r="P1975" s="48">
        <f>HEX2DEC(RIGHT(Table13232127535863[[#This Row],[h1]],8))</f>
        <v>0</v>
      </c>
      <c r="Q1975" s="48" t="s">
        <v>75</v>
      </c>
      <c r="R1975" s="48">
        <f>HEX2DEC(RIGHT(Table13232127535863[[#This Row],[h2]],8))</f>
        <v>0</v>
      </c>
    </row>
    <row r="1976" spans="1:18">
      <c r="A1976" s="15" t="str">
        <f t="shared" si="35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8" t="s">
        <v>75</v>
      </c>
      <c r="P1976" s="48">
        <f>HEX2DEC(RIGHT(Table13232127535863[[#This Row],[h1]],8))</f>
        <v>0</v>
      </c>
      <c r="Q1976" s="48" t="s">
        <v>75</v>
      </c>
      <c r="R1976" s="48">
        <f>HEX2DEC(RIGHT(Table13232127535863[[#This Row],[h2]],8))</f>
        <v>0</v>
      </c>
    </row>
    <row r="1977" spans="1:18">
      <c r="A1977" s="15" t="str">
        <f t="shared" si="35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8" t="s">
        <v>75</v>
      </c>
      <c r="P1977" s="48">
        <f>HEX2DEC(RIGHT(Table13232127535863[[#This Row],[h1]],8))</f>
        <v>0</v>
      </c>
      <c r="Q1977" s="48" t="s">
        <v>75</v>
      </c>
      <c r="R1977" s="48">
        <f>HEX2DEC(RIGHT(Table13232127535863[[#This Row],[h2]],8))</f>
        <v>0</v>
      </c>
    </row>
    <row r="1978" spans="1:18">
      <c r="A1978" s="15" t="str">
        <f t="shared" si="35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8" t="s">
        <v>75</v>
      </c>
      <c r="P1978" s="48">
        <f>HEX2DEC(RIGHT(Table13232127535863[[#This Row],[h1]],8))</f>
        <v>0</v>
      </c>
      <c r="Q1978" s="48" t="s">
        <v>75</v>
      </c>
      <c r="R1978" s="48">
        <f>HEX2DEC(RIGHT(Table13232127535863[[#This Row],[h2]],8))</f>
        <v>0</v>
      </c>
    </row>
    <row r="1979" spans="1:18">
      <c r="A1979" s="15" t="str">
        <f t="shared" si="35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8" t="s">
        <v>75</v>
      </c>
      <c r="P1979" s="48">
        <f>HEX2DEC(RIGHT(Table13232127535863[[#This Row],[h1]],8))</f>
        <v>0</v>
      </c>
      <c r="Q1979" s="48" t="s">
        <v>75</v>
      </c>
      <c r="R1979" s="48">
        <f>HEX2DEC(RIGHT(Table13232127535863[[#This Row],[h2]],8))</f>
        <v>0</v>
      </c>
    </row>
    <row r="1980" spans="1:18">
      <c r="A1980" s="15" t="str">
        <f t="shared" si="35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8" t="s">
        <v>75</v>
      </c>
      <c r="P1980" s="48">
        <f>HEX2DEC(RIGHT(Table13232127535863[[#This Row],[h1]],8))</f>
        <v>0</v>
      </c>
      <c r="Q1980" s="48" t="s">
        <v>75</v>
      </c>
      <c r="R1980" s="48">
        <f>HEX2DEC(RIGHT(Table13232127535863[[#This Row],[h2]],8))</f>
        <v>0</v>
      </c>
    </row>
    <row r="1981" spans="1:18">
      <c r="A1981" s="15" t="str">
        <f t="shared" si="35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8" t="s">
        <v>75</v>
      </c>
      <c r="P1981" s="48">
        <f>HEX2DEC(RIGHT(Table13232127535863[[#This Row],[h1]],8))</f>
        <v>0</v>
      </c>
      <c r="Q1981" s="48" t="s">
        <v>75</v>
      </c>
      <c r="R1981" s="48">
        <f>HEX2DEC(RIGHT(Table13232127535863[[#This Row],[h2]],8))</f>
        <v>0</v>
      </c>
    </row>
    <row r="1982" spans="1:18">
      <c r="A1982" s="15" t="str">
        <f t="shared" si="35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8" t="s">
        <v>75</v>
      </c>
      <c r="P1982" s="48">
        <f>HEX2DEC(RIGHT(Table13232127535863[[#This Row],[h1]],8))</f>
        <v>0</v>
      </c>
      <c r="Q1982" s="48" t="s">
        <v>75</v>
      </c>
      <c r="R1982" s="48">
        <f>HEX2DEC(RIGHT(Table13232127535863[[#This Row],[h2]],8))</f>
        <v>0</v>
      </c>
    </row>
    <row r="1983" spans="1:18">
      <c r="A1983" s="15" t="str">
        <f t="shared" si="35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8" t="s">
        <v>75</v>
      </c>
      <c r="P1983" s="48">
        <f>HEX2DEC(RIGHT(Table13232127535863[[#This Row],[h1]],8))</f>
        <v>0</v>
      </c>
      <c r="Q1983" s="48" t="s">
        <v>75</v>
      </c>
      <c r="R1983" s="48">
        <f>HEX2DEC(RIGHT(Table13232127535863[[#This Row],[h2]],8))</f>
        <v>0</v>
      </c>
    </row>
    <row r="1984" spans="1:18">
      <c r="A1984" s="15" t="str">
        <f t="shared" si="35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8" t="s">
        <v>75</v>
      </c>
      <c r="P1984" s="48">
        <f>HEX2DEC(RIGHT(Table13232127535863[[#This Row],[h1]],8))</f>
        <v>0</v>
      </c>
      <c r="Q1984" s="48" t="s">
        <v>75</v>
      </c>
      <c r="R1984" s="48">
        <f>HEX2DEC(RIGHT(Table13232127535863[[#This Row],[h2]],8))</f>
        <v>0</v>
      </c>
    </row>
    <row r="1985" spans="1:18">
      <c r="A1985" s="15" t="str">
        <f t="shared" si="35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8" t="s">
        <v>75</v>
      </c>
      <c r="P1985" s="48">
        <f>HEX2DEC(RIGHT(Table13232127535863[[#This Row],[h1]],8))</f>
        <v>0</v>
      </c>
      <c r="Q1985" s="48" t="s">
        <v>75</v>
      </c>
      <c r="R1985" s="48">
        <f>HEX2DEC(RIGHT(Table13232127535863[[#This Row],[h2]],8))</f>
        <v>0</v>
      </c>
    </row>
    <row r="1986" spans="1:18">
      <c r="A1986" s="15" t="str">
        <f t="shared" si="35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8" t="s">
        <v>75</v>
      </c>
      <c r="P1986" s="48">
        <f>HEX2DEC(RIGHT(Table13232127535863[[#This Row],[h1]],8))</f>
        <v>0</v>
      </c>
      <c r="Q1986" s="48" t="s">
        <v>75</v>
      </c>
      <c r="R1986" s="48">
        <f>HEX2DEC(RIGHT(Table13232127535863[[#This Row],[h2]],8))</f>
        <v>0</v>
      </c>
    </row>
    <row r="1987" spans="1:18">
      <c r="A1987" s="15" t="str">
        <f t="shared" si="35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8" t="s">
        <v>75</v>
      </c>
      <c r="P1987" s="48">
        <f>HEX2DEC(RIGHT(Table13232127535863[[#This Row],[h1]],8))</f>
        <v>0</v>
      </c>
      <c r="Q1987" s="48" t="s">
        <v>75</v>
      </c>
      <c r="R1987" s="48">
        <f>HEX2DEC(RIGHT(Table13232127535863[[#This Row],[h2]],8))</f>
        <v>0</v>
      </c>
    </row>
    <row r="1988" spans="1:18">
      <c r="A1988" s="15" t="str">
        <f t="shared" si="35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8" t="s">
        <v>75</v>
      </c>
      <c r="P1988" s="48">
        <f>HEX2DEC(RIGHT(Table13232127535863[[#This Row],[h1]],8))</f>
        <v>0</v>
      </c>
      <c r="Q1988" s="48" t="s">
        <v>75</v>
      </c>
      <c r="R1988" s="48">
        <f>HEX2DEC(RIGHT(Table13232127535863[[#This Row],[h2]],8))</f>
        <v>0</v>
      </c>
    </row>
    <row r="1989" spans="1:18">
      <c r="A1989" s="15" t="str">
        <f t="shared" si="35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8" t="s">
        <v>75</v>
      </c>
      <c r="P1989" s="48">
        <f>HEX2DEC(RIGHT(Table13232127535863[[#This Row],[h1]],8))</f>
        <v>0</v>
      </c>
      <c r="Q1989" s="48" t="s">
        <v>75</v>
      </c>
      <c r="R1989" s="48">
        <f>HEX2DEC(RIGHT(Table13232127535863[[#This Row],[h2]],8))</f>
        <v>0</v>
      </c>
    </row>
    <row r="1990" spans="1:18">
      <c r="A1990" s="15" t="str">
        <f t="shared" si="35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8" t="s">
        <v>75</v>
      </c>
      <c r="P1990" s="48">
        <f>HEX2DEC(RIGHT(Table13232127535863[[#This Row],[h1]],8))</f>
        <v>0</v>
      </c>
      <c r="Q1990" s="48" t="s">
        <v>75</v>
      </c>
      <c r="R1990" s="48">
        <f>HEX2DEC(RIGHT(Table13232127535863[[#This Row],[h2]],8))</f>
        <v>0</v>
      </c>
    </row>
    <row r="1991" spans="1:18">
      <c r="A1991" s="15" t="str">
        <f t="shared" si="35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8" t="s">
        <v>75</v>
      </c>
      <c r="P1991" s="48">
        <f>HEX2DEC(RIGHT(Table13232127535863[[#This Row],[h1]],8))</f>
        <v>0</v>
      </c>
      <c r="Q1991" s="48" t="s">
        <v>75</v>
      </c>
      <c r="R1991" s="48">
        <f>HEX2DEC(RIGHT(Table13232127535863[[#This Row],[h2]],8))</f>
        <v>0</v>
      </c>
    </row>
    <row r="1992" spans="1:18">
      <c r="A1992" s="15" t="str">
        <f t="shared" si="35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8" t="s">
        <v>75</v>
      </c>
      <c r="P1992" s="48">
        <f>HEX2DEC(RIGHT(Table13232127535863[[#This Row],[h1]],8))</f>
        <v>0</v>
      </c>
      <c r="Q1992" s="48" t="s">
        <v>75</v>
      </c>
      <c r="R1992" s="48">
        <f>HEX2DEC(RIGHT(Table13232127535863[[#This Row],[h2]],8))</f>
        <v>0</v>
      </c>
    </row>
    <row r="1993" spans="1:18">
      <c r="A1993" s="15" t="str">
        <f t="shared" si="35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8" t="s">
        <v>75</v>
      </c>
      <c r="P1993" s="48">
        <f>HEX2DEC(RIGHT(Table13232127535863[[#This Row],[h1]],8))</f>
        <v>0</v>
      </c>
      <c r="Q1993" s="48" t="s">
        <v>75</v>
      </c>
      <c r="R1993" s="48">
        <f>HEX2DEC(RIGHT(Table13232127535863[[#This Row],[h2]],8))</f>
        <v>0</v>
      </c>
    </row>
    <row r="1994" spans="1:18">
      <c r="A1994" s="15" t="str">
        <f t="shared" si="35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8" t="s">
        <v>75</v>
      </c>
      <c r="P1994" s="48">
        <f>HEX2DEC(RIGHT(Table13232127535863[[#This Row],[h1]],8))</f>
        <v>0</v>
      </c>
      <c r="Q1994" s="48" t="s">
        <v>75</v>
      </c>
      <c r="R1994" s="48">
        <f>HEX2DEC(RIGHT(Table13232127535863[[#This Row],[h2]],8))</f>
        <v>0</v>
      </c>
    </row>
    <row r="1995" spans="1:18">
      <c r="A1995" s="15" t="str">
        <f t="shared" ref="A1995:A2057" si="36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8" t="s">
        <v>75</v>
      </c>
      <c r="P1995" s="48">
        <f>HEX2DEC(RIGHT(Table13232127535863[[#This Row],[h1]],8))</f>
        <v>0</v>
      </c>
      <c r="Q1995" s="48" t="s">
        <v>75</v>
      </c>
      <c r="R1995" s="48">
        <f>HEX2DEC(RIGHT(Table13232127535863[[#This Row],[h2]],8))</f>
        <v>0</v>
      </c>
    </row>
    <row r="1996" spans="1:18">
      <c r="A1996" s="15" t="str">
        <f t="shared" si="36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8" t="s">
        <v>75</v>
      </c>
      <c r="P1996" s="48">
        <f>HEX2DEC(RIGHT(Table13232127535863[[#This Row],[h1]],8))</f>
        <v>0</v>
      </c>
      <c r="Q1996" s="48" t="s">
        <v>75</v>
      </c>
      <c r="R1996" s="48">
        <f>HEX2DEC(RIGHT(Table13232127535863[[#This Row],[h2]],8))</f>
        <v>0</v>
      </c>
    </row>
    <row r="1997" spans="1:18">
      <c r="A1997" s="15" t="str">
        <f t="shared" si="36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8" t="s">
        <v>75</v>
      </c>
      <c r="P1997" s="48">
        <f>HEX2DEC(RIGHT(Table13232127535863[[#This Row],[h1]],8))</f>
        <v>0</v>
      </c>
      <c r="Q1997" s="48" t="s">
        <v>75</v>
      </c>
      <c r="R1997" s="48">
        <f>HEX2DEC(RIGHT(Table13232127535863[[#This Row],[h2]],8))</f>
        <v>0</v>
      </c>
    </row>
    <row r="1998" spans="1:18">
      <c r="A1998" s="15" t="str">
        <f t="shared" si="36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8" t="s">
        <v>75</v>
      </c>
      <c r="P1998" s="48">
        <f>HEX2DEC(RIGHT(Table13232127535863[[#This Row],[h1]],8))</f>
        <v>0</v>
      </c>
      <c r="Q1998" s="48" t="s">
        <v>75</v>
      </c>
      <c r="R1998" s="48">
        <f>HEX2DEC(RIGHT(Table13232127535863[[#This Row],[h2]],8))</f>
        <v>0</v>
      </c>
    </row>
    <row r="1999" spans="1:18">
      <c r="A1999" s="15" t="str">
        <f t="shared" si="36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8" t="s">
        <v>75</v>
      </c>
      <c r="P1999" s="48">
        <f>HEX2DEC(RIGHT(Table13232127535863[[#This Row],[h1]],8))</f>
        <v>0</v>
      </c>
      <c r="Q1999" s="48" t="s">
        <v>75</v>
      </c>
      <c r="R1999" s="48">
        <f>HEX2DEC(RIGHT(Table13232127535863[[#This Row],[h2]],8))</f>
        <v>0</v>
      </c>
    </row>
    <row r="2000" spans="1:18">
      <c r="A2000" s="15" t="str">
        <f t="shared" si="36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8" t="s">
        <v>75</v>
      </c>
      <c r="P2000" s="48">
        <f>HEX2DEC(RIGHT(Table13232127535863[[#This Row],[h1]],8))</f>
        <v>0</v>
      </c>
      <c r="Q2000" s="48" t="s">
        <v>75</v>
      </c>
      <c r="R2000" s="48">
        <f>HEX2DEC(RIGHT(Table13232127535863[[#This Row],[h2]],8))</f>
        <v>0</v>
      </c>
    </row>
    <row r="2001" spans="1:18">
      <c r="A2001" s="15" t="str">
        <f t="shared" si="36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8" t="s">
        <v>75</v>
      </c>
      <c r="P2001" s="48">
        <f>HEX2DEC(RIGHT(Table13232127535863[[#This Row],[h1]],8))</f>
        <v>0</v>
      </c>
      <c r="Q2001" s="48" t="s">
        <v>75</v>
      </c>
      <c r="R2001" s="48">
        <f>HEX2DEC(RIGHT(Table13232127535863[[#This Row],[h2]],8))</f>
        <v>0</v>
      </c>
    </row>
    <row r="2002" spans="1:18">
      <c r="A2002" s="15" t="str">
        <f t="shared" si="36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8" t="s">
        <v>75</v>
      </c>
      <c r="P2002" s="48">
        <f>HEX2DEC(RIGHT(Table13232127535863[[#This Row],[h1]],8))</f>
        <v>0</v>
      </c>
      <c r="Q2002" s="48" t="s">
        <v>75</v>
      </c>
      <c r="R2002" s="48">
        <f>HEX2DEC(RIGHT(Table13232127535863[[#This Row],[h2]],8))</f>
        <v>0</v>
      </c>
    </row>
    <row r="2003" spans="1:18">
      <c r="A2003" s="15" t="str">
        <f t="shared" si="36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8" t="s">
        <v>75</v>
      </c>
      <c r="P2003" s="48">
        <f>HEX2DEC(RIGHT(Table13232127535863[[#This Row],[h1]],8))</f>
        <v>0</v>
      </c>
      <c r="Q2003" s="48" t="s">
        <v>75</v>
      </c>
      <c r="R2003" s="48">
        <f>HEX2DEC(RIGHT(Table13232127535863[[#This Row],[h2]],8))</f>
        <v>0</v>
      </c>
    </row>
    <row r="2004" spans="1:18">
      <c r="A2004" s="15" t="str">
        <f t="shared" si="36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8" t="s">
        <v>75</v>
      </c>
      <c r="P2004" s="48">
        <f>HEX2DEC(RIGHT(Table13232127535863[[#This Row],[h1]],8))</f>
        <v>0</v>
      </c>
      <c r="Q2004" s="48" t="s">
        <v>75</v>
      </c>
      <c r="R2004" s="48">
        <f>HEX2DEC(RIGHT(Table13232127535863[[#This Row],[h2]],8))</f>
        <v>0</v>
      </c>
    </row>
    <row r="2005" spans="1:18">
      <c r="A2005" s="15" t="str">
        <f t="shared" si="36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8" t="s">
        <v>75</v>
      </c>
      <c r="P2005" s="48">
        <f>HEX2DEC(RIGHT(Table13232127535863[[#This Row],[h1]],8))</f>
        <v>0</v>
      </c>
      <c r="Q2005" s="48" t="s">
        <v>75</v>
      </c>
      <c r="R2005" s="48">
        <f>HEX2DEC(RIGHT(Table13232127535863[[#This Row],[h2]],8))</f>
        <v>0</v>
      </c>
    </row>
    <row r="2006" spans="1:18">
      <c r="A2006" s="15" t="str">
        <f t="shared" si="36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8" t="s">
        <v>75</v>
      </c>
      <c r="P2006" s="48">
        <f>HEX2DEC(RIGHT(Table13232127535863[[#This Row],[h1]],8))</f>
        <v>0</v>
      </c>
      <c r="Q2006" s="48" t="s">
        <v>75</v>
      </c>
      <c r="R2006" s="48">
        <f>HEX2DEC(RIGHT(Table13232127535863[[#This Row],[h2]],8))</f>
        <v>0</v>
      </c>
    </row>
    <row r="2007" spans="1:18">
      <c r="A2007" s="15" t="str">
        <f t="shared" si="36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8" t="s">
        <v>75</v>
      </c>
      <c r="P2007" s="48">
        <f>HEX2DEC(RIGHT(Table13232127535863[[#This Row],[h1]],8))</f>
        <v>0</v>
      </c>
      <c r="Q2007" s="48" t="s">
        <v>75</v>
      </c>
      <c r="R2007" s="48">
        <f>HEX2DEC(RIGHT(Table13232127535863[[#This Row],[h2]],8))</f>
        <v>0</v>
      </c>
    </row>
    <row r="2008" spans="1:18">
      <c r="A2008" s="15" t="str">
        <f t="shared" si="36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8" t="s">
        <v>75</v>
      </c>
      <c r="P2008" s="48">
        <f>HEX2DEC(RIGHT(Table13232127535863[[#This Row],[h1]],8))</f>
        <v>0</v>
      </c>
      <c r="Q2008" s="48" t="s">
        <v>75</v>
      </c>
      <c r="R2008" s="48">
        <f>HEX2DEC(RIGHT(Table13232127535863[[#This Row],[h2]],8))</f>
        <v>0</v>
      </c>
    </row>
    <row r="2009" spans="1:18">
      <c r="A2009" s="15" t="str">
        <f t="shared" si="36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8" t="s">
        <v>75</v>
      </c>
      <c r="P2009" s="48">
        <f>HEX2DEC(RIGHT(Table13232127535863[[#This Row],[h1]],8))</f>
        <v>0</v>
      </c>
      <c r="Q2009" s="48" t="s">
        <v>75</v>
      </c>
      <c r="R2009" s="48">
        <f>HEX2DEC(RIGHT(Table13232127535863[[#This Row],[h2]],8))</f>
        <v>0</v>
      </c>
    </row>
    <row r="2010" spans="1:18">
      <c r="A2010" s="15" t="str">
        <f t="shared" si="36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8" t="s">
        <v>75</v>
      </c>
      <c r="P2010" s="48">
        <f>HEX2DEC(RIGHT(Table13232127535863[[#This Row],[h1]],8))</f>
        <v>0</v>
      </c>
      <c r="Q2010" s="48" t="s">
        <v>75</v>
      </c>
      <c r="R2010" s="48">
        <f>HEX2DEC(RIGHT(Table13232127535863[[#This Row],[h2]],8))</f>
        <v>0</v>
      </c>
    </row>
    <row r="2011" spans="1:18">
      <c r="A2011" s="15" t="str">
        <f t="shared" si="36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8" t="s">
        <v>75</v>
      </c>
      <c r="P2011" s="48">
        <f>HEX2DEC(RIGHT(Table13232127535863[[#This Row],[h1]],8))</f>
        <v>0</v>
      </c>
      <c r="Q2011" s="48" t="s">
        <v>75</v>
      </c>
      <c r="R2011" s="48">
        <f>HEX2DEC(RIGHT(Table13232127535863[[#This Row],[h2]],8))</f>
        <v>0</v>
      </c>
    </row>
    <row r="2012" spans="1:18">
      <c r="A2012" s="15" t="str">
        <f t="shared" si="36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8" t="s">
        <v>75</v>
      </c>
      <c r="P2012" s="48">
        <f>HEX2DEC(RIGHT(Table13232127535863[[#This Row],[h1]],8))</f>
        <v>0</v>
      </c>
      <c r="Q2012" s="48" t="s">
        <v>75</v>
      </c>
      <c r="R2012" s="48">
        <f>HEX2DEC(RIGHT(Table13232127535863[[#This Row],[h2]],8))</f>
        <v>0</v>
      </c>
    </row>
    <row r="2013" spans="1:18">
      <c r="A2013" s="15" t="str">
        <f t="shared" si="36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8" t="s">
        <v>75</v>
      </c>
      <c r="P2013" s="48">
        <f>HEX2DEC(RIGHT(Table13232127535863[[#This Row],[h1]],8))</f>
        <v>0</v>
      </c>
      <c r="Q2013" s="48" t="s">
        <v>75</v>
      </c>
      <c r="R2013" s="48">
        <f>HEX2DEC(RIGHT(Table13232127535863[[#This Row],[h2]],8))</f>
        <v>0</v>
      </c>
    </row>
    <row r="2014" spans="1:18">
      <c r="A2014" s="15" t="str">
        <f t="shared" si="36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8" t="s">
        <v>75</v>
      </c>
      <c r="P2014" s="48">
        <f>HEX2DEC(RIGHT(Table13232127535863[[#This Row],[h1]],8))</f>
        <v>0</v>
      </c>
      <c r="Q2014" s="48" t="s">
        <v>75</v>
      </c>
      <c r="R2014" s="48">
        <f>HEX2DEC(RIGHT(Table13232127535863[[#This Row],[h2]],8))</f>
        <v>0</v>
      </c>
    </row>
    <row r="2015" spans="1:18">
      <c r="A2015" s="15" t="str">
        <f t="shared" si="36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8" t="s">
        <v>75</v>
      </c>
      <c r="P2015" s="48">
        <f>HEX2DEC(RIGHT(Table13232127535863[[#This Row],[h1]],8))</f>
        <v>0</v>
      </c>
      <c r="Q2015" s="48" t="s">
        <v>75</v>
      </c>
      <c r="R2015" s="48">
        <f>HEX2DEC(RIGHT(Table13232127535863[[#This Row],[h2]],8))</f>
        <v>0</v>
      </c>
    </row>
    <row r="2016" spans="1:18">
      <c r="A2016" s="15" t="str">
        <f t="shared" si="36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8" t="s">
        <v>75</v>
      </c>
      <c r="P2016" s="48">
        <f>HEX2DEC(RIGHT(Table13232127535863[[#This Row],[h1]],8))</f>
        <v>0</v>
      </c>
      <c r="Q2016" s="48" t="s">
        <v>75</v>
      </c>
      <c r="R2016" s="48">
        <f>HEX2DEC(RIGHT(Table13232127535863[[#This Row],[h2]],8))</f>
        <v>0</v>
      </c>
    </row>
    <row r="2017" spans="1:18">
      <c r="A2017" s="15" t="str">
        <f t="shared" si="36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8" t="s">
        <v>75</v>
      </c>
      <c r="P2017" s="48">
        <f>HEX2DEC(RIGHT(Table13232127535863[[#This Row],[h1]],8))</f>
        <v>0</v>
      </c>
      <c r="Q2017" s="48" t="s">
        <v>75</v>
      </c>
      <c r="R2017" s="48">
        <f>HEX2DEC(RIGHT(Table13232127535863[[#This Row],[h2]],8))</f>
        <v>0</v>
      </c>
    </row>
    <row r="2018" spans="1:18">
      <c r="A2018" s="15" t="str">
        <f t="shared" si="36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8" t="s">
        <v>75</v>
      </c>
      <c r="P2018" s="48">
        <f>HEX2DEC(RIGHT(Table13232127535863[[#This Row],[h1]],8))</f>
        <v>0</v>
      </c>
      <c r="Q2018" s="48" t="s">
        <v>75</v>
      </c>
      <c r="R2018" s="48">
        <f>HEX2DEC(RIGHT(Table13232127535863[[#This Row],[h2]],8))</f>
        <v>0</v>
      </c>
    </row>
    <row r="2019" spans="1:18">
      <c r="A2019" s="15" t="str">
        <f t="shared" si="36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8" t="s">
        <v>75</v>
      </c>
      <c r="P2019" s="48">
        <f>HEX2DEC(RIGHT(Table13232127535863[[#This Row],[h1]],8))</f>
        <v>0</v>
      </c>
      <c r="Q2019" s="48" t="s">
        <v>75</v>
      </c>
      <c r="R2019" s="48">
        <f>HEX2DEC(RIGHT(Table13232127535863[[#This Row],[h2]],8))</f>
        <v>0</v>
      </c>
    </row>
    <row r="2020" spans="1:18">
      <c r="A2020" s="15" t="str">
        <f t="shared" si="36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8" t="s">
        <v>75</v>
      </c>
      <c r="P2020" s="48">
        <f>HEX2DEC(RIGHT(Table13232127535863[[#This Row],[h1]],8))</f>
        <v>0</v>
      </c>
      <c r="Q2020" s="48" t="s">
        <v>75</v>
      </c>
      <c r="R2020" s="48">
        <f>HEX2DEC(RIGHT(Table13232127535863[[#This Row],[h2]],8))</f>
        <v>0</v>
      </c>
    </row>
    <row r="2021" spans="1:18">
      <c r="A2021" s="15" t="str">
        <f t="shared" si="36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8" t="s">
        <v>75</v>
      </c>
      <c r="P2021" s="48">
        <f>HEX2DEC(RIGHT(Table13232127535863[[#This Row],[h1]],8))</f>
        <v>0</v>
      </c>
      <c r="Q2021" s="48" t="s">
        <v>75</v>
      </c>
      <c r="R2021" s="48">
        <f>HEX2DEC(RIGHT(Table13232127535863[[#This Row],[h2]],8))</f>
        <v>0</v>
      </c>
    </row>
    <row r="2022" spans="1:18">
      <c r="A2022" s="15" t="str">
        <f t="shared" si="36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8" t="s">
        <v>75</v>
      </c>
      <c r="P2022" s="48">
        <f>HEX2DEC(RIGHT(Table13232127535863[[#This Row],[h1]],8))</f>
        <v>0</v>
      </c>
      <c r="Q2022" s="48" t="s">
        <v>75</v>
      </c>
      <c r="R2022" s="48">
        <f>HEX2DEC(RIGHT(Table13232127535863[[#This Row],[h2]],8))</f>
        <v>0</v>
      </c>
    </row>
    <row r="2023" spans="1:18">
      <c r="A2023" s="15" t="str">
        <f t="shared" si="36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8" t="s">
        <v>75</v>
      </c>
      <c r="P2023" s="48">
        <f>HEX2DEC(RIGHT(Table13232127535863[[#This Row],[h1]],8))</f>
        <v>0</v>
      </c>
      <c r="Q2023" s="48" t="s">
        <v>75</v>
      </c>
      <c r="R2023" s="48">
        <f>HEX2DEC(RIGHT(Table13232127535863[[#This Row],[h2]],8))</f>
        <v>0</v>
      </c>
    </row>
    <row r="2024" spans="1:18">
      <c r="A2024" s="15" t="str">
        <f t="shared" si="36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8" t="s">
        <v>75</v>
      </c>
      <c r="P2024" s="48">
        <f>HEX2DEC(RIGHT(Table13232127535863[[#This Row],[h1]],8))</f>
        <v>0</v>
      </c>
      <c r="Q2024" s="48" t="s">
        <v>75</v>
      </c>
      <c r="R2024" s="48">
        <f>HEX2DEC(RIGHT(Table13232127535863[[#This Row],[h2]],8))</f>
        <v>0</v>
      </c>
    </row>
    <row r="2025" spans="1:18">
      <c r="A2025" s="15" t="str">
        <f t="shared" si="36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8" t="s">
        <v>75</v>
      </c>
      <c r="P2025" s="48">
        <f>HEX2DEC(RIGHT(Table13232127535863[[#This Row],[h1]],8))</f>
        <v>0</v>
      </c>
      <c r="Q2025" s="48" t="s">
        <v>75</v>
      </c>
      <c r="R2025" s="48">
        <f>HEX2DEC(RIGHT(Table13232127535863[[#This Row],[h2]],8))</f>
        <v>0</v>
      </c>
    </row>
    <row r="2026" spans="1:18">
      <c r="A2026" s="15" t="str">
        <f t="shared" si="36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8" t="s">
        <v>75</v>
      </c>
      <c r="P2026" s="48">
        <f>HEX2DEC(RIGHT(Table13232127535863[[#This Row],[h1]],8))</f>
        <v>0</v>
      </c>
      <c r="Q2026" s="48" t="s">
        <v>75</v>
      </c>
      <c r="R2026" s="48">
        <f>HEX2DEC(RIGHT(Table13232127535863[[#This Row],[h2]],8))</f>
        <v>0</v>
      </c>
    </row>
    <row r="2027" spans="1:18">
      <c r="A2027" s="15" t="str">
        <f t="shared" si="36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8" t="s">
        <v>75</v>
      </c>
      <c r="P2027" s="48">
        <f>HEX2DEC(RIGHT(Table13232127535863[[#This Row],[h1]],8))</f>
        <v>0</v>
      </c>
      <c r="Q2027" s="48" t="s">
        <v>75</v>
      </c>
      <c r="R2027" s="48">
        <f>HEX2DEC(RIGHT(Table13232127535863[[#This Row],[h2]],8))</f>
        <v>0</v>
      </c>
    </row>
    <row r="2028" spans="1:18">
      <c r="A2028" s="15" t="str">
        <f t="shared" si="36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8" t="s">
        <v>75</v>
      </c>
      <c r="P2028" s="48">
        <f>HEX2DEC(RIGHT(Table13232127535863[[#This Row],[h1]],8))</f>
        <v>0</v>
      </c>
      <c r="Q2028" s="48" t="s">
        <v>75</v>
      </c>
      <c r="R2028" s="48">
        <f>HEX2DEC(RIGHT(Table13232127535863[[#This Row],[h2]],8))</f>
        <v>0</v>
      </c>
    </row>
    <row r="2029" spans="1:18">
      <c r="A2029" s="15" t="str">
        <f t="shared" si="36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8" t="s">
        <v>75</v>
      </c>
      <c r="P2029" s="48">
        <f>HEX2DEC(RIGHT(Table13232127535863[[#This Row],[h1]],8))</f>
        <v>0</v>
      </c>
      <c r="Q2029" s="48" t="s">
        <v>75</v>
      </c>
      <c r="R2029" s="48">
        <f>HEX2DEC(RIGHT(Table13232127535863[[#This Row],[h2]],8))</f>
        <v>0</v>
      </c>
    </row>
    <row r="2030" spans="1:18">
      <c r="A2030" s="15" t="str">
        <f t="shared" si="36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8" t="s">
        <v>75</v>
      </c>
      <c r="P2030" s="48">
        <f>HEX2DEC(RIGHT(Table13232127535863[[#This Row],[h1]],8))</f>
        <v>0</v>
      </c>
      <c r="Q2030" s="48" t="s">
        <v>75</v>
      </c>
      <c r="R2030" s="48">
        <f>HEX2DEC(RIGHT(Table13232127535863[[#This Row],[h2]],8))</f>
        <v>0</v>
      </c>
    </row>
    <row r="2031" spans="1:18">
      <c r="A2031" s="15" t="str">
        <f t="shared" si="36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8" t="s">
        <v>75</v>
      </c>
      <c r="P2031" s="48">
        <f>HEX2DEC(RIGHT(Table13232127535863[[#This Row],[h1]],8))</f>
        <v>0</v>
      </c>
      <c r="Q2031" s="48" t="s">
        <v>75</v>
      </c>
      <c r="R2031" s="48">
        <f>HEX2DEC(RIGHT(Table13232127535863[[#This Row],[h2]],8))</f>
        <v>0</v>
      </c>
    </row>
    <row r="2032" spans="1:18">
      <c r="A2032" s="15" t="str">
        <f t="shared" si="36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8" t="s">
        <v>75</v>
      </c>
      <c r="P2032" s="48">
        <f>HEX2DEC(RIGHT(Table13232127535863[[#This Row],[h1]],8))</f>
        <v>0</v>
      </c>
      <c r="Q2032" s="48" t="s">
        <v>75</v>
      </c>
      <c r="R2032" s="48">
        <f>HEX2DEC(RIGHT(Table13232127535863[[#This Row],[h2]],8))</f>
        <v>0</v>
      </c>
    </row>
    <row r="2033" spans="1:18">
      <c r="A2033" s="15" t="str">
        <f t="shared" si="36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8" t="s">
        <v>75</v>
      </c>
      <c r="P2033" s="48">
        <f>HEX2DEC(RIGHT(Table13232127535863[[#This Row],[h1]],8))</f>
        <v>0</v>
      </c>
      <c r="Q2033" s="48" t="s">
        <v>75</v>
      </c>
      <c r="R2033" s="48">
        <f>HEX2DEC(RIGHT(Table13232127535863[[#This Row],[h2]],8))</f>
        <v>0</v>
      </c>
    </row>
    <row r="2034" spans="1:18">
      <c r="A2034" s="15" t="str">
        <f t="shared" si="36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8" t="s">
        <v>75</v>
      </c>
      <c r="P2034" s="48">
        <f>HEX2DEC(RIGHT(Table13232127535863[[#This Row],[h1]],8))</f>
        <v>0</v>
      </c>
      <c r="Q2034" s="48" t="s">
        <v>75</v>
      </c>
      <c r="R2034" s="48">
        <f>HEX2DEC(RIGHT(Table13232127535863[[#This Row],[h2]],8))</f>
        <v>0</v>
      </c>
    </row>
    <row r="2035" spans="1:18">
      <c r="A2035" s="15" t="str">
        <f t="shared" si="36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8" t="s">
        <v>75</v>
      </c>
      <c r="P2035" s="48">
        <f>HEX2DEC(RIGHT(Table13232127535863[[#This Row],[h1]],8))</f>
        <v>0</v>
      </c>
      <c r="Q2035" s="48" t="s">
        <v>75</v>
      </c>
      <c r="R2035" s="48">
        <f>HEX2DEC(RIGHT(Table13232127535863[[#This Row],[h2]],8))</f>
        <v>0</v>
      </c>
    </row>
    <row r="2036" spans="1:18">
      <c r="A2036" s="15" t="str">
        <f t="shared" si="36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8" t="s">
        <v>75</v>
      </c>
      <c r="P2036" s="48">
        <f>HEX2DEC(RIGHT(Table13232127535863[[#This Row],[h1]],8))</f>
        <v>0</v>
      </c>
      <c r="Q2036" s="48" t="s">
        <v>75</v>
      </c>
      <c r="R2036" s="48">
        <f>HEX2DEC(RIGHT(Table13232127535863[[#This Row],[h2]],8))</f>
        <v>0</v>
      </c>
    </row>
    <row r="2037" spans="1:18">
      <c r="A2037" s="15" t="str">
        <f t="shared" si="36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8" t="s">
        <v>75</v>
      </c>
      <c r="P2037" s="48">
        <f>HEX2DEC(RIGHT(Table13232127535863[[#This Row],[h1]],8))</f>
        <v>0</v>
      </c>
      <c r="Q2037" s="48" t="s">
        <v>75</v>
      </c>
      <c r="R2037" s="48">
        <f>HEX2DEC(RIGHT(Table13232127535863[[#This Row],[h2]],8))</f>
        <v>0</v>
      </c>
    </row>
    <row r="2038" spans="1:18">
      <c r="A2038" s="15" t="str">
        <f t="shared" si="36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8" t="s">
        <v>75</v>
      </c>
      <c r="P2038" s="48">
        <f>HEX2DEC(RIGHT(Table13232127535863[[#This Row],[h1]],8))</f>
        <v>0</v>
      </c>
      <c r="Q2038" s="48" t="s">
        <v>75</v>
      </c>
      <c r="R2038" s="48">
        <f>HEX2DEC(RIGHT(Table13232127535863[[#This Row],[h2]],8))</f>
        <v>0</v>
      </c>
    </row>
    <row r="2039" spans="1:18">
      <c r="A2039" s="15" t="str">
        <f t="shared" si="36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8" t="s">
        <v>75</v>
      </c>
      <c r="P2039" s="48">
        <f>HEX2DEC(RIGHT(Table13232127535863[[#This Row],[h1]],8))</f>
        <v>0</v>
      </c>
      <c r="Q2039" s="48" t="s">
        <v>75</v>
      </c>
      <c r="R2039" s="48">
        <f>HEX2DEC(RIGHT(Table13232127535863[[#This Row],[h2]],8))</f>
        <v>0</v>
      </c>
    </row>
    <row r="2040" spans="1:18">
      <c r="A2040" s="15" t="str">
        <f t="shared" si="36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8" t="s">
        <v>75</v>
      </c>
      <c r="P2040" s="48">
        <f>HEX2DEC(RIGHT(Table13232127535863[[#This Row],[h1]],8))</f>
        <v>0</v>
      </c>
      <c r="Q2040" s="48" t="s">
        <v>75</v>
      </c>
      <c r="R2040" s="48">
        <f>HEX2DEC(RIGHT(Table13232127535863[[#This Row],[h2]],8))</f>
        <v>0</v>
      </c>
    </row>
    <row r="2041" spans="1:18">
      <c r="A2041" s="15" t="str">
        <f t="shared" si="36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8" t="s">
        <v>75</v>
      </c>
      <c r="P2041" s="48">
        <f>HEX2DEC(RIGHT(Table13232127535863[[#This Row],[h1]],8))</f>
        <v>0</v>
      </c>
      <c r="Q2041" s="48" t="s">
        <v>75</v>
      </c>
      <c r="R2041" s="48">
        <f>HEX2DEC(RIGHT(Table13232127535863[[#This Row],[h2]],8))</f>
        <v>0</v>
      </c>
    </row>
    <row r="2042" spans="1:18">
      <c r="A2042" s="15" t="str">
        <f t="shared" si="36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8" t="s">
        <v>26</v>
      </c>
      <c r="Q2042" s="48" t="s">
        <v>26</v>
      </c>
    </row>
    <row r="2043" spans="1:18">
      <c r="A2043" s="15" t="str">
        <f t="shared" si="36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6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6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6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6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6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6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6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6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6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6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6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6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6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6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48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67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org!$B$11:$B$22</xm:f>
          </x14:formula1>
          <xm:sqref>E206:E213 F6 F2110:F2113 I2062:I2064 G341:G371 E341:E371 L2061:L2064 V2061:V2064 G206:G213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>
          <x14:formula1>
            <xm:f>org!$B$36:$B$43</xm:f>
          </x14:formula1>
          <xm:sqref>A5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org</vt:lpstr>
      <vt:lpstr>EVS001</vt:lpstr>
      <vt:lpstr>EVG001</vt:lpstr>
      <vt:lpstr>EVR001</vt:lpstr>
      <vt:lpstr>EVR002</vt:lpstr>
      <vt:lpstr>EVR003</vt:lpstr>
      <vt:lpstr>EVF001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lay kim</dc:creator>
  <cp:lastModifiedBy>User</cp:lastModifiedBy>
  <dcterms:created xsi:type="dcterms:W3CDTF">2018-10-04T08:55:09Z</dcterms:created>
  <dcterms:modified xsi:type="dcterms:W3CDTF">2022-01-20T12:24:42Z</dcterms:modified>
</cp:coreProperties>
</file>