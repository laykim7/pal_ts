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18120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2" i="11" l="1"/>
  <c r="G290" i="11"/>
  <c r="G277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301" i="11"/>
  <c r="R363" i="11"/>
  <c r="P363" i="11"/>
  <c r="G300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99" i="11"/>
  <c r="R354" i="11"/>
  <c r="P354" i="11"/>
  <c r="G298" i="11"/>
  <c r="R353" i="11"/>
  <c r="P353" i="11"/>
  <c r="G297" i="11"/>
  <c r="R352" i="11"/>
  <c r="P352" i="11"/>
  <c r="G296" i="11"/>
  <c r="R351" i="11"/>
  <c r="P351" i="11"/>
  <c r="G295" i="11"/>
  <c r="R350" i="11"/>
  <c r="P350" i="11"/>
  <c r="G294" i="11"/>
  <c r="R349" i="11"/>
  <c r="P349" i="11"/>
  <c r="G293" i="11"/>
  <c r="R348" i="11"/>
  <c r="P348" i="11"/>
  <c r="G292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89" i="11"/>
  <c r="R331" i="11"/>
  <c r="P331" i="11"/>
  <c r="G288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87" i="11"/>
  <c r="R323" i="11"/>
  <c r="P323" i="11"/>
  <c r="G286" i="11"/>
  <c r="R322" i="11"/>
  <c r="P322" i="11"/>
  <c r="G285" i="11"/>
  <c r="R321" i="11"/>
  <c r="P321" i="11"/>
  <c r="G284" i="11"/>
  <c r="R320" i="11"/>
  <c r="P320" i="11"/>
  <c r="G283" i="11"/>
  <c r="R319" i="11"/>
  <c r="P319" i="11"/>
  <c r="G282" i="11"/>
  <c r="R318" i="11"/>
  <c r="P318" i="11"/>
  <c r="G281" i="11"/>
  <c r="R317" i="11"/>
  <c r="P317" i="11"/>
  <c r="G280" i="11"/>
  <c r="R316" i="11"/>
  <c r="P316" i="11"/>
  <c r="G279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76" i="11"/>
  <c r="R299" i="11"/>
  <c r="P299" i="11"/>
  <c r="G275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74" i="11"/>
  <c r="R291" i="11"/>
  <c r="P291" i="11"/>
  <c r="G273" i="11"/>
  <c r="R290" i="11"/>
  <c r="P290" i="11"/>
  <c r="G272" i="11"/>
  <c r="R289" i="11"/>
  <c r="P289" i="11"/>
  <c r="G271" i="11"/>
  <c r="R288" i="11"/>
  <c r="P288" i="11"/>
  <c r="G270" i="11"/>
  <c r="R287" i="11"/>
  <c r="P287" i="11"/>
  <c r="G269" i="11"/>
  <c r="R286" i="11"/>
  <c r="P286" i="11"/>
  <c r="G268" i="11"/>
  <c r="R285" i="11"/>
  <c r="P285" i="11"/>
  <c r="G267" i="11"/>
  <c r="R284" i="11"/>
  <c r="P284" i="11"/>
  <c r="G266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63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61" i="11"/>
  <c r="R259" i="11"/>
  <c r="P259" i="11"/>
  <c r="G260" i="11"/>
  <c r="R258" i="11"/>
  <c r="P258" i="11"/>
  <c r="G259" i="11"/>
  <c r="R257" i="11"/>
  <c r="P257" i="11"/>
  <c r="G258" i="11"/>
  <c r="R256" i="11"/>
  <c r="P256" i="11"/>
  <c r="G257" i="11"/>
  <c r="R255" i="11"/>
  <c r="P255" i="11"/>
  <c r="G256" i="11"/>
  <c r="R254" i="11"/>
  <c r="P254" i="11"/>
  <c r="G255" i="11"/>
  <c r="R253" i="11"/>
  <c r="P253" i="11"/>
  <c r="G254" i="11"/>
  <c r="R252" i="11"/>
  <c r="P252" i="11"/>
  <c r="G253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<sst xmlns="http://schemas.openxmlformats.org/spreadsheetml/2006/main" count="28277" uniqueCount="756">
  <si>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</si>
  <si>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</si>
  <si>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</si>
  <si>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</si>
  <si>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</si>
  <si>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</si>
  <si>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</si>
  <si>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</si>
  <si>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</si>
  <si>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</si>
  <si>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</si>
  <si>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</si>
  <si>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</si>
  <si>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</si>
  <si>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</si>
  <si>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</si>
  <si>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</si>
  <si>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</si>
  <si>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</si>
  <si>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</si>
  <si>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</si>
  <si>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</si>
  <si>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</si>
  <si>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</si>
  <si>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</si>
  <si>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</si>
  <si>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</si>
  <si>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</si>
  <si>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</si>
  <si>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</si>
  <si>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</si>
  <si>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</si>
  <si>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</si>
  <si>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</si>
  <si>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</si>
  <si>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</si>
  <si>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</si>
  <si>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</si>
  <si>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</si>
  <si>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</si>
  <si>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</si>
  <si>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</si>
  <si>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</si>
  <si>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</si>
  <si>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</si>
  <si>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</si>
  <si>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</si>
  <si>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</si>
  <si>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</si>
  <si>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</si>
  <si>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</si>
  <si>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</si>
  <si>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</si>
  <si>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</si>
  <si>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</si>
  <si>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</si>
  <si>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</si>
  <si>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</si>
  <si>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</si>
  <si>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</si>
  <si>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</si>
  <si>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</si>
  <si>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</si>
  <si>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</si>
  <si>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</si>
  <si>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</si>
  <si>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</si>
  <si>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</si>
  <si>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</si>
  <si>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</si>
  <si>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</si>
  <si>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</si>
  <si>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</si>
  <si>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</si>
  <si>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</si>
  <si>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</si>
  <si>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</si>
  <si>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</si>
  <si>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</si>
  <si>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</si>
  <si>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</si>
  <si>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</si>
  <si>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</si>
  <si>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</si>
  <si>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</si>
  <si>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</si>
  <si>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</si>
  <si>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</si>
  <si>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</si>
  <si>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</si>
  <si>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</si>
  <si>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</si>
  <si>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</si>
  <si>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</si>
  <si>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</si>
  <si>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</si>
  <si>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</si>
  <si>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</si>
  <si>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</si>
  <si>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</si>
  <si>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</si>
  <si>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</si>
  <si>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</si>
  <si>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</si>
  <si>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</si>
  <si>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</si>
  <si>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</si>
  <si>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</si>
  <si>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</si>
  <si>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</si>
  <si>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</si>
  <si>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</si>
  <si>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</si>
  <si>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</si>
  <si>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</si>
  <si>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</si>
  <si>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</si>
  <si>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</si>
  <si>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</si>
  <si>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</si>
  <si>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</si>
  <si>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</si>
  <si>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</si>
  <si>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</si>
  <si>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</si>
  <si>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</si>
  <si>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</si>
  <si>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</si>
  <si>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</si>
  <si>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</si>
  <si>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</si>
  <si>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</si>
  <si>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</si>
  <si>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</si>
  <si>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</si>
  <si>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</si>
  <si>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</si>
  <si>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</si>
  <si>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</si>
  <si>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</si>
  <si>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</si>
  <si>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</si>
  <si>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</si>
  <si>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</si>
  <si>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</si>
  <si>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</si>
  <si>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</si>
  <si>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</si>
  <si>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</si>
  <si>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</si>
  <si>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</si>
  <si>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</si>
  <si>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</si>
  <si>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</si>
  <si>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</si>
  <si>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</si>
  <si>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</si>
  <si>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</si>
  <si>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</si>
  <si>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</si>
  <si>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</si>
  <si>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</si>
  <si>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</si>
  <si>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</si>
  <si>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</si>
  <si>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</si>
  <si>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</si>
  <si>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</si>
  <si>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</si>
  <si>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</si>
  <si>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</si>
  <si>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</si>
  <si>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</si>
  <si>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</si>
  <si>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</si>
  <si>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</si>
  <si>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</si>
  <si>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</si>
  <si>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</si>
  <si>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</si>
  <si>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</si>
  <si>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</si>
  <si>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</si>
  <si>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</si>
  <si>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</si>
  <si>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</si>
  <si>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</si>
  <si>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</si>
  <si>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</si>
  <si>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</si>
  <si>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</si>
  <si>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</si>
  <si>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</si>
  <si>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</si>
  <si>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</si>
  <si>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</si>
  <si>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</si>
  <si>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</si>
  <si>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</si>
  <si>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</si>
  <si>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</si>
  <si>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</si>
  <si>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</si>
  <si>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</si>
  <si>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</si>
  <si>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</si>
  <si>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</si>
  <si>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</si>
  <si>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</si>
  <si>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</si>
  <si>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</si>
  <si>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</si>
  <si>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</si>
  <si>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</si>
  <si>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</si>
  <si>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</si>
  <si>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</si>
  <si>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</si>
  <si>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</si>
  <si>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</si>
  <si>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</si>
  <si>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</si>
  <si>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</si>
  <si>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</si>
  <si>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</si>
  <si>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</si>
  <si>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</si>
  <si>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</si>
  <si>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</si>
  <si>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</si>
  <si>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</si>
  <si>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</si>
  <si>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</si>
  <si>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</si>
  <si>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</si>
  <si>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</si>
  <si>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</si>
  <si>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</si>
  <si>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</si>
  <si>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</si>
  <si>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</si>
  <si>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</si>
  <si>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</si>
  <si>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</si>
  <si>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</si>
  <si>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</si>
  <si>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</si>
  <si>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</si>
  <si>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</si>
  <si>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</si>
  <si>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</si>
  <si>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</si>
  <si>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</si>
  <si>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</si>
  <si>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</si>
  <si>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</si>
  <si>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</si>
  <si>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</si>
  <si>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</si>
  <si>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</si>
  <si>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</si>
  <si>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</si>
  <si>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</si>
  <si>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</si>
  <si>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</si>
  <si>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</si>
  <si>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</si>
  <si>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</si>
  <si>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</si>
  <si>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</si>
  <si>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</si>
  <si>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</si>
  <si>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</si>
  <si>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</si>
  <si>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</si>
  <si>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</si>
  <si>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</si>
  <si>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</si>
  <si>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</si>
  <si>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</si>
  <si>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</si>
  <si>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</si>
  <si>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</si>
  <si>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</si>
  <si>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</si>
  <si>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</si>
  <si>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</si>
  <si>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</si>
  <si>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</si>
  <si>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</si>
  <si>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</si>
  <si>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</si>
  <si>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</si>
  <si>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</si>
  <si>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</si>
  <si>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</si>
  <si>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</si>
  <si>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</si>
  <si>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</si>
  <si>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</si>
  <si>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</si>
  <si>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</si>
  <si>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</si>
  <si>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</si>
  <si>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</si>
  <si>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</si>
  <si>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</si>
  <si>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</si>
  <si>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</si>
  <si>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</si>
  <si>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</si>
  <si>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</si>
  <si>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</si>
  <si>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</si>
  <si>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</si>
  <si>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</si>
  <si>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</si>
  <si>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</si>
  <si>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</si>
  <si>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</si>
  <si>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</si>
  <si>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</si>
  <si>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</si>
  <si>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</si>
  <si>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</si>
  <si>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</si>
  <si>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</si>
  <si>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</si>
  <si>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</si>
  <si>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</si>
  <si>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</si>
  <si>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</si>
  <si>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</si>
  <si>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</si>
  <si>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</si>
  <si>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</si>
  <si>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</si>
  <si>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</si>
  <si>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</si>
  <si>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</si>
  <si>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</si>
  <si>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</si>
  <si>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</si>
  <si>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</si>
  <si>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</si>
  <si>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</si>
  <si>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</si>
  <si>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</si>
  <si>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</si>
  <si>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</si>
  <si>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</si>
  <si>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</si>
  <si>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</si>
  <si>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</si>
  <si>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</si>
  <si>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</si>
  <si>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</si>
  <si>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</si>
  <si>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</si>
  <si>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</si>
  <si>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</si>
  <si>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</si>
  <si>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</si>
  <si>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</si>
  <si>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</si>
  <si>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</si>
  <si>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</si>
  <si>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</si>
  <si>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</si>
  <si>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</si>
  <si>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</si>
  <si>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</si>
  <si>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</si>
  <si>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</si>
  <si>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</si>
  <si>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</si>
  <si>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</si>
  <si>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</si>
  <si>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</si>
  <si>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</si>
  <si>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</si>
  <si>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</si>
  <si>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</si>
  <si>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</si>
  <si>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</si>
  <si>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</si>
  <si>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</si>
  <si>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</si>
  <si>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</si>
  <si>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</si>
  <si>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</si>
  <si>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</si>
  <si>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</si>
  <si>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</si>
  <si>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</si>
  <si>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</si>
  <si>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</si>
  <si>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</si>
  <si>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</si>
  <si>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</si>
  <si>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</si>
  <si>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</si>
  <si>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</si>
  <si>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</si>
  <si>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</si>
  <si>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</si>
  <si>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</si>
  <si>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</si>
  <si>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</si>
  <si>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</si>
  <si>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</si>
  <si>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</si>
  <si>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</si>
  <si>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</si>
  <si>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</si>
  <si>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</si>
  <si>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</si>
  <si>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</si>
  <si>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</si>
  <si>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</si>
  <si>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</si>
  <si>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</si>
  <si>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</si>
  <si>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</si>
  <si>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</si>
  <si>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</si>
  <si>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</si>
  <si>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</si>
  <si>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</si>
  <si>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</si>
  <si>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</si>
  <si>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</si>
  <si>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</si>
  <si>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</si>
  <si>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</si>
  <si>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</si>
  <si>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</si>
  <si>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</si>
  <si>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</si>
  <si>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</si>
  <si>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</si>
  <si>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</si>
  <si>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</si>
  <si>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</si>
  <si>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</si>
  <si>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</si>
  <si>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</si>
  <si>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</si>
  <si>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</si>
  <si>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</si>
  <si>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</si>
  <si>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</si>
  <si>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</si>
  <si>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</si>
  <si>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</si>
  <si>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</si>
  <si>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</si>
  <si>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</si>
  <si>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</si>
  <si>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</si>
  <si>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</si>
  <si>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</si>
  <si>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</si>
  <si>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</si>
  <si>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</si>
  <si>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</si>
  <si>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</si>
  <si>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</si>
  <si>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</si>
  <si>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</si>
  <si>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</si>
  <si>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</si>
  <si>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</si>
  <si>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</si>
  <si>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</si>
  <si>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</si>
  <si>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</si>
  <si>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</si>
  <si>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</si>
  <si>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</si>
  <si>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</si>
  <si>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</si>
  <si>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</si>
  <si>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</si>
  <si>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</si>
  <si>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</si>
  <si>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</si>
  <si>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</si>
  <si>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</si>
  <si>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</si>
  <si>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</si>
  <si>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</si>
  <si>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</si>
  <si>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</si>
  <si>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</si>
  <si>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</si>
  <si>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</si>
  <si>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</si>
  <si>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</si>
  <si>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</si>
  <si>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</si>
  <si>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</si>
  <si>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</si>
  <si>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</si>
  <si>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</si>
  <si>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</si>
  <si>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</si>
  <si>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</si>
  <si>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</si>
  <si>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</si>
  <si>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</si>
  <si>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</si>
  <si>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</si>
  <si>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</si>
  <si>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</si>
  <si>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</si>
  <si>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</si>
  <si>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</si>
  <si>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</si>
  <si>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</si>
  <si>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</si>
  <si>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</si>
  <si>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</si>
  <si>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</si>
  <si>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</si>
  <si>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</si>
  <si>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</si>
  <si>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</si>
  <si>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</si>
  <si>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</si>
  <si>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</si>
  <si>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</si>
  <si>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</si>
  <si>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</si>
  <si>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</si>
  <si>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</si>
  <si>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</si>
  <si>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</si>
  <si>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</si>
  <si>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</si>
  <si>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</si>
  <si>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</si>
  <si>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</si>
  <si>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</si>
  <si>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</si>
  <si>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</si>
  <si>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</si>
  <si>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</si>
  <si>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</si>
  <si>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</si>
  <si>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</si>
  <si>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</si>
  <si>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</si>
  <si>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</si>
  <si>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</si>
  <si>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</si>
  <si>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</si>
  <si>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</si>
  <si>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</si>
  <si>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</si>
  <si>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</si>
  <si>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</si>
  <si>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</si>
  <si>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</si>
  <si>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</si>
  <si>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</si>
  <si>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</si>
  <si>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</si>
  <si>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</si>
  <si>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</si>
  <si>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</si>
  <si>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</si>
  <si>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</si>
  <si>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</si>
  <si>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</si>
  <si>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</si>
  <si>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</si>
  <si>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</si>
  <si>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</si>
  <si>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</si>
  <si>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</si>
  <si>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</si>
  <si>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</si>
  <si>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</si>
  <si>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</si>
  <si>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</si>
  <si>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</si>
  <si>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</si>
  <si>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</si>
  <si>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</si>
  <si>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</si>
  <si>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</si>
  <si>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</si>
  <si>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</si>
  <si>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</si>
  <si>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</si>
  <si>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</si>
  <si>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</si>
  <si>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</si>
  <si>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</si>
  <si>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</si>
  <si>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</si>
  <si>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</si>
  <si>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</si>
  <si>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</si>
  <si>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</si>
  <si>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</si>
  <si>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</si>
  <si>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</si>
  <si>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</si>
  <si>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</si>
  <si>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</si>
  <si>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</si>
  <si>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</si>
  <si>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</si>
  <si>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</si>
  <si>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</si>
  <si>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</si>
  <si>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</si>
  <si>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</si>
  <si>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</si>
  <si>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</si>
  <si>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</si>
  <si>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</si>
  <si>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</si>
  <si>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</si>
  <si>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</si>
  <si>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</si>
  <si>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</si>
  <si>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</si>
  <si>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</si>
  <si>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</si>
  <si>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</si>
  <si>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</si>
  <si>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</si>
  <si>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</si>
  <si>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</si>
  <si>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</si>
  <si>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</si>
  <si>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</si>
  <si>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</si>
  <si>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</si>
  <si>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</si>
  <si>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</si>
  <si>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</si>
  <si>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</si>
  <si>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</si>
  <si>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</si>
  <si>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</si>
  <si>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</si>
  <si>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</si>
  <si>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</si>
  <si>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</si>
  <si>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</si>
  <si>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</si>
  <si>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</si>
  <si>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</si>
  <si>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</si>
  <si>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</si>
  <si>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</si>
  <si>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</si>
  <si>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</si>
  <si>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</si>
  <si>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</si>
  <si>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</si>
  <si>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</si>
  <si>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</si>
  <si>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</si>
  <si>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</si>
  <si>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</si>
  <si>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</si>
  <si>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</si>
  <si>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</si>
  <si>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</si>
  <si>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</si>
  <si>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</si>
  <si>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</si>
  <si>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</si>
  <si>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</si>
  <si>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</si>
  <si>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</si>
  <si>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</si>
  <si>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</si>
  <si>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</si>
  <si>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</si>
  <si>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</si>
  <si>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</si>
  <si>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</si>
  <si>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</si>
  <si>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</si>
  <si>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</si>
  <si>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</si>
  <si>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</si>
  <si>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</si>
  <si>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</si>
  <si>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</si>
  <si>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</si>
  <si>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</si>
  <si>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</si>
  <si>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</si>
  <si>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</si>
  <si>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</si>
  <si>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</si>
  <si>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</si>
  <si>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</si>
  <si>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</si>
  <si>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</si>
  <si>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</si>
  <si>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</si>
  <si>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</si>
  <si>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</si>
  <si>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</si>
  <si>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</si>
  <si>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</si>
  <si>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</si>
  <si>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</si>
  <si>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</si>
  <si>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</si>
  <si>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</si>
  <si>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</si>
  <si>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</si>
  <si>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</si>
  <si>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</si>
  <si>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</si>
  <si>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</si>
  <si>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</si>
  <si>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</si>
  <si>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</si>
  <si>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</si>
  <si>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</si>
  <si>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</si>
  <si>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</si>
  <si>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</si>
  <si>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</si>
  <si>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</si>
  <si>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</si>
  <si>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</si>
  <si>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</si>
  <si>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</si>
  <si>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</si>
  <si>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</si>
  <si>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</si>
  <si>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</si>
  <si>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</si>
  <si>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</si>
  <si>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</si>
  <si>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</si>
  <si>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</si>
  <si>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</si>
  <si>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end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</si>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</sst>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32" totalsRowShown="0" headerRowDxfId="161" dataDxfId="160">
  <autoFilter ref="C3:G2132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736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738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739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740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741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742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744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680</v>
      </c>
      <c r="C20" s="2" t="s">
        <v>745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735</v>
      </c>
      <c r="C21" s="2" t="s">
        <v>746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748</v>
      </c>
      <c r="C22" s="2" t="s">
        <v>747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725</v>
      </c>
    </row>
    <row r="49" spans="2:3" x14ac:dyDescent="0.3">
      <c r="B49" s="5" t="s">
        <v>727</v>
      </c>
    </row>
    <row r="50" spans="2:3" s="5" customFormat="1" x14ac:dyDescent="0.3">
      <c r="B50" s="5" t="s">
        <v>728</v>
      </c>
      <c r="C50" s="2"/>
    </row>
    <row r="51" spans="2:3" s="5" customFormat="1" x14ac:dyDescent="0.3">
      <c r="B51" s="5" t="s">
        <v>729</v>
      </c>
      <c r="C51" s="2"/>
    </row>
    <row r="52" spans="2:3" s="5" customFormat="1" x14ac:dyDescent="0.3">
      <c r="B52" s="5" t="s">
        <v>730</v>
      </c>
      <c r="C52" s="2"/>
    </row>
    <row r="53" spans="2:3" s="5" customFormat="1" x14ac:dyDescent="0.3">
      <c r="B53" s="5" t="s">
        <v>731</v>
      </c>
      <c r="C53" s="2"/>
    </row>
    <row r="54" spans="2:3" s="5" customFormat="1" x14ac:dyDescent="0.3">
      <c r="B54" s="5" t="s">
        <v>732</v>
      </c>
      <c r="C54" s="2"/>
    </row>
    <row r="55" spans="2:3" s="5" customFormat="1" x14ac:dyDescent="0.3">
      <c r="B55" s="5" t="s">
        <v>733</v>
      </c>
      <c r="C55" s="2"/>
    </row>
    <row r="56" spans="2:3" s="5" customFormat="1" x14ac:dyDescent="0.3">
      <c r="B56" s="5" t="s">
        <v>734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34"/>
  <sheetViews>
    <sheetView tabSelected="1" zoomScaleNormal="100" workbookViewId="0">
      <pane xSplit="3" ySplit="6" topLeftCell="D256" activePane="bottomRight" state="frozen"/>
      <selection pane="topRight" activeCell="C1" sqref="C1"/>
      <selection pane="bottomLeft" activeCell="A7" sqref="A7"/>
      <selection pane="bottomRight" activeCell="D333" sqref="D333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3.25" style="60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N2" s="60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N3" s="60"/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60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N5" s="60"/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N6" s="60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4">
        <v>1</v>
      </c>
      <c r="J10" s="24">
        <v>249999</v>
      </c>
      <c r="K10" s="4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2</v>
      </c>
      <c r="J11" s="24">
        <v>249999</v>
      </c>
      <c r="K11" s="46"/>
      <c r="L11" s="24">
        <v>31</v>
      </c>
      <c r="M11" s="24">
        <v>249999</v>
      </c>
      <c r="N11" s="60">
        <v>1</v>
      </c>
      <c r="O11" s="51" t="s">
        <v>750</v>
      </c>
      <c r="P11" s="51">
        <f>HEX2DEC(RIGHT(Table13232127[[#This Row],[h1]],8))</f>
        <v>65536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3</v>
      </c>
      <c r="J12" s="24">
        <v>249999</v>
      </c>
      <c r="K12" s="46"/>
      <c r="L12" s="24">
        <v>32</v>
      </c>
      <c r="M12" s="24">
        <v>249999</v>
      </c>
      <c r="N12" s="60">
        <v>2</v>
      </c>
      <c r="O12" s="61" t="s">
        <v>751</v>
      </c>
      <c r="P12" s="56">
        <f>HEX2DEC(RIGHT(Table13232127[[#This Row],[h1]],8))</f>
        <v>196608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0">
        <v>4</v>
      </c>
      <c r="J13" s="24">
        <v>249999</v>
      </c>
      <c r="K13" s="46"/>
      <c r="L13" s="20">
        <v>33</v>
      </c>
      <c r="M13" s="24">
        <v>249999</v>
      </c>
      <c r="N13" s="60">
        <v>3</v>
      </c>
      <c r="O13" s="61" t="s">
        <v>752</v>
      </c>
      <c r="P13" s="56">
        <f>HEX2DEC(RIGHT(Table13232127[[#This Row],[h1]],8))</f>
        <v>458752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>
        <v>5</v>
      </c>
      <c r="J14" s="24">
        <v>249999</v>
      </c>
      <c r="K14" s="46"/>
      <c r="L14" s="20">
        <v>34</v>
      </c>
      <c r="M14" s="24">
        <v>249999</v>
      </c>
      <c r="N14" s="60">
        <v>4</v>
      </c>
      <c r="O14" s="61" t="s">
        <v>753</v>
      </c>
      <c r="P14" s="56">
        <f>HEX2DEC(RIGHT(Table13232127[[#This Row],[h1]],8))</f>
        <v>983040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4" t="s">
        <v>755</v>
      </c>
      <c r="J15" s="24">
        <v>249999</v>
      </c>
      <c r="K15" s="46"/>
      <c r="L15" s="24" t="s">
        <v>88</v>
      </c>
      <c r="M15" s="24">
        <v>249999</v>
      </c>
      <c r="N15" s="60">
        <v>5</v>
      </c>
      <c r="O15" s="61" t="s">
        <v>754</v>
      </c>
      <c r="P15" s="56">
        <f>HEX2DEC(RIGHT(Table13232127[[#This Row],[h1]],8))</f>
        <v>2031616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I16" s="24">
        <v>2</v>
      </c>
      <c r="J16" s="24">
        <v>50000</v>
      </c>
      <c r="K16" s="46"/>
      <c r="L16" s="24">
        <v>16</v>
      </c>
      <c r="M16" s="24">
        <v>50000</v>
      </c>
      <c r="N16" s="60">
        <v>6</v>
      </c>
      <c r="O16" s="60" t="s">
        <v>670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I17" s="24">
        <v>1</v>
      </c>
      <c r="J17" s="24">
        <v>50000</v>
      </c>
      <c r="K17" s="46"/>
      <c r="L17" s="24">
        <v>17</v>
      </c>
      <c r="M17" s="24">
        <v>50000</v>
      </c>
      <c r="N17" s="60">
        <v>7</v>
      </c>
      <c r="O17" s="60" t="s">
        <v>670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I18" s="24">
        <v>3</v>
      </c>
      <c r="J18" s="24">
        <v>50000</v>
      </c>
      <c r="K18" s="46"/>
      <c r="L18" s="24">
        <v>18</v>
      </c>
      <c r="M18" s="24">
        <v>50000</v>
      </c>
      <c r="N18" s="60">
        <v>8</v>
      </c>
      <c r="O18" s="60" t="s">
        <v>670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I19" s="24">
        <v>1</v>
      </c>
      <c r="J19" s="24">
        <v>50000</v>
      </c>
      <c r="K19" s="46"/>
      <c r="L19" s="24">
        <v>19</v>
      </c>
      <c r="M19" s="24">
        <v>50000</v>
      </c>
      <c r="N19" s="60">
        <v>9</v>
      </c>
      <c r="O19" s="60" t="s">
        <v>670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I20" s="24">
        <v>2</v>
      </c>
      <c r="J20" s="24">
        <v>50000</v>
      </c>
      <c r="K20" s="46"/>
      <c r="L20" s="24">
        <v>20</v>
      </c>
      <c r="M20" s="24">
        <v>50000</v>
      </c>
      <c r="N20" s="60">
        <v>10</v>
      </c>
      <c r="O20" s="60" t="s">
        <v>670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I21" s="24">
        <v>1</v>
      </c>
      <c r="J21" s="24">
        <v>50000</v>
      </c>
      <c r="K21" s="46"/>
      <c r="L21" s="24">
        <v>21</v>
      </c>
      <c r="M21" s="24">
        <v>50000</v>
      </c>
      <c r="N21" s="60">
        <v>11</v>
      </c>
      <c r="O21" s="60" t="s">
        <v>670</v>
      </c>
      <c r="P21" s="56">
        <f>HEX2DEC(RIGHT(Table13232127[[#This Row],[h1]],8))</f>
        <v>0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I22" s="24">
        <v>4</v>
      </c>
      <c r="J22" s="24">
        <v>50000</v>
      </c>
      <c r="K22" s="46"/>
      <c r="L22" s="24">
        <v>22</v>
      </c>
      <c r="M22" s="24">
        <v>50000</v>
      </c>
      <c r="N22" s="60">
        <v>12</v>
      </c>
      <c r="O22" s="60" t="s">
        <v>670</v>
      </c>
      <c r="P22" s="56">
        <f>HEX2DEC(RIGHT(Table13232127[[#This Row],[h1]],8))</f>
        <v>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6"/>
      <c r="I23" s="24">
        <v>1</v>
      </c>
      <c r="J23" s="24">
        <v>50000</v>
      </c>
      <c r="K23" s="46"/>
      <c r="L23" s="24">
        <v>23</v>
      </c>
      <c r="M23" s="24">
        <v>50000</v>
      </c>
      <c r="N23" s="60">
        <v>13</v>
      </c>
      <c r="O23" s="60" t="s">
        <v>670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6"/>
      <c r="I24" s="24">
        <v>2</v>
      </c>
      <c r="J24" s="24">
        <v>50000</v>
      </c>
      <c r="K24" s="46"/>
      <c r="L24" s="24">
        <v>24</v>
      </c>
      <c r="M24" s="24">
        <v>50000</v>
      </c>
      <c r="N24" s="60">
        <v>14</v>
      </c>
      <c r="O24" s="60" t="s">
        <v>670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6"/>
      <c r="I25" s="24">
        <v>1</v>
      </c>
      <c r="J25" s="24">
        <v>50000</v>
      </c>
      <c r="K25" s="46"/>
      <c r="L25" s="24">
        <v>25</v>
      </c>
      <c r="M25" s="24">
        <v>50000</v>
      </c>
      <c r="N25" s="60">
        <v>15</v>
      </c>
      <c r="O25" s="60" t="s">
        <v>670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6"/>
      <c r="I26" s="24">
        <v>3</v>
      </c>
      <c r="J26" s="24">
        <v>50000</v>
      </c>
      <c r="K26" s="46"/>
      <c r="L26" s="24">
        <v>26</v>
      </c>
      <c r="M26" s="24">
        <v>50000</v>
      </c>
      <c r="N26" s="60">
        <v>16</v>
      </c>
      <c r="O26" s="60" t="s">
        <v>670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6"/>
      <c r="I27" s="24">
        <v>1</v>
      </c>
      <c r="J27" s="24">
        <v>50000</v>
      </c>
      <c r="K27" s="46"/>
      <c r="L27" s="24">
        <v>27</v>
      </c>
      <c r="M27" s="24">
        <v>50000</v>
      </c>
      <c r="N27" s="60">
        <v>17</v>
      </c>
      <c r="O27" s="60" t="s">
        <v>670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6"/>
      <c r="I28" s="24">
        <v>2</v>
      </c>
      <c r="J28" s="24">
        <v>50000</v>
      </c>
      <c r="K28" s="46"/>
      <c r="L28" s="24">
        <v>28</v>
      </c>
      <c r="M28" s="24">
        <v>50000</v>
      </c>
      <c r="N28" s="60">
        <v>18</v>
      </c>
      <c r="O28" s="60" t="s">
        <v>670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6"/>
      <c r="I29" s="24">
        <v>1</v>
      </c>
      <c r="J29" s="24">
        <v>50000</v>
      </c>
      <c r="K29" s="46"/>
      <c r="L29" s="24">
        <v>29</v>
      </c>
      <c r="M29" s="24">
        <v>50000</v>
      </c>
      <c r="N29" s="60">
        <v>19</v>
      </c>
      <c r="O29" s="60" t="s">
        <v>670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6"/>
      <c r="I30" s="24">
        <v>3</v>
      </c>
      <c r="J30" s="24">
        <v>50000</v>
      </c>
      <c r="K30" s="46"/>
      <c r="L30" s="24">
        <v>30</v>
      </c>
      <c r="M30" s="24">
        <v>50000</v>
      </c>
      <c r="N30" s="60">
        <v>20</v>
      </c>
      <c r="O30" s="60" t="s">
        <v>670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6"/>
      <c r="I31" s="24">
        <v>1</v>
      </c>
      <c r="J31" s="24">
        <v>50000</v>
      </c>
      <c r="K31" s="46"/>
      <c r="L31" s="20"/>
      <c r="M31" s="24">
        <v>50000</v>
      </c>
      <c r="N31" s="60">
        <v>21</v>
      </c>
      <c r="O31" s="60" t="s">
        <v>670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6"/>
      <c r="I32" s="24">
        <v>2</v>
      </c>
      <c r="J32" s="24">
        <v>50000</v>
      </c>
      <c r="K32" s="46"/>
      <c r="M32" s="24">
        <v>50000</v>
      </c>
      <c r="N32" s="60">
        <v>22</v>
      </c>
      <c r="O32" s="60" t="s">
        <v>670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6"/>
      <c r="I33" s="24">
        <v>1</v>
      </c>
      <c r="J33" s="24">
        <v>50000</v>
      </c>
      <c r="K33" s="46"/>
      <c r="M33" s="24">
        <v>50000</v>
      </c>
      <c r="N33" s="60">
        <v>23</v>
      </c>
      <c r="O33" s="60" t="s">
        <v>670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6"/>
      <c r="I34" s="24">
        <v>4</v>
      </c>
      <c r="J34" s="24">
        <v>50000</v>
      </c>
      <c r="K34" s="46"/>
      <c r="M34" s="24">
        <v>50000</v>
      </c>
      <c r="N34" s="60">
        <v>24</v>
      </c>
      <c r="O34" s="60" t="s">
        <v>670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6"/>
      <c r="I35" s="24">
        <v>1</v>
      </c>
      <c r="J35" s="24">
        <v>50000</v>
      </c>
      <c r="K35" s="46"/>
      <c r="M35" s="24">
        <v>50000</v>
      </c>
      <c r="N35" s="60">
        <v>25</v>
      </c>
      <c r="O35" s="60" t="s">
        <v>670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6"/>
      <c r="I36" s="24">
        <v>2</v>
      </c>
      <c r="J36" s="24">
        <v>50000</v>
      </c>
      <c r="K36" s="46"/>
      <c r="M36" s="24">
        <v>50000</v>
      </c>
      <c r="N36" s="60">
        <v>26</v>
      </c>
      <c r="O36" s="60" t="s">
        <v>670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6"/>
      <c r="I37" s="24">
        <v>1</v>
      </c>
      <c r="J37" s="24">
        <v>50000</v>
      </c>
      <c r="K37" s="46"/>
      <c r="M37" s="24">
        <v>50000</v>
      </c>
      <c r="N37" s="60">
        <v>27</v>
      </c>
      <c r="O37" s="56" t="s">
        <v>670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6"/>
      <c r="I38" s="24">
        <v>3</v>
      </c>
      <c r="J38" s="24">
        <v>50000</v>
      </c>
      <c r="K38" s="46"/>
      <c r="L38" s="20" t="s">
        <v>88</v>
      </c>
      <c r="M38" s="24">
        <v>50000</v>
      </c>
      <c r="N38" s="60">
        <v>28</v>
      </c>
      <c r="O38" s="56" t="s">
        <v>670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6"/>
      <c r="I39" s="24">
        <v>1</v>
      </c>
      <c r="J39" s="24">
        <v>50000</v>
      </c>
      <c r="K39" s="46"/>
      <c r="M39" s="24">
        <v>50000</v>
      </c>
      <c r="N39" s="60">
        <v>29</v>
      </c>
      <c r="O39" s="56" t="s">
        <v>670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6"/>
      <c r="I40" s="24">
        <v>2</v>
      </c>
      <c r="J40" s="24">
        <v>50000</v>
      </c>
      <c r="K40" s="46"/>
      <c r="M40" s="24">
        <v>50000</v>
      </c>
      <c r="N40" s="60">
        <v>30</v>
      </c>
      <c r="O40" s="56" t="s">
        <v>670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6"/>
      <c r="I41" s="24">
        <v>1</v>
      </c>
      <c r="J41" s="24">
        <v>50000</v>
      </c>
      <c r="K41" s="46"/>
      <c r="M41" s="24">
        <v>50000</v>
      </c>
      <c r="N41" s="60">
        <v>31</v>
      </c>
      <c r="O41" s="56" t="s">
        <v>670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6"/>
      <c r="I42" s="24">
        <v>3</v>
      </c>
      <c r="J42" s="24">
        <v>50000</v>
      </c>
      <c r="K42" s="46"/>
      <c r="M42" s="24">
        <v>50000</v>
      </c>
      <c r="N42" s="60">
        <v>32</v>
      </c>
      <c r="O42" s="56" t="s">
        <v>670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6"/>
      <c r="I43" s="24">
        <v>1</v>
      </c>
      <c r="J43" s="24">
        <v>50000</v>
      </c>
      <c r="K43" s="46"/>
      <c r="M43" s="24">
        <v>50000</v>
      </c>
      <c r="N43" s="60">
        <v>33</v>
      </c>
      <c r="O43" s="56" t="s">
        <v>670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6"/>
      <c r="I44" s="24">
        <v>2</v>
      </c>
      <c r="J44" s="24">
        <v>50000</v>
      </c>
      <c r="K44" s="46"/>
      <c r="M44" s="24">
        <v>50000</v>
      </c>
      <c r="N44" s="60">
        <v>34</v>
      </c>
      <c r="O44" s="56" t="s">
        <v>670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6"/>
      <c r="I45" s="24">
        <v>1</v>
      </c>
      <c r="J45" s="24">
        <v>50000</v>
      </c>
      <c r="K45" s="46"/>
      <c r="M45" s="24">
        <v>50000</v>
      </c>
      <c r="N45" s="60">
        <v>35</v>
      </c>
      <c r="O45" s="56" t="s">
        <v>670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6"/>
      <c r="I46" s="20">
        <v>4</v>
      </c>
      <c r="J46" s="24">
        <v>50000</v>
      </c>
      <c r="K46" s="46"/>
      <c r="M46" s="24">
        <v>50000</v>
      </c>
      <c r="N46" s="60">
        <v>36</v>
      </c>
      <c r="O46" s="56" t="s">
        <v>670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6"/>
      <c r="I47" s="24">
        <v>1</v>
      </c>
      <c r="J47" s="24">
        <v>50000</v>
      </c>
      <c r="K47" s="46"/>
      <c r="M47" s="24">
        <v>50000</v>
      </c>
      <c r="N47" s="60">
        <v>37</v>
      </c>
      <c r="O47" s="56" t="s">
        <v>670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6"/>
      <c r="I48" s="24">
        <v>2</v>
      </c>
      <c r="J48" s="24">
        <v>50000</v>
      </c>
      <c r="K48" s="46"/>
      <c r="M48" s="24">
        <v>50000</v>
      </c>
      <c r="N48" s="60">
        <v>38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6"/>
      <c r="I49" s="24">
        <v>1</v>
      </c>
      <c r="J49" s="24">
        <v>50000</v>
      </c>
      <c r="K49" s="46"/>
      <c r="M49" s="24">
        <v>50000</v>
      </c>
      <c r="N49" s="60">
        <v>39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6"/>
      <c r="I50" s="24">
        <v>3</v>
      </c>
      <c r="J50" s="24">
        <v>50000</v>
      </c>
      <c r="K50" s="46"/>
      <c r="M50" s="24">
        <v>50000</v>
      </c>
      <c r="N50" s="60">
        <v>40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6"/>
      <c r="I51" s="24">
        <v>1</v>
      </c>
      <c r="J51" s="24">
        <v>50000</v>
      </c>
      <c r="K51" s="46"/>
      <c r="M51" s="24">
        <v>50000</v>
      </c>
      <c r="N51" s="60">
        <v>41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6"/>
      <c r="I52" s="24">
        <v>2</v>
      </c>
      <c r="J52" s="24">
        <v>50000</v>
      </c>
      <c r="K52" s="46"/>
      <c r="M52" s="24">
        <v>50000</v>
      </c>
      <c r="N52" s="60">
        <v>42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6"/>
      <c r="I53" s="24">
        <v>1</v>
      </c>
      <c r="J53" s="24">
        <v>50000</v>
      </c>
      <c r="K53" s="46"/>
      <c r="M53" s="24">
        <v>50000</v>
      </c>
      <c r="N53" s="60">
        <v>43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6"/>
      <c r="I54" s="24">
        <v>3</v>
      </c>
      <c r="J54" s="24">
        <v>50000</v>
      </c>
      <c r="K54" s="46"/>
      <c r="M54" s="24">
        <v>50000</v>
      </c>
      <c r="N54" s="60">
        <v>44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6"/>
      <c r="I55" s="24">
        <v>1</v>
      </c>
      <c r="J55" s="24">
        <v>50000</v>
      </c>
      <c r="K55" s="46"/>
      <c r="M55" s="24">
        <v>50000</v>
      </c>
      <c r="N55" s="60">
        <v>45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6"/>
      <c r="I56" s="24">
        <v>2</v>
      </c>
      <c r="J56" s="24">
        <v>50000</v>
      </c>
      <c r="K56" s="46"/>
      <c r="M56" s="24">
        <v>50000</v>
      </c>
      <c r="N56" s="60">
        <v>46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6"/>
      <c r="I57" s="24">
        <v>1</v>
      </c>
      <c r="J57" s="24">
        <v>50000</v>
      </c>
      <c r="K57" s="46"/>
      <c r="M57" s="24">
        <v>50000</v>
      </c>
      <c r="N57" s="60">
        <v>47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6"/>
      <c r="I58" s="24">
        <v>4</v>
      </c>
      <c r="J58" s="24">
        <v>50000</v>
      </c>
      <c r="K58" s="46"/>
      <c r="M58" s="24">
        <v>50000</v>
      </c>
      <c r="N58" s="60">
        <v>48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6"/>
      <c r="I59" s="24">
        <v>1</v>
      </c>
      <c r="J59" s="24">
        <v>50000</v>
      </c>
      <c r="K59" s="46"/>
      <c r="M59" s="24">
        <v>50000</v>
      </c>
      <c r="N59" s="60">
        <v>49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6"/>
      <c r="I60" s="24">
        <v>2</v>
      </c>
      <c r="J60" s="24">
        <v>50000</v>
      </c>
      <c r="K60" s="46"/>
      <c r="M60" s="24">
        <v>50000</v>
      </c>
      <c r="N60" s="60">
        <v>50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6"/>
      <c r="I61" s="24">
        <v>1</v>
      </c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I62" s="24">
        <v>3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I63" s="24">
        <v>1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I64" s="24">
        <v>2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I65" s="24">
        <v>1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I66" s="24">
        <v>3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I67" s="24">
        <v>1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I68" s="24">
        <v>2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I69" s="24">
        <v>1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I70" s="24">
        <v>4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I71" s="24">
        <v>1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I72" s="24">
        <v>2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I73" s="24">
        <v>1</v>
      </c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I74" s="24">
        <v>3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I75" s="24">
        <v>1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I76" s="24">
        <v>2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I77" s="24">
        <v>1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I78" s="24">
        <v>3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I79" s="24">
        <v>1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I80" s="24">
        <v>2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I81" s="24">
        <v>1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I82" s="24">
        <v>4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I83" s="24">
        <v>1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I84" s="24">
        <v>2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I85" s="24">
        <v>1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I86" s="24">
        <v>3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I87" s="24">
        <v>1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I88" s="24">
        <v>2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I89" s="24">
        <v>1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I90" s="24">
        <v>3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I91" s="24">
        <v>1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I92" s="24">
        <v>2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I93" s="24">
        <v>1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I94" s="24">
        <v>4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I95" s="24">
        <v>1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I96" s="24">
        <v>2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I97" s="24">
        <v>1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I98" s="24">
        <v>3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I99" s="24">
        <v>1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I100" s="24">
        <v>2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I101" s="24">
        <v>1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I102" s="24">
        <v>3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I103" s="24">
        <v>1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I104" s="24">
        <v>2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I105" s="24">
        <v>1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I106" s="24">
        <v>4</v>
      </c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5000</v>
      </c>
      <c r="I107" s="24">
        <v>1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5000</v>
      </c>
      <c r="I108" s="24">
        <v>2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5000</v>
      </c>
      <c r="I109" s="24">
        <v>1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5000</v>
      </c>
      <c r="I110" s="24">
        <v>3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5000</v>
      </c>
      <c r="I111" s="24">
        <v>1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5000</v>
      </c>
      <c r="I112" s="24">
        <v>2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5000</v>
      </c>
      <c r="I113" s="24">
        <v>1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5000</v>
      </c>
      <c r="I114" s="24">
        <v>3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5000</v>
      </c>
      <c r="I115" s="24">
        <v>1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5000</v>
      </c>
      <c r="I116" s="24">
        <v>2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5000</v>
      </c>
      <c r="I117" s="24">
        <v>1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5000</v>
      </c>
      <c r="I118" s="24">
        <v>4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5000</v>
      </c>
      <c r="I119" s="24">
        <v>1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5000</v>
      </c>
      <c r="I120" s="24">
        <v>2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5000</v>
      </c>
      <c r="I121" s="24">
        <v>1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5000</v>
      </c>
      <c r="I122" s="24">
        <v>3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5000</v>
      </c>
      <c r="I123" s="24">
        <v>1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5000</v>
      </c>
      <c r="I124" s="24">
        <v>2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5000</v>
      </c>
      <c r="I125" s="24">
        <v>1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5000</v>
      </c>
      <c r="I126" s="24">
        <v>3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5000</v>
      </c>
      <c r="I127" s="24">
        <v>1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5000</v>
      </c>
      <c r="I128" s="24">
        <v>2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5000</v>
      </c>
      <c r="I129" s="24">
        <v>1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5000</v>
      </c>
      <c r="I130" s="24">
        <v>4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5000</v>
      </c>
      <c r="I131" s="24">
        <v>1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5000</v>
      </c>
      <c r="I132" s="24">
        <v>2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5000</v>
      </c>
      <c r="I133" s="24">
        <v>1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5000</v>
      </c>
      <c r="I134" s="24">
        <v>3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5000</v>
      </c>
      <c r="I135" s="24">
        <v>1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5000</v>
      </c>
      <c r="I136" s="24">
        <v>2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5000</v>
      </c>
      <c r="I137" s="24">
        <v>1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5000</v>
      </c>
      <c r="I138" s="24">
        <v>3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I139" s="24">
        <v>1</v>
      </c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F140" s="22"/>
      <c r="G140" s="35"/>
      <c r="I140" s="24">
        <v>2</v>
      </c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692</v>
      </c>
      <c r="G141" s="59" t="s">
        <v>724</v>
      </c>
      <c r="I141" s="24">
        <v>1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693</v>
      </c>
      <c r="G142" s="59" t="s">
        <v>724</v>
      </c>
      <c r="I142" s="24">
        <v>4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694</v>
      </c>
      <c r="G143" s="59" t="s">
        <v>726</v>
      </c>
      <c r="I143" s="24">
        <v>1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695</v>
      </c>
      <c r="G144" s="59" t="s">
        <v>724</v>
      </c>
      <c r="I144" s="24">
        <v>2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696</v>
      </c>
      <c r="G145" s="59" t="s">
        <v>724</v>
      </c>
      <c r="I145" s="24">
        <v>1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697</v>
      </c>
      <c r="G146" s="59" t="s">
        <v>724</v>
      </c>
      <c r="I146" s="24">
        <v>3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698</v>
      </c>
      <c r="G147" s="59" t="s">
        <v>724</v>
      </c>
      <c r="I147" s="24">
        <v>1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699</v>
      </c>
      <c r="G148" s="59" t="s">
        <v>724</v>
      </c>
      <c r="I148" s="24">
        <v>2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700</v>
      </c>
      <c r="G149" s="59" t="s">
        <v>724</v>
      </c>
      <c r="I149" s="24">
        <v>1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701</v>
      </c>
      <c r="G150" s="59" t="s">
        <v>724</v>
      </c>
      <c r="I150" s="24">
        <v>3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702</v>
      </c>
      <c r="G151" s="59" t="s">
        <v>724</v>
      </c>
      <c r="I151" s="24">
        <v>1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703</v>
      </c>
      <c r="G152" s="59" t="s">
        <v>724</v>
      </c>
      <c r="I152" s="24">
        <v>2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704</v>
      </c>
      <c r="G153" s="59" t="s">
        <v>724</v>
      </c>
      <c r="I153" s="24">
        <v>1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705</v>
      </c>
      <c r="G154" s="59" t="s">
        <v>724</v>
      </c>
      <c r="I154" s="24">
        <v>4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706</v>
      </c>
      <c r="G155" s="59" t="s">
        <v>724</v>
      </c>
      <c r="I155" s="24">
        <v>1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707</v>
      </c>
      <c r="G156" s="59" t="s">
        <v>724</v>
      </c>
      <c r="I156" s="24">
        <v>2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708</v>
      </c>
      <c r="G157" s="59" t="s">
        <v>724</v>
      </c>
      <c r="I157" s="24">
        <v>1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709</v>
      </c>
      <c r="G158" s="59" t="s">
        <v>724</v>
      </c>
      <c r="I158" s="24">
        <v>3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710</v>
      </c>
      <c r="G159" s="59" t="s">
        <v>724</v>
      </c>
      <c r="I159" s="24">
        <v>1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711</v>
      </c>
      <c r="G160" s="59" t="s">
        <v>724</v>
      </c>
      <c r="I160" s="24">
        <v>2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712</v>
      </c>
      <c r="G161" s="59" t="s">
        <v>724</v>
      </c>
      <c r="I161" s="24">
        <v>1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713</v>
      </c>
      <c r="G162" s="59" t="s">
        <v>724</v>
      </c>
      <c r="I162" s="24">
        <v>3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714</v>
      </c>
      <c r="G163" s="59" t="s">
        <v>724</v>
      </c>
      <c r="I163" s="24">
        <v>1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715</v>
      </c>
      <c r="G164" s="59" t="s">
        <v>724</v>
      </c>
      <c r="I164" s="24">
        <v>2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716</v>
      </c>
      <c r="G165" s="59" t="s">
        <v>724</v>
      </c>
      <c r="I165" s="24">
        <v>1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717</v>
      </c>
      <c r="G166" s="59" t="s">
        <v>724</v>
      </c>
      <c r="I166" s="24">
        <v>4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718</v>
      </c>
      <c r="G167" s="59" t="s">
        <v>724</v>
      </c>
      <c r="I167" s="24">
        <v>1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719</v>
      </c>
      <c r="F168" s="22"/>
      <c r="G168" s="59" t="s">
        <v>724</v>
      </c>
      <c r="I168" s="24">
        <v>2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720</v>
      </c>
      <c r="F169" s="22"/>
      <c r="G169" s="59" t="s">
        <v>724</v>
      </c>
      <c r="I169" s="24">
        <v>1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721</v>
      </c>
      <c r="F170" s="22"/>
      <c r="G170" s="59" t="s">
        <v>724</v>
      </c>
      <c r="I170" s="24">
        <v>3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722</v>
      </c>
      <c r="F171" s="22"/>
      <c r="G171" s="59" t="s">
        <v>724</v>
      </c>
      <c r="I171" s="24">
        <v>1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723</v>
      </c>
      <c r="F172" s="22"/>
      <c r="G172" s="59" t="s">
        <v>724</v>
      </c>
      <c r="I172" s="24">
        <v>2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F173" s="22"/>
      <c r="G173" s="33"/>
      <c r="I173" s="24">
        <v>1</v>
      </c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35" t="s">
        <v>281</v>
      </c>
      <c r="F174" s="22"/>
      <c r="G174" s="36">
        <v>1</v>
      </c>
      <c r="I174" s="24">
        <v>3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35" t="s">
        <v>281</v>
      </c>
      <c r="F175" s="22"/>
      <c r="G175" s="36">
        <v>0</v>
      </c>
      <c r="I175" s="24">
        <v>1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F176" s="22"/>
      <c r="G176" s="33"/>
      <c r="I176" s="24">
        <v>2</v>
      </c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282</v>
      </c>
      <c r="F177" s="22"/>
      <c r="G177" s="32">
        <v>0</v>
      </c>
      <c r="I177" s="24">
        <v>1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283</v>
      </c>
      <c r="F178" s="22"/>
      <c r="G178" s="32">
        <v>0</v>
      </c>
      <c r="I178" s="24">
        <v>4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284</v>
      </c>
      <c r="F179" s="22"/>
      <c r="G179" s="32">
        <v>0</v>
      </c>
      <c r="I179" s="24">
        <v>1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F180" s="22"/>
      <c r="G180" s="32"/>
      <c r="I180" s="24">
        <v>2</v>
      </c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285</v>
      </c>
      <c r="F181" s="22"/>
      <c r="G181" s="32">
        <v>1</v>
      </c>
      <c r="I181" s="24">
        <v>1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286</v>
      </c>
      <c r="F182" s="22"/>
      <c r="G182" s="32">
        <v>1</v>
      </c>
      <c r="I182" s="24">
        <v>3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287</v>
      </c>
      <c r="F183" s="22"/>
      <c r="G183" s="32">
        <v>1</v>
      </c>
      <c r="I183" s="24">
        <v>1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646</v>
      </c>
      <c r="F184" s="22"/>
      <c r="G184" s="32">
        <v>1</v>
      </c>
      <c r="I184" s="24">
        <v>2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E185" s="15">
        <v>125000000</v>
      </c>
      <c r="G185" s="33"/>
      <c r="I185" s="24">
        <v>1</v>
      </c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292</v>
      </c>
      <c r="E186" s="52"/>
      <c r="F186" s="53">
        <v>15</v>
      </c>
      <c r="G18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15</v>
      </c>
      <c r="I186" s="24">
        <v>3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293</v>
      </c>
      <c r="E187" s="52"/>
      <c r="F187" s="53">
        <v>555</v>
      </c>
      <c r="G18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555</v>
      </c>
      <c r="I187" s="24">
        <v>1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294</v>
      </c>
      <c r="E188" s="52"/>
      <c r="F188" s="53">
        <v>10552</v>
      </c>
      <c r="G18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10552</v>
      </c>
      <c r="I188" s="24">
        <v>2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295</v>
      </c>
      <c r="E189" s="52"/>
      <c r="F189" s="53">
        <v>9</v>
      </c>
      <c r="G18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9</v>
      </c>
      <c r="I189" s="24">
        <v>1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296</v>
      </c>
      <c r="E190" s="52"/>
      <c r="F190" s="53">
        <v>37</v>
      </c>
      <c r="G190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37</v>
      </c>
      <c r="I190" s="24">
        <v>4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297</v>
      </c>
      <c r="E191" s="52">
        <v>1</v>
      </c>
      <c r="F191" s="53">
        <v>5</v>
      </c>
      <c r="G191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1" s="24">
        <v>1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298</v>
      </c>
      <c r="E192" s="52">
        <v>1</v>
      </c>
      <c r="F192" s="53">
        <v>6</v>
      </c>
      <c r="G192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2" s="24">
        <v>2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299</v>
      </c>
      <c r="E193" s="52">
        <v>1</v>
      </c>
      <c r="F193" s="53">
        <v>7</v>
      </c>
      <c r="G193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3" s="24">
        <v>1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300</v>
      </c>
      <c r="E194" s="52">
        <v>1</v>
      </c>
      <c r="F194" s="53">
        <v>8</v>
      </c>
      <c r="G194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4" s="24">
        <v>3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301</v>
      </c>
      <c r="E195" s="52">
        <v>1</v>
      </c>
      <c r="F195" s="53">
        <v>9</v>
      </c>
      <c r="G195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5" s="24">
        <v>1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302</v>
      </c>
      <c r="E196" s="52">
        <v>1</v>
      </c>
      <c r="F196" s="53">
        <v>10</v>
      </c>
      <c r="G19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6" s="24">
        <v>2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303</v>
      </c>
      <c r="E197" s="52">
        <v>1</v>
      </c>
      <c r="F197" s="53">
        <v>11</v>
      </c>
      <c r="G19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7" s="24">
        <v>1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304</v>
      </c>
      <c r="E198" s="52">
        <v>1</v>
      </c>
      <c r="F198" s="53">
        <v>12</v>
      </c>
      <c r="G19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8" s="24">
        <v>3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305</v>
      </c>
      <c r="E199" s="52">
        <v>1</v>
      </c>
      <c r="F199" s="53">
        <v>13</v>
      </c>
      <c r="G19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9" s="24">
        <v>1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E200" s="25"/>
      <c r="F200" s="22"/>
      <c r="G200" s="23"/>
      <c r="I200" s="24">
        <v>2</v>
      </c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306</v>
      </c>
      <c r="G201" s="46" t="s">
        <v>42</v>
      </c>
      <c r="I201" s="24">
        <v>1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307</v>
      </c>
      <c r="G202" s="57" t="s">
        <v>42</v>
      </c>
      <c r="I202" s="24">
        <v>4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308</v>
      </c>
      <c r="G203" s="57" t="s">
        <v>42</v>
      </c>
      <c r="I203" s="24">
        <v>1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309</v>
      </c>
      <c r="G204" s="57" t="s">
        <v>42</v>
      </c>
      <c r="I204" s="24">
        <v>2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310</v>
      </c>
      <c r="G205" s="57" t="s">
        <v>42</v>
      </c>
      <c r="I205" s="24">
        <v>1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311</v>
      </c>
      <c r="G206" s="57" t="s">
        <v>42</v>
      </c>
      <c r="I206" s="24">
        <v>3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312</v>
      </c>
      <c r="G207" s="57" t="s">
        <v>42</v>
      </c>
      <c r="I207" s="24">
        <v>1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313</v>
      </c>
      <c r="G208" s="57" t="s">
        <v>42</v>
      </c>
      <c r="I208" s="24">
        <v>2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G209" s="46"/>
      <c r="I209" s="24">
        <v>1</v>
      </c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314</v>
      </c>
      <c r="G210" s="57" t="s">
        <v>42</v>
      </c>
      <c r="I210" s="24">
        <v>3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315</v>
      </c>
      <c r="G211" s="57" t="s">
        <v>42</v>
      </c>
      <c r="I211" s="24">
        <v>1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316</v>
      </c>
      <c r="G212" s="57" t="s">
        <v>42</v>
      </c>
      <c r="I212" s="24">
        <v>2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317</v>
      </c>
      <c r="G213" s="57" t="s">
        <v>42</v>
      </c>
      <c r="I213" s="24">
        <v>1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318</v>
      </c>
      <c r="G214" s="57" t="s">
        <v>42</v>
      </c>
      <c r="I214" s="24">
        <v>4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319</v>
      </c>
      <c r="G215" s="57" t="s">
        <v>42</v>
      </c>
      <c r="I215" s="24">
        <v>1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320</v>
      </c>
      <c r="G216" s="57" t="s">
        <v>42</v>
      </c>
      <c r="I216" s="24">
        <v>2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321</v>
      </c>
      <c r="G217" s="57" t="s">
        <v>42</v>
      </c>
      <c r="I217" s="24">
        <v>1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322</v>
      </c>
      <c r="G218" s="57" t="s">
        <v>42</v>
      </c>
      <c r="I218" s="24">
        <v>3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323</v>
      </c>
      <c r="G219" s="57" t="s">
        <v>42</v>
      </c>
      <c r="I219" s="24">
        <v>1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324</v>
      </c>
      <c r="G220" s="57" t="s">
        <v>42</v>
      </c>
      <c r="I220" s="24">
        <v>2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325</v>
      </c>
      <c r="G221" s="57" t="s">
        <v>42</v>
      </c>
      <c r="I221" s="24">
        <v>1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326</v>
      </c>
      <c r="G222" s="57" t="s">
        <v>42</v>
      </c>
      <c r="I222" s="24">
        <v>3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327</v>
      </c>
      <c r="G223" s="57" t="s">
        <v>42</v>
      </c>
      <c r="I223" s="24">
        <v>1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328</v>
      </c>
      <c r="G224" s="57" t="s">
        <v>42</v>
      </c>
      <c r="I224" s="24">
        <v>2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27" t="s">
        <v>329</v>
      </c>
      <c r="E225" s="27"/>
      <c r="F225" s="27"/>
      <c r="G225" s="56" t="s">
        <v>42</v>
      </c>
      <c r="I225" s="24">
        <v>1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330</v>
      </c>
      <c r="G226" s="56" t="s">
        <v>42</v>
      </c>
      <c r="I226" s="24">
        <v>4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331</v>
      </c>
      <c r="G227" s="46" t="s">
        <v>42</v>
      </c>
      <c r="I227" s="24">
        <v>1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332</v>
      </c>
      <c r="G228" s="46" t="s">
        <v>42</v>
      </c>
      <c r="I228" s="24">
        <v>2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333</v>
      </c>
      <c r="G229" s="46" t="s">
        <v>42</v>
      </c>
      <c r="I229" s="24">
        <v>1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334</v>
      </c>
      <c r="G230" s="46" t="s">
        <v>42</v>
      </c>
      <c r="I230" s="24">
        <v>3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335</v>
      </c>
      <c r="G231" s="46" t="s">
        <v>42</v>
      </c>
      <c r="I231" s="24">
        <v>1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336</v>
      </c>
      <c r="G232" s="46" t="s">
        <v>42</v>
      </c>
      <c r="I232" s="24">
        <v>2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337</v>
      </c>
      <c r="G233" s="46" t="s">
        <v>42</v>
      </c>
      <c r="I233" s="24">
        <v>1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338</v>
      </c>
      <c r="G234" s="46" t="s">
        <v>42</v>
      </c>
      <c r="I234" s="24">
        <v>3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339</v>
      </c>
      <c r="G235" s="46" t="s">
        <v>42</v>
      </c>
      <c r="I235" s="24">
        <v>1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340</v>
      </c>
      <c r="G236" s="46" t="s">
        <v>42</v>
      </c>
      <c r="I236" s="24">
        <v>2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341</v>
      </c>
      <c r="G237" s="46" t="s">
        <v>42</v>
      </c>
      <c r="I237" s="24">
        <v>1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342</v>
      </c>
      <c r="G238" s="46" t="s">
        <v>42</v>
      </c>
      <c r="I238" s="24">
        <v>4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343</v>
      </c>
      <c r="G239" s="46" t="s">
        <v>42</v>
      </c>
      <c r="I239" s="24">
        <v>1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344</v>
      </c>
      <c r="G240" s="46" t="s">
        <v>42</v>
      </c>
      <c r="I240" s="24">
        <v>2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I241" s="24">
        <v>1</v>
      </c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G242" s="35" t="s">
        <v>25</v>
      </c>
      <c r="I242" s="24">
        <v>3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F243" s="26"/>
      <c r="G243" s="37" t="s">
        <v>49</v>
      </c>
      <c r="I243" s="24">
        <v>1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376</v>
      </c>
      <c r="F244" s="26"/>
      <c r="G244" s="15">
        <v>-1</v>
      </c>
      <c r="I244" s="24">
        <v>2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377</v>
      </c>
      <c r="G245" s="15">
        <v>1000</v>
      </c>
      <c r="I245" s="24">
        <v>1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I246" s="24">
        <v>3</v>
      </c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I247" s="24">
        <v>1</v>
      </c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378</v>
      </c>
      <c r="G248" s="15" t="s">
        <v>102</v>
      </c>
      <c r="I248" s="24">
        <v>2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379</v>
      </c>
      <c r="G249" s="15" t="s">
        <v>94</v>
      </c>
      <c r="I249" s="24">
        <v>1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I250" s="24" t="s">
        <v>749</v>
      </c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F252" s="35" t="s">
        <v>24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380</v>
      </c>
      <c r="E253" s="35" t="s">
        <v>54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381</v>
      </c>
      <c r="E254" s="35" t="s">
        <v>55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382</v>
      </c>
      <c r="E255" s="35" t="s">
        <v>56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383</v>
      </c>
      <c r="E256" s="35" t="s">
        <v>57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384</v>
      </c>
      <c r="E257" s="35" t="s">
        <v>58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385</v>
      </c>
      <c r="E258" s="35" t="s">
        <v>59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386</v>
      </c>
      <c r="E259" s="35" t="s">
        <v>60</v>
      </c>
      <c r="G259" s="15">
        <f>IF(Table131925[[#This Row],[dec val]]="",0,1)</f>
        <v>0</v>
      </c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387</v>
      </c>
      <c r="E260" s="35" t="s">
        <v>61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388</v>
      </c>
      <c r="E261" s="35" t="s">
        <v>62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395</v>
      </c>
      <c r="E262" s="35" t="s">
        <v>69</v>
      </c>
      <c r="G262" s="15">
        <v>1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396</v>
      </c>
      <c r="E263" s="35" t="s">
        <v>70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684</v>
      </c>
      <c r="E264" s="35" t="s">
        <v>685</v>
      </c>
      <c r="G264" s="15">
        <v>0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E265" s="35"/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411</v>
      </c>
      <c r="E266" s="35" t="s">
        <v>54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412</v>
      </c>
      <c r="E267" s="35" t="s">
        <v>55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413</v>
      </c>
      <c r="E268" s="35" t="s">
        <v>56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414</v>
      </c>
      <c r="E269" s="35" t="s">
        <v>57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415</v>
      </c>
      <c r="E270" s="35" t="s">
        <v>58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416</v>
      </c>
      <c r="E271" s="35" t="s">
        <v>59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417</v>
      </c>
      <c r="E272" s="35" t="s">
        <v>60</v>
      </c>
      <c r="G272" s="15">
        <f>IF(Table131925[[#This Row],[dec val]]="",0,1)</f>
        <v>0</v>
      </c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418</v>
      </c>
      <c r="E273" s="35" t="s">
        <v>61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419</v>
      </c>
      <c r="E274" s="35" t="s">
        <v>62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426</v>
      </c>
      <c r="E275" s="35" t="s">
        <v>69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427</v>
      </c>
      <c r="E276" s="35" t="s">
        <v>70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686</v>
      </c>
      <c r="E277" s="35" t="s">
        <v>687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E278" s="35"/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442</v>
      </c>
      <c r="E279" s="35" t="s">
        <v>54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443</v>
      </c>
      <c r="E280" s="35" t="s">
        <v>55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444</v>
      </c>
      <c r="E281" s="35" t="s">
        <v>56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445</v>
      </c>
      <c r="E282" s="35" t="s">
        <v>57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446</v>
      </c>
      <c r="E283" s="35" t="s">
        <v>58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447</v>
      </c>
      <c r="E284" s="35" t="s">
        <v>59</v>
      </c>
      <c r="G284" s="15">
        <f>IF(Table131925[[#This Row],[dec val]]="",0,1)</f>
        <v>0</v>
      </c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448</v>
      </c>
      <c r="E285" s="35" t="s">
        <v>60</v>
      </c>
      <c r="G285" s="15">
        <f>IF(Table131925[[#This Row],[dec val]]="",0,1)</f>
        <v>0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449</v>
      </c>
      <c r="E286" s="35" t="s">
        <v>61</v>
      </c>
      <c r="G286" s="15">
        <f>IF(Table131925[[#This Row],[dec val]]="",0,1)</f>
        <v>0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450</v>
      </c>
      <c r="E287" s="35" t="s">
        <v>62</v>
      </c>
      <c r="G287" s="15">
        <f>IF(Table131925[[#This Row],[dec val]]="",0,1)</f>
        <v>0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457</v>
      </c>
      <c r="E288" s="35" t="s">
        <v>69</v>
      </c>
      <c r="G288" s="15">
        <f>IF(Table131925[[#This Row],[dec val]]="",0,1)</f>
        <v>0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458</v>
      </c>
      <c r="E289" s="35" t="s">
        <v>70</v>
      </c>
      <c r="G289" s="15">
        <f>IF(Table131925[[#This Row],[dec val]]="",0,1)</f>
        <v>0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688</v>
      </c>
      <c r="E290" s="35" t="s">
        <v>687</v>
      </c>
      <c r="G290" s="15">
        <f>IF(Table131925[[#This Row],[dec val]]="",0,1)</f>
        <v>0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E291" s="35"/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473</v>
      </c>
      <c r="E292" s="35" t="s">
        <v>54</v>
      </c>
      <c r="G292" s="15">
        <f>IF(Table131925[[#This Row],[dec val]]="",0,1)</f>
        <v>0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474</v>
      </c>
      <c r="E293" s="35" t="s">
        <v>55</v>
      </c>
      <c r="G293" s="15">
        <f>IF(Table131925[[#This Row],[dec val]]="",0,1)</f>
        <v>0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475</v>
      </c>
      <c r="E294" s="35" t="s">
        <v>56</v>
      </c>
      <c r="G294" s="15">
        <f>IF(Table131925[[#This Row],[dec val]]="",0,1)</f>
        <v>0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476</v>
      </c>
      <c r="E295" s="35" t="s">
        <v>57</v>
      </c>
      <c r="G295" s="15">
        <f>IF(Table131925[[#This Row],[dec val]]="",0,1)</f>
        <v>0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477</v>
      </c>
      <c r="E296" s="35" t="s">
        <v>58</v>
      </c>
      <c r="G296" s="15">
        <f>IF(Table131925[[#This Row],[dec val]]="",0,1)</f>
        <v>0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478</v>
      </c>
      <c r="E297" s="35" t="s">
        <v>59</v>
      </c>
      <c r="G297" s="15">
        <f>IF(Table131925[[#This Row],[dec val]]="",0,1)</f>
        <v>0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479</v>
      </c>
      <c r="E298" s="35" t="s">
        <v>60</v>
      </c>
      <c r="G298" s="15">
        <f>IF(Table131925[[#This Row],[dec val]]="",0,1)</f>
        <v>0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480</v>
      </c>
      <c r="E299" s="35" t="s">
        <v>61</v>
      </c>
      <c r="G299" s="15">
        <f>IF(Table131925[[#This Row],[dec val]]="",0,1)</f>
        <v>0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488</v>
      </c>
      <c r="E300" s="35" t="s">
        <v>69</v>
      </c>
      <c r="G300" s="15">
        <f>IF(Table131925[[#This Row],[dec val]]="",0,1)</f>
        <v>0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489</v>
      </c>
      <c r="E301" s="35" t="s">
        <v>70</v>
      </c>
      <c r="G301" s="15">
        <f>IF(Table131925[[#This Row],[dec val]]="",0,1)</f>
        <v>0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689</v>
      </c>
      <c r="E302" s="35" t="s">
        <v>687</v>
      </c>
      <c r="G302" s="15">
        <f>IF(Table131925[[#This Row],[dec val]]="",0,1)</f>
        <v>0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G303" s="33"/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113</v>
      </c>
      <c r="G304" s="33" t="s">
        <v>154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114</v>
      </c>
      <c r="G305" s="33" t="s">
        <v>155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115</v>
      </c>
      <c r="G306" s="33" t="s">
        <v>155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116</v>
      </c>
      <c r="G307" s="33" t="s">
        <v>155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117</v>
      </c>
      <c r="G308" s="33" t="s">
        <v>155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118</v>
      </c>
      <c r="G309" s="33" t="s">
        <v>155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119</v>
      </c>
      <c r="G310" s="33" t="s">
        <v>155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120</v>
      </c>
      <c r="G311" s="33" t="s">
        <v>152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121</v>
      </c>
      <c r="G312" s="33" t="s">
        <v>152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122</v>
      </c>
      <c r="G313" s="33" t="s">
        <v>152</v>
      </c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123</v>
      </c>
      <c r="G314" s="33" t="s">
        <v>152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124</v>
      </c>
      <c r="G315" s="33" t="s">
        <v>152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125</v>
      </c>
      <c r="G316" s="33" t="s">
        <v>152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126</v>
      </c>
      <c r="G317" s="33" t="s">
        <v>152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127</v>
      </c>
      <c r="G318" s="33" t="s">
        <v>152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128</v>
      </c>
      <c r="G319" s="33" t="s">
        <v>152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129</v>
      </c>
      <c r="G320" s="33" t="s">
        <v>152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130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131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132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133</v>
      </c>
      <c r="G324" s="33" t="s">
        <v>152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134</v>
      </c>
      <c r="G325" s="33" t="s">
        <v>152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135</v>
      </c>
      <c r="G326" s="33" t="s">
        <v>152</v>
      </c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136</v>
      </c>
      <c r="G327" s="33" t="s">
        <v>152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137</v>
      </c>
      <c r="G328" s="33" t="s">
        <v>152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138</v>
      </c>
      <c r="G329" s="33" t="s">
        <v>152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139</v>
      </c>
      <c r="G330" s="33" t="s">
        <v>152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140</v>
      </c>
      <c r="G331" s="33" t="s">
        <v>152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141</v>
      </c>
      <c r="G332" s="33" t="s">
        <v>152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142</v>
      </c>
      <c r="G333" s="33" t="s">
        <v>152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143</v>
      </c>
      <c r="G334" s="33" t="s">
        <v>152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144</v>
      </c>
      <c r="G335" s="33" t="s">
        <v>152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145</v>
      </c>
      <c r="G336" s="33" t="s">
        <v>152</v>
      </c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146</v>
      </c>
      <c r="G337" s="33" t="s">
        <v>152</v>
      </c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147</v>
      </c>
      <c r="G338" s="33" t="s">
        <v>152</v>
      </c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148</v>
      </c>
      <c r="G339" s="33" t="s">
        <v>152</v>
      </c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149</v>
      </c>
      <c r="G340" s="33" t="s">
        <v>152</v>
      </c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150</v>
      </c>
      <c r="G341" s="33" t="s">
        <v>152</v>
      </c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151</v>
      </c>
      <c r="G342" s="33" t="s">
        <v>152</v>
      </c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153</v>
      </c>
      <c r="G343" s="15">
        <v>1</v>
      </c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153</v>
      </c>
      <c r="G344" s="15">
        <v>0</v>
      </c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E345" s="35"/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504</v>
      </c>
      <c r="G346" s="15">
        <v>0</v>
      </c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507</v>
      </c>
      <c r="G347" s="15">
        <v>0</v>
      </c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27" t="s">
        <v>690</v>
      </c>
      <c r="G348" s="15">
        <v>1</v>
      </c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27" t="s">
        <v>691</v>
      </c>
      <c r="G349" s="15">
        <v>0</v>
      </c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508</v>
      </c>
      <c r="G350" s="15">
        <v>0</v>
      </c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509</v>
      </c>
      <c r="G351" s="15">
        <v>1</v>
      </c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510</v>
      </c>
      <c r="G352" s="15">
        <v>0</v>
      </c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505</v>
      </c>
      <c r="G353" s="15">
        <v>0</v>
      </c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506</v>
      </c>
      <c r="G354" s="15">
        <v>1</v>
      </c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E355" s="35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0" t="s">
        <v>35</v>
      </c>
      <c r="D356" s="43" t="s">
        <v>27</v>
      </c>
      <c r="E356" s="43"/>
      <c r="F356" s="43"/>
      <c r="G356" s="44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57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57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57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57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57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57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57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57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57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57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57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57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G369" s="57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G370" s="57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G371" s="57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G372" s="57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G373" s="57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G374" s="46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G375" s="46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G376" s="46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G377" s="46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G378" s="46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G379" s="46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G380" s="46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G381" s="46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G382" s="46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G383" s="46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G384" s="46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G385" s="46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G386" s="46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46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E450" s="35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E451" s="35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E452" s="35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E453" s="35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E454" s="35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E455" s="35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E456" s="35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E457" s="35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E458" s="35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E459" s="35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E460" s="35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E461" s="35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E462" s="35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E463" s="35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E464" s="35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E465" s="35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E466" s="35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E467" s="35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E468" s="35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G502" s="33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G503" s="33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G504" s="33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G505" s="33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D506" s="15" t="s">
        <v>108</v>
      </c>
      <c r="G506" s="33">
        <v>0</v>
      </c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D507" s="15" t="s">
        <v>109</v>
      </c>
      <c r="G507" s="33">
        <v>1</v>
      </c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D508" s="15" t="s">
        <v>110</v>
      </c>
      <c r="G508" s="33">
        <v>1</v>
      </c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D509" s="15" t="s">
        <v>111</v>
      </c>
      <c r="G509" s="33">
        <v>1</v>
      </c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E510" s="16"/>
      <c r="F510" s="16"/>
      <c r="G510" s="39" t="s">
        <v>106</v>
      </c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D512" s="15" t="s">
        <v>27</v>
      </c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0"/>
      <c r="D513" s="38"/>
      <c r="E513" s="38"/>
      <c r="F513" s="38"/>
      <c r="G513" s="38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D1451" s="15" t="s">
        <v>27</v>
      </c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4" spans="3:7" x14ac:dyDescent="0.3">
      <c r="C2114" s="42"/>
      <c r="F2114" s="22"/>
      <c r="G2114" s="22"/>
    </row>
    <row r="2115" spans="3:7" x14ac:dyDescent="0.3">
      <c r="C2115" s="42"/>
      <c r="F2115" s="22"/>
      <c r="G2115" s="22"/>
    </row>
    <row r="2116" spans="3:7" x14ac:dyDescent="0.3">
      <c r="C2116" s="42"/>
      <c r="F2116" s="22"/>
      <c r="G2116" s="22"/>
    </row>
    <row r="2117" spans="3:7" x14ac:dyDescent="0.3">
      <c r="C2117" s="42"/>
      <c r="F2117" s="22"/>
      <c r="G2117" s="22"/>
    </row>
    <row r="2118" spans="3:7" x14ac:dyDescent="0.3">
      <c r="C2118" s="42"/>
      <c r="F2118" s="22"/>
      <c r="G2118" s="22"/>
    </row>
    <row r="2119" spans="3:7" x14ac:dyDescent="0.3">
      <c r="C2119" s="42"/>
      <c r="F2119" s="22"/>
      <c r="G2119" s="22"/>
    </row>
    <row r="2120" spans="3:7" x14ac:dyDescent="0.3">
      <c r="C2120" s="42"/>
      <c r="F2120" s="22"/>
      <c r="G2120" s="22"/>
    </row>
    <row r="2121" spans="3:7" x14ac:dyDescent="0.3">
      <c r="C2121" s="42"/>
      <c r="F2121" s="22"/>
      <c r="G2121" s="22"/>
    </row>
    <row r="2122" spans="3:7" x14ac:dyDescent="0.3">
      <c r="C2122" s="42"/>
      <c r="F2122" s="22"/>
      <c r="G2122" s="22"/>
    </row>
    <row r="2123" spans="3:7" x14ac:dyDescent="0.3">
      <c r="C2123" s="42"/>
      <c r="F2123" s="22"/>
      <c r="G2123" s="22"/>
    </row>
    <row r="2124" spans="3:7" x14ac:dyDescent="0.3">
      <c r="C2124" s="42"/>
      <c r="F2124" s="22"/>
      <c r="G2124" s="22"/>
    </row>
    <row r="2125" spans="3:7" x14ac:dyDescent="0.3">
      <c r="C2125" s="42"/>
      <c r="D2125" s="15" t="s">
        <v>88</v>
      </c>
      <c r="F2125" s="22"/>
      <c r="G2125" s="22"/>
    </row>
    <row r="2126" spans="3:7" x14ac:dyDescent="0.3">
      <c r="C2126" s="42"/>
      <c r="F2126" s="22"/>
      <c r="G2126" s="22"/>
    </row>
    <row r="2127" spans="3:7" x14ac:dyDescent="0.3">
      <c r="C2127" s="42"/>
      <c r="F2127" s="22"/>
      <c r="G2127" s="22"/>
    </row>
    <row r="2128" spans="3:7" x14ac:dyDescent="0.3">
      <c r="C2128" s="42"/>
      <c r="F2128" s="22"/>
      <c r="G2128" s="22"/>
    </row>
    <row r="2129" spans="3:7" x14ac:dyDescent="0.3">
      <c r="C2129" s="42"/>
      <c r="F2129" s="22"/>
      <c r="G2129" s="22"/>
    </row>
    <row r="2130" spans="3:7" x14ac:dyDescent="0.3">
      <c r="C2130" s="42"/>
      <c r="F2130" s="22"/>
      <c r="G2130" s="22"/>
    </row>
    <row r="2131" spans="3:7" x14ac:dyDescent="0.3">
      <c r="C2131" s="42"/>
      <c r="F2131" s="22"/>
      <c r="G2131" s="22"/>
    </row>
    <row r="2132" spans="3:7" x14ac:dyDescent="0.3">
      <c r="C2132" s="42"/>
      <c r="F2132" s="22"/>
      <c r="G2132" s="22"/>
    </row>
    <row r="2134" spans="3:7" x14ac:dyDescent="0.3">
      <c r="D2134" s="27"/>
      <c r="E213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D2129:E2132 G248:G249 T2061:U2064</xm:sqref>
        </x14:dataValidation>
        <x14:dataValidation type="list" allowBlank="1" showInputMessage="1" showErrorMessage="1">
          <x14:formula1>
            <xm:f>org!$B$11:$B$22</xm:f>
          </x14:formula1>
          <xm:sqref>E201:E208 G201:G208 F2129:F2132 I2062:I2064 G210:G240 E210:E240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G141:G172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670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670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670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670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681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670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670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670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670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670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682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683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670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670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670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670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670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670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670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670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670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670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670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670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670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670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670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670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670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670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670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670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670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670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670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670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670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675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676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677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678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679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675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676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677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678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679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670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670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670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670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681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670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670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670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670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670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682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683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671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665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666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667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668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669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670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672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673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674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515</v>
      </c>
      <c r="P2" s="62"/>
      <c r="Q2" s="62"/>
      <c r="R2" s="62"/>
      <c r="T2" s="62" t="s">
        <v>30</v>
      </c>
      <c r="U2" s="62"/>
      <c r="V2" s="62"/>
      <c r="W2" s="62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2021-12-21T07:42:59Z</dcterms:modified>
</cp:coreProperties>
</file>